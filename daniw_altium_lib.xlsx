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aten\00_GitRepos\altium_lib\"/>
    </mc:Choice>
  </mc:AlternateContent>
  <xr:revisionPtr revIDLastSave="0" documentId="13_ncr:1_{C85C8D08-2911-4B02-9827-C22D4860BDED}" xr6:coauthVersionLast="47" xr6:coauthVersionMax="47" xr10:uidLastSave="{00000000-0000-0000-0000-000000000000}"/>
  <bookViews>
    <workbookView xWindow="-120" yWindow="-120" windowWidth="38640" windowHeight="21120" activeTab="8" xr2:uid="{3DF4F140-3850-4A89-8CCA-7C160BF9B667}"/>
  </bookViews>
  <sheets>
    <sheet name="Start" sheetId="1" r:id="rId1"/>
    <sheet name="Config" sheetId="5" r:id="rId2"/>
    <sheet name="R" sheetId="7" r:id="rId3"/>
    <sheet name="C" sheetId="8" r:id="rId4"/>
    <sheet name="L" sheetId="4" r:id="rId5"/>
    <sheet name="D" sheetId="9" r:id="rId6"/>
    <sheet name="T" sheetId="17" r:id="rId7"/>
    <sheet name="CON" sheetId="10" r:id="rId8"/>
    <sheet name="Logic" sheetId="12" r:id="rId9"/>
    <sheet name="Module" sheetId="14" r:id="rId10"/>
    <sheet name="Integrated" sheetId="15" r:id="rId11"/>
    <sheet name="GDT" sheetId="20" r:id="rId12"/>
    <sheet name="Misc" sheetId="16" r:id="rId13"/>
    <sheet name="Net-Tie" sheetId="19" r:id="rId14"/>
  </sheets>
  <definedNames>
    <definedName name="_xlnm._FilterDatabase" localSheetId="5" hidden="1">D!$A$1:$Y$512</definedName>
    <definedName name="ConSchematicLib">Config!$B$7</definedName>
    <definedName name="CSchematicLib">Config!$B$4</definedName>
    <definedName name="LSchematicLib">Config!$B$5</definedName>
    <definedName name="LSchematicLib.">Config!$B$5</definedName>
    <definedName name="PrivateLibraryPath">Config!$B$8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" i="12" l="1"/>
  <c r="G278" i="8"/>
  <c r="G19" i="12"/>
  <c r="G277" i="8"/>
  <c r="F76" i="16"/>
  <c r="G276" i="8"/>
  <c r="G17" i="12"/>
  <c r="G18" i="12"/>
  <c r="G16" i="12"/>
  <c r="G15" i="12"/>
  <c r="G14" i="12"/>
  <c r="G9" i="12"/>
  <c r="G10" i="12"/>
  <c r="G11" i="12"/>
  <c r="G12" i="12"/>
  <c r="G13" i="12"/>
  <c r="G275" i="8"/>
  <c r="G2048" i="7"/>
  <c r="G2047" i="7"/>
  <c r="G272" i="8"/>
  <c r="G271" i="8"/>
  <c r="G273" i="8"/>
  <c r="G274" i="8"/>
  <c r="G270" i="8"/>
  <c r="G269" i="8"/>
  <c r="G268" i="8"/>
  <c r="G283" i="4"/>
  <c r="G282" i="4"/>
  <c r="G281" i="4"/>
  <c r="G280" i="4"/>
  <c r="G279" i="4"/>
  <c r="G278" i="4"/>
  <c r="G277" i="4"/>
  <c r="G276" i="4"/>
  <c r="G275" i="4"/>
  <c r="G274" i="4"/>
  <c r="G273" i="4"/>
  <c r="G272" i="4"/>
  <c r="G271" i="4"/>
  <c r="G270" i="4"/>
  <c r="G269" i="4"/>
  <c r="G268" i="4"/>
  <c r="G267" i="4"/>
  <c r="G266" i="4"/>
  <c r="G265" i="4"/>
  <c r="G264" i="4"/>
  <c r="G263" i="4"/>
  <c r="G262" i="4"/>
  <c r="G261" i="4"/>
  <c r="G260" i="4"/>
  <c r="G259" i="4"/>
  <c r="G258" i="4"/>
  <c r="G257" i="4"/>
  <c r="G256" i="4"/>
  <c r="G255" i="4"/>
  <c r="G254" i="4"/>
  <c r="G253" i="4"/>
  <c r="G252" i="4"/>
  <c r="G251" i="4"/>
  <c r="G250" i="4"/>
  <c r="G249" i="4"/>
  <c r="G248" i="4"/>
  <c r="G247" i="4"/>
  <c r="G246" i="4"/>
  <c r="G245" i="4"/>
  <c r="G244" i="4"/>
  <c r="G243" i="4"/>
  <c r="G242" i="4"/>
  <c r="G241" i="4"/>
  <c r="G240" i="4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56" i="10"/>
  <c r="G177" i="8"/>
  <c r="G254" i="8"/>
  <c r="G253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1887" i="7" l="1"/>
  <c r="G1888" i="7"/>
  <c r="G1889" i="7"/>
  <c r="G1890" i="7"/>
  <c r="G1891" i="7"/>
  <c r="G1892" i="7"/>
  <c r="G1893" i="7"/>
  <c r="G1894" i="7"/>
  <c r="G1895" i="7"/>
  <c r="G1896" i="7"/>
  <c r="G1897" i="7"/>
  <c r="G1898" i="7"/>
  <c r="G1899" i="7"/>
  <c r="G1900" i="7"/>
  <c r="G1901" i="7"/>
  <c r="G1902" i="7"/>
  <c r="G1903" i="7"/>
  <c r="G1904" i="7"/>
  <c r="G1905" i="7"/>
  <c r="G1906" i="7"/>
  <c r="G1907" i="7"/>
  <c r="G1908" i="7"/>
  <c r="G1909" i="7"/>
  <c r="G1910" i="7"/>
  <c r="G1911" i="7"/>
  <c r="G1912" i="7"/>
  <c r="G1913" i="7"/>
  <c r="G1914" i="7"/>
  <c r="G1915" i="7"/>
  <c r="G1916" i="7"/>
  <c r="G1917" i="7"/>
  <c r="G1918" i="7"/>
  <c r="G1919" i="7"/>
  <c r="G1920" i="7"/>
  <c r="G1921" i="7"/>
  <c r="G1922" i="7"/>
  <c r="G1923" i="7"/>
  <c r="G1924" i="7"/>
  <c r="G1925" i="7"/>
  <c r="G1926" i="7"/>
  <c r="G1927" i="7"/>
  <c r="G1928" i="7"/>
  <c r="G1929" i="7"/>
  <c r="G1930" i="7"/>
  <c r="G1931" i="7"/>
  <c r="G1932" i="7"/>
  <c r="G1933" i="7"/>
  <c r="G1934" i="7"/>
  <c r="G1935" i="7"/>
  <c r="G1936" i="7"/>
  <c r="G1937" i="7"/>
  <c r="G1938" i="7"/>
  <c r="G1939" i="7"/>
  <c r="G1940" i="7"/>
  <c r="G1941" i="7"/>
  <c r="G1942" i="7"/>
  <c r="G1943" i="7"/>
  <c r="G1944" i="7"/>
  <c r="G1945" i="7"/>
  <c r="G1946" i="7"/>
  <c r="G1947" i="7"/>
  <c r="G1948" i="7"/>
  <c r="G1949" i="7"/>
  <c r="G1950" i="7"/>
  <c r="G1951" i="7"/>
  <c r="G1952" i="7"/>
  <c r="G1953" i="7"/>
  <c r="G1954" i="7"/>
  <c r="G1955" i="7"/>
  <c r="G1956" i="7"/>
  <c r="G1957" i="7"/>
  <c r="G1958" i="7"/>
  <c r="G1959" i="7"/>
  <c r="G1960" i="7"/>
  <c r="G1961" i="7"/>
  <c r="G1962" i="7"/>
  <c r="G1963" i="7"/>
  <c r="G1964" i="7"/>
  <c r="G1965" i="7"/>
  <c r="G1966" i="7"/>
  <c r="G1967" i="7"/>
  <c r="G1968" i="7"/>
  <c r="G1969" i="7"/>
  <c r="G1970" i="7"/>
  <c r="G1971" i="7"/>
  <c r="G1972" i="7"/>
  <c r="G1973" i="7"/>
  <c r="G1974" i="7"/>
  <c r="G1975" i="7"/>
  <c r="G1976" i="7"/>
  <c r="G1977" i="7"/>
  <c r="G1978" i="7"/>
  <c r="G1979" i="7"/>
  <c r="G1980" i="7"/>
  <c r="G1981" i="7"/>
  <c r="G1982" i="7"/>
  <c r="G1983" i="7"/>
  <c r="G1984" i="7"/>
  <c r="G1985" i="7"/>
  <c r="G1986" i="7"/>
  <c r="G1987" i="7"/>
  <c r="G1988" i="7"/>
  <c r="G1989" i="7"/>
  <c r="G1990" i="7"/>
  <c r="G1991" i="7"/>
  <c r="G1992" i="7"/>
  <c r="G1993" i="7"/>
  <c r="G1994" i="7"/>
  <c r="G1995" i="7"/>
  <c r="G1996" i="7"/>
  <c r="G1997" i="7"/>
  <c r="G1998" i="7"/>
  <c r="G1999" i="7"/>
  <c r="G2000" i="7"/>
  <c r="G2001" i="7"/>
  <c r="G2002" i="7"/>
  <c r="G2003" i="7"/>
  <c r="G2004" i="7"/>
  <c r="G2005" i="7"/>
  <c r="G2006" i="7"/>
  <c r="G2007" i="7"/>
  <c r="G2008" i="7"/>
  <c r="G2009" i="7"/>
  <c r="G2010" i="7"/>
  <c r="G2011" i="7"/>
  <c r="G2012" i="7"/>
  <c r="G2013" i="7"/>
  <c r="G2014" i="7"/>
  <c r="G2015" i="7"/>
  <c r="G2016" i="7"/>
  <c r="G2017" i="7"/>
  <c r="G2018" i="7"/>
  <c r="G2019" i="7"/>
  <c r="G2020" i="7"/>
  <c r="G2021" i="7"/>
  <c r="G2022" i="7"/>
  <c r="G2023" i="7"/>
  <c r="G2024" i="7"/>
  <c r="G2025" i="7"/>
  <c r="G2026" i="7"/>
  <c r="G2027" i="7"/>
  <c r="G2028" i="7"/>
  <c r="G2029" i="7"/>
  <c r="G2030" i="7"/>
  <c r="G2031" i="7"/>
  <c r="G2032" i="7"/>
  <c r="G2033" i="7"/>
  <c r="G2034" i="7"/>
  <c r="G2035" i="7"/>
  <c r="G2036" i="7"/>
  <c r="G2037" i="7"/>
  <c r="G2038" i="7"/>
  <c r="G2039" i="7"/>
  <c r="G2040" i="7"/>
  <c r="G2041" i="7"/>
  <c r="G2042" i="7"/>
  <c r="G2043" i="7"/>
  <c r="G2044" i="7"/>
  <c r="G2045" i="7"/>
  <c r="G2046" i="7"/>
  <c r="G8" i="12"/>
  <c r="G677" i="7"/>
  <c r="G177" i="10"/>
  <c r="G176" i="10"/>
  <c r="G175" i="10"/>
  <c r="G174" i="10"/>
  <c r="G173" i="10"/>
  <c r="G172" i="10"/>
  <c r="G171" i="10"/>
  <c r="G170" i="10"/>
  <c r="G169" i="10"/>
  <c r="G168" i="10"/>
  <c r="G167" i="10"/>
  <c r="G166" i="10"/>
  <c r="G165" i="10"/>
  <c r="G164" i="10"/>
  <c r="G163" i="10"/>
  <c r="G162" i="10"/>
  <c r="G161" i="10"/>
  <c r="G160" i="10"/>
  <c r="G159" i="10"/>
  <c r="G158" i="10"/>
  <c r="G157" i="10"/>
  <c r="G156" i="10"/>
  <c r="G155" i="10"/>
  <c r="G154" i="10"/>
  <c r="G153" i="10"/>
  <c r="G152" i="10"/>
  <c r="G151" i="10"/>
  <c r="G150" i="10"/>
  <c r="G149" i="10"/>
  <c r="G148" i="10"/>
  <c r="G147" i="10"/>
  <c r="G146" i="10"/>
  <c r="G145" i="10"/>
  <c r="G144" i="10"/>
  <c r="G143" i="10"/>
  <c r="G142" i="10"/>
  <c r="G141" i="10"/>
  <c r="G140" i="10"/>
  <c r="G139" i="10"/>
  <c r="G138" i="10"/>
  <c r="G187" i="10"/>
  <c r="G186" i="10"/>
  <c r="G185" i="10"/>
  <c r="G184" i="10"/>
  <c r="G183" i="10"/>
  <c r="G182" i="10"/>
  <c r="G181" i="10"/>
  <c r="G180" i="10"/>
  <c r="G179" i="10"/>
  <c r="G178" i="10"/>
  <c r="G79" i="10"/>
  <c r="G78" i="10"/>
  <c r="G173" i="8"/>
  <c r="G494" i="7"/>
  <c r="G492" i="7"/>
  <c r="G484" i="7"/>
  <c r="G480" i="7"/>
  <c r="G478" i="7"/>
  <c r="G476" i="7"/>
  <c r="G467" i="7"/>
  <c r="G463" i="7"/>
  <c r="G441" i="7"/>
  <c r="G524" i="7" l="1"/>
  <c r="G522" i="7"/>
  <c r="G515" i="7"/>
  <c r="G510" i="7"/>
  <c r="G508" i="7"/>
  <c r="G504" i="7"/>
  <c r="G502" i="7"/>
  <c r="G498" i="7"/>
  <c r="G184" i="20"/>
  <c r="G183" i="20"/>
  <c r="G182" i="20"/>
  <c r="G181" i="20"/>
  <c r="G180" i="20"/>
  <c r="G179" i="20"/>
  <c r="G178" i="20"/>
  <c r="G177" i="20"/>
  <c r="G176" i="20"/>
  <c r="G175" i="20"/>
  <c r="G174" i="20"/>
  <c r="G173" i="20"/>
  <c r="G172" i="20"/>
  <c r="G171" i="20"/>
  <c r="G170" i="20"/>
  <c r="G169" i="20"/>
  <c r="G168" i="20"/>
  <c r="G167" i="20"/>
  <c r="G166" i="20"/>
  <c r="G165" i="20"/>
  <c r="G164" i="20"/>
  <c r="G163" i="20"/>
  <c r="G162" i="20"/>
  <c r="G161" i="20"/>
  <c r="G160" i="20"/>
  <c r="G159" i="20"/>
  <c r="G158" i="20"/>
  <c r="G157" i="20"/>
  <c r="G156" i="20"/>
  <c r="G155" i="20"/>
  <c r="G154" i="20"/>
  <c r="G153" i="20"/>
  <c r="G152" i="20"/>
  <c r="G151" i="20"/>
  <c r="G150" i="20"/>
  <c r="G149" i="20"/>
  <c r="G148" i="20"/>
  <c r="G147" i="20"/>
  <c r="G146" i="20"/>
  <c r="G145" i="20"/>
  <c r="G144" i="20"/>
  <c r="G143" i="20"/>
  <c r="G142" i="20"/>
  <c r="G141" i="20"/>
  <c r="G140" i="20"/>
  <c r="G138" i="20"/>
  <c r="G137" i="20"/>
  <c r="G136" i="20"/>
  <c r="G135" i="20"/>
  <c r="G134" i="20"/>
  <c r="G133" i="20"/>
  <c r="G132" i="20"/>
  <c r="G131" i="20"/>
  <c r="G130" i="20"/>
  <c r="G129" i="20"/>
  <c r="G128" i="20"/>
  <c r="G127" i="20"/>
  <c r="G126" i="20"/>
  <c r="G125" i="20"/>
  <c r="G124" i="20"/>
  <c r="G123" i="20"/>
  <c r="G122" i="20"/>
  <c r="G121" i="20"/>
  <c r="G120" i="20"/>
  <c r="G119" i="20"/>
  <c r="G118" i="20"/>
  <c r="G117" i="20"/>
  <c r="G116" i="20"/>
  <c r="G115" i="20"/>
  <c r="G114" i="20"/>
  <c r="G113" i="20"/>
  <c r="G112" i="20"/>
  <c r="G111" i="20"/>
  <c r="G110" i="20"/>
  <c r="G109" i="20"/>
  <c r="G108" i="20"/>
  <c r="G107" i="20"/>
  <c r="G106" i="20"/>
  <c r="G105" i="20"/>
  <c r="G104" i="20"/>
  <c r="G103" i="20"/>
  <c r="G102" i="20"/>
  <c r="G101" i="20"/>
  <c r="G100" i="20"/>
  <c r="G99" i="20"/>
  <c r="G98" i="20"/>
  <c r="G97" i="20"/>
  <c r="G96" i="20"/>
  <c r="G95" i="20"/>
  <c r="G94" i="20"/>
  <c r="G92" i="20"/>
  <c r="G91" i="20"/>
  <c r="G90" i="20"/>
  <c r="G89" i="20"/>
  <c r="G88" i="20"/>
  <c r="G87" i="20"/>
  <c r="G86" i="20"/>
  <c r="G85" i="20"/>
  <c r="G84" i="20"/>
  <c r="G83" i="20"/>
  <c r="G82" i="20"/>
  <c r="G81" i="20"/>
  <c r="G80" i="20"/>
  <c r="G79" i="20"/>
  <c r="G78" i="20"/>
  <c r="G77" i="20"/>
  <c r="G76" i="20"/>
  <c r="G75" i="20"/>
  <c r="G74" i="20"/>
  <c r="G73" i="20"/>
  <c r="G72" i="20"/>
  <c r="G71" i="20"/>
  <c r="G70" i="20"/>
  <c r="G69" i="20"/>
  <c r="G68" i="20"/>
  <c r="G67" i="20"/>
  <c r="G66" i="20"/>
  <c r="G65" i="20"/>
  <c r="G64" i="20"/>
  <c r="G63" i="20"/>
  <c r="G62" i="20"/>
  <c r="G61" i="20"/>
  <c r="G60" i="20"/>
  <c r="G59" i="20"/>
  <c r="G58" i="20"/>
  <c r="G57" i="20"/>
  <c r="G56" i="20"/>
  <c r="G55" i="20"/>
  <c r="G54" i="20"/>
  <c r="G53" i="20"/>
  <c r="G52" i="20"/>
  <c r="G51" i="20"/>
  <c r="G50" i="20"/>
  <c r="G49" i="20"/>
  <c r="G48" i="20"/>
  <c r="G46" i="20"/>
  <c r="G45" i="20"/>
  <c r="G44" i="20"/>
  <c r="G43" i="20"/>
  <c r="G42" i="20"/>
  <c r="G41" i="20"/>
  <c r="G40" i="20"/>
  <c r="G39" i="20"/>
  <c r="G38" i="20"/>
  <c r="G37" i="20"/>
  <c r="G36" i="20"/>
  <c r="G35" i="20"/>
  <c r="G34" i="20"/>
  <c r="G33" i="20"/>
  <c r="G32" i="20"/>
  <c r="G31" i="20"/>
  <c r="G30" i="20"/>
  <c r="G29" i="20"/>
  <c r="G28" i="20"/>
  <c r="G27" i="20"/>
  <c r="G26" i="20"/>
  <c r="G25" i="20"/>
  <c r="G24" i="20"/>
  <c r="G23" i="20"/>
  <c r="G22" i="20"/>
  <c r="G21" i="20"/>
  <c r="G20" i="20"/>
  <c r="G19" i="20"/>
  <c r="G18" i="20"/>
  <c r="G17" i="20"/>
  <c r="G16" i="20"/>
  <c r="G15" i="20"/>
  <c r="G14" i="20"/>
  <c r="G13" i="20"/>
  <c r="G12" i="20"/>
  <c r="G11" i="20"/>
  <c r="G10" i="20"/>
  <c r="G9" i="20"/>
  <c r="G6" i="20"/>
  <c r="G8" i="20"/>
  <c r="G7" i="20"/>
  <c r="G5" i="20"/>
  <c r="G4" i="20"/>
  <c r="G3" i="20"/>
  <c r="G2" i="20"/>
  <c r="F612" i="19"/>
  <c r="F611" i="19"/>
  <c r="F610" i="19"/>
  <c r="F609" i="19"/>
  <c r="F608" i="19"/>
  <c r="F607" i="19"/>
  <c r="F606" i="19"/>
  <c r="F605" i="19"/>
  <c r="F604" i="19"/>
  <c r="F603" i="19"/>
  <c r="F602" i="19"/>
  <c r="F601" i="19"/>
  <c r="F600" i="19"/>
  <c r="F599" i="19"/>
  <c r="F598" i="19"/>
  <c r="F597" i="19"/>
  <c r="F596" i="19"/>
  <c r="F595" i="19"/>
  <c r="F594" i="19"/>
  <c r="F593" i="19"/>
  <c r="F592" i="19"/>
  <c r="F591" i="19"/>
  <c r="F590" i="19"/>
  <c r="F589" i="19"/>
  <c r="F588" i="19"/>
  <c r="F587" i="19"/>
  <c r="F586" i="19"/>
  <c r="F585" i="19"/>
  <c r="F584" i="19"/>
  <c r="F583" i="19"/>
  <c r="F582" i="19"/>
  <c r="F581" i="19"/>
  <c r="F580" i="19"/>
  <c r="F579" i="19"/>
  <c r="F578" i="19"/>
  <c r="F577" i="19"/>
  <c r="F576" i="19"/>
  <c r="F575" i="19"/>
  <c r="F574" i="19"/>
  <c r="F573" i="19"/>
  <c r="F572" i="19"/>
  <c r="F571" i="19"/>
  <c r="F570" i="19"/>
  <c r="F569" i="19"/>
  <c r="F568" i="19"/>
  <c r="F567" i="19"/>
  <c r="F566" i="19"/>
  <c r="F565" i="19"/>
  <c r="F564" i="19"/>
  <c r="F563" i="19"/>
  <c r="F561" i="19"/>
  <c r="F560" i="19"/>
  <c r="F559" i="19"/>
  <c r="F558" i="19"/>
  <c r="F557" i="19"/>
  <c r="F556" i="19"/>
  <c r="F555" i="19"/>
  <c r="F554" i="19"/>
  <c r="F553" i="19"/>
  <c r="F552" i="19"/>
  <c r="F551" i="19"/>
  <c r="F550" i="19"/>
  <c r="F549" i="19"/>
  <c r="F548" i="19"/>
  <c r="F547" i="19"/>
  <c r="F546" i="19"/>
  <c r="F545" i="19"/>
  <c r="F544" i="19"/>
  <c r="F543" i="19"/>
  <c r="F542" i="19"/>
  <c r="F541" i="19"/>
  <c r="F540" i="19"/>
  <c r="F539" i="19"/>
  <c r="F538" i="19"/>
  <c r="F537" i="19"/>
  <c r="F536" i="19"/>
  <c r="F535" i="19"/>
  <c r="F534" i="19"/>
  <c r="F533" i="19"/>
  <c r="F532" i="19"/>
  <c r="F531" i="19"/>
  <c r="F530" i="19"/>
  <c r="F529" i="19"/>
  <c r="F528" i="19"/>
  <c r="F527" i="19"/>
  <c r="F526" i="19"/>
  <c r="F525" i="19"/>
  <c r="F524" i="19"/>
  <c r="F523" i="19"/>
  <c r="F522" i="19"/>
  <c r="F521" i="19"/>
  <c r="F520" i="19"/>
  <c r="F519" i="19"/>
  <c r="F518" i="19"/>
  <c r="F517" i="19"/>
  <c r="F516" i="19"/>
  <c r="F515" i="19"/>
  <c r="F514" i="19"/>
  <c r="F513" i="19"/>
  <c r="F512" i="19"/>
  <c r="F510" i="19"/>
  <c r="F509" i="19"/>
  <c r="F508" i="19"/>
  <c r="F507" i="19"/>
  <c r="F506" i="19"/>
  <c r="F505" i="19"/>
  <c r="F504" i="19"/>
  <c r="F503" i="19"/>
  <c r="F502" i="19"/>
  <c r="F501" i="19"/>
  <c r="F500" i="19"/>
  <c r="F499" i="19"/>
  <c r="F498" i="19"/>
  <c r="F497" i="19"/>
  <c r="F496" i="19"/>
  <c r="F495" i="19"/>
  <c r="F494" i="19"/>
  <c r="F493" i="19"/>
  <c r="F492" i="19"/>
  <c r="F491" i="19"/>
  <c r="F490" i="19"/>
  <c r="F489" i="19"/>
  <c r="F488" i="19"/>
  <c r="F487" i="19"/>
  <c r="F486" i="19"/>
  <c r="F485" i="19"/>
  <c r="F484" i="19"/>
  <c r="F483" i="19"/>
  <c r="F482" i="19"/>
  <c r="F481" i="19"/>
  <c r="F480" i="19"/>
  <c r="F479" i="19"/>
  <c r="F478" i="19"/>
  <c r="F477" i="19"/>
  <c r="F476" i="19"/>
  <c r="F475" i="19"/>
  <c r="F474" i="19"/>
  <c r="F473" i="19"/>
  <c r="F472" i="19"/>
  <c r="F471" i="19"/>
  <c r="F470" i="19"/>
  <c r="F469" i="19"/>
  <c r="F468" i="19"/>
  <c r="F467" i="19"/>
  <c r="F466" i="19"/>
  <c r="F465" i="19"/>
  <c r="F464" i="19"/>
  <c r="F463" i="19"/>
  <c r="F462" i="19"/>
  <c r="F461" i="19"/>
  <c r="F459" i="19"/>
  <c r="F458" i="19"/>
  <c r="F457" i="19"/>
  <c r="F456" i="19"/>
  <c r="F455" i="19"/>
  <c r="F454" i="19"/>
  <c r="F453" i="19"/>
  <c r="F452" i="19"/>
  <c r="F451" i="19"/>
  <c r="F450" i="19"/>
  <c r="F449" i="19"/>
  <c r="F448" i="19"/>
  <c r="F447" i="19"/>
  <c r="F446" i="19"/>
  <c r="F445" i="19"/>
  <c r="F444" i="19"/>
  <c r="F443" i="19"/>
  <c r="F442" i="19"/>
  <c r="F441" i="19"/>
  <c r="F440" i="19"/>
  <c r="F439" i="19"/>
  <c r="F438" i="19"/>
  <c r="F437" i="19"/>
  <c r="F436" i="19"/>
  <c r="F435" i="19"/>
  <c r="F434" i="19"/>
  <c r="F433" i="19"/>
  <c r="F432" i="19"/>
  <c r="F431" i="19"/>
  <c r="F430" i="19"/>
  <c r="F429" i="19"/>
  <c r="F428" i="19"/>
  <c r="F427" i="19"/>
  <c r="F426" i="19"/>
  <c r="F425" i="19"/>
  <c r="F424" i="19"/>
  <c r="F423" i="19"/>
  <c r="F422" i="19"/>
  <c r="F421" i="19"/>
  <c r="F420" i="19"/>
  <c r="F419" i="19"/>
  <c r="F418" i="19"/>
  <c r="F417" i="19"/>
  <c r="F416" i="19"/>
  <c r="F415" i="19"/>
  <c r="F414" i="19"/>
  <c r="F413" i="19"/>
  <c r="F412" i="19"/>
  <c r="F411" i="19"/>
  <c r="F410" i="19"/>
  <c r="F408" i="19"/>
  <c r="F407" i="19"/>
  <c r="F406" i="19"/>
  <c r="F405" i="19"/>
  <c r="F404" i="19"/>
  <c r="F403" i="19"/>
  <c r="F402" i="19"/>
  <c r="F401" i="19"/>
  <c r="F400" i="19"/>
  <c r="F399" i="19"/>
  <c r="F398" i="19"/>
  <c r="F397" i="19"/>
  <c r="F396" i="19"/>
  <c r="F395" i="19"/>
  <c r="F394" i="19"/>
  <c r="F393" i="19"/>
  <c r="F392" i="19"/>
  <c r="F391" i="19"/>
  <c r="F390" i="19"/>
  <c r="F389" i="19"/>
  <c r="F388" i="19"/>
  <c r="F387" i="19"/>
  <c r="F386" i="19"/>
  <c r="F385" i="19"/>
  <c r="F384" i="19"/>
  <c r="F383" i="19"/>
  <c r="F382" i="19"/>
  <c r="F381" i="19"/>
  <c r="F380" i="19"/>
  <c r="F379" i="19"/>
  <c r="F378" i="19"/>
  <c r="F377" i="19"/>
  <c r="F376" i="19"/>
  <c r="F375" i="19"/>
  <c r="F374" i="19"/>
  <c r="F373" i="19"/>
  <c r="F372" i="19"/>
  <c r="F371" i="19"/>
  <c r="F370" i="19"/>
  <c r="F369" i="19"/>
  <c r="F368" i="19"/>
  <c r="F367" i="19"/>
  <c r="F366" i="19"/>
  <c r="F365" i="19"/>
  <c r="F364" i="19"/>
  <c r="F363" i="19"/>
  <c r="F362" i="19"/>
  <c r="F361" i="19"/>
  <c r="F360" i="19"/>
  <c r="F359" i="19"/>
  <c r="F357" i="19"/>
  <c r="F356" i="19"/>
  <c r="F355" i="19"/>
  <c r="F354" i="19"/>
  <c r="F353" i="19"/>
  <c r="F352" i="19"/>
  <c r="F351" i="19"/>
  <c r="F350" i="19"/>
  <c r="F349" i="19"/>
  <c r="F348" i="19"/>
  <c r="F347" i="19"/>
  <c r="F346" i="19"/>
  <c r="F345" i="19"/>
  <c r="F344" i="19"/>
  <c r="F343" i="19"/>
  <c r="F342" i="19"/>
  <c r="F341" i="19"/>
  <c r="F340" i="19"/>
  <c r="F339" i="19"/>
  <c r="F338" i="19"/>
  <c r="F337" i="19"/>
  <c r="F336" i="19"/>
  <c r="F335" i="19"/>
  <c r="F334" i="19"/>
  <c r="F333" i="19"/>
  <c r="F332" i="19"/>
  <c r="F331" i="19"/>
  <c r="F330" i="19"/>
  <c r="F329" i="19"/>
  <c r="F328" i="19"/>
  <c r="F327" i="19"/>
  <c r="F326" i="19"/>
  <c r="F325" i="19"/>
  <c r="F324" i="19"/>
  <c r="F323" i="19"/>
  <c r="F322" i="19"/>
  <c r="F321" i="19"/>
  <c r="F320" i="19"/>
  <c r="F319" i="19"/>
  <c r="F318" i="19"/>
  <c r="F317" i="19"/>
  <c r="F316" i="19"/>
  <c r="F315" i="19"/>
  <c r="F314" i="19"/>
  <c r="F313" i="19"/>
  <c r="F312" i="19"/>
  <c r="F311" i="19"/>
  <c r="F310" i="19"/>
  <c r="F309" i="19"/>
  <c r="F308" i="19"/>
  <c r="F306" i="19"/>
  <c r="F305" i="19"/>
  <c r="F304" i="19"/>
  <c r="F303" i="19"/>
  <c r="F302" i="19"/>
  <c r="F301" i="19"/>
  <c r="F300" i="19"/>
  <c r="F299" i="19"/>
  <c r="F298" i="19"/>
  <c r="F297" i="19"/>
  <c r="F296" i="19"/>
  <c r="F295" i="19"/>
  <c r="F294" i="19"/>
  <c r="F293" i="19"/>
  <c r="F292" i="19"/>
  <c r="F291" i="19"/>
  <c r="F290" i="19"/>
  <c r="F289" i="19"/>
  <c r="F288" i="19"/>
  <c r="F287" i="19"/>
  <c r="F286" i="19"/>
  <c r="F285" i="19"/>
  <c r="F284" i="19"/>
  <c r="F283" i="19"/>
  <c r="F282" i="19"/>
  <c r="F281" i="19"/>
  <c r="F280" i="19"/>
  <c r="F279" i="19"/>
  <c r="F278" i="19"/>
  <c r="F277" i="19"/>
  <c r="F276" i="19"/>
  <c r="F275" i="19"/>
  <c r="F274" i="19"/>
  <c r="F273" i="19"/>
  <c r="F272" i="19"/>
  <c r="F271" i="19"/>
  <c r="F270" i="19"/>
  <c r="F269" i="19"/>
  <c r="F268" i="19"/>
  <c r="F267" i="19"/>
  <c r="F266" i="19"/>
  <c r="F265" i="19"/>
  <c r="F264" i="19"/>
  <c r="F263" i="19"/>
  <c r="F262" i="19"/>
  <c r="F261" i="19"/>
  <c r="F260" i="19"/>
  <c r="F259" i="19"/>
  <c r="F258" i="19"/>
  <c r="F257" i="19"/>
  <c r="F255" i="19"/>
  <c r="F254" i="19"/>
  <c r="F253" i="19"/>
  <c r="F252" i="19"/>
  <c r="F251" i="19"/>
  <c r="F250" i="19"/>
  <c r="F249" i="19"/>
  <c r="F248" i="19"/>
  <c r="F247" i="19"/>
  <c r="F246" i="19"/>
  <c r="F245" i="19"/>
  <c r="F244" i="19"/>
  <c r="F243" i="19"/>
  <c r="F242" i="19"/>
  <c r="F241" i="19"/>
  <c r="F240" i="19"/>
  <c r="F239" i="19"/>
  <c r="F238" i="19"/>
  <c r="F237" i="19"/>
  <c r="F236" i="19"/>
  <c r="F235" i="19"/>
  <c r="F234" i="19"/>
  <c r="F233" i="19"/>
  <c r="F232" i="19"/>
  <c r="F231" i="19"/>
  <c r="F230" i="19"/>
  <c r="F229" i="19"/>
  <c r="F228" i="19"/>
  <c r="F227" i="19"/>
  <c r="F226" i="19"/>
  <c r="F225" i="19"/>
  <c r="F224" i="19"/>
  <c r="F223" i="19"/>
  <c r="F222" i="19"/>
  <c r="F221" i="19"/>
  <c r="F220" i="19"/>
  <c r="F219" i="19"/>
  <c r="F218" i="19"/>
  <c r="F217" i="19"/>
  <c r="F216" i="19"/>
  <c r="F215" i="19"/>
  <c r="F214" i="19"/>
  <c r="F213" i="19"/>
  <c r="F212" i="19"/>
  <c r="F211" i="19"/>
  <c r="F210" i="19"/>
  <c r="F209" i="19"/>
  <c r="F208" i="19"/>
  <c r="F207" i="19"/>
  <c r="F206" i="19"/>
  <c r="F204" i="19"/>
  <c r="F203" i="19"/>
  <c r="F202" i="19"/>
  <c r="F201" i="19"/>
  <c r="F200" i="19"/>
  <c r="F199" i="19"/>
  <c r="F198" i="19"/>
  <c r="F197" i="19"/>
  <c r="F196" i="19"/>
  <c r="F195" i="19"/>
  <c r="F194" i="19"/>
  <c r="F193" i="19"/>
  <c r="F192" i="19"/>
  <c r="F191" i="19"/>
  <c r="F190" i="19"/>
  <c r="F189" i="19"/>
  <c r="F188" i="19"/>
  <c r="F187" i="19"/>
  <c r="F186" i="19"/>
  <c r="F185" i="19"/>
  <c r="F184" i="19"/>
  <c r="F183" i="19"/>
  <c r="F182" i="19"/>
  <c r="F181" i="19"/>
  <c r="F180" i="19"/>
  <c r="F179" i="19"/>
  <c r="F178" i="19"/>
  <c r="F177" i="19"/>
  <c r="F176" i="19"/>
  <c r="F175" i="19"/>
  <c r="F174" i="19"/>
  <c r="F173" i="19"/>
  <c r="F172" i="19"/>
  <c r="F171" i="19"/>
  <c r="F170" i="19"/>
  <c r="F169" i="19"/>
  <c r="F168" i="19"/>
  <c r="F167" i="19"/>
  <c r="F166" i="19"/>
  <c r="F165" i="19"/>
  <c r="F164" i="19"/>
  <c r="F163" i="19"/>
  <c r="F162" i="19"/>
  <c r="F161" i="19"/>
  <c r="F160" i="19"/>
  <c r="F159" i="19"/>
  <c r="F158" i="19"/>
  <c r="F157" i="19"/>
  <c r="F156" i="19"/>
  <c r="F155" i="19"/>
  <c r="F153" i="19"/>
  <c r="F152" i="19"/>
  <c r="F151" i="19"/>
  <c r="F150" i="19"/>
  <c r="F149" i="19"/>
  <c r="F148" i="19"/>
  <c r="F147" i="19"/>
  <c r="F146" i="19"/>
  <c r="F145" i="19"/>
  <c r="F144" i="19"/>
  <c r="F143" i="19"/>
  <c r="F142" i="19"/>
  <c r="F141" i="19"/>
  <c r="F140" i="19"/>
  <c r="F139" i="19"/>
  <c r="F138" i="19"/>
  <c r="F137" i="19"/>
  <c r="F136" i="19"/>
  <c r="F135" i="19"/>
  <c r="F134" i="19"/>
  <c r="F133" i="19"/>
  <c r="F132" i="19"/>
  <c r="F131" i="19"/>
  <c r="F130" i="19"/>
  <c r="F129" i="19"/>
  <c r="F128" i="19"/>
  <c r="F127" i="19"/>
  <c r="F126" i="19"/>
  <c r="F125" i="19"/>
  <c r="F124" i="19"/>
  <c r="F123" i="19"/>
  <c r="F122" i="19"/>
  <c r="F121" i="19"/>
  <c r="F120" i="19"/>
  <c r="F119" i="19"/>
  <c r="F118" i="19"/>
  <c r="F117" i="19"/>
  <c r="F116" i="19"/>
  <c r="F115" i="19"/>
  <c r="F114" i="19"/>
  <c r="F113" i="19"/>
  <c r="F112" i="19"/>
  <c r="F111" i="19"/>
  <c r="F110" i="19"/>
  <c r="F109" i="19"/>
  <c r="F108" i="19"/>
  <c r="F107" i="19"/>
  <c r="F106" i="19"/>
  <c r="F105" i="19"/>
  <c r="F104" i="19"/>
  <c r="F102" i="19"/>
  <c r="F101" i="19"/>
  <c r="F100" i="19"/>
  <c r="F99" i="19"/>
  <c r="F98" i="19"/>
  <c r="F97" i="19"/>
  <c r="F96" i="19"/>
  <c r="F95" i="19"/>
  <c r="F94" i="19"/>
  <c r="F93" i="19"/>
  <c r="F92" i="19"/>
  <c r="F91" i="19"/>
  <c r="F90" i="19"/>
  <c r="F89" i="19"/>
  <c r="F88" i="19"/>
  <c r="F87" i="19"/>
  <c r="F86" i="19"/>
  <c r="F85" i="19"/>
  <c r="F84" i="19"/>
  <c r="F83" i="19"/>
  <c r="F82" i="19"/>
  <c r="F81" i="19"/>
  <c r="F80" i="19"/>
  <c r="F79" i="19"/>
  <c r="F78" i="19"/>
  <c r="F77" i="19"/>
  <c r="F76" i="19"/>
  <c r="F75" i="19"/>
  <c r="F74" i="19"/>
  <c r="F73" i="19"/>
  <c r="F72" i="19"/>
  <c r="F71" i="19"/>
  <c r="F70" i="19"/>
  <c r="F69" i="19"/>
  <c r="F68" i="19"/>
  <c r="F67" i="19"/>
  <c r="F66" i="19"/>
  <c r="F65" i="19"/>
  <c r="F64" i="19"/>
  <c r="F63" i="19"/>
  <c r="F62" i="19"/>
  <c r="F61" i="19"/>
  <c r="F60" i="19"/>
  <c r="F59" i="19"/>
  <c r="F58" i="19"/>
  <c r="F57" i="19"/>
  <c r="F56" i="19"/>
  <c r="F55" i="19"/>
  <c r="F54" i="19"/>
  <c r="F53" i="19"/>
  <c r="F51" i="19"/>
  <c r="F33" i="19"/>
  <c r="F34" i="19"/>
  <c r="F35" i="19"/>
  <c r="F36" i="19"/>
  <c r="F37" i="19"/>
  <c r="F38" i="19"/>
  <c r="F39" i="19"/>
  <c r="F40" i="19"/>
  <c r="F41" i="19"/>
  <c r="F42" i="19"/>
  <c r="F43" i="19"/>
  <c r="F44" i="19"/>
  <c r="F45" i="19"/>
  <c r="F46" i="19"/>
  <c r="F47" i="19"/>
  <c r="F48" i="19"/>
  <c r="F49" i="19"/>
  <c r="F50" i="19"/>
  <c r="F28" i="19"/>
  <c r="F32" i="19"/>
  <c r="F31" i="19"/>
  <c r="F30" i="19"/>
  <c r="F29" i="19"/>
  <c r="F27" i="19"/>
  <c r="F26" i="19"/>
  <c r="F25" i="19"/>
  <c r="F24" i="19"/>
  <c r="F23" i="19"/>
  <c r="F22" i="19"/>
  <c r="F21" i="19"/>
  <c r="F20" i="19"/>
  <c r="F19" i="19"/>
  <c r="F18" i="19"/>
  <c r="F17" i="19"/>
  <c r="F16" i="19"/>
  <c r="F15" i="19"/>
  <c r="F14" i="19"/>
  <c r="F13" i="19"/>
  <c r="F12" i="19"/>
  <c r="F11" i="19"/>
  <c r="F10" i="19"/>
  <c r="F9" i="19"/>
  <c r="F8" i="19"/>
  <c r="F7" i="19"/>
  <c r="F6" i="19"/>
  <c r="F5" i="19"/>
  <c r="F4" i="19"/>
  <c r="F3" i="19"/>
  <c r="F2" i="19"/>
  <c r="G1384" i="7"/>
  <c r="G239" i="4"/>
  <c r="G238" i="4"/>
  <c r="G237" i="4"/>
  <c r="G236" i="4"/>
  <c r="G235" i="4"/>
  <c r="G233" i="4"/>
  <c r="G232" i="4"/>
  <c r="G231" i="4"/>
  <c r="G230" i="4"/>
  <c r="G229" i="4"/>
  <c r="G228" i="4"/>
  <c r="G227" i="4"/>
  <c r="G226" i="4"/>
  <c r="G225" i="4"/>
  <c r="G224" i="4"/>
  <c r="G223" i="4"/>
  <c r="G222" i="4"/>
  <c r="G234" i="4"/>
  <c r="G221" i="4"/>
  <c r="G214" i="4"/>
  <c r="G215" i="4"/>
  <c r="G216" i="4"/>
  <c r="G217" i="4"/>
  <c r="G213" i="4"/>
  <c r="G212" i="4"/>
  <c r="G211" i="4"/>
  <c r="G210" i="4"/>
  <c r="G209" i="4"/>
  <c r="G208" i="4"/>
  <c r="G207" i="4"/>
  <c r="G206" i="4"/>
  <c r="G205" i="4"/>
  <c r="G204" i="4"/>
  <c r="G203" i="4"/>
  <c r="G202" i="4"/>
  <c r="G201" i="4"/>
  <c r="G200" i="4"/>
  <c r="G199" i="4"/>
  <c r="G198" i="4"/>
  <c r="G197" i="4"/>
  <c r="G196" i="4"/>
  <c r="G195" i="4"/>
  <c r="G194" i="4"/>
  <c r="G192" i="4"/>
  <c r="G191" i="4"/>
  <c r="G190" i="4"/>
  <c r="G189" i="4"/>
  <c r="G188" i="4"/>
  <c r="G187" i="4"/>
  <c r="G220" i="4"/>
  <c r="G219" i="4"/>
  <c r="G218" i="4"/>
  <c r="G193" i="4"/>
  <c r="G180" i="8"/>
  <c r="G274" i="10"/>
  <c r="G7" i="12"/>
  <c r="G186" i="4"/>
  <c r="G342" i="7"/>
  <c r="G530" i="7"/>
  <c r="AB530" i="7"/>
  <c r="G702" i="7"/>
  <c r="G90" i="8"/>
  <c r="G257" i="10"/>
  <c r="G258" i="10"/>
  <c r="G259" i="10"/>
  <c r="G261" i="10"/>
  <c r="G260" i="10"/>
  <c r="G1438" i="7"/>
  <c r="G1439" i="7"/>
  <c r="G1437" i="7"/>
  <c r="G1436" i="7"/>
  <c r="G1435" i="7"/>
  <c r="G1433" i="7"/>
  <c r="G1432" i="7"/>
  <c r="G1431" i="7"/>
  <c r="G1430" i="7"/>
  <c r="G1429" i="7"/>
  <c r="G1434" i="7"/>
  <c r="G1440" i="7"/>
  <c r="Z89" i="8"/>
  <c r="G89" i="8"/>
  <c r="G197" i="8"/>
  <c r="G77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52" i="10"/>
  <c r="G53" i="10"/>
  <c r="G263" i="10"/>
  <c r="G98" i="8"/>
  <c r="G185" i="4"/>
  <c r="G273" i="10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I272" i="10"/>
  <c r="G272" i="10"/>
  <c r="I271" i="10"/>
  <c r="G271" i="10"/>
  <c r="I270" i="10"/>
  <c r="G270" i="10"/>
  <c r="G55" i="10"/>
  <c r="G3" i="10"/>
  <c r="G4" i="10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89" i="4"/>
  <c r="G87" i="4"/>
  <c r="G86" i="4"/>
  <c r="G84" i="4"/>
  <c r="G83" i="4"/>
  <c r="G81" i="4"/>
  <c r="G80" i="4"/>
  <c r="G78" i="4"/>
  <c r="G77" i="4"/>
  <c r="G75" i="4"/>
  <c r="G74" i="4"/>
  <c r="G72" i="4"/>
  <c r="G71" i="4"/>
  <c r="G69" i="4"/>
  <c r="G68" i="4"/>
  <c r="G63" i="4"/>
  <c r="G62" i="4"/>
  <c r="G60" i="4"/>
  <c r="G59" i="4"/>
  <c r="G57" i="4"/>
  <c r="G56" i="4"/>
  <c r="G66" i="4"/>
  <c r="G65" i="4"/>
  <c r="G98" i="4"/>
  <c r="G96" i="4"/>
  <c r="G95" i="4"/>
  <c r="G116" i="4"/>
  <c r="G115" i="4"/>
  <c r="G114" i="4"/>
  <c r="G113" i="4"/>
  <c r="G112" i="4"/>
  <c r="G111" i="4"/>
  <c r="G110" i="4"/>
  <c r="G109" i="4"/>
  <c r="G108" i="4"/>
  <c r="G107" i="4"/>
  <c r="G106" i="4"/>
  <c r="G105" i="4"/>
  <c r="G100" i="4"/>
  <c r="G101" i="4"/>
  <c r="G102" i="4"/>
  <c r="G103" i="4"/>
  <c r="G104" i="4"/>
  <c r="G265" i="10"/>
  <c r="G267" i="10"/>
  <c r="G269" i="10"/>
  <c r="G268" i="10"/>
  <c r="G266" i="10"/>
  <c r="G264" i="10"/>
  <c r="G262" i="10"/>
  <c r="G2" i="10"/>
  <c r="G1399" i="7"/>
  <c r="I1427" i="7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116" i="10"/>
  <c r="G117" i="10"/>
  <c r="G1886" i="7"/>
  <c r="G1885" i="7"/>
  <c r="G1884" i="7"/>
  <c r="G1883" i="7"/>
  <c r="G1882" i="7"/>
  <c r="G1881" i="7"/>
  <c r="G1880" i="7"/>
  <c r="G1879" i="7"/>
  <c r="G1878" i="7"/>
  <c r="G1877" i="7"/>
  <c r="G1876" i="7"/>
  <c r="G1875" i="7"/>
  <c r="G1874" i="7"/>
  <c r="G1873" i="7"/>
  <c r="G1872" i="7"/>
  <c r="G1871" i="7"/>
  <c r="G1870" i="7"/>
  <c r="G1869" i="7"/>
  <c r="G1868" i="7"/>
  <c r="G1867" i="7"/>
  <c r="G1866" i="7"/>
  <c r="G1865" i="7"/>
  <c r="G1864" i="7"/>
  <c r="G1863" i="7"/>
  <c r="G1862" i="7"/>
  <c r="G1861" i="7"/>
  <c r="G1860" i="7"/>
  <c r="G1859" i="7"/>
  <c r="G1858" i="7"/>
  <c r="G1857" i="7"/>
  <c r="G1856" i="7"/>
  <c r="G1855" i="7"/>
  <c r="G1854" i="7"/>
  <c r="G1853" i="7"/>
  <c r="G1852" i="7"/>
  <c r="G1851" i="7"/>
  <c r="G1850" i="7"/>
  <c r="G1849" i="7"/>
  <c r="G1848" i="7"/>
  <c r="G1847" i="7"/>
  <c r="G1846" i="7"/>
  <c r="G1845" i="7"/>
  <c r="G1844" i="7"/>
  <c r="G1843" i="7"/>
  <c r="G1842" i="7"/>
  <c r="G1841" i="7"/>
  <c r="G1840" i="7"/>
  <c r="G1839" i="7"/>
  <c r="G1838" i="7"/>
  <c r="G1837" i="7"/>
  <c r="G1836" i="7"/>
  <c r="G1835" i="7"/>
  <c r="G1834" i="7"/>
  <c r="G1833" i="7"/>
  <c r="G1832" i="7"/>
  <c r="G1831" i="7"/>
  <c r="G1830" i="7"/>
  <c r="G1829" i="7"/>
  <c r="G1828" i="7"/>
  <c r="G1827" i="7"/>
  <c r="G1826" i="7"/>
  <c r="G1825" i="7"/>
  <c r="G1824" i="7"/>
  <c r="G1823" i="7"/>
  <c r="G1822" i="7"/>
  <c r="G1821" i="7"/>
  <c r="G1820" i="7"/>
  <c r="G1819" i="7"/>
  <c r="G1818" i="7"/>
  <c r="G1817" i="7"/>
  <c r="G1816" i="7"/>
  <c r="G1815" i="7"/>
  <c r="G1814" i="7"/>
  <c r="G1813" i="7"/>
  <c r="G1812" i="7"/>
  <c r="G1811" i="7"/>
  <c r="G1810" i="7"/>
  <c r="G1809" i="7"/>
  <c r="G1808" i="7"/>
  <c r="G1807" i="7"/>
  <c r="G1806" i="7"/>
  <c r="G1805" i="7"/>
  <c r="G1804" i="7"/>
  <c r="G1803" i="7"/>
  <c r="G1802" i="7"/>
  <c r="G1801" i="7"/>
  <c r="G1800" i="7"/>
  <c r="G1799" i="7"/>
  <c r="G1798" i="7"/>
  <c r="G1797" i="7"/>
  <c r="G1796" i="7"/>
  <c r="G1795" i="7"/>
  <c r="G1794" i="7"/>
  <c r="G1793" i="7"/>
  <c r="G1792" i="7"/>
  <c r="G1791" i="7"/>
  <c r="G1790" i="7"/>
  <c r="G1789" i="7"/>
  <c r="G1788" i="7"/>
  <c r="G1787" i="7"/>
  <c r="G1786" i="7"/>
  <c r="G1785" i="7"/>
  <c r="G1784" i="7"/>
  <c r="G1783" i="7"/>
  <c r="G163" i="4"/>
  <c r="G162" i="4"/>
  <c r="G161" i="4"/>
  <c r="G160" i="4"/>
  <c r="G159" i="4"/>
  <c r="G158" i="4"/>
  <c r="G157" i="4"/>
  <c r="G156" i="4"/>
  <c r="G155" i="4"/>
  <c r="G154" i="4"/>
  <c r="G153" i="4"/>
  <c r="G152" i="4"/>
  <c r="G151" i="4"/>
  <c r="G150" i="4"/>
  <c r="G149" i="4"/>
  <c r="G148" i="4"/>
  <c r="G147" i="4"/>
  <c r="G146" i="4"/>
  <c r="G145" i="4"/>
  <c r="G144" i="4"/>
  <c r="G143" i="4"/>
  <c r="G142" i="4"/>
  <c r="G141" i="4"/>
  <c r="G140" i="4"/>
  <c r="G139" i="4"/>
  <c r="G138" i="4"/>
  <c r="G137" i="4"/>
  <c r="G136" i="4"/>
  <c r="G135" i="4"/>
  <c r="G134" i="4"/>
  <c r="G133" i="4"/>
  <c r="G132" i="4"/>
  <c r="G131" i="4"/>
  <c r="G130" i="4"/>
  <c r="G129" i="4"/>
  <c r="G128" i="4"/>
  <c r="G127" i="4"/>
  <c r="G126" i="4"/>
  <c r="G125" i="4"/>
  <c r="G124" i="4"/>
  <c r="G123" i="4"/>
  <c r="G122" i="4"/>
  <c r="G121" i="4"/>
  <c r="G120" i="4"/>
  <c r="G119" i="4"/>
  <c r="G118" i="4"/>
  <c r="G117" i="4"/>
  <c r="H122" i="16"/>
  <c r="H119" i="16"/>
  <c r="H120" i="16"/>
  <c r="H121" i="16"/>
  <c r="H118" i="16"/>
  <c r="I51" i="4"/>
  <c r="I1394" i="7"/>
  <c r="I1425" i="7"/>
  <c r="I1424" i="7"/>
  <c r="I1423" i="7"/>
  <c r="I1422" i="7"/>
  <c r="I1421" i="7"/>
  <c r="I1420" i="7"/>
  <c r="I1419" i="7"/>
  <c r="I1418" i="7"/>
  <c r="I1417" i="7"/>
  <c r="I1416" i="7"/>
  <c r="I1415" i="7"/>
  <c r="I1414" i="7"/>
  <c r="I1413" i="7"/>
  <c r="I1412" i="7"/>
  <c r="I1411" i="7"/>
  <c r="I1410" i="7"/>
  <c r="I1409" i="7"/>
  <c r="I1408" i="7"/>
  <c r="I1407" i="7"/>
  <c r="I1406" i="7"/>
  <c r="I1405" i="7"/>
  <c r="I1404" i="7"/>
  <c r="I86" i="10"/>
  <c r="I111" i="10"/>
  <c r="I110" i="10"/>
  <c r="I85" i="10"/>
  <c r="I90" i="10"/>
  <c r="I89" i="10"/>
  <c r="I88" i="10"/>
  <c r="I84" i="10"/>
  <c r="I83" i="10"/>
  <c r="I82" i="10"/>
  <c r="I81" i="10"/>
  <c r="I80" i="10"/>
  <c r="H83" i="16"/>
  <c r="H82" i="16"/>
  <c r="I4" i="14"/>
  <c r="G90" i="4"/>
  <c r="G88" i="4"/>
  <c r="G99" i="4"/>
  <c r="G92" i="4"/>
  <c r="G93" i="4"/>
  <c r="G97" i="4"/>
  <c r="G94" i="4"/>
  <c r="G91" i="4"/>
  <c r="G85" i="4"/>
  <c r="G82" i="4"/>
  <c r="G79" i="4"/>
  <c r="G76" i="4"/>
  <c r="G73" i="4"/>
  <c r="G70" i="4"/>
  <c r="G67" i="4"/>
  <c r="G64" i="4"/>
  <c r="G61" i="4"/>
  <c r="G58" i="4"/>
  <c r="G55" i="4"/>
  <c r="G196" i="8"/>
  <c r="G195" i="8"/>
  <c r="G194" i="8"/>
  <c r="G191" i="8"/>
  <c r="G192" i="8"/>
  <c r="G193" i="8"/>
  <c r="G1427" i="7"/>
  <c r="G1428" i="7"/>
  <c r="G1426" i="7"/>
  <c r="G1780" i="7"/>
  <c r="G1779" i="7"/>
  <c r="G2" i="7"/>
  <c r="G1212" i="7"/>
  <c r="G1211" i="7"/>
  <c r="G1210" i="7"/>
  <c r="G1209" i="7"/>
  <c r="G1208" i="7"/>
  <c r="G1207" i="7"/>
  <c r="G1206" i="7"/>
  <c r="G1205" i="7"/>
  <c r="G1204" i="7"/>
  <c r="G1203" i="7"/>
  <c r="G1202" i="7"/>
  <c r="G1201" i="7"/>
  <c r="G1200" i="7"/>
  <c r="G1199" i="7"/>
  <c r="G1198" i="7"/>
  <c r="G1197" i="7"/>
  <c r="G1196" i="7"/>
  <c r="G1195" i="7"/>
  <c r="G1194" i="7"/>
  <c r="G1193" i="7"/>
  <c r="G1192" i="7"/>
  <c r="G1191" i="7"/>
  <c r="G1190" i="7"/>
  <c r="G1189" i="7"/>
  <c r="G1188" i="7"/>
  <c r="G1187" i="7"/>
  <c r="G1186" i="7"/>
  <c r="G1185" i="7"/>
  <c r="G1184" i="7"/>
  <c r="G1183" i="7"/>
  <c r="G1182" i="7"/>
  <c r="G1181" i="7"/>
  <c r="G1180" i="7"/>
  <c r="G1179" i="7"/>
  <c r="G1178" i="7"/>
  <c r="G1177" i="7"/>
  <c r="G1176" i="7"/>
  <c r="G1175" i="7"/>
  <c r="G1174" i="7"/>
  <c r="G1173" i="7"/>
  <c r="G1172" i="7"/>
  <c r="G1171" i="7"/>
  <c r="G1170" i="7"/>
  <c r="G1169" i="7"/>
  <c r="G1168" i="7"/>
  <c r="G1167" i="7"/>
  <c r="G1166" i="7"/>
  <c r="G1165" i="7"/>
  <c r="G1164" i="7"/>
  <c r="G1163" i="7"/>
  <c r="G1162" i="7"/>
  <c r="G1161" i="7"/>
  <c r="G1160" i="7"/>
  <c r="G1159" i="7"/>
  <c r="G1158" i="7"/>
  <c r="G1157" i="7"/>
  <c r="G1156" i="7"/>
  <c r="G1155" i="7"/>
  <c r="G1154" i="7"/>
  <c r="G1153" i="7"/>
  <c r="G1152" i="7"/>
  <c r="G1151" i="7"/>
  <c r="G1150" i="7"/>
  <c r="G1149" i="7"/>
  <c r="G1148" i="7"/>
  <c r="G1147" i="7"/>
  <c r="G1146" i="7"/>
  <c r="G1145" i="7"/>
  <c r="G1144" i="7"/>
  <c r="G1143" i="7"/>
  <c r="G1142" i="7"/>
  <c r="G1141" i="7"/>
  <c r="G1140" i="7"/>
  <c r="G1139" i="7"/>
  <c r="G1138" i="7"/>
  <c r="G1137" i="7"/>
  <c r="G1136" i="7"/>
  <c r="G1135" i="7"/>
  <c r="G1134" i="7"/>
  <c r="G1133" i="7"/>
  <c r="G1132" i="7"/>
  <c r="G1131" i="7"/>
  <c r="G1130" i="7"/>
  <c r="G1129" i="7"/>
  <c r="G1128" i="7"/>
  <c r="G1127" i="7"/>
  <c r="G1126" i="7"/>
  <c r="G1125" i="7"/>
  <c r="G1124" i="7"/>
  <c r="G1123" i="7"/>
  <c r="G1122" i="7"/>
  <c r="G1121" i="7"/>
  <c r="G1120" i="7"/>
  <c r="G1119" i="7"/>
  <c r="G1118" i="7"/>
  <c r="G1117" i="7"/>
  <c r="G1116" i="7"/>
  <c r="G1115" i="7"/>
  <c r="G1114" i="7"/>
  <c r="G1113" i="7"/>
  <c r="G1112" i="7"/>
  <c r="G1111" i="7"/>
  <c r="G1110" i="7"/>
  <c r="G1109" i="7"/>
  <c r="G1108" i="7"/>
  <c r="G1107" i="7"/>
  <c r="G1106" i="7"/>
  <c r="G1105" i="7"/>
  <c r="G1104" i="7"/>
  <c r="G1103" i="7"/>
  <c r="G1102" i="7"/>
  <c r="G1101" i="7"/>
  <c r="G1100" i="7"/>
  <c r="G1099" i="7"/>
  <c r="G1098" i="7"/>
  <c r="G1097" i="7"/>
  <c r="G1096" i="7"/>
  <c r="G1095" i="7"/>
  <c r="G1094" i="7"/>
  <c r="G1093" i="7"/>
  <c r="G1092" i="7"/>
  <c r="G1091" i="7"/>
  <c r="G1090" i="7"/>
  <c r="G1089" i="7"/>
  <c r="G1088" i="7"/>
  <c r="G1087" i="7"/>
  <c r="G1086" i="7"/>
  <c r="G1085" i="7"/>
  <c r="G1084" i="7"/>
  <c r="G1083" i="7"/>
  <c r="G1082" i="7"/>
  <c r="G1081" i="7"/>
  <c r="G1080" i="7"/>
  <c r="G1079" i="7"/>
  <c r="G1078" i="7"/>
  <c r="G1077" i="7"/>
  <c r="G1076" i="7"/>
  <c r="G1075" i="7"/>
  <c r="G1074" i="7"/>
  <c r="G1073" i="7"/>
  <c r="G1072" i="7"/>
  <c r="G1071" i="7"/>
  <c r="G1070" i="7"/>
  <c r="G1069" i="7"/>
  <c r="G1068" i="7"/>
  <c r="G1067" i="7"/>
  <c r="G1066" i="7"/>
  <c r="G1065" i="7"/>
  <c r="G1064" i="7"/>
  <c r="G1063" i="7"/>
  <c r="G1062" i="7"/>
  <c r="G1061" i="7"/>
  <c r="G1060" i="7"/>
  <c r="G1059" i="7"/>
  <c r="G1058" i="7"/>
  <c r="G1057" i="7"/>
  <c r="G1056" i="7"/>
  <c r="G1055" i="7"/>
  <c r="G1054" i="7"/>
  <c r="G1053" i="7"/>
  <c r="G1052" i="7"/>
  <c r="G1051" i="7"/>
  <c r="G1050" i="7"/>
  <c r="G1049" i="7"/>
  <c r="G1048" i="7"/>
  <c r="G1047" i="7"/>
  <c r="G1046" i="7"/>
  <c r="G1045" i="7"/>
  <c r="G1044" i="7"/>
  <c r="G1043" i="7"/>
  <c r="G1042" i="7"/>
  <c r="G1041" i="7"/>
  <c r="G1040" i="7"/>
  <c r="G1039" i="7"/>
  <c r="G1038" i="7"/>
  <c r="G1037" i="7"/>
  <c r="G1036" i="7"/>
  <c r="G1035" i="7"/>
  <c r="G1034" i="7"/>
  <c r="G1033" i="7"/>
  <c r="G1032" i="7"/>
  <c r="G1031" i="7"/>
  <c r="G1030" i="7"/>
  <c r="G1029" i="7"/>
  <c r="G1028" i="7"/>
  <c r="G1027" i="7"/>
  <c r="G1026" i="7"/>
  <c r="G1025" i="7"/>
  <c r="G1024" i="7"/>
  <c r="G1023" i="7"/>
  <c r="G1022" i="7"/>
  <c r="G1021" i="7"/>
  <c r="G1020" i="7"/>
  <c r="G1019" i="7"/>
  <c r="G1018" i="7"/>
  <c r="G1017" i="7"/>
  <c r="G1016" i="7"/>
  <c r="G1015" i="7"/>
  <c r="G1014" i="7"/>
  <c r="G1013" i="7"/>
  <c r="G1012" i="7"/>
  <c r="G1011" i="7"/>
  <c r="G1010" i="7"/>
  <c r="G1009" i="7"/>
  <c r="G1008" i="7"/>
  <c r="G1007" i="7"/>
  <c r="G1006" i="7"/>
  <c r="G1005" i="7"/>
  <c r="G1004" i="7"/>
  <c r="G1003" i="7"/>
  <c r="G1002" i="7"/>
  <c r="G1001" i="7"/>
  <c r="G1000" i="7"/>
  <c r="G999" i="7"/>
  <c r="G998" i="7"/>
  <c r="G997" i="7"/>
  <c r="G996" i="7"/>
  <c r="G995" i="7"/>
  <c r="G994" i="7"/>
  <c r="G993" i="7"/>
  <c r="G992" i="7"/>
  <c r="G991" i="7"/>
  <c r="G990" i="7"/>
  <c r="G989" i="7"/>
  <c r="G988" i="7"/>
  <c r="G987" i="7"/>
  <c r="G986" i="7"/>
  <c r="G985" i="7"/>
  <c r="G984" i="7"/>
  <c r="G983" i="7"/>
  <c r="G982" i="7"/>
  <c r="G981" i="7"/>
  <c r="G980" i="7"/>
  <c r="G979" i="7"/>
  <c r="G978" i="7"/>
  <c r="G977" i="7"/>
  <c r="G976" i="7"/>
  <c r="G975" i="7"/>
  <c r="G974" i="7"/>
  <c r="G973" i="7"/>
  <c r="G972" i="7"/>
  <c r="G971" i="7"/>
  <c r="G970" i="7"/>
  <c r="G969" i="7"/>
  <c r="G968" i="7"/>
  <c r="G967" i="7"/>
  <c r="G966" i="7"/>
  <c r="G965" i="7"/>
  <c r="G964" i="7"/>
  <c r="G963" i="7"/>
  <c r="G962" i="7"/>
  <c r="G961" i="7"/>
  <c r="G960" i="7"/>
  <c r="G959" i="7"/>
  <c r="G958" i="7"/>
  <c r="G957" i="7"/>
  <c r="G956" i="7"/>
  <c r="G955" i="7"/>
  <c r="G954" i="7"/>
  <c r="G953" i="7"/>
  <c r="G952" i="7"/>
  <c r="G951" i="7"/>
  <c r="G950" i="7"/>
  <c r="G949" i="7"/>
  <c r="G948" i="7"/>
  <c r="G947" i="7"/>
  <c r="G946" i="7"/>
  <c r="G945" i="7"/>
  <c r="G944" i="7"/>
  <c r="G943" i="7"/>
  <c r="G942" i="7"/>
  <c r="G941" i="7"/>
  <c r="G940" i="7"/>
  <c r="G939" i="7"/>
  <c r="G938" i="7"/>
  <c r="G937" i="7"/>
  <c r="G936" i="7"/>
  <c r="G935" i="7"/>
  <c r="G934" i="7"/>
  <c r="G933" i="7"/>
  <c r="G932" i="7"/>
  <c r="G931" i="7"/>
  <c r="G930" i="7"/>
  <c r="G929" i="7"/>
  <c r="G928" i="7"/>
  <c r="G927" i="7"/>
  <c r="G926" i="7"/>
  <c r="G925" i="7"/>
  <c r="G924" i="7"/>
  <c r="G923" i="7"/>
  <c r="G922" i="7"/>
  <c r="G921" i="7"/>
  <c r="G920" i="7"/>
  <c r="G919" i="7"/>
  <c r="G918" i="7"/>
  <c r="G917" i="7"/>
  <c r="G916" i="7"/>
  <c r="G915" i="7"/>
  <c r="G914" i="7"/>
  <c r="G913" i="7"/>
  <c r="G912" i="7"/>
  <c r="G911" i="7"/>
  <c r="G910" i="7"/>
  <c r="G909" i="7"/>
  <c r="G908" i="7"/>
  <c r="G907" i="7"/>
  <c r="G906" i="7"/>
  <c r="G905" i="7"/>
  <c r="G904" i="7"/>
  <c r="G903" i="7"/>
  <c r="G902" i="7"/>
  <c r="G901" i="7"/>
  <c r="G900" i="7"/>
  <c r="G899" i="7"/>
  <c r="G898" i="7"/>
  <c r="G897" i="7"/>
  <c r="G896" i="7"/>
  <c r="G895" i="7"/>
  <c r="G894" i="7"/>
  <c r="G893" i="7"/>
  <c r="G892" i="7"/>
  <c r="G891" i="7"/>
  <c r="G890" i="7"/>
  <c r="G889" i="7"/>
  <c r="G888" i="7"/>
  <c r="G887" i="7"/>
  <c r="G886" i="7"/>
  <c r="G885" i="7"/>
  <c r="G884" i="7"/>
  <c r="G883" i="7"/>
  <c r="G882" i="7"/>
  <c r="G881" i="7"/>
  <c r="G880" i="7"/>
  <c r="G879" i="7"/>
  <c r="G878" i="7"/>
  <c r="G877" i="7"/>
  <c r="G876" i="7"/>
  <c r="G875" i="7"/>
  <c r="G874" i="7"/>
  <c r="G873" i="7"/>
  <c r="AB1288" i="7"/>
  <c r="G1288" i="7"/>
  <c r="G1382" i="7"/>
  <c r="G1381" i="7"/>
  <c r="G1380" i="7"/>
  <c r="G1379" i="7"/>
  <c r="G1378" i="7"/>
  <c r="G1377" i="7"/>
  <c r="G1376" i="7"/>
  <c r="G1375" i="7"/>
  <c r="G1374" i="7"/>
  <c r="G1373" i="7"/>
  <c r="G1372" i="7"/>
  <c r="G1371" i="7"/>
  <c r="G1370" i="7"/>
  <c r="G1369" i="7"/>
  <c r="G1368" i="7"/>
  <c r="G1367" i="7"/>
  <c r="G1366" i="7"/>
  <c r="G1365" i="7"/>
  <c r="G1364" i="7"/>
  <c r="G1363" i="7"/>
  <c r="G1362" i="7"/>
  <c r="G1361" i="7"/>
  <c r="G1360" i="7"/>
  <c r="G1359" i="7"/>
  <c r="G1358" i="7"/>
  <c r="G1357" i="7"/>
  <c r="G1356" i="7"/>
  <c r="G1355" i="7"/>
  <c r="G1354" i="7"/>
  <c r="G1353" i="7"/>
  <c r="G1352" i="7"/>
  <c r="G1351" i="7"/>
  <c r="G1350" i="7"/>
  <c r="G1349" i="7"/>
  <c r="G1348" i="7"/>
  <c r="G1347" i="7"/>
  <c r="G1346" i="7"/>
  <c r="G1345" i="7"/>
  <c r="G1344" i="7"/>
  <c r="G1343" i="7"/>
  <c r="G1342" i="7"/>
  <c r="G1341" i="7"/>
  <c r="G1340" i="7"/>
  <c r="G1339" i="7"/>
  <c r="G1338" i="7"/>
  <c r="G1337" i="7"/>
  <c r="G1336" i="7"/>
  <c r="G1335" i="7"/>
  <c r="G1334" i="7"/>
  <c r="G1333" i="7"/>
  <c r="G1332" i="7"/>
  <c r="G1331" i="7"/>
  <c r="G1330" i="7"/>
  <c r="G1329" i="7"/>
  <c r="G1328" i="7"/>
  <c r="G1327" i="7"/>
  <c r="G1326" i="7"/>
  <c r="G1325" i="7"/>
  <c r="G1324" i="7"/>
  <c r="G1323" i="7"/>
  <c r="G1322" i="7"/>
  <c r="G1321" i="7"/>
  <c r="G1320" i="7"/>
  <c r="G1319" i="7"/>
  <c r="G1318" i="7"/>
  <c r="G1317" i="7"/>
  <c r="G1316" i="7"/>
  <c r="G1315" i="7"/>
  <c r="G1314" i="7"/>
  <c r="G1313" i="7"/>
  <c r="G1312" i="7"/>
  <c r="G1311" i="7"/>
  <c r="G1310" i="7"/>
  <c r="G1309" i="7"/>
  <c r="G1308" i="7"/>
  <c r="G1307" i="7"/>
  <c r="G1306" i="7"/>
  <c r="G1305" i="7"/>
  <c r="G1304" i="7"/>
  <c r="G1303" i="7"/>
  <c r="G1302" i="7"/>
  <c r="G1301" i="7"/>
  <c r="G1300" i="7"/>
  <c r="G1299" i="7"/>
  <c r="G1298" i="7"/>
  <c r="G1297" i="7"/>
  <c r="G1296" i="7"/>
  <c r="G1295" i="7"/>
  <c r="G1294" i="7"/>
  <c r="G1293" i="7"/>
  <c r="G1292" i="7"/>
  <c r="G1291" i="7"/>
  <c r="G1290" i="7"/>
  <c r="G1289" i="7"/>
  <c r="G1287" i="7"/>
  <c r="G1286" i="7"/>
  <c r="G1285" i="7"/>
  <c r="G1284" i="7"/>
  <c r="G1283" i="7"/>
  <c r="G1282" i="7"/>
  <c r="G1281" i="7"/>
  <c r="G1280" i="7"/>
  <c r="G1279" i="7"/>
  <c r="G1278" i="7"/>
  <c r="G1277" i="7"/>
  <c r="G1276" i="7"/>
  <c r="G1275" i="7"/>
  <c r="G1274" i="7"/>
  <c r="G1273" i="7"/>
  <c r="G1272" i="7"/>
  <c r="G1271" i="7"/>
  <c r="G1270" i="7"/>
  <c r="G1269" i="7"/>
  <c r="G1268" i="7"/>
  <c r="G1267" i="7"/>
  <c r="G1266" i="7"/>
  <c r="G1265" i="7"/>
  <c r="G1264" i="7"/>
  <c r="G1263" i="7"/>
  <c r="G1262" i="7"/>
  <c r="G1261" i="7"/>
  <c r="G1260" i="7"/>
  <c r="G1259" i="7"/>
  <c r="G1258" i="7"/>
  <c r="G1257" i="7"/>
  <c r="G1256" i="7"/>
  <c r="G1255" i="7"/>
  <c r="G1254" i="7"/>
  <c r="G1253" i="7"/>
  <c r="G1252" i="7"/>
  <c r="G1251" i="7"/>
  <c r="G1250" i="7"/>
  <c r="G1249" i="7"/>
  <c r="G1248" i="7"/>
  <c r="G1247" i="7"/>
  <c r="G1246" i="7"/>
  <c r="G1245" i="7"/>
  <c r="G1244" i="7"/>
  <c r="G1243" i="7"/>
  <c r="G1242" i="7"/>
  <c r="G1241" i="7"/>
  <c r="G1240" i="7"/>
  <c r="G1239" i="7"/>
  <c r="G1238" i="7"/>
  <c r="G1237" i="7"/>
  <c r="G1236" i="7"/>
  <c r="G1235" i="7"/>
  <c r="G1234" i="7"/>
  <c r="G1233" i="7"/>
  <c r="G1232" i="7"/>
  <c r="G1231" i="7"/>
  <c r="G1230" i="7"/>
  <c r="G1229" i="7"/>
  <c r="G1228" i="7"/>
  <c r="G1227" i="7"/>
  <c r="G1226" i="7"/>
  <c r="G1225" i="7"/>
  <c r="G1224" i="7"/>
  <c r="G1223" i="7"/>
  <c r="G1222" i="7"/>
  <c r="G1221" i="7"/>
  <c r="G1220" i="7"/>
  <c r="G1219" i="7"/>
  <c r="G1218" i="7"/>
  <c r="G1217" i="7"/>
  <c r="G1216" i="7"/>
  <c r="G1215" i="7"/>
  <c r="G1214" i="7"/>
  <c r="G1213" i="7"/>
  <c r="G872" i="7"/>
  <c r="G871" i="7"/>
  <c r="G870" i="7"/>
  <c r="G869" i="7"/>
  <c r="G868" i="7"/>
  <c r="G867" i="7"/>
  <c r="G866" i="7"/>
  <c r="G865" i="7"/>
  <c r="G864" i="7"/>
  <c r="G863" i="7"/>
  <c r="G862" i="7"/>
  <c r="G861" i="7"/>
  <c r="G860" i="7"/>
  <c r="G859" i="7"/>
  <c r="G858" i="7"/>
  <c r="G857" i="7"/>
  <c r="G856" i="7"/>
  <c r="G855" i="7"/>
  <c r="G854" i="7"/>
  <c r="G853" i="7"/>
  <c r="G852" i="7"/>
  <c r="G851" i="7"/>
  <c r="G850" i="7"/>
  <c r="G849" i="7"/>
  <c r="G848" i="7"/>
  <c r="G847" i="7"/>
  <c r="G846" i="7"/>
  <c r="G845" i="7"/>
  <c r="G844" i="7"/>
  <c r="G843" i="7"/>
  <c r="G842" i="7"/>
  <c r="G841" i="7"/>
  <c r="G840" i="7"/>
  <c r="G839" i="7"/>
  <c r="G838" i="7"/>
  <c r="G837" i="7"/>
  <c r="G836" i="7"/>
  <c r="G835" i="7"/>
  <c r="G834" i="7"/>
  <c r="G833" i="7"/>
  <c r="G832" i="7"/>
  <c r="G831" i="7"/>
  <c r="G830" i="7"/>
  <c r="G829" i="7"/>
  <c r="G828" i="7"/>
  <c r="G827" i="7"/>
  <c r="G826" i="7"/>
  <c r="G825" i="7"/>
  <c r="G824" i="7"/>
  <c r="G823" i="7"/>
  <c r="G822" i="7"/>
  <c r="G821" i="7"/>
  <c r="G820" i="7"/>
  <c r="G819" i="7"/>
  <c r="G818" i="7"/>
  <c r="G817" i="7"/>
  <c r="G816" i="7"/>
  <c r="G815" i="7"/>
  <c r="G814" i="7"/>
  <c r="G813" i="7"/>
  <c r="G812" i="7"/>
  <c r="G811" i="7"/>
  <c r="G810" i="7"/>
  <c r="G809" i="7"/>
  <c r="G808" i="7"/>
  <c r="G807" i="7"/>
  <c r="G806" i="7"/>
  <c r="G805" i="7"/>
  <c r="G804" i="7"/>
  <c r="G803" i="7"/>
  <c r="G802" i="7"/>
  <c r="G801" i="7"/>
  <c r="G800" i="7"/>
  <c r="G799" i="7"/>
  <c r="G798" i="7"/>
  <c r="G797" i="7"/>
  <c r="G796" i="7"/>
  <c r="G795" i="7"/>
  <c r="G794" i="7"/>
  <c r="G793" i="7"/>
  <c r="G792" i="7"/>
  <c r="G791" i="7"/>
  <c r="G790" i="7"/>
  <c r="G789" i="7"/>
  <c r="G788" i="7"/>
  <c r="G787" i="7"/>
  <c r="G786" i="7"/>
  <c r="G785" i="7"/>
  <c r="G784" i="7"/>
  <c r="G783" i="7"/>
  <c r="G782" i="7"/>
  <c r="G781" i="7"/>
  <c r="G780" i="7"/>
  <c r="G779" i="7"/>
  <c r="G778" i="7"/>
  <c r="G777" i="7"/>
  <c r="G776" i="7"/>
  <c r="G775" i="7"/>
  <c r="G774" i="7"/>
  <c r="G773" i="7"/>
  <c r="G772" i="7"/>
  <c r="G771" i="7"/>
  <c r="G770" i="7"/>
  <c r="G769" i="7"/>
  <c r="G768" i="7"/>
  <c r="G767" i="7"/>
  <c r="G766" i="7"/>
  <c r="G765" i="7"/>
  <c r="G764" i="7"/>
  <c r="G763" i="7"/>
  <c r="G762" i="7"/>
  <c r="G761" i="7"/>
  <c r="G760" i="7"/>
  <c r="G759" i="7"/>
  <c r="G758" i="7"/>
  <c r="G757" i="7"/>
  <c r="G756" i="7"/>
  <c r="G755" i="7"/>
  <c r="G754" i="7"/>
  <c r="G753" i="7"/>
  <c r="G752" i="7"/>
  <c r="G751" i="7"/>
  <c r="G750" i="7"/>
  <c r="G749" i="7"/>
  <c r="G748" i="7"/>
  <c r="G747" i="7"/>
  <c r="G746" i="7"/>
  <c r="G745" i="7"/>
  <c r="G744" i="7"/>
  <c r="G743" i="7"/>
  <c r="G742" i="7"/>
  <c r="G741" i="7"/>
  <c r="G740" i="7"/>
  <c r="G739" i="7"/>
  <c r="G738" i="7"/>
  <c r="G737" i="7"/>
  <c r="G736" i="7"/>
  <c r="G735" i="7"/>
  <c r="G734" i="7"/>
  <c r="G733" i="7"/>
  <c r="G732" i="7"/>
  <c r="G731" i="7"/>
  <c r="G730" i="7"/>
  <c r="G729" i="7"/>
  <c r="G728" i="7"/>
  <c r="G727" i="7"/>
  <c r="G726" i="7"/>
  <c r="G725" i="7"/>
  <c r="G724" i="7"/>
  <c r="G723" i="7"/>
  <c r="G722" i="7"/>
  <c r="G721" i="7"/>
  <c r="G720" i="7"/>
  <c r="G719" i="7"/>
  <c r="G718" i="7"/>
  <c r="G717" i="7"/>
  <c r="G716" i="7"/>
  <c r="G715" i="7"/>
  <c r="G714" i="7"/>
  <c r="G713" i="7"/>
  <c r="G712" i="7"/>
  <c r="G711" i="7"/>
  <c r="G710" i="7"/>
  <c r="G709" i="7"/>
  <c r="G708" i="7"/>
  <c r="G707" i="7"/>
  <c r="G706" i="7"/>
  <c r="G705" i="7"/>
  <c r="G704" i="7"/>
  <c r="G703" i="7"/>
  <c r="G664" i="7"/>
  <c r="G531" i="7"/>
  <c r="AB2" i="7"/>
  <c r="AB171" i="7"/>
  <c r="G171" i="7"/>
  <c r="AB170" i="7"/>
  <c r="G170" i="7"/>
  <c r="AB169" i="7"/>
  <c r="G169" i="7"/>
  <c r="AB168" i="7"/>
  <c r="G168" i="7"/>
  <c r="AB167" i="7"/>
  <c r="G167" i="7"/>
  <c r="AB166" i="7"/>
  <c r="G166" i="7"/>
  <c r="AB165" i="7"/>
  <c r="G165" i="7"/>
  <c r="AB164" i="7"/>
  <c r="G164" i="7"/>
  <c r="AB163" i="7"/>
  <c r="G163" i="7"/>
  <c r="AB162" i="7"/>
  <c r="G162" i="7"/>
  <c r="AB161" i="7"/>
  <c r="G161" i="7"/>
  <c r="AB160" i="7"/>
  <c r="G160" i="7"/>
  <c r="AB159" i="7"/>
  <c r="G159" i="7"/>
  <c r="AB158" i="7"/>
  <c r="G158" i="7"/>
  <c r="AB157" i="7"/>
  <c r="G157" i="7"/>
  <c r="AB156" i="7"/>
  <c r="G156" i="7"/>
  <c r="AB155" i="7"/>
  <c r="G155" i="7"/>
  <c r="AB154" i="7"/>
  <c r="G154" i="7"/>
  <c r="AB153" i="7"/>
  <c r="G153" i="7"/>
  <c r="AB152" i="7"/>
  <c r="G152" i="7"/>
  <c r="AB151" i="7"/>
  <c r="G151" i="7"/>
  <c r="AB150" i="7"/>
  <c r="G150" i="7"/>
  <c r="AB149" i="7"/>
  <c r="G149" i="7"/>
  <c r="AB148" i="7"/>
  <c r="G148" i="7"/>
  <c r="AB147" i="7"/>
  <c r="G147" i="7"/>
  <c r="AB146" i="7"/>
  <c r="G146" i="7"/>
  <c r="AB145" i="7"/>
  <c r="G145" i="7"/>
  <c r="AB144" i="7"/>
  <c r="G144" i="7"/>
  <c r="AB143" i="7"/>
  <c r="G143" i="7"/>
  <c r="AB142" i="7"/>
  <c r="G142" i="7"/>
  <c r="AB141" i="7"/>
  <c r="G141" i="7"/>
  <c r="AB140" i="7"/>
  <c r="G140" i="7"/>
  <c r="AB139" i="7"/>
  <c r="G139" i="7"/>
  <c r="AB138" i="7"/>
  <c r="G138" i="7"/>
  <c r="AB137" i="7"/>
  <c r="G137" i="7"/>
  <c r="AB136" i="7"/>
  <c r="G136" i="7"/>
  <c r="AB135" i="7"/>
  <c r="G135" i="7"/>
  <c r="AB134" i="7"/>
  <c r="G134" i="7"/>
  <c r="AB133" i="7"/>
  <c r="G133" i="7"/>
  <c r="AB132" i="7"/>
  <c r="G132" i="7"/>
  <c r="AB131" i="7"/>
  <c r="G131" i="7"/>
  <c r="AB130" i="7"/>
  <c r="G130" i="7"/>
  <c r="AB129" i="7"/>
  <c r="G129" i="7"/>
  <c r="AB128" i="7"/>
  <c r="G128" i="7"/>
  <c r="AB127" i="7"/>
  <c r="G127" i="7"/>
  <c r="AB126" i="7"/>
  <c r="G126" i="7"/>
  <c r="AB125" i="7"/>
  <c r="G125" i="7"/>
  <c r="AB124" i="7"/>
  <c r="G124" i="7"/>
  <c r="AB123" i="7"/>
  <c r="G123" i="7"/>
  <c r="AB122" i="7"/>
  <c r="G122" i="7"/>
  <c r="AB121" i="7"/>
  <c r="G121" i="7"/>
  <c r="AB120" i="7"/>
  <c r="G120" i="7"/>
  <c r="AB119" i="7"/>
  <c r="G119" i="7"/>
  <c r="AB118" i="7"/>
  <c r="G118" i="7"/>
  <c r="AB117" i="7"/>
  <c r="G117" i="7"/>
  <c r="AB116" i="7"/>
  <c r="G116" i="7"/>
  <c r="AB115" i="7"/>
  <c r="G115" i="7"/>
  <c r="AB114" i="7"/>
  <c r="G114" i="7"/>
  <c r="AB113" i="7"/>
  <c r="G113" i="7"/>
  <c r="AB112" i="7"/>
  <c r="G112" i="7"/>
  <c r="AB111" i="7"/>
  <c r="G111" i="7"/>
  <c r="AB110" i="7"/>
  <c r="G110" i="7"/>
  <c r="AB109" i="7"/>
  <c r="G109" i="7"/>
  <c r="AB108" i="7"/>
  <c r="G108" i="7"/>
  <c r="AB107" i="7"/>
  <c r="G107" i="7"/>
  <c r="AB106" i="7"/>
  <c r="G106" i="7"/>
  <c r="AB105" i="7"/>
  <c r="G105" i="7"/>
  <c r="AB104" i="7"/>
  <c r="G104" i="7"/>
  <c r="AB103" i="7"/>
  <c r="G103" i="7"/>
  <c r="AB102" i="7"/>
  <c r="G102" i="7"/>
  <c r="AB101" i="7"/>
  <c r="G101" i="7"/>
  <c r="AB100" i="7"/>
  <c r="G100" i="7"/>
  <c r="AB99" i="7"/>
  <c r="G99" i="7"/>
  <c r="AB98" i="7"/>
  <c r="G98" i="7"/>
  <c r="AB97" i="7"/>
  <c r="G97" i="7"/>
  <c r="AB96" i="7"/>
  <c r="G96" i="7"/>
  <c r="AB95" i="7"/>
  <c r="G95" i="7"/>
  <c r="AB94" i="7"/>
  <c r="G94" i="7"/>
  <c r="AB93" i="7"/>
  <c r="G93" i="7"/>
  <c r="AB92" i="7"/>
  <c r="G92" i="7"/>
  <c r="AB91" i="7"/>
  <c r="G91" i="7"/>
  <c r="AB90" i="7"/>
  <c r="G90" i="7"/>
  <c r="AB89" i="7"/>
  <c r="G89" i="7"/>
  <c r="AB88" i="7"/>
  <c r="G88" i="7"/>
  <c r="AB87" i="7"/>
  <c r="G87" i="7"/>
  <c r="AB86" i="7"/>
  <c r="G86" i="7"/>
  <c r="AB85" i="7"/>
  <c r="G85" i="7"/>
  <c r="AB84" i="7"/>
  <c r="G84" i="7"/>
  <c r="AB83" i="7"/>
  <c r="G83" i="7"/>
  <c r="AB82" i="7"/>
  <c r="G82" i="7"/>
  <c r="AB81" i="7"/>
  <c r="G81" i="7"/>
  <c r="AB80" i="7"/>
  <c r="G80" i="7"/>
  <c r="AB79" i="7"/>
  <c r="G79" i="7"/>
  <c r="AB78" i="7"/>
  <c r="G78" i="7"/>
  <c r="AB77" i="7"/>
  <c r="G77" i="7"/>
  <c r="AB76" i="7"/>
  <c r="G76" i="7"/>
  <c r="AB75" i="7"/>
  <c r="G75" i="7"/>
  <c r="AB74" i="7"/>
  <c r="G74" i="7"/>
  <c r="AB73" i="7"/>
  <c r="G73" i="7"/>
  <c r="AB72" i="7"/>
  <c r="G72" i="7"/>
  <c r="AB71" i="7"/>
  <c r="G71" i="7"/>
  <c r="AB70" i="7"/>
  <c r="G70" i="7"/>
  <c r="AB69" i="7"/>
  <c r="G69" i="7"/>
  <c r="AB68" i="7"/>
  <c r="G68" i="7"/>
  <c r="AB67" i="7"/>
  <c r="G67" i="7"/>
  <c r="AB66" i="7"/>
  <c r="G66" i="7"/>
  <c r="AB65" i="7"/>
  <c r="G65" i="7"/>
  <c r="AB64" i="7"/>
  <c r="G64" i="7"/>
  <c r="AB63" i="7"/>
  <c r="G63" i="7"/>
  <c r="AB62" i="7"/>
  <c r="G62" i="7"/>
  <c r="AB61" i="7"/>
  <c r="G61" i="7"/>
  <c r="AB60" i="7"/>
  <c r="G60" i="7"/>
  <c r="AB59" i="7"/>
  <c r="G59" i="7"/>
  <c r="AB58" i="7"/>
  <c r="G58" i="7"/>
  <c r="AB57" i="7"/>
  <c r="G57" i="7"/>
  <c r="AB56" i="7"/>
  <c r="G56" i="7"/>
  <c r="AB55" i="7"/>
  <c r="G55" i="7"/>
  <c r="AB54" i="7"/>
  <c r="G54" i="7"/>
  <c r="AB53" i="7"/>
  <c r="G53" i="7"/>
  <c r="AB52" i="7"/>
  <c r="G52" i="7"/>
  <c r="AB51" i="7"/>
  <c r="G51" i="7"/>
  <c r="AB50" i="7"/>
  <c r="G50" i="7"/>
  <c r="AB49" i="7"/>
  <c r="G49" i="7"/>
  <c r="AB48" i="7"/>
  <c r="G48" i="7"/>
  <c r="AB47" i="7"/>
  <c r="G47" i="7"/>
  <c r="AB46" i="7"/>
  <c r="G46" i="7"/>
  <c r="AB45" i="7"/>
  <c r="G45" i="7"/>
  <c r="AB44" i="7"/>
  <c r="G44" i="7"/>
  <c r="AB43" i="7"/>
  <c r="G43" i="7"/>
  <c r="AB42" i="7"/>
  <c r="G42" i="7"/>
  <c r="AB41" i="7"/>
  <c r="G41" i="7"/>
  <c r="AB40" i="7"/>
  <c r="G40" i="7"/>
  <c r="AB39" i="7"/>
  <c r="G39" i="7"/>
  <c r="AB38" i="7"/>
  <c r="G38" i="7"/>
  <c r="AB37" i="7"/>
  <c r="G37" i="7"/>
  <c r="AB36" i="7"/>
  <c r="G36" i="7"/>
  <c r="AB35" i="7"/>
  <c r="G35" i="7"/>
  <c r="AB34" i="7"/>
  <c r="G34" i="7"/>
  <c r="AB33" i="7"/>
  <c r="G33" i="7"/>
  <c r="AB32" i="7"/>
  <c r="G32" i="7"/>
  <c r="AB31" i="7"/>
  <c r="G31" i="7"/>
  <c r="AB30" i="7"/>
  <c r="G30" i="7"/>
  <c r="AB29" i="7"/>
  <c r="G29" i="7"/>
  <c r="AB28" i="7"/>
  <c r="G28" i="7"/>
  <c r="AB27" i="7"/>
  <c r="G27" i="7"/>
  <c r="AB26" i="7"/>
  <c r="G26" i="7"/>
  <c r="AB25" i="7"/>
  <c r="G25" i="7"/>
  <c r="AB24" i="7"/>
  <c r="G24" i="7"/>
  <c r="AB23" i="7"/>
  <c r="G23" i="7"/>
  <c r="AB22" i="7"/>
  <c r="G22" i="7"/>
  <c r="AB21" i="7"/>
  <c r="G21" i="7"/>
  <c r="AB20" i="7"/>
  <c r="G20" i="7"/>
  <c r="AB19" i="7"/>
  <c r="G19" i="7"/>
  <c r="AB18" i="7"/>
  <c r="G18" i="7"/>
  <c r="AB17" i="7"/>
  <c r="G17" i="7"/>
  <c r="AB16" i="7"/>
  <c r="G16" i="7"/>
  <c r="AB15" i="7"/>
  <c r="G15" i="7"/>
  <c r="AB14" i="7"/>
  <c r="G14" i="7"/>
  <c r="AB13" i="7"/>
  <c r="G13" i="7"/>
  <c r="AB12" i="7"/>
  <c r="G12" i="7"/>
  <c r="AB11" i="7"/>
  <c r="G11" i="7"/>
  <c r="AB10" i="7"/>
  <c r="G10" i="7"/>
  <c r="AB9" i="7"/>
  <c r="G9" i="7"/>
  <c r="AB8" i="7"/>
  <c r="G8" i="7"/>
  <c r="AB7" i="7"/>
  <c r="G7" i="7"/>
  <c r="AB6" i="7"/>
  <c r="G6" i="7"/>
  <c r="AB5" i="7"/>
  <c r="G5" i="7"/>
  <c r="AB4" i="7"/>
  <c r="G4" i="7"/>
  <c r="AB3" i="7"/>
  <c r="G3" i="7"/>
  <c r="F97" i="16"/>
  <c r="F96" i="16"/>
  <c r="F95" i="16"/>
  <c r="F94" i="16"/>
  <c r="F93" i="16"/>
  <c r="F92" i="16"/>
  <c r="F91" i="16"/>
  <c r="F90" i="16"/>
  <c r="F89" i="16"/>
  <c r="F88" i="16"/>
  <c r="F87" i="16"/>
  <c r="F86" i="16"/>
  <c r="F85" i="16"/>
  <c r="F84" i="16"/>
  <c r="F83" i="16"/>
  <c r="F82" i="16"/>
  <c r="F68" i="16"/>
  <c r="F69" i="16"/>
  <c r="F70" i="16"/>
  <c r="F71" i="16"/>
  <c r="F72" i="16"/>
  <c r="F73" i="16"/>
  <c r="F74" i="16"/>
  <c r="F75" i="16"/>
  <c r="F77" i="16"/>
  <c r="F78" i="16"/>
  <c r="F79" i="16"/>
  <c r="F67" i="16"/>
  <c r="G115" i="10"/>
  <c r="G114" i="10"/>
  <c r="G113" i="10"/>
  <c r="G112" i="10"/>
  <c r="G111" i="10"/>
  <c r="G110" i="10"/>
  <c r="G109" i="10"/>
  <c r="G108" i="10"/>
  <c r="G107" i="10"/>
  <c r="G106" i="10"/>
  <c r="G105" i="10"/>
  <c r="G104" i="10"/>
  <c r="G103" i="10"/>
  <c r="G102" i="10"/>
  <c r="G101" i="10"/>
  <c r="G100" i="10"/>
  <c r="G99" i="10"/>
  <c r="G98" i="10"/>
  <c r="G97" i="10"/>
  <c r="G96" i="10"/>
  <c r="G95" i="10"/>
  <c r="G94" i="10"/>
  <c r="G93" i="10"/>
  <c r="G92" i="10"/>
  <c r="G91" i="10"/>
  <c r="G90" i="10"/>
  <c r="G89" i="10"/>
  <c r="G88" i="10"/>
  <c r="G87" i="10"/>
  <c r="G86" i="10"/>
  <c r="G85" i="10"/>
  <c r="G84" i="10"/>
  <c r="G83" i="10"/>
  <c r="G82" i="10"/>
  <c r="G81" i="10"/>
  <c r="G80" i="10"/>
  <c r="G54" i="10"/>
  <c r="G52" i="4"/>
  <c r="G53" i="4"/>
  <c r="G54" i="4"/>
  <c r="G190" i="8"/>
  <c r="G6" i="12"/>
  <c r="G5" i="12"/>
  <c r="G3" i="12"/>
  <c r="G4" i="12"/>
  <c r="G1782" i="7"/>
  <c r="G1781" i="7"/>
  <c r="G1778" i="7"/>
  <c r="G1777" i="7"/>
  <c r="G1776" i="7"/>
  <c r="G1775" i="7"/>
  <c r="G1774" i="7"/>
  <c r="G1773" i="7"/>
  <c r="G1772" i="7"/>
  <c r="G1771" i="7"/>
  <c r="G1770" i="7"/>
  <c r="G1769" i="7"/>
  <c r="G1768" i="7"/>
  <c r="G1767" i="7"/>
  <c r="G1766" i="7"/>
  <c r="G1765" i="7"/>
  <c r="G1764" i="7"/>
  <c r="G1763" i="7"/>
  <c r="G1762" i="7"/>
  <c r="G1761" i="7"/>
  <c r="G1760" i="7"/>
  <c r="G1759" i="7"/>
  <c r="G1758" i="7"/>
  <c r="G1757" i="7"/>
  <c r="G1756" i="7"/>
  <c r="G1755" i="7"/>
  <c r="G1754" i="7"/>
  <c r="G1753" i="7"/>
  <c r="G1752" i="7"/>
  <c r="G1751" i="7"/>
  <c r="G1750" i="7"/>
  <c r="G1749" i="7"/>
  <c r="G1748" i="7"/>
  <c r="G1747" i="7"/>
  <c r="G1746" i="7"/>
  <c r="G1745" i="7"/>
  <c r="G1744" i="7"/>
  <c r="G1743" i="7"/>
  <c r="G1742" i="7"/>
  <c r="G1741" i="7"/>
  <c r="G1740" i="7"/>
  <c r="G1739" i="7"/>
  <c r="G1738" i="7"/>
  <c r="G1737" i="7"/>
  <c r="G1736" i="7"/>
  <c r="G1735" i="7"/>
  <c r="G1734" i="7"/>
  <c r="G1733" i="7"/>
  <c r="G1732" i="7"/>
  <c r="G1731" i="7"/>
  <c r="G1730" i="7"/>
  <c r="G1729" i="7"/>
  <c r="G1728" i="7"/>
  <c r="G1727" i="7"/>
  <c r="G1726" i="7"/>
  <c r="G1725" i="7"/>
  <c r="G1724" i="7"/>
  <c r="G1723" i="7"/>
  <c r="G1722" i="7"/>
  <c r="G1721" i="7"/>
  <c r="G1720" i="7"/>
  <c r="G1719" i="7"/>
  <c r="G1718" i="7"/>
  <c r="G1717" i="7"/>
  <c r="G1716" i="7"/>
  <c r="G1715" i="7"/>
  <c r="G1714" i="7"/>
  <c r="G1713" i="7"/>
  <c r="G1712" i="7"/>
  <c r="G1711" i="7"/>
  <c r="G1710" i="7"/>
  <c r="G1709" i="7"/>
  <c r="G1708" i="7"/>
  <c r="G1707" i="7"/>
  <c r="G1706" i="7"/>
  <c r="G1705" i="7"/>
  <c r="G1704" i="7"/>
  <c r="G1703" i="7"/>
  <c r="G1702" i="7"/>
  <c r="G1701" i="7"/>
  <c r="G1700" i="7"/>
  <c r="G1699" i="7"/>
  <c r="G1698" i="7"/>
  <c r="G1697" i="7"/>
  <c r="G1696" i="7"/>
  <c r="G1695" i="7"/>
  <c r="G1694" i="7"/>
  <c r="G1693" i="7"/>
  <c r="G1692" i="7"/>
  <c r="G1691" i="7"/>
  <c r="G1690" i="7"/>
  <c r="G1689" i="7"/>
  <c r="G1688" i="7"/>
  <c r="G1687" i="7"/>
  <c r="G1686" i="7"/>
  <c r="G1685" i="7"/>
  <c r="G1684" i="7"/>
  <c r="G1683" i="7"/>
  <c r="G1682" i="7"/>
  <c r="G1681" i="7"/>
  <c r="G1680" i="7"/>
  <c r="G1679" i="7"/>
  <c r="G1678" i="7"/>
  <c r="G1677" i="7"/>
  <c r="G1676" i="7"/>
  <c r="G1675" i="7"/>
  <c r="G1674" i="7"/>
  <c r="G1673" i="7"/>
  <c r="G1672" i="7"/>
  <c r="G1671" i="7"/>
  <c r="G1670" i="7"/>
  <c r="G1669" i="7"/>
  <c r="G1668" i="7"/>
  <c r="G1667" i="7"/>
  <c r="G1666" i="7"/>
  <c r="G1665" i="7"/>
  <c r="G1664" i="7"/>
  <c r="G1663" i="7"/>
  <c r="G1662" i="7"/>
  <c r="G1661" i="7"/>
  <c r="G1660" i="7"/>
  <c r="G1659" i="7"/>
  <c r="G1658" i="7"/>
  <c r="G1657" i="7"/>
  <c r="G1656" i="7"/>
  <c r="G1655" i="7"/>
  <c r="G1654" i="7"/>
  <c r="G1653" i="7"/>
  <c r="G1652" i="7"/>
  <c r="G1651" i="7"/>
  <c r="G1650" i="7"/>
  <c r="G1649" i="7"/>
  <c r="G1648" i="7"/>
  <c r="G1647" i="7"/>
  <c r="G1646" i="7"/>
  <c r="G1645" i="7"/>
  <c r="G1644" i="7"/>
  <c r="G1643" i="7"/>
  <c r="G1642" i="7"/>
  <c r="G1641" i="7"/>
  <c r="G1640" i="7"/>
  <c r="G1639" i="7"/>
  <c r="G1638" i="7"/>
  <c r="G1637" i="7"/>
  <c r="G1636" i="7"/>
  <c r="G1635" i="7"/>
  <c r="G1634" i="7"/>
  <c r="G1633" i="7"/>
  <c r="G1632" i="7"/>
  <c r="G1631" i="7"/>
  <c r="G1630" i="7"/>
  <c r="G1629" i="7"/>
  <c r="G1628" i="7"/>
  <c r="G1627" i="7"/>
  <c r="G1626" i="7"/>
  <c r="G1625" i="7"/>
  <c r="G1624" i="7"/>
  <c r="G1623" i="7"/>
  <c r="G1622" i="7"/>
  <c r="G1621" i="7"/>
  <c r="G1620" i="7"/>
  <c r="G1619" i="7"/>
  <c r="G1618" i="7"/>
  <c r="G1617" i="7"/>
  <c r="G1616" i="7"/>
  <c r="G1615" i="7"/>
  <c r="G1614" i="7"/>
  <c r="G1613" i="7"/>
  <c r="G1612" i="7"/>
  <c r="G1611" i="7"/>
  <c r="G1610" i="7"/>
  <c r="G1609" i="7"/>
  <c r="G1608" i="7"/>
  <c r="G1607" i="7"/>
  <c r="G1606" i="7"/>
  <c r="G1605" i="7"/>
  <c r="G1604" i="7"/>
  <c r="G1603" i="7"/>
  <c r="G1602" i="7"/>
  <c r="G1601" i="7"/>
  <c r="G1600" i="7"/>
  <c r="G1599" i="7"/>
  <c r="G1598" i="7"/>
  <c r="G1597" i="7"/>
  <c r="G1596" i="7"/>
  <c r="G1595" i="7"/>
  <c r="G1594" i="7"/>
  <c r="G1593" i="7"/>
  <c r="G1592" i="7"/>
  <c r="G1591" i="7"/>
  <c r="G1590" i="7"/>
  <c r="G1589" i="7"/>
  <c r="G1588" i="7"/>
  <c r="G1587" i="7"/>
  <c r="G1586" i="7"/>
  <c r="G1585" i="7"/>
  <c r="G1584" i="7"/>
  <c r="G1583" i="7"/>
  <c r="G1582" i="7"/>
  <c r="G1581" i="7"/>
  <c r="G1580" i="7"/>
  <c r="G1579" i="7"/>
  <c r="G1578" i="7"/>
  <c r="G1577" i="7"/>
  <c r="G1576" i="7"/>
  <c r="G1575" i="7"/>
  <c r="G1574" i="7"/>
  <c r="G1573" i="7"/>
  <c r="G1572" i="7"/>
  <c r="G1571" i="7"/>
  <c r="G1570" i="7"/>
  <c r="G1569" i="7"/>
  <c r="G1568" i="7"/>
  <c r="G1567" i="7"/>
  <c r="G1566" i="7"/>
  <c r="G1565" i="7"/>
  <c r="G1564" i="7"/>
  <c r="G1563" i="7"/>
  <c r="G1562" i="7"/>
  <c r="G1561" i="7"/>
  <c r="G1560" i="7"/>
  <c r="G1559" i="7"/>
  <c r="G1558" i="7"/>
  <c r="G1557" i="7"/>
  <c r="G1556" i="7"/>
  <c r="G1555" i="7"/>
  <c r="G1554" i="7"/>
  <c r="G1553" i="7"/>
  <c r="G1552" i="7"/>
  <c r="G1551" i="7"/>
  <c r="G1550" i="7"/>
  <c r="G1549" i="7"/>
  <c r="G1548" i="7"/>
  <c r="G1547" i="7"/>
  <c r="G1546" i="7"/>
  <c r="G1545" i="7"/>
  <c r="G1544" i="7"/>
  <c r="G1543" i="7"/>
  <c r="G1542" i="7"/>
  <c r="G1541" i="7"/>
  <c r="G1540" i="7"/>
  <c r="G1539" i="7"/>
  <c r="G1538" i="7"/>
  <c r="G1537" i="7"/>
  <c r="G1536" i="7"/>
  <c r="G1535" i="7"/>
  <c r="G1534" i="7"/>
  <c r="G1533" i="7"/>
  <c r="G1532" i="7"/>
  <c r="G1531" i="7"/>
  <c r="G1530" i="7"/>
  <c r="G1529" i="7"/>
  <c r="G1528" i="7"/>
  <c r="G1527" i="7"/>
  <c r="G1526" i="7"/>
  <c r="G1525" i="7"/>
  <c r="G1524" i="7"/>
  <c r="G1523" i="7"/>
  <c r="G1522" i="7"/>
  <c r="G1521" i="7"/>
  <c r="G1520" i="7"/>
  <c r="G1519" i="7"/>
  <c r="G1518" i="7"/>
  <c r="G1517" i="7"/>
  <c r="G1516" i="7"/>
  <c r="G1515" i="7"/>
  <c r="G1514" i="7"/>
  <c r="G1513" i="7"/>
  <c r="G1512" i="7"/>
  <c r="G1511" i="7"/>
  <c r="G1510" i="7"/>
  <c r="G1509" i="7"/>
  <c r="G1508" i="7"/>
  <c r="G1507" i="7"/>
  <c r="G1506" i="7"/>
  <c r="G1505" i="7"/>
  <c r="G1504" i="7"/>
  <c r="G1503" i="7"/>
  <c r="G1502" i="7"/>
  <c r="G1501" i="7"/>
  <c r="G1500" i="7"/>
  <c r="G1499" i="7"/>
  <c r="G1498" i="7"/>
  <c r="G1497" i="7"/>
  <c r="G1496" i="7"/>
  <c r="G1495" i="7"/>
  <c r="G1494" i="7"/>
  <c r="G1493" i="7"/>
  <c r="G1492" i="7"/>
  <c r="G1491" i="7"/>
  <c r="G1490" i="7"/>
  <c r="G1489" i="7"/>
  <c r="G1488" i="7"/>
  <c r="G1487" i="7"/>
  <c r="G1486" i="7"/>
  <c r="G1485" i="7"/>
  <c r="G1484" i="7"/>
  <c r="G1483" i="7"/>
  <c r="G1482" i="7"/>
  <c r="G1481" i="7"/>
  <c r="G1480" i="7"/>
  <c r="G1479" i="7"/>
  <c r="G1478" i="7"/>
  <c r="G1477" i="7"/>
  <c r="G1476" i="7"/>
  <c r="G1475" i="7"/>
  <c r="G1474" i="7"/>
  <c r="G1473" i="7"/>
  <c r="G1472" i="7"/>
  <c r="G1471" i="7"/>
  <c r="G1470" i="7"/>
  <c r="G1469" i="7"/>
  <c r="G1468" i="7"/>
  <c r="G1467" i="7"/>
  <c r="G1466" i="7"/>
  <c r="G1465" i="7"/>
  <c r="G1464" i="7"/>
  <c r="G1463" i="7"/>
  <c r="G1462" i="7"/>
  <c r="G1461" i="7"/>
  <c r="G1460" i="7"/>
  <c r="G1459" i="7"/>
  <c r="G1458" i="7"/>
  <c r="G1457" i="7"/>
  <c r="G1456" i="7"/>
  <c r="G1455" i="7"/>
  <c r="G1454" i="7"/>
  <c r="G1453" i="7"/>
  <c r="G1452" i="7"/>
  <c r="G1451" i="7"/>
  <c r="G1450" i="7"/>
  <c r="G1449" i="7"/>
  <c r="G1448" i="7"/>
  <c r="G1447" i="7"/>
  <c r="G1446" i="7"/>
  <c r="G1445" i="7"/>
  <c r="G1444" i="7"/>
  <c r="G1443" i="7"/>
  <c r="AB1388" i="7"/>
  <c r="G1388" i="7"/>
  <c r="G189" i="8"/>
  <c r="G1441" i="7" l="1"/>
  <c r="G1442" i="7"/>
  <c r="G1425" i="7"/>
  <c r="G1424" i="7"/>
  <c r="G1423" i="7"/>
  <c r="G1422" i="7"/>
  <c r="G1421" i="7"/>
  <c r="G1420" i="7"/>
  <c r="G1419" i="7"/>
  <c r="G1418" i="7"/>
  <c r="G1417" i="7"/>
  <c r="G1416" i="7"/>
  <c r="G1415" i="7"/>
  <c r="G1414" i="7"/>
  <c r="G1413" i="7"/>
  <c r="G1412" i="7"/>
  <c r="G1411" i="7"/>
  <c r="G1410" i="7"/>
  <c r="G1409" i="7"/>
  <c r="G1408" i="7"/>
  <c r="G1407" i="7"/>
  <c r="G1406" i="7"/>
  <c r="G1405" i="7"/>
  <c r="G1404" i="7"/>
  <c r="G51" i="4"/>
  <c r="G1403" i="7"/>
  <c r="G1402" i="7"/>
  <c r="G1401" i="7"/>
  <c r="G1400" i="7"/>
  <c r="G1398" i="7"/>
  <c r="G1397" i="7"/>
  <c r="G1396" i="7"/>
  <c r="G1395" i="7"/>
  <c r="G1394" i="7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AB1393" i="7"/>
  <c r="AB1392" i="7"/>
  <c r="G23" i="4"/>
  <c r="G188" i="8"/>
  <c r="G187" i="8"/>
  <c r="G1393" i="7"/>
  <c r="G186" i="8"/>
  <c r="G185" i="8"/>
  <c r="G1392" i="7"/>
  <c r="G22" i="4"/>
  <c r="G21" i="4"/>
  <c r="G20" i="4"/>
  <c r="B5" i="12"/>
  <c r="Z138" i="8"/>
  <c r="Z139" i="8"/>
  <c r="Z140" i="8"/>
  <c r="Z141" i="8"/>
  <c r="Z142" i="8"/>
  <c r="Z143" i="8"/>
  <c r="Z144" i="8"/>
  <c r="Z145" i="8"/>
  <c r="Z146" i="8"/>
  <c r="Z147" i="8"/>
  <c r="Z148" i="8"/>
  <c r="Z149" i="8"/>
  <c r="Z150" i="8"/>
  <c r="Z151" i="8"/>
  <c r="Z152" i="8"/>
  <c r="Z153" i="8"/>
  <c r="Z154" i="8"/>
  <c r="Z155" i="8"/>
  <c r="Z156" i="8"/>
  <c r="Z157" i="8"/>
  <c r="Z158" i="8"/>
  <c r="Z159" i="8"/>
  <c r="Z160" i="8"/>
  <c r="Z161" i="8"/>
  <c r="Z162" i="8"/>
  <c r="Z163" i="8"/>
  <c r="Z164" i="8"/>
  <c r="Z165" i="8"/>
  <c r="Z166" i="8"/>
  <c r="Z167" i="8"/>
  <c r="Z168" i="8"/>
  <c r="Z169" i="8"/>
  <c r="Z170" i="8"/>
  <c r="Z171" i="8"/>
  <c r="Z172" i="8"/>
  <c r="Z137" i="8"/>
  <c r="Z50" i="8"/>
  <c r="Z51" i="8"/>
  <c r="Z52" i="8"/>
  <c r="Z53" i="8"/>
  <c r="Z54" i="8"/>
  <c r="Z55" i="8"/>
  <c r="Z56" i="8"/>
  <c r="Z57" i="8"/>
  <c r="Z58" i="8"/>
  <c r="Z59" i="8"/>
  <c r="Z60" i="8"/>
  <c r="Z61" i="8"/>
  <c r="Z62" i="8"/>
  <c r="Z63" i="8"/>
  <c r="Z64" i="8"/>
  <c r="Z65" i="8"/>
  <c r="Z66" i="8"/>
  <c r="Z67" i="8"/>
  <c r="Z68" i="8"/>
  <c r="Z69" i="8"/>
  <c r="Z70" i="8"/>
  <c r="Z71" i="8"/>
  <c r="Z72" i="8"/>
  <c r="Z73" i="8"/>
  <c r="Z74" i="8"/>
  <c r="Z75" i="8"/>
  <c r="Z76" i="8"/>
  <c r="Z77" i="8"/>
  <c r="Z78" i="8"/>
  <c r="Z79" i="8"/>
  <c r="Z80" i="8"/>
  <c r="Z81" i="8"/>
  <c r="Z82" i="8"/>
  <c r="Z83" i="8"/>
  <c r="Z84" i="8"/>
  <c r="Z85" i="8"/>
  <c r="Z86" i="8"/>
  <c r="Z87" i="8"/>
  <c r="Z88" i="8"/>
  <c r="Z91" i="8"/>
  <c r="Z92" i="8"/>
  <c r="Z49" i="8"/>
  <c r="AB173" i="7"/>
  <c r="AB174" i="7"/>
  <c r="AB175" i="7"/>
  <c r="AB176" i="7"/>
  <c r="AB177" i="7"/>
  <c r="AB178" i="7"/>
  <c r="AB179" i="7"/>
  <c r="AB180" i="7"/>
  <c r="AB181" i="7"/>
  <c r="AB182" i="7"/>
  <c r="AB183" i="7"/>
  <c r="AB184" i="7"/>
  <c r="AB185" i="7"/>
  <c r="AB186" i="7"/>
  <c r="AB187" i="7"/>
  <c r="AB188" i="7"/>
  <c r="AB189" i="7"/>
  <c r="AB190" i="7"/>
  <c r="AB191" i="7"/>
  <c r="AB192" i="7"/>
  <c r="AB193" i="7"/>
  <c r="AB194" i="7"/>
  <c r="AB195" i="7"/>
  <c r="AB196" i="7"/>
  <c r="AB197" i="7"/>
  <c r="AB198" i="7"/>
  <c r="AB199" i="7"/>
  <c r="AB200" i="7"/>
  <c r="AB201" i="7"/>
  <c r="AB202" i="7"/>
  <c r="AB203" i="7"/>
  <c r="AB204" i="7"/>
  <c r="AB205" i="7"/>
  <c r="AB206" i="7"/>
  <c r="AB207" i="7"/>
  <c r="AB208" i="7"/>
  <c r="AB209" i="7"/>
  <c r="AB210" i="7"/>
  <c r="AB211" i="7"/>
  <c r="AB212" i="7"/>
  <c r="AB213" i="7"/>
  <c r="AB214" i="7"/>
  <c r="AB215" i="7"/>
  <c r="AB216" i="7"/>
  <c r="AB217" i="7"/>
  <c r="AB218" i="7"/>
  <c r="AB219" i="7"/>
  <c r="AB220" i="7"/>
  <c r="AB221" i="7"/>
  <c r="AB222" i="7"/>
  <c r="AB223" i="7"/>
  <c r="AB224" i="7"/>
  <c r="AB225" i="7"/>
  <c r="AB226" i="7"/>
  <c r="AB227" i="7"/>
  <c r="AB228" i="7"/>
  <c r="AB229" i="7"/>
  <c r="AB230" i="7"/>
  <c r="AB231" i="7"/>
  <c r="AB232" i="7"/>
  <c r="AB233" i="7"/>
  <c r="AB234" i="7"/>
  <c r="AB235" i="7"/>
  <c r="AB236" i="7"/>
  <c r="AB237" i="7"/>
  <c r="AB238" i="7"/>
  <c r="AB239" i="7"/>
  <c r="AB240" i="7"/>
  <c r="AB241" i="7"/>
  <c r="AB242" i="7"/>
  <c r="AB243" i="7"/>
  <c r="AB244" i="7"/>
  <c r="AB245" i="7"/>
  <c r="AB246" i="7"/>
  <c r="AB247" i="7"/>
  <c r="AB248" i="7"/>
  <c r="AB249" i="7"/>
  <c r="AB250" i="7"/>
  <c r="AB251" i="7"/>
  <c r="AB252" i="7"/>
  <c r="AB253" i="7"/>
  <c r="AB254" i="7"/>
  <c r="AB255" i="7"/>
  <c r="AB256" i="7"/>
  <c r="AB257" i="7"/>
  <c r="AB258" i="7"/>
  <c r="AB259" i="7"/>
  <c r="AB260" i="7"/>
  <c r="AB261" i="7"/>
  <c r="AB262" i="7"/>
  <c r="AB263" i="7"/>
  <c r="AB264" i="7"/>
  <c r="AB265" i="7"/>
  <c r="AB266" i="7"/>
  <c r="AB267" i="7"/>
  <c r="AB268" i="7"/>
  <c r="AB269" i="7"/>
  <c r="AB270" i="7"/>
  <c r="AB271" i="7"/>
  <c r="AB272" i="7"/>
  <c r="AB273" i="7"/>
  <c r="AB274" i="7"/>
  <c r="AB275" i="7"/>
  <c r="AB276" i="7"/>
  <c r="AB277" i="7"/>
  <c r="AB278" i="7"/>
  <c r="AB279" i="7"/>
  <c r="AB280" i="7"/>
  <c r="AB281" i="7"/>
  <c r="AB282" i="7"/>
  <c r="AB283" i="7"/>
  <c r="AB284" i="7"/>
  <c r="AB285" i="7"/>
  <c r="AB286" i="7"/>
  <c r="AB287" i="7"/>
  <c r="AB288" i="7"/>
  <c r="AB289" i="7"/>
  <c r="AB290" i="7"/>
  <c r="AB291" i="7"/>
  <c r="AB292" i="7"/>
  <c r="AB293" i="7"/>
  <c r="AB294" i="7"/>
  <c r="AB295" i="7"/>
  <c r="AB296" i="7"/>
  <c r="AB297" i="7"/>
  <c r="AB298" i="7"/>
  <c r="AB299" i="7"/>
  <c r="AB300" i="7"/>
  <c r="AB301" i="7"/>
  <c r="AB302" i="7"/>
  <c r="AB303" i="7"/>
  <c r="AB304" i="7"/>
  <c r="AB305" i="7"/>
  <c r="AB306" i="7"/>
  <c r="AB307" i="7"/>
  <c r="AB308" i="7"/>
  <c r="AB309" i="7"/>
  <c r="AB310" i="7"/>
  <c r="AB311" i="7"/>
  <c r="AB312" i="7"/>
  <c r="AB313" i="7"/>
  <c r="AB314" i="7"/>
  <c r="AB315" i="7"/>
  <c r="AB316" i="7"/>
  <c r="AB317" i="7"/>
  <c r="AB318" i="7"/>
  <c r="AB319" i="7"/>
  <c r="AB320" i="7"/>
  <c r="AB321" i="7"/>
  <c r="AB322" i="7"/>
  <c r="AB323" i="7"/>
  <c r="AB324" i="7"/>
  <c r="AB325" i="7"/>
  <c r="AB326" i="7"/>
  <c r="AB327" i="7"/>
  <c r="AB328" i="7"/>
  <c r="AB329" i="7"/>
  <c r="AB330" i="7"/>
  <c r="AB331" i="7"/>
  <c r="AB332" i="7"/>
  <c r="AB333" i="7"/>
  <c r="AB334" i="7"/>
  <c r="AB335" i="7"/>
  <c r="AB336" i="7"/>
  <c r="AB337" i="7"/>
  <c r="AB338" i="7"/>
  <c r="AB339" i="7"/>
  <c r="AB340" i="7"/>
  <c r="AB341" i="7"/>
  <c r="AB343" i="7"/>
  <c r="AB344" i="7"/>
  <c r="AB345" i="7"/>
  <c r="AB346" i="7"/>
  <c r="AB347" i="7"/>
  <c r="AB348" i="7"/>
  <c r="AB349" i="7"/>
  <c r="AB350" i="7"/>
  <c r="AB351" i="7"/>
  <c r="AB352" i="7"/>
  <c r="AB353" i="7"/>
  <c r="AB354" i="7"/>
  <c r="AB355" i="7"/>
  <c r="AB356" i="7"/>
  <c r="AB357" i="7"/>
  <c r="AB358" i="7"/>
  <c r="AB359" i="7"/>
  <c r="AB360" i="7"/>
  <c r="AB361" i="7"/>
  <c r="AB362" i="7"/>
  <c r="AB363" i="7"/>
  <c r="AB364" i="7"/>
  <c r="AB365" i="7"/>
  <c r="AB366" i="7"/>
  <c r="AB367" i="7"/>
  <c r="AB368" i="7"/>
  <c r="AB369" i="7"/>
  <c r="AB370" i="7"/>
  <c r="AB371" i="7"/>
  <c r="AB372" i="7"/>
  <c r="AB373" i="7"/>
  <c r="AB374" i="7"/>
  <c r="AB375" i="7"/>
  <c r="AB376" i="7"/>
  <c r="AB377" i="7"/>
  <c r="AB378" i="7"/>
  <c r="AB379" i="7"/>
  <c r="AB380" i="7"/>
  <c r="AB381" i="7"/>
  <c r="AB382" i="7"/>
  <c r="AB383" i="7"/>
  <c r="AB384" i="7"/>
  <c r="AB385" i="7"/>
  <c r="AB386" i="7"/>
  <c r="AB387" i="7"/>
  <c r="AB388" i="7"/>
  <c r="AB389" i="7"/>
  <c r="AB390" i="7"/>
  <c r="AB391" i="7"/>
  <c r="AB392" i="7"/>
  <c r="AB393" i="7"/>
  <c r="AB394" i="7"/>
  <c r="AB395" i="7"/>
  <c r="AB396" i="7"/>
  <c r="AB397" i="7"/>
  <c r="AB398" i="7"/>
  <c r="AB399" i="7"/>
  <c r="AB400" i="7"/>
  <c r="AB401" i="7"/>
  <c r="AB402" i="7"/>
  <c r="AB403" i="7"/>
  <c r="AB404" i="7"/>
  <c r="AB405" i="7"/>
  <c r="AB406" i="7"/>
  <c r="AB407" i="7"/>
  <c r="AB408" i="7"/>
  <c r="AB409" i="7"/>
  <c r="AB410" i="7"/>
  <c r="AB411" i="7"/>
  <c r="AB412" i="7"/>
  <c r="AB413" i="7"/>
  <c r="AB414" i="7"/>
  <c r="AB415" i="7"/>
  <c r="AB416" i="7"/>
  <c r="AB417" i="7"/>
  <c r="AB418" i="7"/>
  <c r="AB419" i="7"/>
  <c r="AB420" i="7"/>
  <c r="AB421" i="7"/>
  <c r="AB422" i="7"/>
  <c r="AB423" i="7"/>
  <c r="AB424" i="7"/>
  <c r="AB425" i="7"/>
  <c r="AB426" i="7"/>
  <c r="AB427" i="7"/>
  <c r="AB428" i="7"/>
  <c r="AB429" i="7"/>
  <c r="AB430" i="7"/>
  <c r="AB431" i="7"/>
  <c r="AB432" i="7"/>
  <c r="AB433" i="7"/>
  <c r="AB434" i="7"/>
  <c r="AB435" i="7"/>
  <c r="AB436" i="7"/>
  <c r="AB437" i="7"/>
  <c r="AB438" i="7"/>
  <c r="AB439" i="7"/>
  <c r="AB440" i="7"/>
  <c r="AB442" i="7"/>
  <c r="AB443" i="7"/>
  <c r="AB444" i="7"/>
  <c r="AB445" i="7"/>
  <c r="AB446" i="7"/>
  <c r="AB447" i="7"/>
  <c r="AB448" i="7"/>
  <c r="AB449" i="7"/>
  <c r="AB450" i="7"/>
  <c r="AB451" i="7"/>
  <c r="AB452" i="7"/>
  <c r="AB453" i="7"/>
  <c r="AB454" i="7"/>
  <c r="AB455" i="7"/>
  <c r="AB456" i="7"/>
  <c r="AB457" i="7"/>
  <c r="AB458" i="7"/>
  <c r="AB459" i="7"/>
  <c r="AB460" i="7"/>
  <c r="AB461" i="7"/>
  <c r="AB462" i="7"/>
  <c r="AB464" i="7"/>
  <c r="AB465" i="7"/>
  <c r="AB466" i="7"/>
  <c r="AB468" i="7"/>
  <c r="AB469" i="7"/>
  <c r="AB470" i="7"/>
  <c r="AB471" i="7"/>
  <c r="AB472" i="7"/>
  <c r="AB473" i="7"/>
  <c r="AB474" i="7"/>
  <c r="AB475" i="7"/>
  <c r="AB477" i="7"/>
  <c r="AB479" i="7"/>
  <c r="AB481" i="7"/>
  <c r="AB482" i="7"/>
  <c r="AB483" i="7"/>
  <c r="AB485" i="7"/>
  <c r="AB486" i="7"/>
  <c r="AB487" i="7"/>
  <c r="AB488" i="7"/>
  <c r="AB489" i="7"/>
  <c r="AB490" i="7"/>
  <c r="AB491" i="7"/>
  <c r="AB493" i="7"/>
  <c r="AB495" i="7"/>
  <c r="AB496" i="7"/>
  <c r="AB497" i="7"/>
  <c r="AB499" i="7"/>
  <c r="AB500" i="7"/>
  <c r="AB501" i="7"/>
  <c r="AB503" i="7"/>
  <c r="AB505" i="7"/>
  <c r="AB506" i="7"/>
  <c r="AB507" i="7"/>
  <c r="AB509" i="7"/>
  <c r="AB511" i="7"/>
  <c r="AB512" i="7"/>
  <c r="AB513" i="7"/>
  <c r="AB514" i="7"/>
  <c r="AB516" i="7"/>
  <c r="AB517" i="7"/>
  <c r="AB518" i="7"/>
  <c r="AB519" i="7"/>
  <c r="AB520" i="7"/>
  <c r="AB521" i="7"/>
  <c r="AB523" i="7"/>
  <c r="AB525" i="7"/>
  <c r="AB526" i="7"/>
  <c r="AB527" i="7"/>
  <c r="AB528" i="7"/>
  <c r="AB529" i="7"/>
  <c r="AB1383" i="7"/>
  <c r="AB1385" i="7"/>
  <c r="AB1386" i="7"/>
  <c r="AB1387" i="7"/>
  <c r="AB1389" i="7"/>
  <c r="AB1390" i="7"/>
  <c r="AB1391" i="7"/>
  <c r="AB172" i="7"/>
  <c r="G1391" i="7"/>
  <c r="G19" i="4"/>
  <c r="G97" i="8"/>
  <c r="G1390" i="7"/>
  <c r="G184" i="8"/>
  <c r="G18" i="4"/>
  <c r="G17" i="4"/>
  <c r="G1389" i="7"/>
  <c r="G16" i="4"/>
  <c r="G15" i="4"/>
  <c r="G183" i="8"/>
  <c r="G178" i="8"/>
  <c r="G181" i="8"/>
  <c r="G96" i="8"/>
  <c r="G182" i="8"/>
  <c r="G9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532" i="7"/>
  <c r="G533" i="7"/>
  <c r="G534" i="7"/>
  <c r="G535" i="7"/>
  <c r="G536" i="7"/>
  <c r="G537" i="7"/>
  <c r="G538" i="7"/>
  <c r="G539" i="7"/>
  <c r="G540" i="7"/>
  <c r="G541" i="7"/>
  <c r="G542" i="7"/>
  <c r="G543" i="7"/>
  <c r="G544" i="7"/>
  <c r="G545" i="7"/>
  <c r="G546" i="7"/>
  <c r="G547" i="7"/>
  <c r="G548" i="7"/>
  <c r="G549" i="7"/>
  <c r="G550" i="7"/>
  <c r="G551" i="7"/>
  <c r="G552" i="7"/>
  <c r="G553" i="7"/>
  <c r="G554" i="7"/>
  <c r="G555" i="7"/>
  <c r="G556" i="7"/>
  <c r="G557" i="7"/>
  <c r="G558" i="7"/>
  <c r="G559" i="7"/>
  <c r="G560" i="7"/>
  <c r="G561" i="7"/>
  <c r="G562" i="7"/>
  <c r="G563" i="7"/>
  <c r="G564" i="7"/>
  <c r="G565" i="7"/>
  <c r="G566" i="7"/>
  <c r="G567" i="7"/>
  <c r="G568" i="7"/>
  <c r="G569" i="7"/>
  <c r="G570" i="7"/>
  <c r="G571" i="7"/>
  <c r="G572" i="7"/>
  <c r="G573" i="7"/>
  <c r="G574" i="7"/>
  <c r="G575" i="7"/>
  <c r="G576" i="7"/>
  <c r="G577" i="7"/>
  <c r="G578" i="7"/>
  <c r="G579" i="7"/>
  <c r="G580" i="7"/>
  <c r="G581" i="7"/>
  <c r="G582" i="7"/>
  <c r="G583" i="7"/>
  <c r="G584" i="7"/>
  <c r="G585" i="7"/>
  <c r="G586" i="7"/>
  <c r="G587" i="7"/>
  <c r="G588" i="7"/>
  <c r="G589" i="7"/>
  <c r="G590" i="7"/>
  <c r="G591" i="7"/>
  <c r="G592" i="7"/>
  <c r="G593" i="7"/>
  <c r="G594" i="7"/>
  <c r="G595" i="7"/>
  <c r="G596" i="7"/>
  <c r="G597" i="7"/>
  <c r="G598" i="7"/>
  <c r="G599" i="7"/>
  <c r="G600" i="7"/>
  <c r="G601" i="7"/>
  <c r="G602" i="7"/>
  <c r="G603" i="7"/>
  <c r="G604" i="7"/>
  <c r="G605" i="7"/>
  <c r="G606" i="7"/>
  <c r="G607" i="7"/>
  <c r="G608" i="7"/>
  <c r="G609" i="7"/>
  <c r="G610" i="7"/>
  <c r="G611" i="7"/>
  <c r="G612" i="7"/>
  <c r="G613" i="7"/>
  <c r="G614" i="7"/>
  <c r="G615" i="7"/>
  <c r="G616" i="7"/>
  <c r="G617" i="7"/>
  <c r="G618" i="7"/>
  <c r="G619" i="7"/>
  <c r="G620" i="7"/>
  <c r="G621" i="7"/>
  <c r="G622" i="7"/>
  <c r="G623" i="7"/>
  <c r="G624" i="7"/>
  <c r="G625" i="7"/>
  <c r="G626" i="7"/>
  <c r="G627" i="7"/>
  <c r="G628" i="7"/>
  <c r="G629" i="7"/>
  <c r="G630" i="7"/>
  <c r="G631" i="7"/>
  <c r="G632" i="7"/>
  <c r="G633" i="7"/>
  <c r="G634" i="7"/>
  <c r="G635" i="7"/>
  <c r="G636" i="7"/>
  <c r="G637" i="7"/>
  <c r="G638" i="7"/>
  <c r="G639" i="7"/>
  <c r="G640" i="7"/>
  <c r="G641" i="7"/>
  <c r="G642" i="7"/>
  <c r="G643" i="7"/>
  <c r="G644" i="7"/>
  <c r="G645" i="7"/>
  <c r="G646" i="7"/>
  <c r="G647" i="7"/>
  <c r="G648" i="7"/>
  <c r="G649" i="7"/>
  <c r="G650" i="7"/>
  <c r="G651" i="7"/>
  <c r="G652" i="7"/>
  <c r="G653" i="7"/>
  <c r="G654" i="7"/>
  <c r="G655" i="7"/>
  <c r="G656" i="7"/>
  <c r="G657" i="7"/>
  <c r="G658" i="7"/>
  <c r="G659" i="7"/>
  <c r="G660" i="7"/>
  <c r="G661" i="7"/>
  <c r="G662" i="7"/>
  <c r="G663" i="7"/>
  <c r="G665" i="7"/>
  <c r="G666" i="7"/>
  <c r="G667" i="7"/>
  <c r="G668" i="7"/>
  <c r="G669" i="7"/>
  <c r="G670" i="7"/>
  <c r="G671" i="7"/>
  <c r="G672" i="7"/>
  <c r="G673" i="7"/>
  <c r="G674" i="7"/>
  <c r="G675" i="7"/>
  <c r="G676" i="7"/>
  <c r="G678" i="7"/>
  <c r="G679" i="7"/>
  <c r="G680" i="7"/>
  <c r="G681" i="7"/>
  <c r="G682" i="7"/>
  <c r="G683" i="7"/>
  <c r="G684" i="7"/>
  <c r="G685" i="7"/>
  <c r="G686" i="7"/>
  <c r="G687" i="7"/>
  <c r="G688" i="7"/>
  <c r="G689" i="7"/>
  <c r="G690" i="7"/>
  <c r="G691" i="7"/>
  <c r="G692" i="7"/>
  <c r="G693" i="7"/>
  <c r="G694" i="7"/>
  <c r="G695" i="7"/>
  <c r="G696" i="7"/>
  <c r="G697" i="7"/>
  <c r="G698" i="7"/>
  <c r="G699" i="7"/>
  <c r="G700" i="7"/>
  <c r="G701" i="7"/>
  <c r="G1383" i="7"/>
  <c r="G1385" i="7"/>
  <c r="G1386" i="7"/>
  <c r="G1387" i="7"/>
  <c r="G91" i="8"/>
  <c r="G92" i="8"/>
  <c r="G174" i="8"/>
  <c r="G179" i="8"/>
  <c r="G93" i="8"/>
  <c r="G94" i="8"/>
  <c r="G175" i="8"/>
  <c r="G176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3" i="4"/>
  <c r="G4" i="4"/>
  <c r="G5" i="4"/>
  <c r="G6" i="4"/>
  <c r="G7" i="4"/>
  <c r="G8" i="4"/>
  <c r="G9" i="4"/>
  <c r="G10" i="4"/>
  <c r="G11" i="4"/>
  <c r="G12" i="4"/>
  <c r="G13" i="4"/>
  <c r="G14" i="4"/>
  <c r="G2" i="4"/>
  <c r="G2" i="12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301" i="7"/>
  <c r="G302" i="7"/>
  <c r="G303" i="7"/>
  <c r="G304" i="7"/>
  <c r="G305" i="7"/>
  <c r="G306" i="7"/>
  <c r="G307" i="7"/>
  <c r="G308" i="7"/>
  <c r="G309" i="7"/>
  <c r="G310" i="7"/>
  <c r="G311" i="7"/>
  <c r="G312" i="7"/>
  <c r="G313" i="7"/>
  <c r="G314" i="7"/>
  <c r="G315" i="7"/>
  <c r="G316" i="7"/>
  <c r="G317" i="7"/>
  <c r="G318" i="7"/>
  <c r="G319" i="7"/>
  <c r="G320" i="7"/>
  <c r="G321" i="7"/>
  <c r="G322" i="7"/>
  <c r="G323" i="7"/>
  <c r="G324" i="7"/>
  <c r="G325" i="7"/>
  <c r="G326" i="7"/>
  <c r="G327" i="7"/>
  <c r="G328" i="7"/>
  <c r="G329" i="7"/>
  <c r="G330" i="7"/>
  <c r="G331" i="7"/>
  <c r="G332" i="7"/>
  <c r="G333" i="7"/>
  <c r="G334" i="7"/>
  <c r="G335" i="7"/>
  <c r="G336" i="7"/>
  <c r="G337" i="7"/>
  <c r="G338" i="7"/>
  <c r="G339" i="7"/>
  <c r="G340" i="7"/>
  <c r="G341" i="7"/>
  <c r="G343" i="7"/>
  <c r="G344" i="7"/>
  <c r="G345" i="7"/>
  <c r="G346" i="7"/>
  <c r="G347" i="7"/>
  <c r="G348" i="7"/>
  <c r="G349" i="7"/>
  <c r="G350" i="7"/>
  <c r="G351" i="7"/>
  <c r="G352" i="7"/>
  <c r="G353" i="7"/>
  <c r="G354" i="7"/>
  <c r="G355" i="7"/>
  <c r="G356" i="7"/>
  <c r="G357" i="7"/>
  <c r="G358" i="7"/>
  <c r="G359" i="7"/>
  <c r="G360" i="7"/>
  <c r="G361" i="7"/>
  <c r="G362" i="7"/>
  <c r="G363" i="7"/>
  <c r="G364" i="7"/>
  <c r="G365" i="7"/>
  <c r="G366" i="7"/>
  <c r="G367" i="7"/>
  <c r="G368" i="7"/>
  <c r="G369" i="7"/>
  <c r="G370" i="7"/>
  <c r="G371" i="7"/>
  <c r="G372" i="7"/>
  <c r="G373" i="7"/>
  <c r="G374" i="7"/>
  <c r="G375" i="7"/>
  <c r="G376" i="7"/>
  <c r="G377" i="7"/>
  <c r="G378" i="7"/>
  <c r="G379" i="7"/>
  <c r="G380" i="7"/>
  <c r="G381" i="7"/>
  <c r="G382" i="7"/>
  <c r="G383" i="7"/>
  <c r="G384" i="7"/>
  <c r="G385" i="7"/>
  <c r="G386" i="7"/>
  <c r="G387" i="7"/>
  <c r="G388" i="7"/>
  <c r="G389" i="7"/>
  <c r="G390" i="7"/>
  <c r="G391" i="7"/>
  <c r="G392" i="7"/>
  <c r="G393" i="7"/>
  <c r="G394" i="7"/>
  <c r="G395" i="7"/>
  <c r="G396" i="7"/>
  <c r="G397" i="7"/>
  <c r="G398" i="7"/>
  <c r="G399" i="7"/>
  <c r="G400" i="7"/>
  <c r="G401" i="7"/>
  <c r="G402" i="7"/>
  <c r="G403" i="7"/>
  <c r="G404" i="7"/>
  <c r="G405" i="7"/>
  <c r="G406" i="7"/>
  <c r="G407" i="7"/>
  <c r="G408" i="7"/>
  <c r="G409" i="7"/>
  <c r="G410" i="7"/>
  <c r="G411" i="7"/>
  <c r="G412" i="7"/>
  <c r="G413" i="7"/>
  <c r="G414" i="7"/>
  <c r="G415" i="7"/>
  <c r="G416" i="7"/>
  <c r="G417" i="7"/>
  <c r="G418" i="7"/>
  <c r="G419" i="7"/>
  <c r="G420" i="7"/>
  <c r="G421" i="7"/>
  <c r="G422" i="7"/>
  <c r="G423" i="7"/>
  <c r="G424" i="7"/>
  <c r="G425" i="7"/>
  <c r="G426" i="7"/>
  <c r="G427" i="7"/>
  <c r="G428" i="7"/>
  <c r="G429" i="7"/>
  <c r="G430" i="7"/>
  <c r="G431" i="7"/>
  <c r="G432" i="7"/>
  <c r="G433" i="7"/>
  <c r="G434" i="7"/>
  <c r="G435" i="7"/>
  <c r="G436" i="7"/>
  <c r="G437" i="7"/>
  <c r="G438" i="7"/>
  <c r="G439" i="7"/>
  <c r="G440" i="7"/>
  <c r="G442" i="7"/>
  <c r="G443" i="7"/>
  <c r="G444" i="7"/>
  <c r="G445" i="7"/>
  <c r="G446" i="7"/>
  <c r="G447" i="7"/>
  <c r="G448" i="7"/>
  <c r="G449" i="7"/>
  <c r="G450" i="7"/>
  <c r="G451" i="7"/>
  <c r="G452" i="7"/>
  <c r="G453" i="7"/>
  <c r="G454" i="7"/>
  <c r="G455" i="7"/>
  <c r="G456" i="7"/>
  <c r="G457" i="7"/>
  <c r="G458" i="7"/>
  <c r="G459" i="7"/>
  <c r="G460" i="7"/>
  <c r="G461" i="7"/>
  <c r="G462" i="7"/>
  <c r="G464" i="7"/>
  <c r="G465" i="7"/>
  <c r="G466" i="7"/>
  <c r="G468" i="7"/>
  <c r="G469" i="7"/>
  <c r="G470" i="7"/>
  <c r="G471" i="7"/>
  <c r="G472" i="7"/>
  <c r="G473" i="7"/>
  <c r="G474" i="7"/>
  <c r="G475" i="7"/>
  <c r="G477" i="7"/>
  <c r="G479" i="7"/>
  <c r="G481" i="7"/>
  <c r="G482" i="7"/>
  <c r="G483" i="7"/>
  <c r="G485" i="7"/>
  <c r="G486" i="7"/>
  <c r="G487" i="7"/>
  <c r="G488" i="7"/>
  <c r="G489" i="7"/>
  <c r="G490" i="7"/>
  <c r="G491" i="7"/>
  <c r="G493" i="7"/>
  <c r="G495" i="7"/>
  <c r="G496" i="7"/>
  <c r="G497" i="7"/>
  <c r="G499" i="7"/>
  <c r="G500" i="7"/>
  <c r="G501" i="7"/>
  <c r="G503" i="7"/>
  <c r="G505" i="7"/>
  <c r="G506" i="7"/>
  <c r="G507" i="7"/>
  <c r="G509" i="7"/>
  <c r="G511" i="7"/>
  <c r="G512" i="7"/>
  <c r="G513" i="7"/>
  <c r="G514" i="7"/>
  <c r="G516" i="7"/>
  <c r="G517" i="7"/>
  <c r="G518" i="7"/>
  <c r="G519" i="7"/>
  <c r="G520" i="7"/>
  <c r="G521" i="7"/>
  <c r="G523" i="7"/>
  <c r="G525" i="7"/>
  <c r="G526" i="7"/>
  <c r="G527" i="7"/>
  <c r="G528" i="7"/>
  <c r="G529" i="7"/>
  <c r="G172" i="7"/>
  <c r="G173" i="7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2" i="8"/>
</calcChain>
</file>

<file path=xl/sharedStrings.xml><?xml version="1.0" encoding="utf-8"?>
<sst xmlns="http://schemas.openxmlformats.org/spreadsheetml/2006/main" count="66114" uniqueCount="18958">
  <si>
    <t>Part Number</t>
  </si>
  <si>
    <t>Comment</t>
  </si>
  <si>
    <t>Description</t>
  </si>
  <si>
    <t>Manufacturer</t>
  </si>
  <si>
    <t>Package</t>
  </si>
  <si>
    <t>Value</t>
  </si>
  <si>
    <t>Library Path</t>
  </si>
  <si>
    <t>Library Ref</t>
  </si>
  <si>
    <t>Footprint Path</t>
  </si>
  <si>
    <t>Footprint Ref</t>
  </si>
  <si>
    <t>Absolute Value</t>
  </si>
  <si>
    <t>HelpURL</t>
  </si>
  <si>
    <t>Manufacturer 1</t>
  </si>
  <si>
    <t>Manufacturer Part Number 1</t>
  </si>
  <si>
    <t>Supplier 1</t>
  </si>
  <si>
    <t>Supplier Part Number 1</t>
  </si>
  <si>
    <t>Manufacturer 2</t>
  </si>
  <si>
    <t>Manufacturer Part Number 2</t>
  </si>
  <si>
    <t>Supplier 2</t>
  </si>
  <si>
    <t>Supplier Part Number 2</t>
  </si>
  <si>
    <t>0R/0603</t>
  </si>
  <si>
    <t>GENERIC</t>
  </si>
  <si>
    <t>0603</t>
  </si>
  <si>
    <t>0R</t>
  </si>
  <si>
    <t>RC0603FR-070RL</t>
  </si>
  <si>
    <t>Digi-Key</t>
  </si>
  <si>
    <t>RC0603FR-130RL</t>
  </si>
  <si>
    <t>13-RC0603FR-130RLCT-ND</t>
  </si>
  <si>
    <t>1R/0603</t>
  </si>
  <si>
    <t>1R</t>
  </si>
  <si>
    <t>1R2/0603</t>
  </si>
  <si>
    <t>1R2</t>
  </si>
  <si>
    <t>1R5/0603</t>
  </si>
  <si>
    <t>1R5</t>
  </si>
  <si>
    <t>1R8/0603</t>
  </si>
  <si>
    <t>1R8</t>
  </si>
  <si>
    <t>2R2/0603</t>
  </si>
  <si>
    <t>2R2</t>
  </si>
  <si>
    <t>2R7/0603</t>
  </si>
  <si>
    <t>2R7</t>
  </si>
  <si>
    <t>3R3/0603</t>
  </si>
  <si>
    <t>3R3</t>
  </si>
  <si>
    <t>3R9/0603</t>
  </si>
  <si>
    <t>3R9</t>
  </si>
  <si>
    <t>4R7/0603</t>
  </si>
  <si>
    <t>4R7</t>
  </si>
  <si>
    <t>5R6/0603</t>
  </si>
  <si>
    <t>5R6</t>
  </si>
  <si>
    <t>6R8/0603</t>
  </si>
  <si>
    <t>6R8</t>
  </si>
  <si>
    <t>8R2/0603</t>
  </si>
  <si>
    <t>8R2</t>
  </si>
  <si>
    <t>10R/0603</t>
  </si>
  <si>
    <t>10R</t>
  </si>
  <si>
    <t>RC0603FR-1010RL</t>
  </si>
  <si>
    <t>13-RC0603FR-1010RLCT-ND</t>
  </si>
  <si>
    <t>11R/0603</t>
  </si>
  <si>
    <t>11R</t>
  </si>
  <si>
    <t>12R/0603</t>
  </si>
  <si>
    <t>12R</t>
  </si>
  <si>
    <t>13R/0603</t>
  </si>
  <si>
    <t>13R</t>
  </si>
  <si>
    <t>15R/0603</t>
  </si>
  <si>
    <t>15R</t>
  </si>
  <si>
    <t>16R/0603</t>
  </si>
  <si>
    <t>16R</t>
  </si>
  <si>
    <t>18R/0603</t>
  </si>
  <si>
    <t>18R</t>
  </si>
  <si>
    <t>20R/0603</t>
  </si>
  <si>
    <t>20R</t>
  </si>
  <si>
    <t>22R/0603</t>
  </si>
  <si>
    <t>22R</t>
  </si>
  <si>
    <t>RC0603FR-1022RL</t>
  </si>
  <si>
    <t>13-RC0603FR-1022RLCT-ND</t>
  </si>
  <si>
    <t>24R/0603</t>
  </si>
  <si>
    <t>24R</t>
  </si>
  <si>
    <t>27R/0603</t>
  </si>
  <si>
    <t>27R</t>
  </si>
  <si>
    <t>30R/0603</t>
  </si>
  <si>
    <t>30R</t>
  </si>
  <si>
    <t>33R/0603</t>
  </si>
  <si>
    <t>33R</t>
  </si>
  <si>
    <t>36R/0603</t>
  </si>
  <si>
    <t>36R</t>
  </si>
  <si>
    <t>39R/0603</t>
  </si>
  <si>
    <t>39R</t>
  </si>
  <si>
    <t>43R/0603</t>
  </si>
  <si>
    <t>43R</t>
  </si>
  <si>
    <t>47R/0603</t>
  </si>
  <si>
    <t>47R</t>
  </si>
  <si>
    <t>51R/0603</t>
  </si>
  <si>
    <t>51R</t>
  </si>
  <si>
    <t>56R/0603</t>
  </si>
  <si>
    <t>56R</t>
  </si>
  <si>
    <t>62R/0603</t>
  </si>
  <si>
    <t>62R</t>
  </si>
  <si>
    <t>68R/0603</t>
  </si>
  <si>
    <t>68R</t>
  </si>
  <si>
    <t>75R/0603</t>
  </si>
  <si>
    <t>75R</t>
  </si>
  <si>
    <t>82R/0603</t>
  </si>
  <si>
    <t>82R</t>
  </si>
  <si>
    <t>91R/0603</t>
  </si>
  <si>
    <t>91R</t>
  </si>
  <si>
    <t>100R/0603</t>
  </si>
  <si>
    <t>100R</t>
  </si>
  <si>
    <t>RC0603FR-13100RL</t>
  </si>
  <si>
    <t>13-RC0603FR-13100RLCT-ND</t>
  </si>
  <si>
    <t>110R/0603</t>
  </si>
  <si>
    <t>110R</t>
  </si>
  <si>
    <t>120R/0603</t>
  </si>
  <si>
    <t>120R</t>
  </si>
  <si>
    <t>130R/0603</t>
  </si>
  <si>
    <t>130R</t>
  </si>
  <si>
    <t>150R/0603</t>
  </si>
  <si>
    <t>150R</t>
  </si>
  <si>
    <t>160R/0603</t>
  </si>
  <si>
    <t>160R</t>
  </si>
  <si>
    <t>180R/0603</t>
  </si>
  <si>
    <t>180R</t>
  </si>
  <si>
    <t>RC0603FR-13180RL</t>
  </si>
  <si>
    <t>13-RC0603FR-13180RLCT-ND</t>
  </si>
  <si>
    <t>200R/0603</t>
  </si>
  <si>
    <t>200R</t>
  </si>
  <si>
    <t>220R/0603</t>
  </si>
  <si>
    <t>220R</t>
  </si>
  <si>
    <t>RC0603FR-13220RL</t>
  </si>
  <si>
    <t>13-RC0603FR-13220RLCT-ND</t>
  </si>
  <si>
    <t>240R/0603</t>
  </si>
  <si>
    <t>240R</t>
  </si>
  <si>
    <t>270R/0603</t>
  </si>
  <si>
    <t>270R</t>
  </si>
  <si>
    <t>300R/0603</t>
  </si>
  <si>
    <t>300R</t>
  </si>
  <si>
    <t>RC0603FR-10300RL</t>
  </si>
  <si>
    <t>13-RC0603FR-10300RLCT-ND</t>
  </si>
  <si>
    <t>330R/0603</t>
  </si>
  <si>
    <t>330R</t>
  </si>
  <si>
    <t>360R/0603</t>
  </si>
  <si>
    <t>360R</t>
  </si>
  <si>
    <t>390R/0603</t>
  </si>
  <si>
    <t>390R</t>
  </si>
  <si>
    <t>430R/0603</t>
  </si>
  <si>
    <t>430R</t>
  </si>
  <si>
    <t>470R/0603</t>
  </si>
  <si>
    <t>470R</t>
  </si>
  <si>
    <t>RC0603FR-10470RL</t>
  </si>
  <si>
    <t>13-RC0603FR-10470RLCT-ND</t>
  </si>
  <si>
    <t>510R/0603</t>
  </si>
  <si>
    <t>510R</t>
  </si>
  <si>
    <t>560R/0603</t>
  </si>
  <si>
    <t>560R</t>
  </si>
  <si>
    <t>620R/0603</t>
  </si>
  <si>
    <t>620R</t>
  </si>
  <si>
    <t>680R/0603</t>
  </si>
  <si>
    <t>680R</t>
  </si>
  <si>
    <t>750R/0603</t>
  </si>
  <si>
    <t>750R</t>
  </si>
  <si>
    <t>820R/0603</t>
  </si>
  <si>
    <t>820R</t>
  </si>
  <si>
    <t>910R/0603</t>
  </si>
  <si>
    <t>910R</t>
  </si>
  <si>
    <t>1K/0603</t>
  </si>
  <si>
    <t>1K</t>
  </si>
  <si>
    <t>1K1/0603</t>
  </si>
  <si>
    <t>1K1</t>
  </si>
  <si>
    <t>1K2/0603</t>
  </si>
  <si>
    <t>1K2</t>
  </si>
  <si>
    <t>1K3/0603</t>
  </si>
  <si>
    <t>1K3</t>
  </si>
  <si>
    <t>1K5/0603</t>
  </si>
  <si>
    <t>1K5</t>
  </si>
  <si>
    <t>RC0603FR-101K5L</t>
  </si>
  <si>
    <t>13-RC0603FR-101K5LCT-ND</t>
  </si>
  <si>
    <t>1K6/0603</t>
  </si>
  <si>
    <t>1K6</t>
  </si>
  <si>
    <t>RC0603FR-071K6L</t>
  </si>
  <si>
    <t>311-1.60KHRCT-ND</t>
  </si>
  <si>
    <t>RC0603FR-101K6L</t>
  </si>
  <si>
    <t>13-RC0603FR-101K6LCT-ND</t>
  </si>
  <si>
    <t>1K8/0603</t>
  </si>
  <si>
    <t>1K8</t>
  </si>
  <si>
    <t>2K/0603</t>
  </si>
  <si>
    <t>2K</t>
  </si>
  <si>
    <t>RC0603FR-132KL</t>
  </si>
  <si>
    <t>13-RC0603FR-132KLCT-ND</t>
  </si>
  <si>
    <t>2K2/0603</t>
  </si>
  <si>
    <t>2K2</t>
  </si>
  <si>
    <t>RC0603FR-132K2L</t>
  </si>
  <si>
    <t>13-RC0603FR-132K2LCT-ND</t>
  </si>
  <si>
    <t>2K4/0603</t>
  </si>
  <si>
    <t>2K4</t>
  </si>
  <si>
    <t>2K7/0603</t>
  </si>
  <si>
    <t>2K7</t>
  </si>
  <si>
    <t>RC0603FR-102K7L</t>
  </si>
  <si>
    <t>13-RC0603FR-102K7LCT-ND</t>
  </si>
  <si>
    <t>3K/0603</t>
  </si>
  <si>
    <t>3K</t>
  </si>
  <si>
    <t>RC0603FR-133KL</t>
  </si>
  <si>
    <t>13-RC0603FR-133KLCT-ND</t>
  </si>
  <si>
    <t>3K3/0603</t>
  </si>
  <si>
    <t>3K3</t>
  </si>
  <si>
    <t>3K6/0603</t>
  </si>
  <si>
    <t>3K6</t>
  </si>
  <si>
    <t>3K9/0603</t>
  </si>
  <si>
    <t>3K9</t>
  </si>
  <si>
    <t>4K3/0603</t>
  </si>
  <si>
    <t>4K3</t>
  </si>
  <si>
    <t>4K7/0603</t>
  </si>
  <si>
    <t>4K7</t>
  </si>
  <si>
    <t>RC0603FR-134K7L</t>
  </si>
  <si>
    <t>13-RC0603FR-134K7LCT-ND</t>
  </si>
  <si>
    <t>5K1/0603</t>
  </si>
  <si>
    <t>5K1</t>
  </si>
  <si>
    <t>5K6/0603</t>
  </si>
  <si>
    <t>5K6</t>
  </si>
  <si>
    <t>6K2/0603</t>
  </si>
  <si>
    <t>6K2</t>
  </si>
  <si>
    <t>6K8/0603</t>
  </si>
  <si>
    <t>6K8</t>
  </si>
  <si>
    <t>7K5/0603</t>
  </si>
  <si>
    <t>7K5</t>
  </si>
  <si>
    <t>8K2/0603</t>
  </si>
  <si>
    <t>8K2</t>
  </si>
  <si>
    <t>9K1/0603</t>
  </si>
  <si>
    <t>9K1</t>
  </si>
  <si>
    <t>RC0603FR-109K1L</t>
  </si>
  <si>
    <t>13-RC0603FR-109K1LCT-ND</t>
  </si>
  <si>
    <t>10K/0603</t>
  </si>
  <si>
    <t>10K</t>
  </si>
  <si>
    <t>RC0603FR-1010KL</t>
  </si>
  <si>
    <t>13-RC0603FR-1010KLCT-ND</t>
  </si>
  <si>
    <t>11K/0603</t>
  </si>
  <si>
    <t>11K</t>
  </si>
  <si>
    <t>12K/0603</t>
  </si>
  <si>
    <t>12K</t>
  </si>
  <si>
    <t>RC0603FR-1312KL</t>
  </si>
  <si>
    <t>13-RC0603FR-1312KLCT-ND</t>
  </si>
  <si>
    <t>13K/0603</t>
  </si>
  <si>
    <t>13K</t>
  </si>
  <si>
    <t>RC0603FR-1013KL</t>
  </si>
  <si>
    <t>13-RC0603FR-1013KLCT-ND</t>
  </si>
  <si>
    <t>15K/0603</t>
  </si>
  <si>
    <t>15K</t>
  </si>
  <si>
    <t>RC0603FR-1315KL</t>
  </si>
  <si>
    <t>13-RC0603FR-1315KLCT-ND</t>
  </si>
  <si>
    <t>16K/0603</t>
  </si>
  <si>
    <t>16K</t>
  </si>
  <si>
    <t>RC0603FR-1016KL</t>
  </si>
  <si>
    <t>13-RC0603FR-1016KLCT-ND</t>
  </si>
  <si>
    <t>18K/0603</t>
  </si>
  <si>
    <t>18K</t>
  </si>
  <si>
    <t>RC0603FR-1318KL</t>
  </si>
  <si>
    <t>13-RC0603FR-1318KLCT-ND</t>
  </si>
  <si>
    <t>20K/0603</t>
  </si>
  <si>
    <t>20K</t>
  </si>
  <si>
    <t>22K/0603</t>
  </si>
  <si>
    <t>22K</t>
  </si>
  <si>
    <t>24K/0603</t>
  </si>
  <si>
    <t>24K</t>
  </si>
  <si>
    <t>RC0603FR-1024KL</t>
  </si>
  <si>
    <t>13-RC0603FR-1024KLCT-ND</t>
  </si>
  <si>
    <t>27K/0603</t>
  </si>
  <si>
    <t>27K</t>
  </si>
  <si>
    <t>30K/0603</t>
  </si>
  <si>
    <t>30K</t>
  </si>
  <si>
    <t>33K/0603</t>
  </si>
  <si>
    <t>33K</t>
  </si>
  <si>
    <t>36K/0603</t>
  </si>
  <si>
    <t>36K</t>
  </si>
  <si>
    <t>RC0603FR-1036KL</t>
  </si>
  <si>
    <t>13-RC0603FR-1036KLCT-ND</t>
  </si>
  <si>
    <t>39K/0603</t>
  </si>
  <si>
    <t>39K</t>
  </si>
  <si>
    <t>RC0603FR-1339KL</t>
  </si>
  <si>
    <t>13-RC0603FR-1339KLCT-ND</t>
  </si>
  <si>
    <t>43K/0603</t>
  </si>
  <si>
    <t>43K</t>
  </si>
  <si>
    <t>47K/0603</t>
  </si>
  <si>
    <t>47K</t>
  </si>
  <si>
    <t>RC0603FR-1347KL</t>
  </si>
  <si>
    <t>13-RC0603FR-1347KLCT-ND</t>
  </si>
  <si>
    <t>51K/0603</t>
  </si>
  <si>
    <t>51K</t>
  </si>
  <si>
    <t>RC0603FR-1351KL</t>
  </si>
  <si>
    <t>13-RC0603FR-1351KLCT-ND</t>
  </si>
  <si>
    <t>56K/0603</t>
  </si>
  <si>
    <t>56K</t>
  </si>
  <si>
    <t>RC0603FR-1356KL</t>
  </si>
  <si>
    <t>13-RC0603FR-1356KLCT-ND</t>
  </si>
  <si>
    <t>62K/0603</t>
  </si>
  <si>
    <t>62K</t>
  </si>
  <si>
    <t>RC0603FR-1062KL</t>
  </si>
  <si>
    <t>13-RC0603FR-1062KLCT-ND</t>
  </si>
  <si>
    <t>68K/0603</t>
  </si>
  <si>
    <t>68K</t>
  </si>
  <si>
    <t>RC0603FR-1068KL</t>
  </si>
  <si>
    <t>13-RC0603FR-1068KLCT-ND</t>
  </si>
  <si>
    <t>75K/0603</t>
  </si>
  <si>
    <t>75K</t>
  </si>
  <si>
    <t>82K/0603</t>
  </si>
  <si>
    <t>82K</t>
  </si>
  <si>
    <t>91K/0603</t>
  </si>
  <si>
    <t>91K</t>
  </si>
  <si>
    <t>100K/0603</t>
  </si>
  <si>
    <t>100K</t>
  </si>
  <si>
    <t>RC0603FR-10100KL</t>
  </si>
  <si>
    <t>13-RC0603FR-10100KLCT-ND</t>
  </si>
  <si>
    <t>110K/0603</t>
  </si>
  <si>
    <t>110K</t>
  </si>
  <si>
    <t>RC0603FR-07110KL</t>
  </si>
  <si>
    <t>311-110KHRCT-ND</t>
  </si>
  <si>
    <t>120K/0603</t>
  </si>
  <si>
    <t>120K</t>
  </si>
  <si>
    <t>RC0603FR-13120KL</t>
  </si>
  <si>
    <t>13-RC0603FR-13120KLCT-ND</t>
  </si>
  <si>
    <t>130K/0603</t>
  </si>
  <si>
    <t>130K</t>
  </si>
  <si>
    <t>RC0603FR-07130KL</t>
  </si>
  <si>
    <t>311-130KHRCT-ND</t>
  </si>
  <si>
    <t>150K/0603</t>
  </si>
  <si>
    <t>150K</t>
  </si>
  <si>
    <t>160K/0603</t>
  </si>
  <si>
    <t>160K</t>
  </si>
  <si>
    <t>RC0603FR-07160KL</t>
  </si>
  <si>
    <t>311-160KHRCT-ND</t>
  </si>
  <si>
    <t>180K/0603</t>
  </si>
  <si>
    <t>180K</t>
  </si>
  <si>
    <t>RC0603FR-10180KL</t>
  </si>
  <si>
    <t>13-RC0603FR-10180KLCT-ND</t>
  </si>
  <si>
    <t>200K/0603</t>
  </si>
  <si>
    <t>200K</t>
  </si>
  <si>
    <t>220K/0603</t>
  </si>
  <si>
    <t>220K</t>
  </si>
  <si>
    <t>240K/0603</t>
  </si>
  <si>
    <t>240K</t>
  </si>
  <si>
    <t>270K/0603</t>
  </si>
  <si>
    <t>270K</t>
  </si>
  <si>
    <t>300K/0603</t>
  </si>
  <si>
    <t>300K</t>
  </si>
  <si>
    <t>330K/0603</t>
  </si>
  <si>
    <t>330K</t>
  </si>
  <si>
    <t>RC0603FR-13330KL</t>
  </si>
  <si>
    <t>13-RC0603FR-13330KLCT-ND</t>
  </si>
  <si>
    <t>360K/0603</t>
  </si>
  <si>
    <t>360K</t>
  </si>
  <si>
    <t>RC0603FR-07360KL</t>
  </si>
  <si>
    <t>311-360KHRCT-ND</t>
  </si>
  <si>
    <t>390K/0603</t>
  </si>
  <si>
    <t>390K</t>
  </si>
  <si>
    <t>430K/0603</t>
  </si>
  <si>
    <t>430K</t>
  </si>
  <si>
    <t>470K/0603</t>
  </si>
  <si>
    <t>470K</t>
  </si>
  <si>
    <t>510K/0603</t>
  </si>
  <si>
    <t>510K</t>
  </si>
  <si>
    <t>560K/0603</t>
  </si>
  <si>
    <t>560K</t>
  </si>
  <si>
    <t>620K/0603</t>
  </si>
  <si>
    <t>620K</t>
  </si>
  <si>
    <t>680K/0603</t>
  </si>
  <si>
    <t>680K</t>
  </si>
  <si>
    <t>750K/0603</t>
  </si>
  <si>
    <t>750K</t>
  </si>
  <si>
    <t>820K/0603</t>
  </si>
  <si>
    <t>820K</t>
  </si>
  <si>
    <t>910K/0603</t>
  </si>
  <si>
    <t>910K</t>
  </si>
  <si>
    <t>1M/0603</t>
  </si>
  <si>
    <t>1M</t>
  </si>
  <si>
    <t>1M1/0603</t>
  </si>
  <si>
    <t>1M1</t>
  </si>
  <si>
    <t>1M2/0603</t>
  </si>
  <si>
    <t>1M2</t>
  </si>
  <si>
    <t>1M3/0603</t>
  </si>
  <si>
    <t>1M3</t>
  </si>
  <si>
    <t>1M5/0603</t>
  </si>
  <si>
    <t>1M5</t>
  </si>
  <si>
    <t>1M6/0603</t>
  </si>
  <si>
    <t>1M6</t>
  </si>
  <si>
    <t>1M8/0603</t>
  </si>
  <si>
    <t>1M8</t>
  </si>
  <si>
    <t>2M/0603</t>
  </si>
  <si>
    <t>2M</t>
  </si>
  <si>
    <t>2M2/0603</t>
  </si>
  <si>
    <t>2M2</t>
  </si>
  <si>
    <t>2M4/0603</t>
  </si>
  <si>
    <t>2M4</t>
  </si>
  <si>
    <t>2M7/0603</t>
  </si>
  <si>
    <t>2M7</t>
  </si>
  <si>
    <t>3M/0603</t>
  </si>
  <si>
    <t>3M</t>
  </si>
  <si>
    <t>3M3/0603</t>
  </si>
  <si>
    <t>3M3</t>
  </si>
  <si>
    <t>3M6/0603</t>
  </si>
  <si>
    <t>3M6</t>
  </si>
  <si>
    <t>3M9/0603</t>
  </si>
  <si>
    <t>3M9</t>
  </si>
  <si>
    <t>4M3/0603</t>
  </si>
  <si>
    <t>4M3</t>
  </si>
  <si>
    <t>4M7/0603</t>
  </si>
  <si>
    <t>4M7</t>
  </si>
  <si>
    <t>5M1/0603</t>
  </si>
  <si>
    <t>5M1</t>
  </si>
  <si>
    <t>5M6/0603</t>
  </si>
  <si>
    <t>5M6</t>
  </si>
  <si>
    <t>6M2/0603</t>
  </si>
  <si>
    <t>6M2</t>
  </si>
  <si>
    <t>6M8/0603</t>
  </si>
  <si>
    <t>6M8</t>
  </si>
  <si>
    <t>7M5/0603</t>
  </si>
  <si>
    <t>7M5</t>
  </si>
  <si>
    <t>8M2/0603</t>
  </si>
  <si>
    <t>8M2</t>
  </si>
  <si>
    <t>9M1/0603</t>
  </si>
  <si>
    <t>9M1</t>
  </si>
  <si>
    <t>10M/0603</t>
  </si>
  <si>
    <t>10M</t>
  </si>
  <si>
    <t>0R/0805</t>
  </si>
  <si>
    <t>R</t>
  </si>
  <si>
    <t>Altium Library database</t>
  </si>
  <si>
    <t xml:space="preserve">This spreadsheet contains the database for the daniw Altium library. </t>
  </si>
  <si>
    <t xml:space="preserve">Columns: </t>
  </si>
  <si>
    <t xml:space="preserve">Sheets: </t>
  </si>
  <si>
    <t>L</t>
  </si>
  <si>
    <t>C</t>
  </si>
  <si>
    <t>D</t>
  </si>
  <si>
    <t>CON</t>
  </si>
  <si>
    <t>Resistors</t>
  </si>
  <si>
    <t>Capacitors</t>
  </si>
  <si>
    <t>Inductors including CMC</t>
  </si>
  <si>
    <t>Diodes</t>
  </si>
  <si>
    <t>Unique part number for each part</t>
  </si>
  <si>
    <t>Comment to be displayed on schematic</t>
  </si>
  <si>
    <t>Description with more information about the type of component</t>
  </si>
  <si>
    <t>Package name</t>
  </si>
  <si>
    <t>Path to the schematic symbol</t>
  </si>
  <si>
    <t>File for the schematic symbol</t>
  </si>
  <si>
    <t>Path to the footprint</t>
  </si>
  <si>
    <t>File for the footprint</t>
  </si>
  <si>
    <t>Link to the datasheet</t>
  </si>
  <si>
    <t>Manufacturer for supplier option 1</t>
  </si>
  <si>
    <t>Supplier for supplier option 1</t>
  </si>
  <si>
    <t>Manufacturer part number for supplier option 1</t>
  </si>
  <si>
    <t>Supplier part number for supplier option 1</t>
  </si>
  <si>
    <t>Manufacturer for supplier option 2</t>
  </si>
  <si>
    <t>Manufacturer part number for supplier option 2</t>
  </si>
  <si>
    <t>Supplier for supplier option 2</t>
  </si>
  <si>
    <t>Supplier part number for supplier option 2</t>
  </si>
  <si>
    <t>Library configuration</t>
  </si>
  <si>
    <t>Resistor symbol</t>
  </si>
  <si>
    <t>Inductor symbol</t>
  </si>
  <si>
    <t>Resistor symbol list</t>
  </si>
  <si>
    <t>Capacitor symbol list</t>
  </si>
  <si>
    <t>Inductor symbol list</t>
  </si>
  <si>
    <t>Capacitor symbol</t>
  </si>
  <si>
    <t>Logic symbol</t>
  </si>
  <si>
    <t>Start</t>
  </si>
  <si>
    <t>Config</t>
  </si>
  <si>
    <t>Configuration of schematic symbol drawing style</t>
  </si>
  <si>
    <t>General information about the library</t>
  </si>
  <si>
    <t>PCB/SMT_CHIP.PcbLib</t>
  </si>
  <si>
    <t>R0603-0.40-WW</t>
  </si>
  <si>
    <t>SCH/R_IEC.SchLib</t>
  </si>
  <si>
    <t>SCH/R_ANSI.SchLib</t>
  </si>
  <si>
    <t>Connector symbol</t>
  </si>
  <si>
    <t>SCH/Con_Box.SchLib</t>
  </si>
  <si>
    <t>Connectors</t>
  </si>
  <si>
    <t>Logic</t>
  </si>
  <si>
    <t>Module</t>
  </si>
  <si>
    <t>Modules</t>
  </si>
  <si>
    <t>Integrated</t>
  </si>
  <si>
    <t>Integrated Circuits of any kind</t>
  </si>
  <si>
    <t xml:space="preserve">CAP SM 0603 1.0pF 50V C0G </t>
  </si>
  <si>
    <t>1.0pF</t>
  </si>
  <si>
    <t>CAP0603_C0G</t>
  </si>
  <si>
    <t>https://www.yageo.com/upload/media/product/productsearch/datasheet/mlcc/UPY-GP_NP0_16V-to-50V_18.pdf</t>
  </si>
  <si>
    <t>YAGEO</t>
  </si>
  <si>
    <t>CC0603CRNPO9BN1R0</t>
  </si>
  <si>
    <t>311-1049-1-ND</t>
  </si>
  <si>
    <t>CC0603BRNPO9BN1R0</t>
  </si>
  <si>
    <t>311-3346-1-ND</t>
  </si>
  <si>
    <t xml:space="preserve">CAP SM 0603 1.2pF 50V C0G </t>
  </si>
  <si>
    <t>1.2pF</t>
  </si>
  <si>
    <t>CC0603CRNPO9BN1R2</t>
  </si>
  <si>
    <t>311-3851-1-ND</t>
  </si>
  <si>
    <t>CC0603BRNPO9BN1R2</t>
  </si>
  <si>
    <t>311-3825-1-ND</t>
  </si>
  <si>
    <t xml:space="preserve">CAP SM 0603 1.5pF 50V C0G </t>
  </si>
  <si>
    <t>1.5pF</t>
  </si>
  <si>
    <t>CC0603CRNPO9BN1R5</t>
  </si>
  <si>
    <t>311-1050-1-ND</t>
  </si>
  <si>
    <t>CC0603BRNPO9BN1R5</t>
  </si>
  <si>
    <t>311-1737-1-ND</t>
  </si>
  <si>
    <t xml:space="preserve">CAP SM 0603 1.8pF 50V C0G </t>
  </si>
  <si>
    <t>1.8pF</t>
  </si>
  <si>
    <t>CC0603CRNPO9BN1R8</t>
  </si>
  <si>
    <t>311-3852-1-ND</t>
  </si>
  <si>
    <t>CC0603BRNPO9BN1R8</t>
  </si>
  <si>
    <t>311-3826-1-ND</t>
  </si>
  <si>
    <t xml:space="preserve">CAP SM 0603 2.2pF 50V C0G </t>
  </si>
  <si>
    <t>2.2pF</t>
  </si>
  <si>
    <t>CC0603CRNPO9BN2R2</t>
  </si>
  <si>
    <t>311-1739-1-ND</t>
  </si>
  <si>
    <t>CC0603DRNPO9BN2R2</t>
  </si>
  <si>
    <t>311-3870-1-ND</t>
  </si>
  <si>
    <t xml:space="preserve">CAP SM 0603 2.7pF 50V C0G </t>
  </si>
  <si>
    <t>2.7pF</t>
  </si>
  <si>
    <t>CC0603CRNPO9BN2R7</t>
  </si>
  <si>
    <t>311-3854-1-ND</t>
  </si>
  <si>
    <t>CC0603BRNPO9BN2R7</t>
  </si>
  <si>
    <t>311-3830-1-ND</t>
  </si>
  <si>
    <t xml:space="preserve">CAP SM 0603 3.3pF 50V C0G </t>
  </si>
  <si>
    <t>3.3pF</t>
  </si>
  <si>
    <t>CC0603CRNPO9BN3R3</t>
  </si>
  <si>
    <t>311-3855-1-ND</t>
  </si>
  <si>
    <t>CC0603BRNPO9BN3R3</t>
  </si>
  <si>
    <t>311-3832-1-ND</t>
  </si>
  <si>
    <t xml:space="preserve">CAP SM 0603 3.9pF 50V C0G </t>
  </si>
  <si>
    <t>3.9pF</t>
  </si>
  <si>
    <t>CC0603CRNPO9BN3R9</t>
  </si>
  <si>
    <t>311-3857-1-ND</t>
  </si>
  <si>
    <t>CC0603BRNPO9BN3R9</t>
  </si>
  <si>
    <t>311-3834-1-ND</t>
  </si>
  <si>
    <t xml:space="preserve">CAP SM 0603 4.7pF 50V C0G </t>
  </si>
  <si>
    <t>4.7pF</t>
  </si>
  <si>
    <t>CC0603CRNPO9BN4R7</t>
  </si>
  <si>
    <t>311-1740-1-ND</t>
  </si>
  <si>
    <t>CC0603DRNPO9BN4R7</t>
  </si>
  <si>
    <t>13-CC0603DRNPO9BN4R7CT-ND</t>
  </si>
  <si>
    <t xml:space="preserve">CAP SM 0603 5.6pF 50V C0G </t>
  </si>
  <si>
    <t>5.6pF</t>
  </si>
  <si>
    <t>CC0603DRNPO9BN5R6</t>
  </si>
  <si>
    <t>311-3872-1-ND</t>
  </si>
  <si>
    <t>CC0603CRNPO9BN5R6</t>
  </si>
  <si>
    <t>311-1741-1-ND</t>
  </si>
  <si>
    <t xml:space="preserve">CAP SM 0603 6.8pF 50V C0G </t>
  </si>
  <si>
    <t>6.8pF</t>
  </si>
  <si>
    <t>CC0603DRNPO9BN6R8</t>
  </si>
  <si>
    <t>311-3874-1-ND</t>
  </si>
  <si>
    <t>CC0603CRNPO9BN6R8</t>
  </si>
  <si>
    <t>311-3861-1-ND</t>
  </si>
  <si>
    <t xml:space="preserve">CAP SM 0603 8.2pF 50V C0G </t>
  </si>
  <si>
    <t>8.2pF</t>
  </si>
  <si>
    <t>CC0603DRNPO9BN8R2</t>
  </si>
  <si>
    <t>311-1742-1-ND</t>
  </si>
  <si>
    <t>CC0603JRNPO9BN8R2</t>
  </si>
  <si>
    <t>311-3977-1-ND</t>
  </si>
  <si>
    <t>10P/0603/50V/C0G</t>
  </si>
  <si>
    <t xml:space="preserve">CAP SM 0603 10pF 50V C0G </t>
  </si>
  <si>
    <t>10pF</t>
  </si>
  <si>
    <t>CC0603JRNPO9BN100</t>
  </si>
  <si>
    <t>311-1058-1-ND</t>
  </si>
  <si>
    <t>CC0603KRNPO9BN100</t>
  </si>
  <si>
    <t>311-4025-1-ND</t>
  </si>
  <si>
    <t>12P/0603/50V/C0G</t>
  </si>
  <si>
    <t xml:space="preserve">CAP SM 0603 12pF 50V C0G </t>
  </si>
  <si>
    <t>12pF</t>
  </si>
  <si>
    <t>CC0603JRNPO9BN120</t>
  </si>
  <si>
    <t>311-1059-1-ND</t>
  </si>
  <si>
    <t>CC0603KRNPO9BN120</t>
  </si>
  <si>
    <t>311-4027-1-ND</t>
  </si>
  <si>
    <t>15P/0603/50V/C0G</t>
  </si>
  <si>
    <t xml:space="preserve">CAP SM 0603 15pF 50V C0G </t>
  </si>
  <si>
    <t>15pF</t>
  </si>
  <si>
    <t>CC0603JRNPO9BN150</t>
  </si>
  <si>
    <t>311-1060-1-ND</t>
  </si>
  <si>
    <t>CC0603KRNPO9BN150</t>
  </si>
  <si>
    <t>311-4028-1-ND</t>
  </si>
  <si>
    <t>18P/0603/50V/C0G</t>
  </si>
  <si>
    <t xml:space="preserve">CAP SM 0603 18pF 50V C0G </t>
  </si>
  <si>
    <t>18pF</t>
  </si>
  <si>
    <t>CC0603JRNPO9BN180</t>
  </si>
  <si>
    <t>311-1061-1-ND</t>
  </si>
  <si>
    <t>CC0603KRNPO9BN180</t>
  </si>
  <si>
    <t>13-CC0603KRNPO9BN180CT-ND</t>
  </si>
  <si>
    <t>22P/0603/50V/C0G</t>
  </si>
  <si>
    <t xml:space="preserve">CAP SM 0603 22pF 50V C0G </t>
  </si>
  <si>
    <t>22pF</t>
  </si>
  <si>
    <t>CC0603JRNPO9BN220</t>
  </si>
  <si>
    <t>311-1062-1-ND</t>
  </si>
  <si>
    <t>CC0603KRNPO9BN220</t>
  </si>
  <si>
    <t>311-4030-1-ND</t>
  </si>
  <si>
    <t>27P/0603/50V/C0G</t>
  </si>
  <si>
    <t xml:space="preserve">CAP SM 0603 27pF 50V C0G </t>
  </si>
  <si>
    <t>27pF</t>
  </si>
  <si>
    <t>CC0603JRNPO9BN270</t>
  </si>
  <si>
    <t>311-1063-1-ND</t>
  </si>
  <si>
    <t>CC0603KRNPO9BN270</t>
  </si>
  <si>
    <t>311-4032-1-ND</t>
  </si>
  <si>
    <t>33P/0603/50V/C0G</t>
  </si>
  <si>
    <t xml:space="preserve">CAP SM 0603 33pF 50V C0G </t>
  </si>
  <si>
    <t>33pF</t>
  </si>
  <si>
    <t>CC0603JRNPO9BN330</t>
  </si>
  <si>
    <t>311-1064-1-ND</t>
  </si>
  <si>
    <t>CC0603KRNPO9BN330</t>
  </si>
  <si>
    <t>311-4034-1-ND</t>
  </si>
  <si>
    <t>39P/0603/50V/C0G</t>
  </si>
  <si>
    <t xml:space="preserve">CAP SM 0603 39pF 50V C0G </t>
  </si>
  <si>
    <t>39pF</t>
  </si>
  <si>
    <t>CC0603JRNPO9BN390</t>
  </si>
  <si>
    <t>311-1774-1-ND</t>
  </si>
  <si>
    <t>CC0603KRNPO9BN390</t>
  </si>
  <si>
    <t>13-CC0603KRNPO9BN390CT-ND</t>
  </si>
  <si>
    <t>47P/0603/50V/C0G</t>
  </si>
  <si>
    <t xml:space="preserve">CAP SM 0603 47pF 50V C0G </t>
  </si>
  <si>
    <t>47pF</t>
  </si>
  <si>
    <t>CC0603JRNPO9BN470</t>
  </si>
  <si>
    <t>311-1065-1-ND</t>
  </si>
  <si>
    <t>CC0603KRNPO9BN470</t>
  </si>
  <si>
    <t>311-4037-1-ND</t>
  </si>
  <si>
    <t>56P/0603/50V/C0G</t>
  </si>
  <si>
    <t xml:space="preserve">CAP SM 0603 56pF 50V C0G </t>
  </si>
  <si>
    <t>56pF</t>
  </si>
  <si>
    <t>CC0603JRNPO9BN560</t>
  </si>
  <si>
    <t>311-1066-1-ND</t>
  </si>
  <si>
    <t>CC0603GRNPO9BN560</t>
  </si>
  <si>
    <t>311-3936-1-ND</t>
  </si>
  <si>
    <t>68P/0603/50V/C0G</t>
  </si>
  <si>
    <t xml:space="preserve">CAP SM 0603 68pF 50V C0G </t>
  </si>
  <si>
    <t>68pF</t>
  </si>
  <si>
    <t>CC0603JRNPO9BN680</t>
  </si>
  <si>
    <t>311-1067-1-ND</t>
  </si>
  <si>
    <t>CC0603KRNPO9BN680</t>
  </si>
  <si>
    <t>311-4039-1-ND</t>
  </si>
  <si>
    <t>82P/0603/50V/C0G</t>
  </si>
  <si>
    <t xml:space="preserve">CAP SM 0603 82pF 50V C0G </t>
  </si>
  <si>
    <t>82pF</t>
  </si>
  <si>
    <t>CC0603JRNPO9BN820</t>
  </si>
  <si>
    <t>311-1068-1-ND</t>
  </si>
  <si>
    <t>CC0603GRNPO9BN820</t>
  </si>
  <si>
    <t>311-3940-1-ND</t>
  </si>
  <si>
    <t>100P/0603/50V/C0G</t>
  </si>
  <si>
    <t xml:space="preserve">CAP SM 0603 100pF 50V C0G </t>
  </si>
  <si>
    <t>100pF</t>
  </si>
  <si>
    <t>CC0603JRNPO9BN101</t>
  </si>
  <si>
    <t>311-1069-1-ND</t>
  </si>
  <si>
    <t>CC0603KRNPO9BN101</t>
  </si>
  <si>
    <t>311-3600-1-ND</t>
  </si>
  <si>
    <t>120P/0603/50V/C0G</t>
  </si>
  <si>
    <t xml:space="preserve">CAP SM 0603 120pF 50V C0G </t>
  </si>
  <si>
    <t>120pF</t>
  </si>
  <si>
    <t>CC0603JRNPO9BN121</t>
  </si>
  <si>
    <t>311-1070-1-ND</t>
  </si>
  <si>
    <t>CC0603GRNPO9BN121</t>
  </si>
  <si>
    <t>311-3918-1-ND</t>
  </si>
  <si>
    <t>150P/0603/50V/C0G</t>
  </si>
  <si>
    <t xml:space="preserve">CAP SM 0603 150pF 50V C0G </t>
  </si>
  <si>
    <t>150pF</t>
  </si>
  <si>
    <t>CC0603JRNPO9BN151</t>
  </si>
  <si>
    <t>311-1071-1-ND</t>
  </si>
  <si>
    <t>CC0603KRNPO9BN151</t>
  </si>
  <si>
    <t>311-4029-1-ND</t>
  </si>
  <si>
    <t>180P/0603/50V/C0G</t>
  </si>
  <si>
    <t xml:space="preserve">CAP SM 0603 180pF 50V C0G </t>
  </si>
  <si>
    <t>180pF</t>
  </si>
  <si>
    <t>CC0603JRNPO9BN181</t>
  </si>
  <si>
    <t>311-1072-1-ND</t>
  </si>
  <si>
    <t>CC0603GRNPO9BN181</t>
  </si>
  <si>
    <t>311-3923-1-ND</t>
  </si>
  <si>
    <t>220P/0603/50V/C0G</t>
  </si>
  <si>
    <t xml:space="preserve">CAP SM 0603 220pF 50V C0G </t>
  </si>
  <si>
    <t>220pF</t>
  </si>
  <si>
    <t>CC0603JRNPO9BN221</t>
  </si>
  <si>
    <t>311-1073-1-ND</t>
  </si>
  <si>
    <t>CC0603KRNPO9BN221</t>
  </si>
  <si>
    <t>311-4031-1-ND</t>
  </si>
  <si>
    <t>270P/0603/50V/C0G</t>
  </si>
  <si>
    <t xml:space="preserve">CAP SM 0603 270pF 50V C0G </t>
  </si>
  <si>
    <t>270pF</t>
  </si>
  <si>
    <t>CC0603JRNPO9BN271</t>
  </si>
  <si>
    <t>311-1074-1-ND</t>
  </si>
  <si>
    <t>CC0603KRNPO9BN271</t>
  </si>
  <si>
    <t>311-4033-1-ND</t>
  </si>
  <si>
    <t>330P/0603/50V/C0G</t>
  </si>
  <si>
    <t xml:space="preserve">CAP SM 0603 330pF 50V C0G </t>
  </si>
  <si>
    <t>330pF</t>
  </si>
  <si>
    <t>CC0603JRNPO9BN331</t>
  </si>
  <si>
    <t>311-1075-1-ND</t>
  </si>
  <si>
    <t>CC0603KRNPO9BN331</t>
  </si>
  <si>
    <t>311-4035-1-ND</t>
  </si>
  <si>
    <t>390P/0603/50V/C0G</t>
  </si>
  <si>
    <t xml:space="preserve">CAP SM 0603 390pF 50V C0G </t>
  </si>
  <si>
    <t>390pF</t>
  </si>
  <si>
    <t>CC0603JRNPO9BN391</t>
  </si>
  <si>
    <t>311-1076-1-ND</t>
  </si>
  <si>
    <t>CC0603KRNPO9BN391</t>
  </si>
  <si>
    <t>311-4036-1-ND</t>
  </si>
  <si>
    <t>470P/0603/50V/C0G</t>
  </si>
  <si>
    <t xml:space="preserve">CAP SM 0603 470pF 50V C0G </t>
  </si>
  <si>
    <t>470pF</t>
  </si>
  <si>
    <t>CC0603JRNPO9BN471</t>
  </si>
  <si>
    <t>311-1520-1-ND</t>
  </si>
  <si>
    <t>CC0603KRNPO9BN471</t>
  </si>
  <si>
    <t>311-4038-1-ND</t>
  </si>
  <si>
    <t>560P/0603/50V/C0G</t>
  </si>
  <si>
    <t xml:space="preserve">CAP SM 0603 560pF 50V C0G </t>
  </si>
  <si>
    <t>560pF</t>
  </si>
  <si>
    <t>CC0603JRNPO9BN561</t>
  </si>
  <si>
    <t>311-3359-1-ND</t>
  </si>
  <si>
    <t>CC0603GRNPO9BN561</t>
  </si>
  <si>
    <t>311-3937-1-ND</t>
  </si>
  <si>
    <t>680P/0603/50V/C0G</t>
  </si>
  <si>
    <t xml:space="preserve">CAP SM 0603 680pF 50V C0G </t>
  </si>
  <si>
    <t>680pF</t>
  </si>
  <si>
    <t>CC0603JRNPO9BN681</t>
  </si>
  <si>
    <t>311-1425-1-ND</t>
  </si>
  <si>
    <t>CC0603GRNPO9BN681</t>
  </si>
  <si>
    <t>311-3939-1-ND</t>
  </si>
  <si>
    <t>820P/0603/50V/C0G</t>
  </si>
  <si>
    <t xml:space="preserve">CAP SM 0603 820pF 50V C0G </t>
  </si>
  <si>
    <t>820pF</t>
  </si>
  <si>
    <t>CC0603JRNPO9BN821</t>
  </si>
  <si>
    <t>311-1775-1-ND</t>
  </si>
  <si>
    <t>CC0603GRNPO9BN821</t>
  </si>
  <si>
    <t>311-3941-1-ND</t>
  </si>
  <si>
    <t xml:space="preserve">CAP SM 0603 1.0nF 50V C0G </t>
  </si>
  <si>
    <t>1.0nF</t>
  </si>
  <si>
    <t>CC0603JRNPO9BN102</t>
  </si>
  <si>
    <t>311-1423-1-ND</t>
  </si>
  <si>
    <t>CC0603KRNPO9BN102</t>
  </si>
  <si>
    <t>311-4026-1-ND</t>
  </si>
  <si>
    <t xml:space="preserve">CAP SM 0603 1.2nF 50V C0G </t>
  </si>
  <si>
    <t>1.2nF</t>
  </si>
  <si>
    <t>CC0603JRNPO9BN122</t>
  </si>
  <si>
    <t>311-3962-1-ND</t>
  </si>
  <si>
    <t>CC0603GRNPO9BN122</t>
  </si>
  <si>
    <t>13-CC0603GRNPO9BN122CT-ND</t>
  </si>
  <si>
    <t xml:space="preserve">CAP SM 0603 1.5nF 50V C0G </t>
  </si>
  <si>
    <t>1.5nF</t>
  </si>
  <si>
    <t>CC0603JRNPO9BN152</t>
  </si>
  <si>
    <t>311-1768-1-ND</t>
  </si>
  <si>
    <t>CC0603GRNPO9BN152</t>
  </si>
  <si>
    <t>13-CC0603GRNPO9BN152CT-ND</t>
  </si>
  <si>
    <t xml:space="preserve">CAP SM 0603 1.8nF 50V C0G </t>
  </si>
  <si>
    <t>1.8nF</t>
  </si>
  <si>
    <t>CC0603JRNPO9BN182</t>
  </si>
  <si>
    <t>311-1769-1-ND</t>
  </si>
  <si>
    <t xml:space="preserve">CAP SM 0603 2.2nF 50V C0G </t>
  </si>
  <si>
    <t>2.2nF</t>
  </si>
  <si>
    <t>CC0603JRNPO9BN222</t>
  </si>
  <si>
    <t>311-1771-1-ND</t>
  </si>
  <si>
    <t>CC0603FRNPO9BN222</t>
  </si>
  <si>
    <t>13-CC0603FRNPO9BN222CT-ND</t>
  </si>
  <si>
    <t xml:space="preserve">CAP SM 0603 2.7nF 50V C0G </t>
  </si>
  <si>
    <t>2.7nF</t>
  </si>
  <si>
    <t>CC0603JRNPO9BN272</t>
  </si>
  <si>
    <t>311-1773-1-ND</t>
  </si>
  <si>
    <t>CC0603GRNPO9BN272</t>
  </si>
  <si>
    <t>13-CC0603GRNPO9BN272CT-ND</t>
  </si>
  <si>
    <t xml:space="preserve">CAP SM 0603 3.3nF 50V C0G </t>
  </si>
  <si>
    <t>3.3nF</t>
  </si>
  <si>
    <t>CC0603JRNPO9BN332</t>
  </si>
  <si>
    <t>311-3968-1-ND</t>
  </si>
  <si>
    <t>CC0603FRNPO9BN332</t>
  </si>
  <si>
    <t>13-CC0603FRNPO9BN332CT-ND</t>
  </si>
  <si>
    <t xml:space="preserve">CAP SM 0603 3.9nF 50V C0G </t>
  </si>
  <si>
    <t>3.9nF</t>
  </si>
  <si>
    <t>CC0603JRNPO9BN392</t>
  </si>
  <si>
    <t>13-CC0603JRNPO9BN392CT-ND</t>
  </si>
  <si>
    <t xml:space="preserve">CAP SM 0603 4.7nF 50V C0G </t>
  </si>
  <si>
    <t>4.7nF</t>
  </si>
  <si>
    <t>CC0603JRNPO9BN472</t>
  </si>
  <si>
    <t>13-CC0603JRNPO9BN472CT-ND</t>
  </si>
  <si>
    <t xml:space="preserve">CAP SM 0603 6.8nF 50V C0G </t>
  </si>
  <si>
    <t>6.8nF</t>
  </si>
  <si>
    <t>CC0603JRNPO9BN682</t>
  </si>
  <si>
    <t>13-CC0603JRNPO9BN682CT-ND</t>
  </si>
  <si>
    <t>10N/0603/50V/C0G</t>
  </si>
  <si>
    <t xml:space="preserve">CAP SM 0603 10nF 50V C0G </t>
  </si>
  <si>
    <t>10nF</t>
  </si>
  <si>
    <t>CC0603JRNPO9BN103</t>
  </si>
  <si>
    <t>311-3960-1-ND</t>
  </si>
  <si>
    <t>100P/0603/50V/X7R</t>
  </si>
  <si>
    <t xml:space="preserve">CAP SM 0603 100pF 50V X7R </t>
  </si>
  <si>
    <t>CAP0603_X7R</t>
  </si>
  <si>
    <t>https://www.yageo.com/upload/media/product/app/datasheet/mlcc/upy-gphc_x7r_6_3v-to-250v.pdf</t>
  </si>
  <si>
    <t>CC0603KPX7R9BB101</t>
  </si>
  <si>
    <t>13-CC0603KPX7R9BB101CT-ND</t>
  </si>
  <si>
    <t>CC0603KRX7R9BB101</t>
  </si>
  <si>
    <t>311-3601-1-ND</t>
  </si>
  <si>
    <t>120P/0603/50V/X7R</t>
  </si>
  <si>
    <t xml:space="preserve">CAP SM 0603 120pF 50V X7R </t>
  </si>
  <si>
    <t>CC0603KRX7R9BB121</t>
  </si>
  <si>
    <t>311-4094-1-ND</t>
  </si>
  <si>
    <t>150P/0603/50V/X7R</t>
  </si>
  <si>
    <t xml:space="preserve">CAP SM 0603 150pF 50V X7R </t>
  </si>
  <si>
    <t>CC0603KRX7R9BB151</t>
  </si>
  <si>
    <t>311-4095-1-ND</t>
  </si>
  <si>
    <t>CC0603JRX7R9BB151</t>
  </si>
  <si>
    <t>13-CC0603JRX7R9BB151CT-ND</t>
  </si>
  <si>
    <t>180P/0603/50V/X7R</t>
  </si>
  <si>
    <t xml:space="preserve">CAP SM 0603 180pF 50V X7R </t>
  </si>
  <si>
    <t>CC0603KRX7R9BB181</t>
  </si>
  <si>
    <t>311-4096-1-ND</t>
  </si>
  <si>
    <t>CC0603JRX7R9BB181</t>
  </si>
  <si>
    <t>13-CC0603JRX7R9BB181CT-ND</t>
  </si>
  <si>
    <t>220P/0603/50V/X7R</t>
  </si>
  <si>
    <t xml:space="preserve">CAP SM 0603 220pF 50V X7R </t>
  </si>
  <si>
    <t>CC0603KPX7R9BB221</t>
  </si>
  <si>
    <t>13-CC0603KPX7R9BB221CT-ND</t>
  </si>
  <si>
    <t>CC0603KRX7R9BB221</t>
  </si>
  <si>
    <t>311-1077-1-ND</t>
  </si>
  <si>
    <t>270P/0603/50V/X7R</t>
  </si>
  <si>
    <t xml:space="preserve">CAP SM 0603 270pF 50V X7R </t>
  </si>
  <si>
    <t>CC0603KRX7R9BB271</t>
  </si>
  <si>
    <t>311-1185-1-ND</t>
  </si>
  <si>
    <t>CC0603JRX7R9BB271</t>
  </si>
  <si>
    <t>13-CC0603JRX7R9BB271CT-ND</t>
  </si>
  <si>
    <t>330P/0603/50V/X7R</t>
  </si>
  <si>
    <t xml:space="preserve">CAP SM 0603 330pF 50V X7R </t>
  </si>
  <si>
    <t>CC0603KPX7R9BB331</t>
  </si>
  <si>
    <t>13-CC0603KPX7R9BB331CT-ND</t>
  </si>
  <si>
    <t>CC0603KRX7R9BB331</t>
  </si>
  <si>
    <t>311-1186-1-ND</t>
  </si>
  <si>
    <t>390P/0603/50V/X7R</t>
  </si>
  <si>
    <t xml:space="preserve">CAP SM 0603 390pF 50V X7R </t>
  </si>
  <si>
    <t>CC0603KPX7R9BB391</t>
  </si>
  <si>
    <t>13-CC0603KPX7R9BB391CT-ND</t>
  </si>
  <si>
    <t>CC0603KRX7R9BB391</t>
  </si>
  <si>
    <t>311-1187-1-ND</t>
  </si>
  <si>
    <t>470P/0603/50V/X7R</t>
  </si>
  <si>
    <t xml:space="preserve">CAP SM 0603 470pF 50V X7R </t>
  </si>
  <si>
    <t>CC0603KPX7R9BB471</t>
  </si>
  <si>
    <t>13-CC0603KPX7R9BB471CT-ND</t>
  </si>
  <si>
    <t>CC0603KRX7R9BB471</t>
  </si>
  <si>
    <t>311-1078-1-ND</t>
  </si>
  <si>
    <t>560P/0603/50V/X7R</t>
  </si>
  <si>
    <t xml:space="preserve">CAP SM 0603 560pF 50V X7R </t>
  </si>
  <si>
    <t>CC0603KPX7R9BB561</t>
  </si>
  <si>
    <t>13-CC0603KPX7R9BB561CT-ND</t>
  </si>
  <si>
    <t>CC0603KRX7R9BB561</t>
  </si>
  <si>
    <t>311-1079-1-ND</t>
  </si>
  <si>
    <t>680P/0603/50V/X7R</t>
  </si>
  <si>
    <t xml:space="preserve">CAP SM 0603 680pF 50V X7R </t>
  </si>
  <si>
    <t>CC0603KPX7R9BB681</t>
  </si>
  <si>
    <t>13-CC0603KPX7R9BB681CT-ND</t>
  </si>
  <si>
    <t>CC0603KRX7R9BB681</t>
  </si>
  <si>
    <t>311-1188-1-ND</t>
  </si>
  <si>
    <t>820P/0603/50V/X7R</t>
  </si>
  <si>
    <t xml:space="preserve">CAP SM 0603 820pF 50V X7R </t>
  </si>
  <si>
    <t>CC0603KRX7R9BB821</t>
  </si>
  <si>
    <t>311-1189-1-ND</t>
  </si>
  <si>
    <t>CC0603JRX7R9BB821</t>
  </si>
  <si>
    <t>311-4023-1-ND</t>
  </si>
  <si>
    <t xml:space="preserve">CAP SM 0603 1.0nF 50V X7R </t>
  </si>
  <si>
    <t>CC0603KPX7R9BB102</t>
  </si>
  <si>
    <t>13-CC0603KPX7R9BB102CT-ND</t>
  </si>
  <si>
    <t>CC0603KRX7R9BB102</t>
  </si>
  <si>
    <t>311-1080-1-ND</t>
  </si>
  <si>
    <t xml:space="preserve">CAP SM 0603 1.2nF 50V X7R </t>
  </si>
  <si>
    <t>CC0603KPX7R9BB122</t>
  </si>
  <si>
    <t>13-CC0603KPX7R9BB122CT-ND</t>
  </si>
  <si>
    <t>CC0603KRX7R9BB122</t>
  </si>
  <si>
    <t>311-1806-1-ND</t>
  </si>
  <si>
    <t xml:space="preserve">CAP SM 0603 1.5nF 50V X7R </t>
  </si>
  <si>
    <t>CC0603KRX7R9BB152</t>
  </si>
  <si>
    <t>311-1184-1-ND</t>
  </si>
  <si>
    <t>CC0603JRX7R9BB152</t>
  </si>
  <si>
    <t>311-4006-1-ND</t>
  </si>
  <si>
    <t xml:space="preserve">CAP SM 0603 1.8nF 50V X7R </t>
  </si>
  <si>
    <t>CC0603KRX7R9BB182</t>
  </si>
  <si>
    <t>311-3373-1-ND</t>
  </si>
  <si>
    <t>CC0603JRX7R9BB182</t>
  </si>
  <si>
    <t>311-4007-1-ND</t>
  </si>
  <si>
    <t xml:space="preserve">CAP SM 0603 2.2nF 50V X7R </t>
  </si>
  <si>
    <t>CC0603KPX7R9BB222</t>
  </si>
  <si>
    <t>13-CC0603KPX7R9BB222CT-ND</t>
  </si>
  <si>
    <t>CC0603KRX7R9BB222</t>
  </si>
  <si>
    <t>311-1081-1-ND</t>
  </si>
  <si>
    <t xml:space="preserve">CAP SM 0603 2.7nF 50V X7R </t>
  </si>
  <si>
    <t>CC0603KRX7R9BB272</t>
  </si>
  <si>
    <t>311-1809-1-ND</t>
  </si>
  <si>
    <t>CC0603JRX7R9BB272</t>
  </si>
  <si>
    <t>311-4011-1-ND</t>
  </si>
  <si>
    <t xml:space="preserve">CAP SM 0603 3.3nF 50V X7R </t>
  </si>
  <si>
    <t>CC0603KPX7R9BB332</t>
  </si>
  <si>
    <t>13-CC0603KPX7R9BB332CT-ND</t>
  </si>
  <si>
    <t>CC0603KRX7R9BB332</t>
  </si>
  <si>
    <t>311-1082-1-ND</t>
  </si>
  <si>
    <t xml:space="preserve">CAP SM 0603 3.9nF 50V X7R </t>
  </si>
  <si>
    <t>CC0603KRX7R9BB392</t>
  </si>
  <si>
    <t>311-3630-1-ND</t>
  </si>
  <si>
    <t>CC0603JRX7R9BB392</t>
  </si>
  <si>
    <t>311-4017-1-ND</t>
  </si>
  <si>
    <t xml:space="preserve">CAP SM 0603 4.7nF 50V X7R </t>
  </si>
  <si>
    <t>CC0603KPX7R9BB472</t>
  </si>
  <si>
    <t>13-CC0603KPX7R9BB472CT-ND</t>
  </si>
  <si>
    <t>CC0603KRX7R9BB472</t>
  </si>
  <si>
    <t>311-1083-1-ND</t>
  </si>
  <si>
    <t xml:space="preserve">CAP SM 0603 5.6nF 50V X7R </t>
  </si>
  <si>
    <t>5.6nF</t>
  </si>
  <si>
    <t>CC0603KRX7R9BB562</t>
  </si>
  <si>
    <t>311-1810-1-ND</t>
  </si>
  <si>
    <t>CC0603JRX7R9BB562</t>
  </si>
  <si>
    <t>311-4021-1-ND</t>
  </si>
  <si>
    <t xml:space="preserve">CAP SM 0603 6.8nF 50V X7R </t>
  </si>
  <si>
    <t>CC0603KPX7R9BB682</t>
  </si>
  <si>
    <t>13-CC0603KPX7R9BB682CT-ND</t>
  </si>
  <si>
    <t>CC0603KRX7R9BB682</t>
  </si>
  <si>
    <t>311-1084-1-ND</t>
  </si>
  <si>
    <t xml:space="preserve">CAP SM 0603 8.2nF 50V X7R </t>
  </si>
  <si>
    <t>8.2nF</t>
  </si>
  <si>
    <t>CC0603KPX7R9BB822</t>
  </si>
  <si>
    <t>13-CC0603KPX7R9BB822CT-ND</t>
  </si>
  <si>
    <t>CC0603KRX7R9BB822</t>
  </si>
  <si>
    <t>311-1811-1-ND</t>
  </si>
  <si>
    <t>10N/0603/50V/X7R</t>
  </si>
  <si>
    <t xml:space="preserve">CAP SM 0603 10nF 50V X7R </t>
  </si>
  <si>
    <t>CC0603KPX7R9BB103</t>
  </si>
  <si>
    <t>311-1572-1-ND</t>
  </si>
  <si>
    <t>CC0603KRX7R9BB103</t>
  </si>
  <si>
    <t>311-1085-1-ND</t>
  </si>
  <si>
    <t>12N/0603/50V/X7R</t>
  </si>
  <si>
    <t xml:space="preserve">CAP SM 0603 12nF 50V X7R </t>
  </si>
  <si>
    <t>12nF</t>
  </si>
  <si>
    <t>CC0603KRX7R9BB123</t>
  </si>
  <si>
    <t>311-1807-1-ND</t>
  </si>
  <si>
    <t>CC0603JRX7R9BB123</t>
  </si>
  <si>
    <t>311-4005-1-ND</t>
  </si>
  <si>
    <t>15N/0603/50V/X7R</t>
  </si>
  <si>
    <t xml:space="preserve">CAP SM 0603 15nF 50V X7R </t>
  </si>
  <si>
    <t>15nF</t>
  </si>
  <si>
    <t>CC0603KPX7R9BB153</t>
  </si>
  <si>
    <t>13-CC0603KPX7R9BB153CT-ND</t>
  </si>
  <si>
    <t>CC0603KRX7R9BB153</t>
  </si>
  <si>
    <t>311-1430-1-ND</t>
  </si>
  <si>
    <t>18N/0603/50V/X7R</t>
  </si>
  <si>
    <t xml:space="preserve">CAP SM 0603 18nF 50V X7R </t>
  </si>
  <si>
    <t>18nF</t>
  </si>
  <si>
    <t>CC0603KRX7R9BB183</t>
  </si>
  <si>
    <t>311-1808-1-ND</t>
  </si>
  <si>
    <t>CC0603JRX7R9BB183</t>
  </si>
  <si>
    <t>311-4008-1-ND</t>
  </si>
  <si>
    <t>22N/0603/50V/X7R</t>
  </si>
  <si>
    <t xml:space="preserve">CAP SM 0603 22nF 50V X7R </t>
  </si>
  <si>
    <t>22nF</t>
  </si>
  <si>
    <t>CC0603KPX7R9BB223</t>
  </si>
  <si>
    <t>13-CC0603KPX7R9BB223CT-ND</t>
  </si>
  <si>
    <t>CC0603KRX7R9BB223</t>
  </si>
  <si>
    <t>311-1370-1-ND</t>
  </si>
  <si>
    <t>27N/0603/50V/X7R</t>
  </si>
  <si>
    <t xml:space="preserve">CAP SM 0603 27nF 50V X7R </t>
  </si>
  <si>
    <t>27nF</t>
  </si>
  <si>
    <t>CC0603KPX7R9BB273</t>
  </si>
  <si>
    <t>13-CC0603KPX7R9BB273CT-ND</t>
  </si>
  <si>
    <t>CC0603KRX7R9BB273</t>
  </si>
  <si>
    <t>311-3375-1-ND</t>
  </si>
  <si>
    <t>33N/0603/50V/X7R</t>
  </si>
  <si>
    <t xml:space="preserve">CAP SM 0603 33nF 50V X7R </t>
  </si>
  <si>
    <t>33nF</t>
  </si>
  <si>
    <t>CC0603KRX7R9BB333</t>
  </si>
  <si>
    <t>311-1429-1-ND</t>
  </si>
  <si>
    <t>CC0603JRX7R9BB333</t>
  </si>
  <si>
    <t>311-4015-1-ND</t>
  </si>
  <si>
    <t>39N/0603/50V/X7R</t>
  </si>
  <si>
    <t xml:space="preserve">CAP SM 0603 39nF 50V X7R </t>
  </si>
  <si>
    <t>39nF</t>
  </si>
  <si>
    <t>CC0603JRX7R9BB393</t>
  </si>
  <si>
    <t>13-CC0603JRX7R9BB393CT-ND</t>
  </si>
  <si>
    <t>CC0603KRX7R9BB393</t>
  </si>
  <si>
    <t>311-3551-1-ND</t>
  </si>
  <si>
    <t>47N/0603/50V/X7R</t>
  </si>
  <si>
    <t xml:space="preserve">CAP SM 0603 47nF 50V X7R </t>
  </si>
  <si>
    <t>47nF</t>
  </si>
  <si>
    <t>CC0603KPX7R9BB473</t>
  </si>
  <si>
    <t>13-CC0603KPX7R9BB473CT-ND</t>
  </si>
  <si>
    <t>CC0603KRX7R9BB473</t>
  </si>
  <si>
    <t>311-1427-1-ND</t>
  </si>
  <si>
    <t>56N/0603/50V/X7R</t>
  </si>
  <si>
    <t xml:space="preserve">CAP SM 0603 56nF 50V X7R </t>
  </si>
  <si>
    <t>56nF</t>
  </si>
  <si>
    <t>CC0603KRX7R9BB563</t>
  </si>
  <si>
    <t>311-4100-1-ND</t>
  </si>
  <si>
    <t>68N/0603/50V/X7R</t>
  </si>
  <si>
    <t xml:space="preserve">CAP SM 0603 68nF 50V X7R </t>
  </si>
  <si>
    <t>68nF</t>
  </si>
  <si>
    <t>https://www.yageo.com/upload/media/product/productsearch/datasheet/mlcc/UPY-GPHC_X7R_6.3V-to-250V_23.pdf</t>
  </si>
  <si>
    <t>CC0603KPX7R9BB683</t>
  </si>
  <si>
    <t>13-CC0603KPX7R9BB683CT-ND</t>
  </si>
  <si>
    <t>CC0603KRX7R9BB683</t>
  </si>
  <si>
    <t>311-3376-1-ND</t>
  </si>
  <si>
    <t>82N/0603/50V/X7R</t>
  </si>
  <si>
    <t xml:space="preserve">CAP SM 0603 82nF 50V X7R </t>
  </si>
  <si>
    <t>82nF</t>
  </si>
  <si>
    <t>CC0603KPX7R9BB823</t>
  </si>
  <si>
    <t>13-CC0603KPX7R9BB823CT-ND</t>
  </si>
  <si>
    <t>CC0603KRX7R9BB823</t>
  </si>
  <si>
    <t>311-4102-1-ND</t>
  </si>
  <si>
    <t>100N/0603/50V/X7R</t>
  </si>
  <si>
    <t xml:space="preserve">CAP SM 0603 100nF 50V X7R </t>
  </si>
  <si>
    <t>100nF</t>
  </si>
  <si>
    <t>CC0603KPX7R9BB104</t>
  </si>
  <si>
    <t>311-3567-1-ND</t>
  </si>
  <si>
    <t>CC0603MRX7R9BB104</t>
  </si>
  <si>
    <t>311-4110-1-ND</t>
  </si>
  <si>
    <t>120N/0603/50V/X7R</t>
  </si>
  <si>
    <t xml:space="preserve">CAP SM 0603 120nF 50V X7R </t>
  </si>
  <si>
    <t>120nF</t>
  </si>
  <si>
    <t>CC0603KRX7R9BB124</t>
  </si>
  <si>
    <t>13-CC0603KRX7R9BB124CT-ND</t>
  </si>
  <si>
    <t>150N/0603/50V/X7R</t>
  </si>
  <si>
    <t xml:space="preserve">CAP SM 0603 150nF 50V X7R </t>
  </si>
  <si>
    <t>150nF</t>
  </si>
  <si>
    <t>CC0603KRX7R9BB154</t>
  </si>
  <si>
    <t>13-CC0603KRX7R9BB154CT-ND</t>
  </si>
  <si>
    <t>CC0603JRX7R9BB154</t>
  </si>
  <si>
    <t>13-CC0603JRX7R9BB154CT-ND</t>
  </si>
  <si>
    <t>220N/0603/50V/X7R</t>
  </si>
  <si>
    <t xml:space="preserve">CAP SM 0603 220nF 50V X7R </t>
  </si>
  <si>
    <t>220nF</t>
  </si>
  <si>
    <t>CC0603JRX7R9BB224</t>
  </si>
  <si>
    <t>13-CC0603JRX7R9BB224CT-ND</t>
  </si>
  <si>
    <t>CC0603KRX7R9BB224</t>
  </si>
  <si>
    <t>311-3374-1-ND</t>
  </si>
  <si>
    <t>470N/0603/50V/X7R</t>
  </si>
  <si>
    <t xml:space="preserve">CAP SM 0603 470nF 50V X7R </t>
  </si>
  <si>
    <t>470nF</t>
  </si>
  <si>
    <t>CC0603KRX7R9BB474</t>
  </si>
  <si>
    <t>13-CC0603KRX7R9BB474CT-ND</t>
  </si>
  <si>
    <t xml:space="preserve">CAP SM 0603 1.0uF 50V X7R </t>
  </si>
  <si>
    <t>1.0uF</t>
  </si>
  <si>
    <t>CC0603KRX7R9BB105</t>
  </si>
  <si>
    <t>311-2082-1-ND</t>
  </si>
  <si>
    <t>10U/0805/16V/X7R</t>
  </si>
  <si>
    <t>CAP SM 0805 10uF 16V X7R</t>
  </si>
  <si>
    <t>10uF</t>
  </si>
  <si>
    <t>CAP0805_X7R</t>
  </si>
  <si>
    <t>https://88ce57.p3cdn1.secureserver.net/wp-content/uploads/2023/01/gmc_series-2.pdf</t>
  </si>
  <si>
    <t>Cal-Chip Electronics, Inc.</t>
  </si>
  <si>
    <t>GMC21X7R106K16NT</t>
  </si>
  <si>
    <t>4713-GMC21X7R106K16NTCT-ND</t>
  </si>
  <si>
    <t>Samsung Electro-Mechanics</t>
  </si>
  <si>
    <t>CL21B106KOQNNNE</t>
  </si>
  <si>
    <t>1276-2872-1-ND</t>
  </si>
  <si>
    <t xml:space="preserve">RES SM 0603 1R </t>
  </si>
  <si>
    <t>RC0603FR-131RL</t>
  </si>
  <si>
    <t>13-RC0603FR-131RLCT-ND</t>
  </si>
  <si>
    <t>RC0603FR-071RL</t>
  </si>
  <si>
    <t>311-1.00HRCT-ND</t>
  </si>
  <si>
    <t>1R1/0603</t>
  </si>
  <si>
    <t xml:space="preserve">RES SM 0603 1R1 </t>
  </si>
  <si>
    <t>1R1</t>
  </si>
  <si>
    <t>RC0603FR-101R1L</t>
  </si>
  <si>
    <t>13-RC0603FR-101R1LCT-ND</t>
  </si>
  <si>
    <t>RC0603FR-071R1L</t>
  </si>
  <si>
    <t>13-RC0603FR-071R1LCT-ND</t>
  </si>
  <si>
    <t xml:space="preserve">RES SM 0603 1R2 </t>
  </si>
  <si>
    <t>RC0603FR-071R2L</t>
  </si>
  <si>
    <t>13-RC0603FR-071R2LCT-ND</t>
  </si>
  <si>
    <t>1R3/0603</t>
  </si>
  <si>
    <t xml:space="preserve">RES SM 0603 1R3 </t>
  </si>
  <si>
    <t>1R3</t>
  </si>
  <si>
    <t>RC0603FR-071R3L</t>
  </si>
  <si>
    <t>13-RC0603FR-071R3LCT-ND</t>
  </si>
  <si>
    <t xml:space="preserve">RES SM 0603 1R5 </t>
  </si>
  <si>
    <t>RC0603FR-131R5L</t>
  </si>
  <si>
    <t>13-RC0603FR-131R5LCT-ND</t>
  </si>
  <si>
    <t>RC0603FR-101R5L</t>
  </si>
  <si>
    <t>13-RC0603FR-101R5LCT-ND</t>
  </si>
  <si>
    <t>1R6/0603</t>
  </si>
  <si>
    <t xml:space="preserve">RES SM 0603 1R6 </t>
  </si>
  <si>
    <t>1R6</t>
  </si>
  <si>
    <t>RC0603FR-071R6L</t>
  </si>
  <si>
    <t>13-RC0603FR-071R6LCT-ND</t>
  </si>
  <si>
    <t xml:space="preserve">RES SM 0603 1R8 </t>
  </si>
  <si>
    <t>RC0603FR-071R8L</t>
  </si>
  <si>
    <t>13-RC0603FR-071R8LCT-ND</t>
  </si>
  <si>
    <t>2R/0603</t>
  </si>
  <si>
    <t xml:space="preserve">RES SM 0603 2R </t>
  </si>
  <si>
    <t>2R</t>
  </si>
  <si>
    <t>RC0603FR-072RL</t>
  </si>
  <si>
    <t>311-2.00HRCT-ND</t>
  </si>
  <si>
    <t xml:space="preserve">RES SM 0603 2R2 </t>
  </si>
  <si>
    <t>RC0603FR-132R2L</t>
  </si>
  <si>
    <t>13-RC0603FR-132R2LCT-ND</t>
  </si>
  <si>
    <t>RC0603FR-072R2L</t>
  </si>
  <si>
    <t>311-2.2HRCT-ND</t>
  </si>
  <si>
    <t>2R4/0603</t>
  </si>
  <si>
    <t xml:space="preserve">RES SM 0603 2R4 </t>
  </si>
  <si>
    <t>2R4</t>
  </si>
  <si>
    <t>RC0603FR-072R4L</t>
  </si>
  <si>
    <t>13-RC0603FR-072R4LCT-ND</t>
  </si>
  <si>
    <t xml:space="preserve">RES SM 0603 2R7 </t>
  </si>
  <si>
    <t>RC0603FR-072R7L</t>
  </si>
  <si>
    <t>13-RC0603FR-072R7LCT-ND</t>
  </si>
  <si>
    <t>3R/0603</t>
  </si>
  <si>
    <t xml:space="preserve">RES SM 0603 3R </t>
  </si>
  <si>
    <t>3R</t>
  </si>
  <si>
    <t>RC0603FR-073RL</t>
  </si>
  <si>
    <t>13-RC0603FR-073RLCT-ND</t>
  </si>
  <si>
    <t xml:space="preserve">RES SM 0603 3R3 </t>
  </si>
  <si>
    <t>RC0603FR-133R3L</t>
  </si>
  <si>
    <t>13-RC0603FR-133R3LCT-ND</t>
  </si>
  <si>
    <t>RC0603FR-073R3L</t>
  </si>
  <si>
    <t>13-RC0603FR-073R3LCT-ND</t>
  </si>
  <si>
    <t>3R6/0603</t>
  </si>
  <si>
    <t xml:space="preserve">RES SM 0603 3R6 </t>
  </si>
  <si>
    <t>3R6</t>
  </si>
  <si>
    <t>RC0603FR-073R6L</t>
  </si>
  <si>
    <t>13-RC0603FR-073R6LCT-ND</t>
  </si>
  <si>
    <t xml:space="preserve">RES SM 0603 3R9 </t>
  </si>
  <si>
    <t>RC0603FR-073R9L</t>
  </si>
  <si>
    <t>13-RC0603FR-073R9LCT-ND</t>
  </si>
  <si>
    <t>4R3/0603</t>
  </si>
  <si>
    <t xml:space="preserve">RES SM 0603 4R3 </t>
  </si>
  <si>
    <t>4R3</t>
  </si>
  <si>
    <t>RC0603FR-074R3L</t>
  </si>
  <si>
    <t>13-RC0603FR-074R3LCT-ND</t>
  </si>
  <si>
    <t xml:space="preserve">RES SM 0603 4R7 </t>
  </si>
  <si>
    <t>RC0603FR-134R7L</t>
  </si>
  <si>
    <t>13-RC0603FR-134R7LCT-ND</t>
  </si>
  <si>
    <t>RC0603FR-104R7L</t>
  </si>
  <si>
    <t>13-RC0603FR-104R7LCT-ND</t>
  </si>
  <si>
    <t>5R1/0603</t>
  </si>
  <si>
    <t xml:space="preserve">RES SM 0603 5R1 </t>
  </si>
  <si>
    <t>5R1</t>
  </si>
  <si>
    <t>RC0603FR-135R1L</t>
  </si>
  <si>
    <t>13-RC0603FR-135R1LCT-ND</t>
  </si>
  <si>
    <t>RC0603FR-075R1L</t>
  </si>
  <si>
    <t>YAG3372CT-ND</t>
  </si>
  <si>
    <t xml:space="preserve">RES SM 0603 5R6 </t>
  </si>
  <si>
    <t>RC0603FR-105R6L</t>
  </si>
  <si>
    <t>13-RC0603FR-105R6LCT-ND</t>
  </si>
  <si>
    <t>RC0603FR-075R6L</t>
  </si>
  <si>
    <t>13-RC0603FR-075R6LCT-ND</t>
  </si>
  <si>
    <t>6R2/0603</t>
  </si>
  <si>
    <t xml:space="preserve">RES SM 0603 6R2 </t>
  </si>
  <si>
    <t>6R2</t>
  </si>
  <si>
    <t>RC0603FR-076R2L</t>
  </si>
  <si>
    <t>13-RC0603FR-076R2LCT-ND</t>
  </si>
  <si>
    <t xml:space="preserve">RES SM 0603 6R8 </t>
  </si>
  <si>
    <t>RC0603FR-136R8L</t>
  </si>
  <si>
    <t>13-RC0603FR-136R8LCT-ND</t>
  </si>
  <si>
    <t>RC0603FR-106R8L</t>
  </si>
  <si>
    <t>13-RC0603FR-106R8LCT-ND</t>
  </si>
  <si>
    <t>7R5/0603</t>
  </si>
  <si>
    <t xml:space="preserve">RES SM 0603 7R5 </t>
  </si>
  <si>
    <t>7R5</t>
  </si>
  <si>
    <t>RC0603FR-077R5L</t>
  </si>
  <si>
    <t>311-7.50HRCT-ND</t>
  </si>
  <si>
    <t xml:space="preserve">RES SM 0603 8R2 </t>
  </si>
  <si>
    <t>RC0603FR-138R2L</t>
  </si>
  <si>
    <t>13-RC0603FR-138R2LCT-ND</t>
  </si>
  <si>
    <t>RC0603FR-078R2L</t>
  </si>
  <si>
    <t>13-RC0603FR-078R2LCT-ND</t>
  </si>
  <si>
    <t>9R1/0603</t>
  </si>
  <si>
    <t xml:space="preserve">RES SM 0603 9R1 </t>
  </si>
  <si>
    <t>9R1</t>
  </si>
  <si>
    <t>RC0603FR-079R1L</t>
  </si>
  <si>
    <t>13-RC0603FR-079R1LCT-ND</t>
  </si>
  <si>
    <t xml:space="preserve">RES SM 0603 10R </t>
  </si>
  <si>
    <t>RC0603FR-1310RL</t>
  </si>
  <si>
    <t>13-RC0603FR-1310RLCT-ND</t>
  </si>
  <si>
    <t xml:space="preserve">RES SM 0603 11R </t>
  </si>
  <si>
    <t>RC0603FR-0711RL</t>
  </si>
  <si>
    <t>311-11.0HRCT-ND</t>
  </si>
  <si>
    <t xml:space="preserve">RES SM 0603 12R </t>
  </si>
  <si>
    <t>RC0603FR-1312RL</t>
  </si>
  <si>
    <t>13-RC0603FR-1312RLCT-ND</t>
  </si>
  <si>
    <t>RC0603FR-1012RL</t>
  </si>
  <si>
    <t>13-RC0603FR-1012RLCT-ND</t>
  </si>
  <si>
    <t xml:space="preserve">RES SM 0603 13R </t>
  </si>
  <si>
    <t>RC0603FR-0713RL</t>
  </si>
  <si>
    <t>311-13.0HRCT-ND</t>
  </si>
  <si>
    <t xml:space="preserve">RES SM 0603 15R </t>
  </si>
  <si>
    <t>RC0603FR-1315RL</t>
  </si>
  <si>
    <t>13-RC0603FR-1315RLCT-ND</t>
  </si>
  <si>
    <t>RC0603FR-1015RL</t>
  </si>
  <si>
    <t>13-RC0603FR-1015RLCT-ND</t>
  </si>
  <si>
    <t xml:space="preserve">RES SM 0603 16R </t>
  </si>
  <si>
    <t>RC0603FR-0716RL</t>
  </si>
  <si>
    <t>311-16.0HRCT-ND</t>
  </si>
  <si>
    <t xml:space="preserve">RES SM 0603 18R </t>
  </si>
  <si>
    <t>RC0603FR-1318RL</t>
  </si>
  <si>
    <t>13-RC0603FR-1318RLCT-ND</t>
  </si>
  <si>
    <t>RC0603FR-0718RL</t>
  </si>
  <si>
    <t>311-18.0HRCT-ND</t>
  </si>
  <si>
    <t xml:space="preserve">RES SM 0603 20R </t>
  </si>
  <si>
    <t>RC0603FR-1320RL</t>
  </si>
  <si>
    <t>13-RC0603FR-1320RLCT-ND</t>
  </si>
  <si>
    <t>RC0603FR-1020RL</t>
  </si>
  <si>
    <t>13-RC0603FR-1020RLCT-ND</t>
  </si>
  <si>
    <t xml:space="preserve">RES SM 0603 22R </t>
  </si>
  <si>
    <t>RC0603FR-1322RL</t>
  </si>
  <si>
    <t>13-RC0603FR-1322RLCT-ND</t>
  </si>
  <si>
    <t xml:space="preserve">RES SM 0603 24R </t>
  </si>
  <si>
    <t>RC0603FR-1324RL</t>
  </si>
  <si>
    <t>13-RC0603FR-1324RLCT-ND</t>
  </si>
  <si>
    <t>RC0603FR-0724RL</t>
  </si>
  <si>
    <t>311-24.0HRCT-ND</t>
  </si>
  <si>
    <t xml:space="preserve">RES SM 0603 27R </t>
  </si>
  <si>
    <t>RC0603FR-1327RL</t>
  </si>
  <si>
    <t>13-RC0603FR-1327RLCT-ND</t>
  </si>
  <si>
    <t>RC0603FR-0727RL</t>
  </si>
  <si>
    <t>311-27.0HRCT-ND</t>
  </si>
  <si>
    <t xml:space="preserve">RES SM 0603 30R </t>
  </si>
  <si>
    <t>RC0603FR-1330RL</t>
  </si>
  <si>
    <t>13-RC0603FR-1330RLCT-ND</t>
  </si>
  <si>
    <t>RC0603FR-0730RL</t>
  </si>
  <si>
    <t>311-30.0HRCT-ND</t>
  </si>
  <si>
    <t xml:space="preserve">RES SM 0603 33R </t>
  </si>
  <si>
    <t>RC0603FR-1333RL</t>
  </si>
  <si>
    <t>13-RC0603FR-1333RLCT-ND</t>
  </si>
  <si>
    <t>RC0603FR-1033RL</t>
  </si>
  <si>
    <t>13-RC0603FR-1033RLCT-ND</t>
  </si>
  <si>
    <t xml:space="preserve">RES SM 0603 36R </t>
  </si>
  <si>
    <t>RC0603FR-0736RL</t>
  </si>
  <si>
    <t>311-36.0HRCT-ND</t>
  </si>
  <si>
    <t xml:space="preserve">RES SM 0603 39R </t>
  </si>
  <si>
    <t>RC0603FR-1339RL</t>
  </si>
  <si>
    <t>13-RC0603FR-1339RLCT-ND</t>
  </si>
  <si>
    <t>RC0603FR-0739RL</t>
  </si>
  <si>
    <t>311-39.0HRCT-ND</t>
  </si>
  <si>
    <t xml:space="preserve">RES SM 0603 43R </t>
  </si>
  <si>
    <t>RC0603FR-1343RL</t>
  </si>
  <si>
    <t>13-RC0603FR-1343RLCT-ND</t>
  </si>
  <si>
    <t>RC0603FR-0743RL</t>
  </si>
  <si>
    <t>311-43.0HRCT-ND</t>
  </si>
  <si>
    <t xml:space="preserve">RES SM 0603 47R </t>
  </si>
  <si>
    <t>RC0603FR-1347RL</t>
  </si>
  <si>
    <t>13-RC0603FR-1347RLCT-ND</t>
  </si>
  <si>
    <t>RC0603FR-1047RL</t>
  </si>
  <si>
    <t>13-RC0603FR-1047RLCT-ND</t>
  </si>
  <si>
    <t xml:space="preserve">RES SM 0603 51R </t>
  </si>
  <si>
    <t>RC0603FR-1351RL</t>
  </si>
  <si>
    <t>13-RC0603FR-1351RLCT-ND</t>
  </si>
  <si>
    <t>RC0603FR-1051RL</t>
  </si>
  <si>
    <t>13-RC0603FR-1051RLCT-ND</t>
  </si>
  <si>
    <t xml:space="preserve">RES SM 0603 56R </t>
  </si>
  <si>
    <t>RC0603FR-1356RL</t>
  </si>
  <si>
    <t>13-RC0603FR-1356RLCT-ND</t>
  </si>
  <si>
    <t>RC0603FR-1056RL</t>
  </si>
  <si>
    <t>13-RC0603FR-1056RLCT-ND</t>
  </si>
  <si>
    <t xml:space="preserve">RES SM 0603 62R </t>
  </si>
  <si>
    <t>RC0603FR-1362RL</t>
  </si>
  <si>
    <t>13-RC0603FR-1362RLCT-ND</t>
  </si>
  <si>
    <t>RC0603FR-1062RL</t>
  </si>
  <si>
    <t>13-RC0603FR-1062RLCT-ND</t>
  </si>
  <si>
    <t xml:space="preserve">RES SM 0603 68R </t>
  </si>
  <si>
    <t>RC0603FR-1368RL</t>
  </si>
  <si>
    <t>13-RC0603FR-1368RLCT-ND</t>
  </si>
  <si>
    <t>RC0603FR-1068RL</t>
  </si>
  <si>
    <t>13-RC0603FR-1068RLCT-ND</t>
  </si>
  <si>
    <t xml:space="preserve">RES SM 0603 75R </t>
  </si>
  <si>
    <t>RC0603FR-1375RL</t>
  </si>
  <si>
    <t>13-RC0603FR-1375RLCT-ND</t>
  </si>
  <si>
    <t>RC0603FR-1075RL</t>
  </si>
  <si>
    <t>13-RC0603FR-1075RLCT-ND</t>
  </si>
  <si>
    <t xml:space="preserve">RES SM 0603 82R </t>
  </si>
  <si>
    <t>RC0603FR-1382RL</t>
  </si>
  <si>
    <t>13-RC0603FR-1382RLCT-ND</t>
  </si>
  <si>
    <t>RC0603FR-1082RL</t>
  </si>
  <si>
    <t>13-RC0603FR-1082RLCT-ND</t>
  </si>
  <si>
    <t xml:space="preserve">RES SM 0603 91R </t>
  </si>
  <si>
    <t>RC0603FR-1391RL</t>
  </si>
  <si>
    <t>13-RC0603FR-1391RLCT-ND</t>
  </si>
  <si>
    <t>RC0603FR-1091RL</t>
  </si>
  <si>
    <t>13-RC0603FR-1091RLCT-ND</t>
  </si>
  <si>
    <t xml:space="preserve">RES SM 0603 100R </t>
  </si>
  <si>
    <t>RC0603FR-10100RL</t>
  </si>
  <si>
    <t>13-RC0603FR-10100RLCT-ND</t>
  </si>
  <si>
    <t xml:space="preserve">RES SM 0603 110R </t>
  </si>
  <si>
    <t>RC0603FR-13110RL</t>
  </si>
  <si>
    <t>13-RC0603FR-13110RLCT-ND</t>
  </si>
  <si>
    <t>RC0603FR-07110RL</t>
  </si>
  <si>
    <t>311-110HRCT-ND</t>
  </si>
  <si>
    <t xml:space="preserve">RES SM 0603 120R </t>
  </si>
  <si>
    <t>RC0603FR-13120RL</t>
  </si>
  <si>
    <t>13-RC0603FR-13120RLCT-ND</t>
  </si>
  <si>
    <t>RC0603FR-10120RL</t>
  </si>
  <si>
    <t>13-RC0603FR-10120RLCT-ND</t>
  </si>
  <si>
    <t xml:space="preserve">RES SM 0603 130R </t>
  </si>
  <si>
    <t>RC0603FR-13130RL</t>
  </si>
  <si>
    <t>13-RC0603FR-13130RLCT-ND</t>
  </si>
  <si>
    <t>RC0603FR-07130RL</t>
  </si>
  <si>
    <t>311-130HRCT-ND</t>
  </si>
  <si>
    <t xml:space="preserve">RES SM 0603 150R </t>
  </si>
  <si>
    <t>RC0603FR-13150RL</t>
  </si>
  <si>
    <t>13-RC0603FR-13150RLCT-ND</t>
  </si>
  <si>
    <t>RC0603FR-10150RL</t>
  </si>
  <si>
    <t>13-RC0603FR-10150RLCT-ND</t>
  </si>
  <si>
    <t xml:space="preserve">RES SM 0603 160R </t>
  </si>
  <si>
    <t>RC0603FR-07160RL</t>
  </si>
  <si>
    <t>311-160HRCT-ND</t>
  </si>
  <si>
    <t xml:space="preserve">RES SM 0603 180R </t>
  </si>
  <si>
    <t>RC0603FR-10180RL</t>
  </si>
  <si>
    <t>13-RC0603FR-10180RLCT-ND</t>
  </si>
  <si>
    <t xml:space="preserve">RES SM 0603 200R </t>
  </si>
  <si>
    <t>RC0603FR-13200RL</t>
  </si>
  <si>
    <t>13-RC0603FR-13200RLCT-ND</t>
  </si>
  <si>
    <t>RC0603FR-07200RL</t>
  </si>
  <si>
    <t>311-200HRCT-ND</t>
  </si>
  <si>
    <t xml:space="preserve">RES SM 0603 220R </t>
  </si>
  <si>
    <t>RC0603FR-10220RL</t>
  </si>
  <si>
    <t>13-RC0603FR-10220RLCT-ND</t>
  </si>
  <si>
    <t xml:space="preserve">RES SM 0603 240R </t>
  </si>
  <si>
    <t>RC0603FR-13240RL</t>
  </si>
  <si>
    <t>13-RC0603FR-13240RLCT-ND</t>
  </si>
  <si>
    <t>RC0603FR-10240RL</t>
  </si>
  <si>
    <t>13-RC0603FR-10240RLCT-ND</t>
  </si>
  <si>
    <t xml:space="preserve">RES SM 0603 270R </t>
  </si>
  <si>
    <t>RC0603FR-13270RL</t>
  </si>
  <si>
    <t>13-RC0603FR-13270RLCT-ND</t>
  </si>
  <si>
    <t>RC0603FR-10270RL</t>
  </si>
  <si>
    <t>13-RC0603FR-10270RLCT-ND</t>
  </si>
  <si>
    <t xml:space="preserve">RES SM 0603 300R </t>
  </si>
  <si>
    <t>RC0603FR-13300RL</t>
  </si>
  <si>
    <t>13-RC0603FR-13300RLCT-ND</t>
  </si>
  <si>
    <t xml:space="preserve">RES SM 0603 330R </t>
  </si>
  <si>
    <t>RC0603FR-13330RL</t>
  </si>
  <si>
    <t>13-RC0603FR-13330RLCT-ND</t>
  </si>
  <si>
    <t>RC0603FR-10330RL</t>
  </si>
  <si>
    <t>13-RC0603FR-10330RLCT-ND</t>
  </si>
  <si>
    <t xml:space="preserve">RES SM 0603 360R </t>
  </si>
  <si>
    <t>RC0603FR-13360RL</t>
  </si>
  <si>
    <t>13-RC0603FR-13360RLCT-ND</t>
  </si>
  <si>
    <t>RC0603FR-07360RL</t>
  </si>
  <si>
    <t>311-360HRCT-ND</t>
  </si>
  <si>
    <t xml:space="preserve">RES SM 0603 390R </t>
  </si>
  <si>
    <t>RC0603FR-13390RL</t>
  </si>
  <si>
    <t>13-RC0603FR-13390RLCT-ND</t>
  </si>
  <si>
    <t>RC0603FR-10390RL</t>
  </si>
  <si>
    <t>13-RC0603FR-10390RLCT-ND</t>
  </si>
  <si>
    <t xml:space="preserve">RES SM 0603 430R </t>
  </si>
  <si>
    <t>RC0603FR-13430RL</t>
  </si>
  <si>
    <t>13-RC0603FR-13430RLCT-ND</t>
  </si>
  <si>
    <t>RC0603FR-10430RL</t>
  </si>
  <si>
    <t>13-RC0603FR-10430RLCT-ND</t>
  </si>
  <si>
    <t xml:space="preserve">RES SM 0603 470R </t>
  </si>
  <si>
    <t>RC0603FR-13470RL</t>
  </si>
  <si>
    <t>13-RC0603FR-13470RLCT-ND</t>
  </si>
  <si>
    <t xml:space="preserve">RES SM 0603 510R </t>
  </si>
  <si>
    <t>RC0603FR-13510RL</t>
  </si>
  <si>
    <t>13-RC0603FR-13510RLCT-ND</t>
  </si>
  <si>
    <t>RC0603FR-10510RL</t>
  </si>
  <si>
    <t>13-RC0603FR-10510RLCT-ND</t>
  </si>
  <si>
    <t xml:space="preserve">RES SM 0603 560R </t>
  </si>
  <si>
    <t>RC0603FR-13560RL</t>
  </si>
  <si>
    <t>13-RC0603FR-13560RLCT-ND</t>
  </si>
  <si>
    <t>RC0603FR-10560RL</t>
  </si>
  <si>
    <t>13-RC0603FR-10560RLCT-ND</t>
  </si>
  <si>
    <t xml:space="preserve">RES SM 0603 620R </t>
  </si>
  <si>
    <t>RC0603FR-13620RL</t>
  </si>
  <si>
    <t>13-RC0603FR-13620RLCT-ND</t>
  </si>
  <si>
    <t>RC0603FR-10620RL</t>
  </si>
  <si>
    <t>13-RC0603FR-10620RLCT-ND</t>
  </si>
  <si>
    <t xml:space="preserve">RES SM 0603 680R </t>
  </si>
  <si>
    <t>RC0603FR-13680RL</t>
  </si>
  <si>
    <t>13-RC0603FR-13680RLCT-ND</t>
  </si>
  <si>
    <t>RC0603FR-10680RL</t>
  </si>
  <si>
    <t>13-RC0603FR-10680RLCT-ND</t>
  </si>
  <si>
    <t xml:space="preserve">RES SM 0603 750R </t>
  </si>
  <si>
    <t>RC0603FR-13750RL</t>
  </si>
  <si>
    <t>13-RC0603FR-13750RLCT-ND</t>
  </si>
  <si>
    <t>RC0603FR-10750RL</t>
  </si>
  <si>
    <t>13-RC0603FR-10750RLCT-ND</t>
  </si>
  <si>
    <t xml:space="preserve">RES SM 0603 820R </t>
  </si>
  <si>
    <t>RC0603FR-13820RL</t>
  </si>
  <si>
    <t>13-RC0603FR-13820RLCT-ND</t>
  </si>
  <si>
    <t>RC0603FR-10820RL</t>
  </si>
  <si>
    <t>13-RC0603FR-10820RLCT-ND</t>
  </si>
  <si>
    <t xml:space="preserve">RES SM 0603 910R </t>
  </si>
  <si>
    <t>RC0603FR-13910RL</t>
  </si>
  <si>
    <t>13-RC0603FR-13910RLCT-ND</t>
  </si>
  <si>
    <t>RC0603FR-10910RL</t>
  </si>
  <si>
    <t>13-RC0603FR-10910RLCT-ND</t>
  </si>
  <si>
    <t xml:space="preserve">RES SM 0603 1K </t>
  </si>
  <si>
    <t>RC0603FR-131KL</t>
  </si>
  <si>
    <t>13-RC0603FR-131KLCT-ND</t>
  </si>
  <si>
    <t>RC0603FR-101KL</t>
  </si>
  <si>
    <t>13-RC0603FR-101KLCT-ND</t>
  </si>
  <si>
    <t xml:space="preserve">RES SM 0603 1K1 </t>
  </si>
  <si>
    <t>RC0603FR-131K1L</t>
  </si>
  <si>
    <t>13-RC0603FR-131K1LCT-ND</t>
  </si>
  <si>
    <t>RC0603FR-101K1L</t>
  </si>
  <si>
    <t>13-RC0603FR-101K1LCT-ND</t>
  </si>
  <si>
    <t xml:space="preserve">RES SM 0603 1K2 </t>
  </si>
  <si>
    <t>RC0603FR-131K2L</t>
  </si>
  <si>
    <t>13-RC0603FR-131K2LCT-ND</t>
  </si>
  <si>
    <t>RC0603FR-101K2L</t>
  </si>
  <si>
    <t>13-RC0603FR-101K2LCT-ND</t>
  </si>
  <si>
    <t xml:space="preserve">RES SM 0603 1K3 </t>
  </si>
  <si>
    <t>RC0603FR-131K3L</t>
  </si>
  <si>
    <t>13-RC0603FR-131K3LCT-ND</t>
  </si>
  <si>
    <t>RC0603FR-101K3L</t>
  </si>
  <si>
    <t>13-RC0603FR-101K3LCT-ND</t>
  </si>
  <si>
    <t xml:space="preserve">RES SM 0603 1K5 </t>
  </si>
  <si>
    <t>RC0603FR-131K5L</t>
  </si>
  <si>
    <t>13-RC0603FR-131K5LCT-ND</t>
  </si>
  <si>
    <t xml:space="preserve">RES SM 0603 1K6 </t>
  </si>
  <si>
    <t xml:space="preserve">RES SM 0603 1K8 </t>
  </si>
  <si>
    <t>RC0603FR-131K8L</t>
  </si>
  <si>
    <t>13-RC0603FR-131K8LCT-ND</t>
  </si>
  <si>
    <t>RC0603FR-101K8L</t>
  </si>
  <si>
    <t>13-RC0603FR-101K8LCT-ND</t>
  </si>
  <si>
    <t xml:space="preserve">RES SM 0603 2K </t>
  </si>
  <si>
    <t>RC0603FR-102KL</t>
  </si>
  <si>
    <t>13-RC0603FR-102KLCT-ND</t>
  </si>
  <si>
    <t xml:space="preserve">RES SM 0603 2K2 </t>
  </si>
  <si>
    <t>RC0603FR-102K2L</t>
  </si>
  <si>
    <t>13-RC0603FR-102K2LCT-ND</t>
  </si>
  <si>
    <t xml:space="preserve">RES SM 0603 2K4 </t>
  </si>
  <si>
    <t>RC0603FR-132K4L</t>
  </si>
  <si>
    <t>13-RC0603FR-132K4LCT-ND</t>
  </si>
  <si>
    <t>RC0603FR-102K4L</t>
  </si>
  <si>
    <t>13-RC0603FR-102K4LCT-ND</t>
  </si>
  <si>
    <t xml:space="preserve">RES SM 0603 2K7 </t>
  </si>
  <si>
    <t>RC0603FR-132K7L</t>
  </si>
  <si>
    <t>13-RC0603FR-132K7LCT-ND</t>
  </si>
  <si>
    <t xml:space="preserve">RES SM 0603 3K </t>
  </si>
  <si>
    <t>RC0603FR-103KL</t>
  </si>
  <si>
    <t>13-RC0603FR-103KLCT-ND</t>
  </si>
  <si>
    <t xml:space="preserve">RES SM 0603 3K3 </t>
  </si>
  <si>
    <t>RC0603FR-133K3L</t>
  </si>
  <si>
    <t>13-RC0603FR-133K3LCT-ND</t>
  </si>
  <si>
    <t>RC0603FR-103K3L</t>
  </si>
  <si>
    <t>13-RC0603FR-103K3LCT-ND</t>
  </si>
  <si>
    <t xml:space="preserve">RES SM 0603 3K6 </t>
  </si>
  <si>
    <t>RC0603FR-133K6L</t>
  </si>
  <si>
    <t>13-RC0603FR-133K6LCT-ND</t>
  </si>
  <si>
    <t>RC0603FR-103K6L</t>
  </si>
  <si>
    <t>13-RC0603FR-103K6LCT-ND</t>
  </si>
  <si>
    <t xml:space="preserve">RES SM 0603 3K9 </t>
  </si>
  <si>
    <t>RC0603FR-133K9L</t>
  </si>
  <si>
    <t>13-RC0603FR-133K9LCT-ND</t>
  </si>
  <si>
    <t>RC0603FR-103K9L</t>
  </si>
  <si>
    <t>13-RC0603FR-103K9LCT-ND</t>
  </si>
  <si>
    <t xml:space="preserve">RES SM 0603 4K3 </t>
  </si>
  <si>
    <t>RC0603FR-134K3L</t>
  </si>
  <si>
    <t>13-RC0603FR-134K3LCT-ND</t>
  </si>
  <si>
    <t>RC0603FR-104K3L</t>
  </si>
  <si>
    <t>13-RC0603FR-104K3LCT-ND</t>
  </si>
  <si>
    <t xml:space="preserve">RES SM 0603 4K7 </t>
  </si>
  <si>
    <t>RC0603FR-104K7L</t>
  </si>
  <si>
    <t>13-RC0603FR-104K7LCT-ND</t>
  </si>
  <si>
    <t xml:space="preserve">RES SM 0603 5K1 </t>
  </si>
  <si>
    <t>RC0603FR-135K1L</t>
  </si>
  <si>
    <t>13-RC0603FR-135K1LCT-ND</t>
  </si>
  <si>
    <t>RC0603FR-105K1L</t>
  </si>
  <si>
    <t>13-RC0603FR-105K1LCT-ND</t>
  </si>
  <si>
    <t xml:space="preserve">RES SM 0603 5K6 </t>
  </si>
  <si>
    <t>RC0603FR-135K6L</t>
  </si>
  <si>
    <t>13-RC0603FR-135K6LCT-ND</t>
  </si>
  <si>
    <t>RC0603FR-105K6L</t>
  </si>
  <si>
    <t>13-RC0603FR-105K6LCT-ND</t>
  </si>
  <si>
    <t xml:space="preserve">RES SM 0603 6K2 </t>
  </si>
  <si>
    <t>RC0603FR-136K2L</t>
  </si>
  <si>
    <t>13-RC0603FR-136K2LCT-ND</t>
  </si>
  <si>
    <t>RC0603FR-106K2L</t>
  </si>
  <si>
    <t>13-RC0603FR-106K2LCT-ND</t>
  </si>
  <si>
    <t xml:space="preserve">RES SM 0603 6K8 </t>
  </si>
  <si>
    <t>RC0603FR-136K8L</t>
  </si>
  <si>
    <t>13-RC0603FR-136K8LCT-ND</t>
  </si>
  <si>
    <t>RC0603FR-106K8L</t>
  </si>
  <si>
    <t>13-RC0603FR-106K8LCT-ND</t>
  </si>
  <si>
    <t xml:space="preserve">RES SM 0603 7K5 </t>
  </si>
  <si>
    <t>RC0603FR-137K5L</t>
  </si>
  <si>
    <t>13-RC0603FR-137K5LCT-ND</t>
  </si>
  <si>
    <t>RC0603FR-107K5L</t>
  </si>
  <si>
    <t>13-RC0603FR-107K5LCT-ND</t>
  </si>
  <si>
    <t xml:space="preserve">RES SM 0603 8K2 </t>
  </si>
  <si>
    <t>RC0603FR-138K2L</t>
  </si>
  <si>
    <t>13-RC0603FR-138K2LCT-ND</t>
  </si>
  <si>
    <t>RC0603FR-108K2L</t>
  </si>
  <si>
    <t>13-RC0603FR-108K2LCT-ND</t>
  </si>
  <si>
    <t xml:space="preserve">RES SM 0603 9K1 </t>
  </si>
  <si>
    <t>RC0603FR-139K1L</t>
  </si>
  <si>
    <t>13-RC0603FR-139K1LCT-ND</t>
  </si>
  <si>
    <t xml:space="preserve">RES SM 0603 10K </t>
  </si>
  <si>
    <t>RC0603FR-1310KL</t>
  </si>
  <si>
    <t>13-RC0603FR-1310KLCT-ND</t>
  </si>
  <si>
    <t xml:space="preserve">RES SM 0603 11K </t>
  </si>
  <si>
    <t>RC0603FR-1311KL</t>
  </si>
  <si>
    <t>13-RC0603FR-1311KLCT-ND</t>
  </si>
  <si>
    <t>RC0603FR-1011KL</t>
  </si>
  <si>
    <t>13-RC0603FR-1011KLCT-ND</t>
  </si>
  <si>
    <t xml:space="preserve">RES SM 0603 12K </t>
  </si>
  <si>
    <t>RC0603FR-1012KL</t>
  </si>
  <si>
    <t>13-RC0603FR-1012KLCT-ND</t>
  </si>
  <si>
    <t xml:space="preserve">RES SM 0603 13K </t>
  </si>
  <si>
    <t>RC0603FR-1313KL</t>
  </si>
  <si>
    <t>13-RC0603FR-1313KLCT-ND</t>
  </si>
  <si>
    <t xml:space="preserve">RES SM 0603 15K </t>
  </si>
  <si>
    <t>RC0603FR-1015KL</t>
  </si>
  <si>
    <t>13-RC0603FR-1015KLCT-ND</t>
  </si>
  <si>
    <t xml:space="preserve">RES SM 0603 16K </t>
  </si>
  <si>
    <t>RC0603FR-1316KL</t>
  </si>
  <si>
    <t>13-RC0603FR-1316KLCT-ND</t>
  </si>
  <si>
    <t xml:space="preserve">RES SM 0603 18K </t>
  </si>
  <si>
    <t>RC0603FR-1018KL</t>
  </si>
  <si>
    <t>13-RC0603FR-1018KLCT-ND</t>
  </si>
  <si>
    <t xml:space="preserve">RES SM 0603 20K </t>
  </si>
  <si>
    <t>RC0603FR-1320KL</t>
  </si>
  <si>
    <t>13-RC0603FR-1320KLCT-ND</t>
  </si>
  <si>
    <t>RC0603FR-1020KL</t>
  </si>
  <si>
    <t>13-RC0603FR-1020KLCT-ND</t>
  </si>
  <si>
    <t xml:space="preserve">RES SM 0603 22K </t>
  </si>
  <si>
    <t>RC0603FR-1322KL</t>
  </si>
  <si>
    <t>13-RC0603FR-1322KLCT-ND</t>
  </si>
  <si>
    <t>RC0603FR-1022KL</t>
  </si>
  <si>
    <t>13-RC0603FR-1022KLCT-ND</t>
  </si>
  <si>
    <t xml:space="preserve">RES SM 0603 24K </t>
  </si>
  <si>
    <t>RC0603FR-1324KL</t>
  </si>
  <si>
    <t>13-RC0603FR-1324KLCT-ND</t>
  </si>
  <si>
    <t xml:space="preserve">RES SM 0603 27K </t>
  </si>
  <si>
    <t>RC0603FR-1327KL</t>
  </si>
  <si>
    <t>13-RC0603FR-1327KLCT-ND</t>
  </si>
  <si>
    <t>RC0603FR-1027KL</t>
  </si>
  <si>
    <t>13-RC0603FR-1027KLCT-ND</t>
  </si>
  <si>
    <t xml:space="preserve">RES SM 0603 30K </t>
  </si>
  <si>
    <t>RC0603FR-1330KL</t>
  </si>
  <si>
    <t>13-RC0603FR-1330KLCT-ND</t>
  </si>
  <si>
    <t>RC0603FR-1030KL</t>
  </si>
  <si>
    <t>13-RC0603FR-1030KLCT-ND</t>
  </si>
  <si>
    <t xml:space="preserve">RES SM 0603 33K </t>
  </si>
  <si>
    <t>RC0603FR-1333KL</t>
  </si>
  <si>
    <t>13-RC0603FR-1333KLCT-ND</t>
  </si>
  <si>
    <t>RC0603FR-1033KL</t>
  </si>
  <si>
    <t>13-RC0603FR-1033KLCT-ND</t>
  </si>
  <si>
    <t xml:space="preserve">RES SM 0603 36K </t>
  </si>
  <si>
    <t>RC0603FR-1336KL</t>
  </si>
  <si>
    <t>13-RC0603FR-1336KLCT-ND</t>
  </si>
  <si>
    <t xml:space="preserve">RES SM 0603 39K </t>
  </si>
  <si>
    <t>RC0603FR-1039KL</t>
  </si>
  <si>
    <t>13-RC0603FR-1039KLCT-ND</t>
  </si>
  <si>
    <t xml:space="preserve">RES SM 0603 43K </t>
  </si>
  <si>
    <t>RC0603FR-1343KL</t>
  </si>
  <si>
    <t>13-RC0603FR-1343KLCT-ND</t>
  </si>
  <si>
    <t>RC0603FR-1043KL</t>
  </si>
  <si>
    <t>13-RC0603FR-1043KLCT-ND</t>
  </si>
  <si>
    <t xml:space="preserve">RES SM 0603 47K </t>
  </si>
  <si>
    <t>RC0603FR-1047KL</t>
  </si>
  <si>
    <t>13-RC0603FR-1047KLCT-ND</t>
  </si>
  <si>
    <t xml:space="preserve">RES SM 0603 51K </t>
  </si>
  <si>
    <t>RC0603FR-1051KL</t>
  </si>
  <si>
    <t>13-RC0603FR-1051KLCT-ND</t>
  </si>
  <si>
    <t xml:space="preserve">RES SM 0603 56K </t>
  </si>
  <si>
    <t>RC0603FR-1056KL</t>
  </si>
  <si>
    <t>13-RC0603FR-1056KLCT-ND</t>
  </si>
  <si>
    <t xml:space="preserve">RES SM 0603 62K </t>
  </si>
  <si>
    <t>RC0603FR-1362KL</t>
  </si>
  <si>
    <t>13-RC0603FR-1362KLCT-ND</t>
  </si>
  <si>
    <t xml:space="preserve">RES SM 0603 68K </t>
  </si>
  <si>
    <t>RC0603FR-1368KL</t>
  </si>
  <si>
    <t>13-RC0603FR-1368KLCT-ND</t>
  </si>
  <si>
    <t xml:space="preserve">RES SM 0603 75K </t>
  </si>
  <si>
    <t>RC0603FR-1375KL</t>
  </si>
  <si>
    <t>13-RC0603FR-1375KLCT-ND</t>
  </si>
  <si>
    <t>RC0603FR-1075KL</t>
  </si>
  <si>
    <t>13-RC0603FR-1075KLCT-ND</t>
  </si>
  <si>
    <t xml:space="preserve">RES SM 0603 82K </t>
  </si>
  <si>
    <t>RC0603FR-1382KL</t>
  </si>
  <si>
    <t>13-RC0603FR-1382KLCT-ND</t>
  </si>
  <si>
    <t>RC0603FR-1082KL</t>
  </si>
  <si>
    <t>13-RC0603FR-1082KLCT-ND</t>
  </si>
  <si>
    <t xml:space="preserve">RES SM 0603 91K </t>
  </si>
  <si>
    <t>RC0603FR-1391KL</t>
  </si>
  <si>
    <t>13-RC0603FR-1391KLCT-ND</t>
  </si>
  <si>
    <t>RC0603FR-0791KL</t>
  </si>
  <si>
    <t>311-91.0KHRCT-ND</t>
  </si>
  <si>
    <t xml:space="preserve">RES SM 0603 100K </t>
  </si>
  <si>
    <t>RC0603FR-13100KL</t>
  </si>
  <si>
    <t>13-RC0603FR-13100KLCT-ND</t>
  </si>
  <si>
    <t xml:space="preserve">RES SM 0603 110K </t>
  </si>
  <si>
    <t>RC0603FR-13110KL</t>
  </si>
  <si>
    <t>13-RC0603FR-13110KLCT-ND</t>
  </si>
  <si>
    <t xml:space="preserve">RES SM 0603 120K </t>
  </si>
  <si>
    <t>RC0603FR-10120KL</t>
  </si>
  <si>
    <t>13-RC0603FR-10120KLCT-ND</t>
  </si>
  <si>
    <t xml:space="preserve">RES SM 0603 130K </t>
  </si>
  <si>
    <t xml:space="preserve">RES SM 0603 150K </t>
  </si>
  <si>
    <t>RC0603FR-13150KL</t>
  </si>
  <si>
    <t>13-RC0603FR-13150KLCT-ND</t>
  </si>
  <si>
    <t>RC0603FR-10150KL</t>
  </si>
  <si>
    <t>13-RC0603FR-10150KLCT-ND</t>
  </si>
  <si>
    <t xml:space="preserve">RES SM 0603 160K </t>
  </si>
  <si>
    <t>RC0603FR-13160KL</t>
  </si>
  <si>
    <t>13-RC0603FR-13160KLCT-ND</t>
  </si>
  <si>
    <t xml:space="preserve">RES SM 0603 180K </t>
  </si>
  <si>
    <t>RC0603FR-13180KL</t>
  </si>
  <si>
    <t>13-RC0603FR-13180KLCT-ND</t>
  </si>
  <si>
    <t xml:space="preserve">RES SM 0603 200K </t>
  </si>
  <si>
    <t>RC0603FR-13200KL</t>
  </si>
  <si>
    <t>13-RC0603FR-13200KLCT-ND</t>
  </si>
  <si>
    <t>RC0603FR-10200KL</t>
  </si>
  <si>
    <t>13-RC0603FR-10200KLCT-ND</t>
  </si>
  <si>
    <t xml:space="preserve">RES SM 0603 220K </t>
  </si>
  <si>
    <t>RC0603FR-13220KL</t>
  </si>
  <si>
    <t>13-RC0603FR-13220KLCT-ND</t>
  </si>
  <si>
    <t>RC0603FR-10220KL</t>
  </si>
  <si>
    <t>13-RC0603FR-10220KLCT-ND</t>
  </si>
  <si>
    <t xml:space="preserve">RES SM 0603 240K </t>
  </si>
  <si>
    <t>RC0603FR-13240KL</t>
  </si>
  <si>
    <t>13-RC0603FR-13240KLCT-ND</t>
  </si>
  <si>
    <t>RC0603FR-07240KL</t>
  </si>
  <si>
    <t>311-240KHRCT-ND</t>
  </si>
  <si>
    <t xml:space="preserve">RES SM 0603 270K </t>
  </si>
  <si>
    <t>RC0603FR-13270KL</t>
  </si>
  <si>
    <t>13-RC0603FR-13270KLCT-ND</t>
  </si>
  <si>
    <t>RC0603FR-10270KL</t>
  </si>
  <si>
    <t>13-RC0603FR-10270KLCT-ND</t>
  </si>
  <si>
    <t xml:space="preserve">RES SM 0603 300K </t>
  </si>
  <si>
    <t>RC0603FR-13300KL</t>
  </si>
  <si>
    <t>13-RC0603FR-13300KLCT-ND</t>
  </si>
  <si>
    <t>RC0603FR-10300KL</t>
  </si>
  <si>
    <t>13-RC0603FR-10300KLCT-ND</t>
  </si>
  <si>
    <t xml:space="preserve">RES SM 0603 330K </t>
  </si>
  <si>
    <t>RC0603FR-10330KL</t>
  </si>
  <si>
    <t>13-RC0603FR-10330KLCT-ND</t>
  </si>
  <si>
    <t xml:space="preserve">RES SM 0603 360K </t>
  </si>
  <si>
    <t xml:space="preserve">RES SM 0603 390K </t>
  </si>
  <si>
    <t>RC0603FR-13390KL</t>
  </si>
  <si>
    <t>13-RC0603FR-13390KLCT-ND</t>
  </si>
  <si>
    <t>RC0603FR-10390KL</t>
  </si>
  <si>
    <t>13-RC0603FR-10390KLCT-ND</t>
  </si>
  <si>
    <t xml:space="preserve">RES SM 0603 430K </t>
  </si>
  <si>
    <t>RC0603FR-13430KL</t>
  </si>
  <si>
    <t>13-RC0603FR-13430KLCT-ND</t>
  </si>
  <si>
    <t>RC0603FR-07430KL</t>
  </si>
  <si>
    <t>311-430KHRCT-ND</t>
  </si>
  <si>
    <t xml:space="preserve">RES SM 0603 470K </t>
  </si>
  <si>
    <t>RC0603FR-13470KL</t>
  </si>
  <si>
    <t>13-RC0603FR-13470KLCT-ND</t>
  </si>
  <si>
    <t>RC0603FR-10470KL</t>
  </si>
  <si>
    <t>13-RC0603FR-10470KLCT-ND</t>
  </si>
  <si>
    <t xml:space="preserve">RES SM 0603 510K </t>
  </si>
  <si>
    <t>RC0603FR-13510KL</t>
  </si>
  <si>
    <t>13-RC0603FR-13510KLCT-ND</t>
  </si>
  <si>
    <t>RC0603FR-07510KL</t>
  </si>
  <si>
    <t>311-510KHRCT-ND</t>
  </si>
  <si>
    <t xml:space="preserve">RES SM 0603 560K </t>
  </si>
  <si>
    <t>RC0603FR-13560KL</t>
  </si>
  <si>
    <t>13-RC0603FR-13560KLCT-ND</t>
  </si>
  <si>
    <t>RC0603FR-07560KL</t>
  </si>
  <si>
    <t>311-560KHRCT-ND</t>
  </si>
  <si>
    <t xml:space="preserve">RES SM 0603 620K </t>
  </si>
  <si>
    <t>RC0603FR-13620KL</t>
  </si>
  <si>
    <t>13-RC0603FR-13620KLCT-ND</t>
  </si>
  <si>
    <t>RC0603FR-07620KL</t>
  </si>
  <si>
    <t>311-620KHRCT-ND</t>
  </si>
  <si>
    <t xml:space="preserve">RES SM 0603 680K </t>
  </si>
  <si>
    <t>RC0603FR-13680KL</t>
  </si>
  <si>
    <t>13-RC0603FR-13680KLCT-ND</t>
  </si>
  <si>
    <t>RC0603FR-07680KL</t>
  </si>
  <si>
    <t>311-680KHRCT-ND</t>
  </si>
  <si>
    <t xml:space="preserve">RES SM 0603 750K </t>
  </si>
  <si>
    <t>RC0603FR-13750KL</t>
  </si>
  <si>
    <t>13-RC0603FR-13750KLCT-ND</t>
  </si>
  <si>
    <t>RC0603FR-07750KL</t>
  </si>
  <si>
    <t>311-750KHRCT-ND</t>
  </si>
  <si>
    <t xml:space="preserve">RES SM 0603 820K </t>
  </si>
  <si>
    <t>RC0603FR-13820KL</t>
  </si>
  <si>
    <t>13-RC0603FR-13820KLCT-ND</t>
  </si>
  <si>
    <t>RC0603FR-07820KL</t>
  </si>
  <si>
    <t>311-820KHRCT-ND</t>
  </si>
  <si>
    <t xml:space="preserve">RES SM 0603 910K </t>
  </si>
  <si>
    <t>RC0603FR-07910KL</t>
  </si>
  <si>
    <t>311-910KHRCT-ND</t>
  </si>
  <si>
    <t xml:space="preserve">RES SM 0603 1M </t>
  </si>
  <si>
    <t>RC0603FR-131ML</t>
  </si>
  <si>
    <t>13-RC0603FR-131MLCT-ND</t>
  </si>
  <si>
    <t>RC0603FR-101ML</t>
  </si>
  <si>
    <t>13-RC0603FR-101MLCT-ND</t>
  </si>
  <si>
    <t xml:space="preserve">RES SM 0603 1M1 </t>
  </si>
  <si>
    <t>RC0603FR-071M1L</t>
  </si>
  <si>
    <t>YAG3324CT-ND</t>
  </si>
  <si>
    <t xml:space="preserve">RES SM 0603 1M2 </t>
  </si>
  <si>
    <t>RC0603FR-131M2L</t>
  </si>
  <si>
    <t>13-RC0603FR-131M2LCT-ND</t>
  </si>
  <si>
    <t>RC0603FR-071M2L</t>
  </si>
  <si>
    <t>311-1.20MHRCT-ND</t>
  </si>
  <si>
    <t xml:space="preserve">RES SM 0603 1M3 </t>
  </si>
  <si>
    <t>RC0603FR-071M3L</t>
  </si>
  <si>
    <t>YAG3326CT-ND</t>
  </si>
  <si>
    <t xml:space="preserve">RES SM 0603 1M5 </t>
  </si>
  <si>
    <t>RC0603FR-131M5L</t>
  </si>
  <si>
    <t>13-RC0603FR-131M5LCT-ND</t>
  </si>
  <si>
    <t>RC0603FR-071M5L</t>
  </si>
  <si>
    <t>311-1.50MHRCT-ND</t>
  </si>
  <si>
    <t xml:space="preserve">RES SM 0603 1M6 </t>
  </si>
  <si>
    <t>RC0603FR-071M6L</t>
  </si>
  <si>
    <t>YAG3327CT-ND</t>
  </si>
  <si>
    <t xml:space="preserve">RES SM 0603 1M8 </t>
  </si>
  <si>
    <t>RC0603FR-071M8L</t>
  </si>
  <si>
    <t>YAG3328CT-ND</t>
  </si>
  <si>
    <t xml:space="preserve">RES SM 0603 2M </t>
  </si>
  <si>
    <t>RC0603FR-132ML</t>
  </si>
  <si>
    <t>13-RC0603FR-132MLCT-ND</t>
  </si>
  <si>
    <t>RC0603FR-102ML</t>
  </si>
  <si>
    <t>13-RC0603FR-102MLCT-ND</t>
  </si>
  <si>
    <t xml:space="preserve">RES SM 0603 2M2 </t>
  </si>
  <si>
    <t>RC0603FR-132M2L</t>
  </si>
  <si>
    <t>13-RC0603FR-132M2LCT-ND</t>
  </si>
  <si>
    <t>RC0603FR-102M2L</t>
  </si>
  <si>
    <t>13-RC0603FR-102M2LCT-ND</t>
  </si>
  <si>
    <t xml:space="preserve">RES SM 0603 2M4 </t>
  </si>
  <si>
    <t>RC0603FR-072M4L</t>
  </si>
  <si>
    <t>13-RC0603FR-072M4LCT-ND</t>
  </si>
  <si>
    <t xml:space="preserve">RES SM 0603 2M7 </t>
  </si>
  <si>
    <t>RC0603FR-072M7L</t>
  </si>
  <si>
    <t>13-RC0603FR-072M7LCT-ND</t>
  </si>
  <si>
    <t xml:space="preserve">RES SM 0603 3M </t>
  </si>
  <si>
    <t>RC0603FR-073ML</t>
  </si>
  <si>
    <t>13-RC0603FR-073MLCT-ND</t>
  </si>
  <si>
    <t xml:space="preserve">RES SM 0603 3M3 </t>
  </si>
  <si>
    <t>RC0603FR-073M3L</t>
  </si>
  <si>
    <t>13-RC0603FR-073M3LCT-ND</t>
  </si>
  <si>
    <t xml:space="preserve">RES SM 0603 3M6 </t>
  </si>
  <si>
    <t>RC0603FR-073M6L</t>
  </si>
  <si>
    <t>13-RC0603FR-073M6LCT-ND</t>
  </si>
  <si>
    <t xml:space="preserve">RES SM 0603 3M9 </t>
  </si>
  <si>
    <t>RC0603FR-073M9L</t>
  </si>
  <si>
    <t>13-RC0603FR-073M9LCT-ND</t>
  </si>
  <si>
    <t xml:space="preserve">RES SM 0603 4M3 </t>
  </si>
  <si>
    <t>RC0603FR-074M3L</t>
  </si>
  <si>
    <t>13-RC0603FR-074M3LCT-ND</t>
  </si>
  <si>
    <t xml:space="preserve">RES SM 0603 4M7 </t>
  </si>
  <si>
    <t>RC0603FR-134M7L</t>
  </si>
  <si>
    <t>13-RC0603FR-134M7LCT-ND</t>
  </si>
  <si>
    <t>RC0603FR-074M7L</t>
  </si>
  <si>
    <t>311-4.70MHRCT-ND</t>
  </si>
  <si>
    <t xml:space="preserve">RES SM 0603 5M1 </t>
  </si>
  <si>
    <t>RC0603FR-075M1L</t>
  </si>
  <si>
    <t>13-RC0603FR-075M1LCT-ND</t>
  </si>
  <si>
    <t xml:space="preserve">RES SM 0603 5M6 </t>
  </si>
  <si>
    <t>RC0603FR-075M6L</t>
  </si>
  <si>
    <t>13-RC0603FR-075M6LCT-ND</t>
  </si>
  <si>
    <t xml:space="preserve">RES SM 0603 6M2 </t>
  </si>
  <si>
    <t>RC0603FR-076M2L</t>
  </si>
  <si>
    <t>13-RC0603FR-076M2LCT-ND</t>
  </si>
  <si>
    <t xml:space="preserve">RES SM 0603 6M8 </t>
  </si>
  <si>
    <t>RC0603FR-076M8L</t>
  </si>
  <si>
    <t>13-RC0603FR-076M8LCT-ND</t>
  </si>
  <si>
    <t xml:space="preserve">RES SM 0603 7M5 </t>
  </si>
  <si>
    <t>RC0603FR-077M5L</t>
  </si>
  <si>
    <t>13-RC0603FR-077M5LCT-ND</t>
  </si>
  <si>
    <t xml:space="preserve">RES SM 0603 8M2 </t>
  </si>
  <si>
    <t>RC0603FR-078M2L</t>
  </si>
  <si>
    <t>13-RC0603FR-078M2LCT-ND</t>
  </si>
  <si>
    <t xml:space="preserve">RES SM 0603 9M1 </t>
  </si>
  <si>
    <t>RC0603FR-079M1L</t>
  </si>
  <si>
    <t>13-RC0603FR-079M1LCT-ND</t>
  </si>
  <si>
    <t xml:space="preserve">RES SM 0603 10M </t>
  </si>
  <si>
    <t>RC0603FR-1310ML</t>
  </si>
  <si>
    <t>13-RC0603FR-1310MLCT-ND</t>
  </si>
  <si>
    <t>RC0603FR-1010ML</t>
  </si>
  <si>
    <t>13-RC0603FR-1010MLCT-ND</t>
  </si>
  <si>
    <t xml:space="preserve">RES SM 0603 0R </t>
  </si>
  <si>
    <t>311-0.0HRCT-ND </t>
  </si>
  <si>
    <t>1R/0805</t>
  </si>
  <si>
    <t xml:space="preserve">RES SM 0805 1R </t>
  </si>
  <si>
    <t>R0805-0.50-WW</t>
  </si>
  <si>
    <t>RC0805FR-131RL</t>
  </si>
  <si>
    <t>13-RC0805FR-131RLCT-ND</t>
  </si>
  <si>
    <t>RC0805FR-101RL</t>
  </si>
  <si>
    <t>13-RC0805FR-101RLCT-ND</t>
  </si>
  <si>
    <t>1R1/0805</t>
  </si>
  <si>
    <t xml:space="preserve">RES SM 0805 1R1 </t>
  </si>
  <si>
    <t>RC0805FR-071R1L</t>
  </si>
  <si>
    <t>311-1.10CRCT-ND</t>
  </si>
  <si>
    <t>1R2/0805</t>
  </si>
  <si>
    <t xml:space="preserve">RES SM 0805 1R2 </t>
  </si>
  <si>
    <t>RC0805FR-101R2L</t>
  </si>
  <si>
    <t>13-RC0805FR-101R2LCT-ND</t>
  </si>
  <si>
    <t>RC0805FR-071R2L</t>
  </si>
  <si>
    <t>13-RC0805FR-071R2LCT-ND</t>
  </si>
  <si>
    <t>1R3/0805</t>
  </si>
  <si>
    <t xml:space="preserve">RES SM 0805 1R3 </t>
  </si>
  <si>
    <t>RC0805FR-071R3L</t>
  </si>
  <si>
    <t>311-1.30CRCT-ND</t>
  </si>
  <si>
    <t>1R5/0805</t>
  </si>
  <si>
    <t xml:space="preserve">RES SM 0805 1R5 </t>
  </si>
  <si>
    <t>RC0805FR-131R5L</t>
  </si>
  <si>
    <t>13-RC0805FR-131R5LCT-ND</t>
  </si>
  <si>
    <t>RC0805FR-071R5L</t>
  </si>
  <si>
    <t>311-1.50CRCT-ND</t>
  </si>
  <si>
    <t>1R6/0805</t>
  </si>
  <si>
    <t xml:space="preserve">RES SM 0805 1R6 </t>
  </si>
  <si>
    <t>RC0805FR-071R6L</t>
  </si>
  <si>
    <t>13-RC0805FR-071R6LCT-ND</t>
  </si>
  <si>
    <t>1R8/0805</t>
  </si>
  <si>
    <t xml:space="preserve">RES SM 0805 1R8 </t>
  </si>
  <si>
    <t>RC0805FR-071R8L</t>
  </si>
  <si>
    <t>311-1.80CRCT-ND</t>
  </si>
  <si>
    <t>2R/0805</t>
  </si>
  <si>
    <t xml:space="preserve">RES SM 0805 2R </t>
  </si>
  <si>
    <t>RC0805FR-072RL</t>
  </si>
  <si>
    <t>311-2.00CRCT-ND</t>
  </si>
  <si>
    <t>2R2/0805</t>
  </si>
  <si>
    <t xml:space="preserve">RES SM 0805 2R2 </t>
  </si>
  <si>
    <t>RC0805FR-072R2L</t>
  </si>
  <si>
    <t>311-2.20CRCT-ND</t>
  </si>
  <si>
    <t>RC0805FR-7W2R2L</t>
  </si>
  <si>
    <t>13-RC0805FR-7W2R2LCT-ND</t>
  </si>
  <si>
    <t>2R4/0805</t>
  </si>
  <si>
    <t xml:space="preserve">RES SM 0805 2R4 </t>
  </si>
  <si>
    <t>RC0805FR-072R4L</t>
  </si>
  <si>
    <t>13-RC0805FR-072R4LCT-ND</t>
  </si>
  <si>
    <t>2R7/0805</t>
  </si>
  <si>
    <t xml:space="preserve">RES SM 0805 2R7 </t>
  </si>
  <si>
    <t>RC0805FR-072R7L</t>
  </si>
  <si>
    <t>13-RC0805FR-072R7LCT-ND</t>
  </si>
  <si>
    <t>3R/0805</t>
  </si>
  <si>
    <t xml:space="preserve">RES SM 0805 3R </t>
  </si>
  <si>
    <t>RC0805FR-073RL</t>
  </si>
  <si>
    <t>311-3.00CRCT-ND</t>
  </si>
  <si>
    <t>3R3/0805</t>
  </si>
  <si>
    <t xml:space="preserve">RES SM 0805 3R3 </t>
  </si>
  <si>
    <t>RC0805FR-073R3L</t>
  </si>
  <si>
    <t>YAG2295CT-ND</t>
  </si>
  <si>
    <t>RC0805FR-7W3R3L</t>
  </si>
  <si>
    <t>13-RC0805FR-7W3R3LCT-ND</t>
  </si>
  <si>
    <t>3R6/0805</t>
  </si>
  <si>
    <t xml:space="preserve">RES SM 0805 3R6 </t>
  </si>
  <si>
    <t>RC0805FR-073R6L</t>
  </si>
  <si>
    <t>13-RC0805FR-073R6LCT-ND</t>
  </si>
  <si>
    <t>3R9/0805</t>
  </si>
  <si>
    <t xml:space="preserve">RES SM 0805 3R9 </t>
  </si>
  <si>
    <t>RC0805FR-073R9L</t>
  </si>
  <si>
    <t>311-3.90CRCT-ND</t>
  </si>
  <si>
    <t>4R3/0805</t>
  </si>
  <si>
    <t xml:space="preserve">RES SM 0805 4R3 </t>
  </si>
  <si>
    <t>RC0805FR-074R3L</t>
  </si>
  <si>
    <t>13-RC0805FR-074R3LCT-ND</t>
  </si>
  <si>
    <t>4R7/0805</t>
  </si>
  <si>
    <t xml:space="preserve">RES SM 0805 4R7 </t>
  </si>
  <si>
    <t>RC0805FR-134R7L</t>
  </si>
  <si>
    <t>13-RC0805FR-134R7LCT-ND</t>
  </si>
  <si>
    <t>RC0805FR-074R7L</t>
  </si>
  <si>
    <t>311-4.70CRCT-ND</t>
  </si>
  <si>
    <t>5R1/0805</t>
  </si>
  <si>
    <t xml:space="preserve">RES SM 0805 5R1 </t>
  </si>
  <si>
    <t>RC0805FR-075R1L</t>
  </si>
  <si>
    <t>YAG3373CT-ND</t>
  </si>
  <si>
    <t>5R6/0805</t>
  </si>
  <si>
    <t xml:space="preserve">RES SM 0805 5R6 </t>
  </si>
  <si>
    <t>RC0805FR-075R6L</t>
  </si>
  <si>
    <t>311-5.60CRCT-ND</t>
  </si>
  <si>
    <t>6R2/0805</t>
  </si>
  <si>
    <t xml:space="preserve">RES SM 0805 6R2 </t>
  </si>
  <si>
    <t>RC0805FR-076R2L</t>
  </si>
  <si>
    <t>311-6.20CRCT-ND</t>
  </si>
  <si>
    <t>6R8/0805</t>
  </si>
  <si>
    <t xml:space="preserve">RES SM 0805 6R8 </t>
  </si>
  <si>
    <t>RC0805FR-076R8L</t>
  </si>
  <si>
    <t>311-6.80CRCT-ND</t>
  </si>
  <si>
    <t>7R5/0805</t>
  </si>
  <si>
    <t xml:space="preserve">RES SM 0805 7R5 </t>
  </si>
  <si>
    <t>RC0805FR-077R5L</t>
  </si>
  <si>
    <t>311-7.50CRCT-ND</t>
  </si>
  <si>
    <t>8R2/0805</t>
  </si>
  <si>
    <t xml:space="preserve">RES SM 0805 8R2 </t>
  </si>
  <si>
    <t>RC0805FR-138R2L</t>
  </si>
  <si>
    <t>13-RC0805FR-138R2LCT-ND</t>
  </si>
  <si>
    <t>RC0805FR-078R2L</t>
  </si>
  <si>
    <t>13-RC0805FR-078R2LCT-ND</t>
  </si>
  <si>
    <t>9R1/0805</t>
  </si>
  <si>
    <t xml:space="preserve">RES SM 0805 9R1 </t>
  </si>
  <si>
    <t>RC0805FR-079R1L</t>
  </si>
  <si>
    <t>13-RC0805FR-079R1LCT-ND</t>
  </si>
  <si>
    <t>10R/0805</t>
  </si>
  <si>
    <t xml:space="preserve">RES SM 0805 10R </t>
  </si>
  <si>
    <t>RC0805FR-1310RL</t>
  </si>
  <si>
    <t>13-RC0805FR-1310RLCT-ND</t>
  </si>
  <si>
    <t>RC0805FR-1010RL</t>
  </si>
  <si>
    <t>13-RC0805FR-1010RLCT-ND</t>
  </si>
  <si>
    <t>11R/0805</t>
  </si>
  <si>
    <t xml:space="preserve">RES SM 0805 11R </t>
  </si>
  <si>
    <t>RC0805FR-0711RL</t>
  </si>
  <si>
    <t>311-11.0CRCT-ND</t>
  </si>
  <si>
    <t>12R/0805</t>
  </si>
  <si>
    <t xml:space="preserve">RES SM 0805 12R </t>
  </si>
  <si>
    <t>RC0805FR-1312RL</t>
  </si>
  <si>
    <t>13-RC0805FR-1312RLCT-ND</t>
  </si>
  <si>
    <t>RC0805FR-1012RL</t>
  </si>
  <si>
    <t>13-RC0805FR-1012RLCT-ND</t>
  </si>
  <si>
    <t>13R/0805</t>
  </si>
  <si>
    <t xml:space="preserve">RES SM 0805 13R </t>
  </si>
  <si>
    <t>RC0805FR-0713RL</t>
  </si>
  <si>
    <t>311-13.0CRCT-ND</t>
  </si>
  <si>
    <t>15R/0805</t>
  </si>
  <si>
    <t xml:space="preserve">RES SM 0805 15R </t>
  </si>
  <si>
    <t>RC0805FR-1315RL</t>
  </si>
  <si>
    <t>13-RC0805FR-1315RLCT-ND</t>
  </si>
  <si>
    <t>RC0805FR-0715RL</t>
  </si>
  <si>
    <t>311-15.0CRCT-ND</t>
  </si>
  <si>
    <t>16R/0805</t>
  </si>
  <si>
    <t xml:space="preserve">RES SM 0805 16R </t>
  </si>
  <si>
    <t>RC0805FR-0716RL</t>
  </si>
  <si>
    <t>311-16.0CRCT-ND</t>
  </si>
  <si>
    <t>18R/0805</t>
  </si>
  <si>
    <t xml:space="preserve">RES SM 0805 18R </t>
  </si>
  <si>
    <t>RC0805FR-0718RL</t>
  </si>
  <si>
    <t>311-18.0CRCT-ND</t>
  </si>
  <si>
    <t>20R/0805</t>
  </si>
  <si>
    <t xml:space="preserve">RES SM 0805 20R </t>
  </si>
  <si>
    <t>RC0805FR-1320RL</t>
  </si>
  <si>
    <t>13-RC0805FR-1320RLCT-ND</t>
  </si>
  <si>
    <t>RC0805FR-1020RL</t>
  </si>
  <si>
    <t>13-RC0805FR-1020RLCT-ND</t>
  </si>
  <si>
    <t>22R/0805</t>
  </si>
  <si>
    <t xml:space="preserve">RES SM 0805 22R </t>
  </si>
  <si>
    <t>RC0805FR-1322RL</t>
  </si>
  <si>
    <t>13-RC0805FR-1322RLCT-ND</t>
  </si>
  <si>
    <t>RC0805FR-0722RL</t>
  </si>
  <si>
    <t>311-22.0CRCT-ND</t>
  </si>
  <si>
    <t>24R/0805</t>
  </si>
  <si>
    <t xml:space="preserve">RES SM 0805 24R </t>
  </si>
  <si>
    <t>RC0805FR-1324RL</t>
  </si>
  <si>
    <t>13-RC0805FR-1324RLCT-ND</t>
  </si>
  <si>
    <t>RC0805FR-0724RL</t>
  </si>
  <si>
    <t>311-24.0CRCT-ND</t>
  </si>
  <si>
    <t>27R/0805</t>
  </si>
  <si>
    <t xml:space="preserve">RES SM 0805 27R </t>
  </si>
  <si>
    <t>RC0805FR-1327RL</t>
  </si>
  <si>
    <t>13-RC0805FR-1327RLCT-ND</t>
  </si>
  <si>
    <t>RC0805FR-0727RL</t>
  </si>
  <si>
    <t>311-27.0CRCT-ND</t>
  </si>
  <si>
    <t>30R/0805</t>
  </si>
  <si>
    <t xml:space="preserve">RES SM 0805 30R </t>
  </si>
  <si>
    <t>RC0805FR-1330RL</t>
  </si>
  <si>
    <t>13-RC0805FR-1330RLCT-ND</t>
  </si>
  <si>
    <t>RC0805FR-0730RL</t>
  </si>
  <si>
    <t>311-30.0CRCT-ND</t>
  </si>
  <si>
    <t>33R/0805</t>
  </si>
  <si>
    <t xml:space="preserve">RES SM 0805 33R </t>
  </si>
  <si>
    <t>RC0805FR-1333RL</t>
  </si>
  <si>
    <t>13-RC0805FR-1333RLCT-ND</t>
  </si>
  <si>
    <t>RC0805FR-1033RL</t>
  </si>
  <si>
    <t>13-RC0805FR-1033RLCT-ND</t>
  </si>
  <si>
    <t>36R/0805</t>
  </si>
  <si>
    <t xml:space="preserve">RES SM 0805 36R </t>
  </si>
  <si>
    <t>RC0805FR-0736RL</t>
  </si>
  <si>
    <t>311-36.0CRCT-ND</t>
  </si>
  <si>
    <t>39R/0805</t>
  </si>
  <si>
    <t xml:space="preserve">RES SM 0805 39R </t>
  </si>
  <si>
    <t>RC0805FR-0739RL</t>
  </si>
  <si>
    <t>311-39.0CRCT-ND</t>
  </si>
  <si>
    <t>RC0805FR-7W39RL</t>
  </si>
  <si>
    <t>13-RC0805FR-7W39RLCT-ND</t>
  </si>
  <si>
    <t>43R/0805</t>
  </si>
  <si>
    <t xml:space="preserve">RES SM 0805 43R </t>
  </si>
  <si>
    <t>RC0805FR-0743RL</t>
  </si>
  <si>
    <t>311-43.0CRCT-ND</t>
  </si>
  <si>
    <t>47R/0805</t>
  </si>
  <si>
    <t xml:space="preserve">RES SM 0805 47R </t>
  </si>
  <si>
    <t>RC0805FR-1347RL</t>
  </si>
  <si>
    <t>13-RC0805FR-1347RLCT-ND</t>
  </si>
  <si>
    <t>RC0805FR-1047RL</t>
  </si>
  <si>
    <t>13-RC0805FR-1047RLCT-ND</t>
  </si>
  <si>
    <t>51R/0805</t>
  </si>
  <si>
    <t xml:space="preserve">RES SM 0805 51R </t>
  </si>
  <si>
    <t>RC0805FR-1351RL</t>
  </si>
  <si>
    <t>13-RC0805FR-1351RLCT-ND</t>
  </si>
  <si>
    <t>RC0805FR-1051RL</t>
  </si>
  <si>
    <t>13-RC0805FR-1051RLCT-ND</t>
  </si>
  <si>
    <t>56R/0805</t>
  </si>
  <si>
    <t xml:space="preserve">RES SM 0805 56R </t>
  </si>
  <si>
    <t>RC0805FR-1356RL</t>
  </si>
  <si>
    <t>13-RC0805FR-1356RLCT-ND</t>
  </si>
  <si>
    <t>RC0805FR-1056RL</t>
  </si>
  <si>
    <t>13-RC0805FR-1056RLCT-ND</t>
  </si>
  <si>
    <t>62R/0805</t>
  </si>
  <si>
    <t xml:space="preserve">RES SM 0805 62R </t>
  </si>
  <si>
    <t>RC0805FR-0762RL</t>
  </si>
  <si>
    <t>311-62.0CRCT-ND</t>
  </si>
  <si>
    <t>68R/0805</t>
  </si>
  <si>
    <t xml:space="preserve">RES SM 0805 68R </t>
  </si>
  <si>
    <t>RC0805FR-1368RL</t>
  </si>
  <si>
    <t>13-RC0805FR-1368RLCT-ND</t>
  </si>
  <si>
    <t>RC0805FR-1068RL</t>
  </si>
  <si>
    <t>13-RC0805FR-1068RLCT-ND</t>
  </si>
  <si>
    <t>75R/0805</t>
  </si>
  <si>
    <t xml:space="preserve">RES SM 0805 75R </t>
  </si>
  <si>
    <t>RC0805FR-1375RL</t>
  </si>
  <si>
    <t>13-RC0805FR-1375RLCT-ND</t>
  </si>
  <si>
    <t>RC0805FR-0775RL</t>
  </si>
  <si>
    <t>311-75.0CRCT-ND</t>
  </si>
  <si>
    <t>82R/0805</t>
  </si>
  <si>
    <t xml:space="preserve">RES SM 0805 82R </t>
  </si>
  <si>
    <t>RC0805FR-1382RL</t>
  </si>
  <si>
    <t>13-RC0805FR-1382RLCT-ND</t>
  </si>
  <si>
    <t>RC0805FR-1082RL</t>
  </si>
  <si>
    <t>13-RC0805FR-1082RLCT-ND</t>
  </si>
  <si>
    <t>91R/0805</t>
  </si>
  <si>
    <t xml:space="preserve">RES SM 0805 91R </t>
  </si>
  <si>
    <t>RC0805FR-1391RL</t>
  </si>
  <si>
    <t>13-RC0805FR-1391RLCT-ND</t>
  </si>
  <si>
    <t>RC0805FR-0791RL</t>
  </si>
  <si>
    <t>311-91.0CRCT-ND</t>
  </si>
  <si>
    <t>100R/0805</t>
  </si>
  <si>
    <t xml:space="preserve">RES SM 0805 100R </t>
  </si>
  <si>
    <t>RC0805FR-13100RL</t>
  </si>
  <si>
    <t>13-RC0805FR-13100RLCT-ND</t>
  </si>
  <si>
    <t>RC0805FR-10100RL</t>
  </si>
  <si>
    <t>13-RC0805FR-10100RLCT-ND</t>
  </si>
  <si>
    <t>110R/0805</t>
  </si>
  <si>
    <t xml:space="preserve">RES SM 0805 110R </t>
  </si>
  <si>
    <t>RC0805FR-07110RL</t>
  </si>
  <si>
    <t>311-110CRCT-ND</t>
  </si>
  <si>
    <t>120R/0805</t>
  </si>
  <si>
    <t xml:space="preserve">RES SM 0805 120R </t>
  </si>
  <si>
    <t>RC0805FR-13120RL</t>
  </si>
  <si>
    <t>13-RC0805FR-13120RLCT-ND</t>
  </si>
  <si>
    <t>RC0805FR-10120RL</t>
  </si>
  <si>
    <t>13-RC0805FR-10120RLCT-ND</t>
  </si>
  <si>
    <t>130R/0805</t>
  </si>
  <si>
    <t xml:space="preserve">RES SM 0805 130R </t>
  </si>
  <si>
    <t>RC0805FR-07130RL</t>
  </si>
  <si>
    <t>311-130CRCT-ND</t>
  </si>
  <si>
    <t>150R/0805</t>
  </si>
  <si>
    <t xml:space="preserve">RES SM 0805 150R </t>
  </si>
  <si>
    <t>RC0805FR-13150RL</t>
  </si>
  <si>
    <t>13-RC0805FR-13150RLCT-ND</t>
  </si>
  <si>
    <t>RC0805FR-10150RL</t>
  </si>
  <si>
    <t>13-RC0805FR-10150RLCT-ND</t>
  </si>
  <si>
    <t>160R/0805</t>
  </si>
  <si>
    <t xml:space="preserve">RES SM 0805 160R </t>
  </si>
  <si>
    <t>RC0805FR-13160RL</t>
  </si>
  <si>
    <t>13-RC0805FR-13160RLCT-ND</t>
  </si>
  <si>
    <t>RC0805FR-07160RL</t>
  </si>
  <si>
    <t>311-160CRCT-ND</t>
  </si>
  <si>
    <t>180R/0805</t>
  </si>
  <si>
    <t xml:space="preserve">RES SM 0805 180R </t>
  </si>
  <si>
    <t>RC0805FR-13180RL</t>
  </si>
  <si>
    <t>13-RC0805FR-13180RLCT-ND</t>
  </si>
  <si>
    <t>RC0805FR-10180RL</t>
  </si>
  <si>
    <t>13-RC0805FR-10180RLCT-ND</t>
  </si>
  <si>
    <t>200R/0805</t>
  </si>
  <si>
    <t xml:space="preserve">RES SM 0805 200R </t>
  </si>
  <si>
    <t>RC0805FR-13200RL</t>
  </si>
  <si>
    <t>13-RC0805FR-13200RLCT-ND</t>
  </si>
  <si>
    <t>RC0805FR-10200RL</t>
  </si>
  <si>
    <t>13-RC0805FR-10200RLCT-ND</t>
  </si>
  <si>
    <t>220R/0805</t>
  </si>
  <si>
    <t xml:space="preserve">RES SM 0805 220R </t>
  </si>
  <si>
    <t>RC0805FR-13220RL</t>
  </si>
  <si>
    <t>13-RC0805FR-13220RLCT-ND</t>
  </si>
  <si>
    <t>RC0805FR-10220RL</t>
  </si>
  <si>
    <t>13-RC0805FR-10220RLCT-ND</t>
  </si>
  <si>
    <t>240R/0805</t>
  </si>
  <si>
    <t xml:space="preserve">RES SM 0805 240R </t>
  </si>
  <si>
    <t>RC0805FR-13240RL</t>
  </si>
  <si>
    <t>13-RC0805FR-13240RLCT-ND</t>
  </si>
  <si>
    <t>RC0805FR-07240RL</t>
  </si>
  <si>
    <t>311-240CRCT-ND</t>
  </si>
  <si>
    <t>270R/0805</t>
  </si>
  <si>
    <t xml:space="preserve">RES SM 0805 270R </t>
  </si>
  <si>
    <t>RC0805FR-13270RL</t>
  </si>
  <si>
    <t>13-RC0805FR-13270RLCT-ND</t>
  </si>
  <si>
    <t>RC0805FR-10270RL</t>
  </si>
  <si>
    <t>13-RC0805FR-10270RLCT-ND</t>
  </si>
  <si>
    <t>300R/0805</t>
  </si>
  <si>
    <t xml:space="preserve">RES SM 0805 300R </t>
  </si>
  <si>
    <t>RC0805FR-13300RL</t>
  </si>
  <si>
    <t>13-RC0805FR-13300RLCT-ND</t>
  </si>
  <si>
    <t>RC0805FR-07300RL</t>
  </si>
  <si>
    <t>311-300CRCT-ND</t>
  </si>
  <si>
    <t>330R/0805</t>
  </si>
  <si>
    <t xml:space="preserve">RES SM 0805 330R </t>
  </si>
  <si>
    <t>RC0805FR-13330RL</t>
  </si>
  <si>
    <t>13-RC0805FR-13330RLCT-ND</t>
  </si>
  <si>
    <t>RC0805FR-10330RL</t>
  </si>
  <si>
    <t>13-RC0805FR-10330RLCT-ND</t>
  </si>
  <si>
    <t>360R/0805</t>
  </si>
  <si>
    <t xml:space="preserve">RES SM 0805 360R </t>
  </si>
  <si>
    <t>RC0805FR-13360RL</t>
  </si>
  <si>
    <t>13-RC0805FR-13360RLCT-ND</t>
  </si>
  <si>
    <t>RC0805FR-07360RL</t>
  </si>
  <si>
    <t>311-360CRCT-ND</t>
  </si>
  <si>
    <t>390R/0805</t>
  </si>
  <si>
    <t xml:space="preserve">RES SM 0805 390R </t>
  </si>
  <si>
    <t>RC0805FR-13390RL</t>
  </si>
  <si>
    <t>13-RC0805FR-13390RLCT-ND</t>
  </si>
  <si>
    <t>RC0805FR-10390RL</t>
  </si>
  <si>
    <t>13-RC0805FR-10390RLCT-ND</t>
  </si>
  <si>
    <t>430R/0805</t>
  </si>
  <si>
    <t xml:space="preserve">RES SM 0805 430R </t>
  </si>
  <si>
    <t>RC0805FR-10430RL</t>
  </si>
  <si>
    <t>13-RC0805FR-10430RLCT-ND</t>
  </si>
  <si>
    <t>RC0805FR-07430RL</t>
  </si>
  <si>
    <t>311-430CRCT-ND</t>
  </si>
  <si>
    <t>470R/0805</t>
  </si>
  <si>
    <t xml:space="preserve">RES SM 0805 470R </t>
  </si>
  <si>
    <t>RC0805FR-13470RL</t>
  </si>
  <si>
    <t>13-RC0805FR-13470RLCT-ND</t>
  </si>
  <si>
    <t>RC0805FR-10470RL</t>
  </si>
  <si>
    <t>13-RC0805FR-10470RLCT-ND</t>
  </si>
  <si>
    <t>510R/0805</t>
  </si>
  <si>
    <t xml:space="preserve">RES SM 0805 510R </t>
  </si>
  <si>
    <t>RC0805FR-13510RL</t>
  </si>
  <si>
    <t>13-RC0805FR-13510RLCT-ND</t>
  </si>
  <si>
    <t>RC0805FR-10510RL</t>
  </si>
  <si>
    <t>13-RC0805FR-10510RLCT-ND</t>
  </si>
  <si>
    <t>560R/0805</t>
  </si>
  <si>
    <t xml:space="preserve">RES SM 0805 560R </t>
  </si>
  <si>
    <t>RC0805FR-13560RL</t>
  </si>
  <si>
    <t>13-RC0805FR-13560RLCT-ND</t>
  </si>
  <si>
    <t>RC0805FR-10560RL</t>
  </si>
  <si>
    <t>13-RC0805FR-10560RLCT-ND</t>
  </si>
  <si>
    <t>620R/0805</t>
  </si>
  <si>
    <t xml:space="preserve">RES SM 0805 620R </t>
  </si>
  <si>
    <t>RC0805FR-10620RL</t>
  </si>
  <si>
    <t>13-RC0805FR-10620RLCT-ND</t>
  </si>
  <si>
    <t>RC0805FR-07620RL</t>
  </si>
  <si>
    <t>311-620CRCT-ND</t>
  </si>
  <si>
    <t>680R/0805</t>
  </si>
  <si>
    <t xml:space="preserve">RES SM 0805 680R </t>
  </si>
  <si>
    <t>RC0805FR-13680RL</t>
  </si>
  <si>
    <t>13-RC0805FR-13680RLCT-ND</t>
  </si>
  <si>
    <t>RC0805FR-10680RL</t>
  </si>
  <si>
    <t>13-RC0805FR-10680RLCT-ND</t>
  </si>
  <si>
    <t>750R/0805</t>
  </si>
  <si>
    <t xml:space="preserve">RES SM 0805 750R </t>
  </si>
  <si>
    <t>RC0805FR-13750RL</t>
  </si>
  <si>
    <t>13-RC0805FR-13750RLCT-ND</t>
  </si>
  <si>
    <t>RC0805FR-10750RL</t>
  </si>
  <si>
    <t>13-RC0805FR-10750RLCT-ND</t>
  </si>
  <si>
    <t>820R/0805</t>
  </si>
  <si>
    <t xml:space="preserve">RES SM 0805 820R </t>
  </si>
  <si>
    <t>RC0805FR-13820RL</t>
  </si>
  <si>
    <t>13-RC0805FR-13820RLCT-ND</t>
  </si>
  <si>
    <t>RC0805FR-10820RL</t>
  </si>
  <si>
    <t>13-RC0805FR-10820RLCT-ND</t>
  </si>
  <si>
    <t>910R/0805</t>
  </si>
  <si>
    <t xml:space="preserve">RES SM 0805 910R </t>
  </si>
  <si>
    <t>RC0805FR-07910RL</t>
  </si>
  <si>
    <t>311-910CRCT-ND</t>
  </si>
  <si>
    <t>1K/0805</t>
  </si>
  <si>
    <t xml:space="preserve">RES SM 0805 1K </t>
  </si>
  <si>
    <t>RC0805FR-131KL</t>
  </si>
  <si>
    <t>13-RC0805FR-131KLCT-ND</t>
  </si>
  <si>
    <t>RC0805FR-101KL</t>
  </si>
  <si>
    <t>13-RC0805FR-101KLCT-ND</t>
  </si>
  <si>
    <t>1K1/0805</t>
  </si>
  <si>
    <t xml:space="preserve">RES SM 0805 1K1 </t>
  </si>
  <si>
    <t>RC0805FR-131K1L</t>
  </si>
  <si>
    <t>13-RC0805FR-131K1LCT-ND</t>
  </si>
  <si>
    <t>RC0805FR-101K1L</t>
  </si>
  <si>
    <t>13-RC0805FR-101K1LCT-ND</t>
  </si>
  <si>
    <t>1K2/0805</t>
  </si>
  <si>
    <t xml:space="preserve">RES SM 0805 1K2 </t>
  </si>
  <si>
    <t>RC0805FR-131K2L</t>
  </si>
  <si>
    <t>13-RC0805FR-131K2LCT-ND</t>
  </si>
  <si>
    <t>RC0805FR-101K2L</t>
  </si>
  <si>
    <t>13-RC0805FR-101K2LCT-ND</t>
  </si>
  <si>
    <t>1K3/0805</t>
  </si>
  <si>
    <t xml:space="preserve">RES SM 0805 1K3 </t>
  </si>
  <si>
    <t>RC0805FR-131K3L</t>
  </si>
  <si>
    <t>13-RC0805FR-131K3LCT-ND</t>
  </si>
  <si>
    <t>RC0805FR-101K3L</t>
  </si>
  <si>
    <t>13-RC0805FR-101K3LCT-ND</t>
  </si>
  <si>
    <t>1K5/0805</t>
  </si>
  <si>
    <t xml:space="preserve">RES SM 0805 1K5 </t>
  </si>
  <si>
    <t>RC0805FR-131K5L</t>
  </si>
  <si>
    <t>13-RC0805FR-131K5LCT-ND</t>
  </si>
  <si>
    <t>RC0805FR-101K5L</t>
  </si>
  <si>
    <t>13-RC0805FR-101K5LCT-ND</t>
  </si>
  <si>
    <t>1K6/0805</t>
  </si>
  <si>
    <t xml:space="preserve">RES SM 0805 1K6 </t>
  </si>
  <si>
    <t>RC0805FR-131K6L</t>
  </si>
  <si>
    <t>13-RC0805FR-131K6LCT-ND</t>
  </si>
  <si>
    <t>RC0805FR-101K6L</t>
  </si>
  <si>
    <t>13-RC0805FR-101K6LCT-ND</t>
  </si>
  <si>
    <t>1K8/0805</t>
  </si>
  <si>
    <t xml:space="preserve">RES SM 0805 1K8 </t>
  </si>
  <si>
    <t>RC0805FR-131K8L</t>
  </si>
  <si>
    <t>13-RC0805FR-131K8LCT-ND</t>
  </si>
  <si>
    <t>RC0805FR-071K8L</t>
  </si>
  <si>
    <t>311-1.80KCRCT-ND</t>
  </si>
  <si>
    <t>2K/0805</t>
  </si>
  <si>
    <t xml:space="preserve">RES SM 0805 2K </t>
  </si>
  <si>
    <t>RC0805FR-132KL</t>
  </si>
  <si>
    <t>13-RC0805FR-132KLCT-ND</t>
  </si>
  <si>
    <t>RC0805FR-072KL</t>
  </si>
  <si>
    <t>311-2.00KCRCT-ND</t>
  </si>
  <si>
    <t>2K2/0805</t>
  </si>
  <si>
    <t xml:space="preserve">RES SM 0805 2K2 </t>
  </si>
  <si>
    <t>RC0805FR-132K2L</t>
  </si>
  <si>
    <t>13-RC0805FR-132K2LCT-ND</t>
  </si>
  <si>
    <t>RC0805FR-102K2L</t>
  </si>
  <si>
    <t>13-RC0805FR-102K2LCT-ND</t>
  </si>
  <si>
    <t>2K4/0805</t>
  </si>
  <si>
    <t xml:space="preserve">RES SM 0805 2K4 </t>
  </si>
  <si>
    <t>RC0805FR-132K4L</t>
  </si>
  <si>
    <t>13-RC0805FR-132K4LCT-ND</t>
  </si>
  <si>
    <t>RC0805FR-072K4L</t>
  </si>
  <si>
    <t>311-2.40KCRCT-ND</t>
  </si>
  <si>
    <t>2K7/0805</t>
  </si>
  <si>
    <t xml:space="preserve">RES SM 0805 2K7 </t>
  </si>
  <si>
    <t>RC0805FR-132K7L</t>
  </si>
  <si>
    <t>13-RC0805FR-132K7LCT-ND</t>
  </si>
  <si>
    <t>RC0805FR-102K7L</t>
  </si>
  <si>
    <t>13-RC0805FR-102K7LCT-ND</t>
  </si>
  <si>
    <t>3K/0805</t>
  </si>
  <si>
    <t xml:space="preserve">RES SM 0805 3K </t>
  </si>
  <si>
    <t>RC0805FR-133KL</t>
  </si>
  <si>
    <t>13-RC0805FR-133KLCT-ND</t>
  </si>
  <si>
    <t>RC0805FR-103KL</t>
  </si>
  <si>
    <t>13-RC0805FR-103KLCT-ND</t>
  </si>
  <si>
    <t>3K3/0805</t>
  </si>
  <si>
    <t xml:space="preserve">RES SM 0805 3K3 </t>
  </si>
  <si>
    <t>RC0805FR-133K3L</t>
  </si>
  <si>
    <t>13-RC0805FR-133K3LCT-ND</t>
  </si>
  <si>
    <t>RC0805FR-103K3L</t>
  </si>
  <si>
    <t>13-RC0805FR-103K3LCT-ND</t>
  </si>
  <si>
    <t>3K6/0805</t>
  </si>
  <si>
    <t xml:space="preserve">RES SM 0805 3K6 </t>
  </si>
  <si>
    <t>RC0805FR-133K6L</t>
  </si>
  <si>
    <t>13-RC0805FR-133K6LCT-ND</t>
  </si>
  <si>
    <t>RC0805FR-073K6L</t>
  </si>
  <si>
    <t>311-3.60KCRCT-ND</t>
  </si>
  <si>
    <t>3K9/0805</t>
  </si>
  <si>
    <t xml:space="preserve">RES SM 0805 3K9 </t>
  </si>
  <si>
    <t>RC0805FR-133K9L</t>
  </si>
  <si>
    <t>13-RC0805FR-133K9LCT-ND</t>
  </si>
  <si>
    <t>RC0805FR-103K9L</t>
  </si>
  <si>
    <t>13-RC0805FR-103K9LCT-ND</t>
  </si>
  <si>
    <t>4K3/0805</t>
  </si>
  <si>
    <t xml:space="preserve">RES SM 0805 4K3 </t>
  </si>
  <si>
    <t>RC0805FR-104K3L</t>
  </si>
  <si>
    <t>13-RC0805FR-104K3LCT-ND</t>
  </si>
  <si>
    <t>RC0805FR-074K3L</t>
  </si>
  <si>
    <t>311-4.30KCRCT-ND</t>
  </si>
  <si>
    <t>4K7/0805</t>
  </si>
  <si>
    <t xml:space="preserve">RES SM 0805 4K7 </t>
  </si>
  <si>
    <t>RC0805FR-134K7L</t>
  </si>
  <si>
    <t>13-RC0805FR-134K7LCT-ND</t>
  </si>
  <si>
    <t>RC0805FR-104K7L</t>
  </si>
  <si>
    <t>13-RC0805FR-104K7LCT-ND</t>
  </si>
  <si>
    <t>5K1/0805</t>
  </si>
  <si>
    <t xml:space="preserve">RES SM 0805 5K1 </t>
  </si>
  <si>
    <t>RC0805FR-135K1L</t>
  </si>
  <si>
    <t>13-RC0805FR-135K1LCT-ND</t>
  </si>
  <si>
    <t>RC0805FR-105K1L</t>
  </si>
  <si>
    <t>13-RC0805FR-105K1LCT-ND</t>
  </si>
  <si>
    <t>5K6/0805</t>
  </si>
  <si>
    <t xml:space="preserve">RES SM 0805 5K6 </t>
  </si>
  <si>
    <t>RC0805FR-135K6L</t>
  </si>
  <si>
    <t>13-RC0805FR-135K6LCT-ND</t>
  </si>
  <si>
    <t>RC0805FR-105K6L</t>
  </si>
  <si>
    <t>13-RC0805FR-105K6LCT-ND</t>
  </si>
  <si>
    <t>6K2/0805</t>
  </si>
  <si>
    <t xml:space="preserve">RES SM 0805 6K2 </t>
  </si>
  <si>
    <t>RC0805FR-136K2L</t>
  </si>
  <si>
    <t>13-RC0805FR-136K2LCT-ND</t>
  </si>
  <si>
    <t>RC0805FR-106K2L</t>
  </si>
  <si>
    <t>13-RC0805FR-106K2LCT-ND</t>
  </si>
  <si>
    <t>6K8/0805</t>
  </si>
  <si>
    <t xml:space="preserve">RES SM 0805 6K8 </t>
  </si>
  <si>
    <t>RC0805FR-136K8L</t>
  </si>
  <si>
    <t>13-RC0805FR-136K8LCT-ND</t>
  </si>
  <si>
    <t>RC0805FR-106K8L</t>
  </si>
  <si>
    <t>13-RC0805FR-106K8LCT-ND</t>
  </si>
  <si>
    <t>7K5/0805</t>
  </si>
  <si>
    <t xml:space="preserve">RES SM 0805 7K5 </t>
  </si>
  <si>
    <t>RC0805FR-137K5L</t>
  </si>
  <si>
    <t>13-RC0805FR-137K5LCT-ND</t>
  </si>
  <si>
    <t>RC0805FR-107K5L</t>
  </si>
  <si>
    <t>13-RC0805FR-107K5LCT-ND</t>
  </si>
  <si>
    <t>8K2/0805</t>
  </si>
  <si>
    <t xml:space="preserve">RES SM 0805 8K2 </t>
  </si>
  <si>
    <t>RC0805FR-138K2L</t>
  </si>
  <si>
    <t>13-RC0805FR-138K2LCT-ND</t>
  </si>
  <si>
    <t>RC0805FR-078K2L</t>
  </si>
  <si>
    <t>311-8.20KCRCT-ND</t>
  </si>
  <si>
    <t>9K1/0805</t>
  </si>
  <si>
    <t xml:space="preserve">RES SM 0805 9K1 </t>
  </si>
  <si>
    <t>RC0805FR-079K1L</t>
  </si>
  <si>
    <t>311-9.10KCRCT-ND</t>
  </si>
  <si>
    <t>10K/0805</t>
  </si>
  <si>
    <t xml:space="preserve">RES SM 0805 10K </t>
  </si>
  <si>
    <t>RC0805FR-1310KL</t>
  </si>
  <si>
    <t>13-RC0805FR-1310KLCT-ND</t>
  </si>
  <si>
    <t>RC0805FR-1010KL</t>
  </si>
  <si>
    <t>13-RC0805FR-1010KLCT-ND</t>
  </si>
  <si>
    <t>11K/0805</t>
  </si>
  <si>
    <t xml:space="preserve">RES SM 0805 11K </t>
  </si>
  <si>
    <t>RC0805FR-1011KL</t>
  </si>
  <si>
    <t>13-RC0805FR-1011KLCT-ND</t>
  </si>
  <si>
    <t>RC0805FR-0711KL</t>
  </si>
  <si>
    <t>311-11.0KCRCT-ND</t>
  </si>
  <si>
    <t>12K/0805</t>
  </si>
  <si>
    <t xml:space="preserve">RES SM 0805 12K </t>
  </si>
  <si>
    <t>RC0805FR-1312KL</t>
  </si>
  <si>
    <t>13-RC0805FR-1312KLCT-ND</t>
  </si>
  <si>
    <t>RC0805FR-1012KL</t>
  </si>
  <si>
    <t>13-RC0805FR-1012KLCT-ND</t>
  </si>
  <si>
    <t>13K/0805</t>
  </si>
  <si>
    <t xml:space="preserve">RES SM 0805 13K </t>
  </si>
  <si>
    <t>RC0805FR-0713KL</t>
  </si>
  <si>
    <t>311-13.0KCRCT-ND</t>
  </si>
  <si>
    <t>15K/0805</t>
  </si>
  <si>
    <t xml:space="preserve">RES SM 0805 15K </t>
  </si>
  <si>
    <t>RC0805FR-1315KL</t>
  </si>
  <si>
    <t>13-RC0805FR-1315KLCT-ND</t>
  </si>
  <si>
    <t>RC0805FR-1015KL</t>
  </si>
  <si>
    <t>13-RC0805FR-1015KLCT-ND</t>
  </si>
  <si>
    <t>16K/0805</t>
  </si>
  <si>
    <t xml:space="preserve">RES SM 0805 16K </t>
  </si>
  <si>
    <t>RC0805FR-0716KL</t>
  </si>
  <si>
    <t>311-16.0KCRCT-ND</t>
  </si>
  <si>
    <t>18K/0805</t>
  </si>
  <si>
    <t xml:space="preserve">RES SM 0805 18K </t>
  </si>
  <si>
    <t>RC0805FR-1318KL</t>
  </si>
  <si>
    <t>13-RC0805FR-1318KLCT-ND</t>
  </si>
  <si>
    <t>RC0805FR-1018KL</t>
  </si>
  <si>
    <t>13-RC0805FR-1018KLCT-ND</t>
  </si>
  <si>
    <t>20K/0805</t>
  </si>
  <si>
    <t xml:space="preserve">RES SM 0805 20K </t>
  </si>
  <si>
    <t>RC0805FR-1320KL</t>
  </si>
  <si>
    <t>13-RC0805FR-1320KLCT-ND</t>
  </si>
  <si>
    <t>RC0805FR-1020KL</t>
  </si>
  <si>
    <t>13-RC0805FR-1020KLCT-ND</t>
  </si>
  <si>
    <t>22K/0805</t>
  </si>
  <si>
    <t xml:space="preserve">RES SM 0805 22K </t>
  </si>
  <si>
    <t>RC0805FR-1322KL</t>
  </si>
  <si>
    <t>13-RC0805FR-1322KLCT-ND</t>
  </si>
  <si>
    <t>RC0805FR-1022KL</t>
  </si>
  <si>
    <t>13-RC0805FR-1022KLCT-ND</t>
  </si>
  <si>
    <t>24K/0805</t>
  </si>
  <si>
    <t xml:space="preserve">RES SM 0805 24K </t>
  </si>
  <si>
    <t>RC0805FR-1324KL</t>
  </si>
  <si>
    <t>13-RC0805FR-1324KLCT-ND</t>
  </si>
  <si>
    <t>RC0805FR-1024KL</t>
  </si>
  <si>
    <t>13-RC0805FR-1024KLCT-ND</t>
  </si>
  <si>
    <t>27K/0805</t>
  </si>
  <si>
    <t xml:space="preserve">RES SM 0805 27K </t>
  </si>
  <si>
    <t>RC0805FR-1327KL</t>
  </si>
  <si>
    <t>13-RC0805FR-1327KLCT-ND</t>
  </si>
  <si>
    <t>RC0805FR-1027KL</t>
  </si>
  <si>
    <t>13-RC0805FR-1027KLCT-ND</t>
  </si>
  <si>
    <t>30K/0805</t>
  </si>
  <si>
    <t xml:space="preserve">RES SM 0805 30K </t>
  </si>
  <si>
    <t>RC0805FR-1330KL</t>
  </si>
  <si>
    <t>13-RC0805FR-1330KLCT-ND</t>
  </si>
  <si>
    <t>RC0805FR-0730KL</t>
  </si>
  <si>
    <t>311-30.0KCRCT-ND</t>
  </si>
  <si>
    <t>33K/0805</t>
  </si>
  <si>
    <t xml:space="preserve">RES SM 0805 33K </t>
  </si>
  <si>
    <t>RC0805FR-1333KL</t>
  </si>
  <si>
    <t>13-RC0805FR-1333KLCT-ND</t>
  </si>
  <si>
    <t>RC0805FR-1033KL</t>
  </si>
  <si>
    <t>13-RC0805FR-1033KLCT-ND</t>
  </si>
  <si>
    <t>36K/0805</t>
  </si>
  <si>
    <t xml:space="preserve">RES SM 0805 36K </t>
  </si>
  <si>
    <t>RC0805FR-1336KL</t>
  </si>
  <si>
    <t>13-RC0805FR-1336KLCT-ND</t>
  </si>
  <si>
    <t>RC0805FR-0736KL</t>
  </si>
  <si>
    <t>311-36.0KCRCT-ND</t>
  </si>
  <si>
    <t>39K/0805</t>
  </si>
  <si>
    <t xml:space="preserve">RES SM 0805 39K </t>
  </si>
  <si>
    <t>RC0805FR-1039KL</t>
  </si>
  <si>
    <t>13-RC0805FR-1039KLCT-ND</t>
  </si>
  <si>
    <t>RC0805FR-0739KL</t>
  </si>
  <si>
    <t>311-39.0KCRCT-ND</t>
  </si>
  <si>
    <t>43K/0805</t>
  </si>
  <si>
    <t xml:space="preserve">RES SM 0805 43K </t>
  </si>
  <si>
    <t>RC0805FR-0743KL</t>
  </si>
  <si>
    <t>311-43.0KCRCT-ND</t>
  </si>
  <si>
    <t>47K/0805</t>
  </si>
  <si>
    <t xml:space="preserve">RES SM 0805 47K </t>
  </si>
  <si>
    <t>RC0805FR-1347KL</t>
  </si>
  <si>
    <t>13-RC0805FR-1347KLCT-ND</t>
  </si>
  <si>
    <t>RC0805FR-1047KL</t>
  </si>
  <si>
    <t>13-RC0805FR-1047KLCT-ND</t>
  </si>
  <si>
    <t>51K/0805</t>
  </si>
  <si>
    <t xml:space="preserve">RES SM 0805 51K </t>
  </si>
  <si>
    <t>RC0805FR-1351KL</t>
  </si>
  <si>
    <t>13-RC0805FR-1351KLCT-ND</t>
  </si>
  <si>
    <t>RC0805FR-1051KL</t>
  </si>
  <si>
    <t>13-RC0805FR-1051KLCT-ND</t>
  </si>
  <si>
    <t>56K/0805</t>
  </si>
  <si>
    <t xml:space="preserve">RES SM 0805 56K </t>
  </si>
  <si>
    <t>RC0805FR-1356KL</t>
  </si>
  <si>
    <t>13-RC0805FR-1356KLCT-ND</t>
  </si>
  <si>
    <t>RC0805FR-1056KL</t>
  </si>
  <si>
    <t>13-RC0805FR-1056KLCT-ND</t>
  </si>
  <si>
    <t>62K/0805</t>
  </si>
  <si>
    <t xml:space="preserve">RES SM 0805 62K </t>
  </si>
  <si>
    <t>RC0805FR-0762KL</t>
  </si>
  <si>
    <t>311-62.0KCRCT-ND</t>
  </si>
  <si>
    <t>68K/0805</t>
  </si>
  <si>
    <t xml:space="preserve">RES SM 0805 68K </t>
  </si>
  <si>
    <t>RC0805FR-1368KL</t>
  </si>
  <si>
    <t>13-RC0805FR-1368KLCT-ND</t>
  </si>
  <si>
    <t>RC0805FR-1068KL</t>
  </si>
  <si>
    <t>13-RC0805FR-1068KLCT-ND</t>
  </si>
  <si>
    <t>75K/0805</t>
  </si>
  <si>
    <t xml:space="preserve">RES SM 0805 75K </t>
  </si>
  <si>
    <t>RC0805FR-1375KL</t>
  </si>
  <si>
    <t>13-RC0805FR-1375KLCT-ND</t>
  </si>
  <si>
    <t>RC0805FR-1075KL</t>
  </si>
  <si>
    <t>13-RC0805FR-1075KLCT-ND</t>
  </si>
  <si>
    <t>82K/0805</t>
  </si>
  <si>
    <t xml:space="preserve">RES SM 0805 82K </t>
  </si>
  <si>
    <t>RC0805FR-1382KL</t>
  </si>
  <si>
    <t>13-RC0805FR-1382KLCT-ND</t>
  </si>
  <si>
    <t>RC0805FR-1082KL</t>
  </si>
  <si>
    <t>13-RC0805FR-1082KLCT-ND</t>
  </si>
  <si>
    <t>91K/0805</t>
  </si>
  <si>
    <t xml:space="preserve">RES SM 0805 91K </t>
  </si>
  <si>
    <t>RC0805FR-0791KL</t>
  </si>
  <si>
    <t>311-91.0KCRCT-ND</t>
  </si>
  <si>
    <t>100K/0805</t>
  </si>
  <si>
    <t xml:space="preserve">RES SM 0805 100K </t>
  </si>
  <si>
    <t>RC0805FR-13100KL</t>
  </si>
  <si>
    <t>13-RC0805FR-13100KLCT-ND</t>
  </si>
  <si>
    <t>RC0805FR-10100KL</t>
  </si>
  <si>
    <t>13-RC0805FR-10100KLCT-ND</t>
  </si>
  <si>
    <t>110K/0805</t>
  </si>
  <si>
    <t xml:space="preserve">RES SM 0805 110K </t>
  </si>
  <si>
    <t>RC0805FR-07110KL</t>
  </si>
  <si>
    <t>311-110KCRCT-ND</t>
  </si>
  <si>
    <t>120K/0805</t>
  </si>
  <si>
    <t xml:space="preserve">RES SM 0805 120K </t>
  </si>
  <si>
    <t>RC0805FR-13120KL</t>
  </si>
  <si>
    <t>13-RC0805FR-13120KLCT-ND</t>
  </si>
  <si>
    <t>RC0805FR-07120KL</t>
  </si>
  <si>
    <t>311-120KCRCT-ND</t>
  </si>
  <si>
    <t>130K/0805</t>
  </si>
  <si>
    <t xml:space="preserve">RES SM 0805 130K </t>
  </si>
  <si>
    <t>RC0805FR-10130KL</t>
  </si>
  <si>
    <t>13-RC0805FR-10130KLCT-ND</t>
  </si>
  <si>
    <t>RC0805FR-07130KL</t>
  </si>
  <si>
    <t>311-130KCRCT-ND</t>
  </si>
  <si>
    <t>150K/0805</t>
  </si>
  <si>
    <t xml:space="preserve">RES SM 0805 150K </t>
  </si>
  <si>
    <t>RC0805FR-13150KL</t>
  </si>
  <si>
    <t>13-RC0805FR-13150KLCT-ND</t>
  </si>
  <si>
    <t>RC0805FR-10150KL</t>
  </si>
  <si>
    <t>13-RC0805FR-10150KLCT-ND</t>
  </si>
  <si>
    <t>160K/0805</t>
  </si>
  <si>
    <t xml:space="preserve">RES SM 0805 160K </t>
  </si>
  <si>
    <t>RC0805FR-07160KL</t>
  </si>
  <si>
    <t>311-160KCRCT-ND</t>
  </si>
  <si>
    <t>180K/0805</t>
  </si>
  <si>
    <t xml:space="preserve">RES SM 0805 180K </t>
  </si>
  <si>
    <t>RC0805FR-13180KL</t>
  </si>
  <si>
    <t>13-RC0805FR-13180KLCT-ND</t>
  </si>
  <si>
    <t>RC0805FR-07180KL</t>
  </si>
  <si>
    <t>311-180KCRCT-ND</t>
  </si>
  <si>
    <t>200K/0805</t>
  </si>
  <si>
    <t xml:space="preserve">RES SM 0805 200K </t>
  </si>
  <si>
    <t>RC0805FR-13200KL</t>
  </si>
  <si>
    <t>13-RC0805FR-13200KLCT-ND</t>
  </si>
  <si>
    <t>RC0805FR-10200KL</t>
  </si>
  <si>
    <t>13-RC0805FR-10200KLCT-ND</t>
  </si>
  <si>
    <t>220K/0805</t>
  </si>
  <si>
    <t xml:space="preserve">RES SM 0805 220K </t>
  </si>
  <si>
    <t>RC0805FR-13220KL</t>
  </si>
  <si>
    <t>13-RC0805FR-13220KLCT-ND</t>
  </si>
  <si>
    <t>RC0805FR-10220KL</t>
  </si>
  <si>
    <t>13-RC0805FR-10220KLCT-ND</t>
  </si>
  <si>
    <t>240K/0805</t>
  </si>
  <si>
    <t xml:space="preserve">RES SM 0805 240K </t>
  </si>
  <si>
    <t>RC0805FR-10240KL</t>
  </si>
  <si>
    <t>13-RC0805FR-10240KLCT-ND</t>
  </si>
  <si>
    <t>RC0805FR-07240KL</t>
  </si>
  <si>
    <t>311-240KCRCT-ND</t>
  </si>
  <si>
    <t>270K/0805</t>
  </si>
  <si>
    <t xml:space="preserve">RES SM 0805 270K </t>
  </si>
  <si>
    <t>RC0805FR-13270KL</t>
  </si>
  <si>
    <t>13-RC0805FR-13270KLCT-ND</t>
  </si>
  <si>
    <t>RC0805FR-07270KL</t>
  </si>
  <si>
    <t>311-270KCRCT-ND</t>
  </si>
  <si>
    <t>300K/0805</t>
  </si>
  <si>
    <t xml:space="preserve">RES SM 0805 300K </t>
  </si>
  <si>
    <t>RC0805FR-07300KL</t>
  </si>
  <si>
    <t>311-300KCRCT-ND</t>
  </si>
  <si>
    <t>330K/0805</t>
  </si>
  <si>
    <t xml:space="preserve">RES SM 0805 330K </t>
  </si>
  <si>
    <t>RC0805FR-13330KL</t>
  </si>
  <si>
    <t>13-RC0805FR-13330KLCT-ND</t>
  </si>
  <si>
    <t>RC0805FR-10330KL</t>
  </si>
  <si>
    <t>13-RC0805FR-10330KLCT-ND</t>
  </si>
  <si>
    <t>360K/0805</t>
  </si>
  <si>
    <t xml:space="preserve">RES SM 0805 360K </t>
  </si>
  <si>
    <t>RC0805FR-13360KL</t>
  </si>
  <si>
    <t>13-RC0805FR-13360KLCT-ND</t>
  </si>
  <si>
    <t>RC0805FR-07360KL</t>
  </si>
  <si>
    <t>311-360KCRCT-ND</t>
  </si>
  <si>
    <t>390K/0805</t>
  </si>
  <si>
    <t xml:space="preserve">RES SM 0805 390K </t>
  </si>
  <si>
    <t>RC0805FR-13390KL</t>
  </si>
  <si>
    <t>13-RC0805FR-13390KLCT-ND</t>
  </si>
  <si>
    <t>RC0805FR-10390KL</t>
  </si>
  <si>
    <t>13-RC0805FR-10390KLCT-ND</t>
  </si>
  <si>
    <t>430K/0805</t>
  </si>
  <si>
    <t xml:space="preserve">RES SM 0805 430K </t>
  </si>
  <si>
    <t>RC0805FR-13430KL</t>
  </si>
  <si>
    <t>13-RC0805FR-13430KLCT-ND</t>
  </si>
  <si>
    <t>RC0805FR-07430KL</t>
  </si>
  <si>
    <t>311-430KCRCT-ND</t>
  </si>
  <si>
    <t>470K/0805</t>
  </si>
  <si>
    <t xml:space="preserve">RES SM 0805 470K </t>
  </si>
  <si>
    <t>RC0805FR-13470KL</t>
  </si>
  <si>
    <t>13-RC0805FR-13470KLCT-ND</t>
  </si>
  <si>
    <t>RC0805FR-10470KL</t>
  </si>
  <si>
    <t>13-RC0805FR-10470KLCT-ND</t>
  </si>
  <si>
    <t>510K/0805</t>
  </si>
  <si>
    <t xml:space="preserve">RES SM 0805 510K </t>
  </si>
  <si>
    <t>RC0805FR-13510KL</t>
  </si>
  <si>
    <t>13-RC0805FR-13510KLCT-ND</t>
  </si>
  <si>
    <t>RC0805FR-07510KL</t>
  </si>
  <si>
    <t>311-510KCRCT-ND</t>
  </si>
  <si>
    <t>560K/0805</t>
  </si>
  <si>
    <t xml:space="preserve">RES SM 0805 560K </t>
  </si>
  <si>
    <t>RC0805FR-07560KL</t>
  </si>
  <si>
    <t>311-560KCRCT-ND</t>
  </si>
  <si>
    <t>620K/0805</t>
  </si>
  <si>
    <t xml:space="preserve">RES SM 0805 620K </t>
  </si>
  <si>
    <t>RC0805FR-07620KL</t>
  </si>
  <si>
    <t>311-620KCRCT-ND</t>
  </si>
  <si>
    <t>680K/0805</t>
  </si>
  <si>
    <t xml:space="preserve">RES SM 0805 680K </t>
  </si>
  <si>
    <t>RC0805FR-07680KL</t>
  </si>
  <si>
    <t>311-680KCRCT-ND</t>
  </si>
  <si>
    <t>750K/0805</t>
  </si>
  <si>
    <t xml:space="preserve">RES SM 0805 750K </t>
  </si>
  <si>
    <t>RC0805FR-07750KL</t>
  </si>
  <si>
    <t>311-750KCRCT-ND</t>
  </si>
  <si>
    <t>820K/0805</t>
  </si>
  <si>
    <t xml:space="preserve">RES SM 0805 820K </t>
  </si>
  <si>
    <t>RC0805FR-07820KL</t>
  </si>
  <si>
    <t>311-820KCRCT-ND</t>
  </si>
  <si>
    <t>910K/0805</t>
  </si>
  <si>
    <t xml:space="preserve">RES SM 0805 910K </t>
  </si>
  <si>
    <t>RC0805FR-07910KL</t>
  </si>
  <si>
    <t>YAG3336CT-ND</t>
  </si>
  <si>
    <t>1M/0805</t>
  </si>
  <si>
    <t xml:space="preserve">RES SM 0805 1M </t>
  </si>
  <si>
    <t>RC0805FR-131ML</t>
  </si>
  <si>
    <t>13-RC0805FR-131MLCT-ND</t>
  </si>
  <si>
    <t>RC0805FR-101ML</t>
  </si>
  <si>
    <t>13-RC0805FR-101MLCT-ND</t>
  </si>
  <si>
    <t>1M1/0805</t>
  </si>
  <si>
    <t xml:space="preserve">RES SM 0805 1M1 </t>
  </si>
  <si>
    <t>RC0805FR-071M1L</t>
  </si>
  <si>
    <t>311-1.10MCRCT-ND</t>
  </si>
  <si>
    <t>1M2/0805</t>
  </si>
  <si>
    <t xml:space="preserve">RES SM 0805 1M2 </t>
  </si>
  <si>
    <t>RC0805FR-101M2L</t>
  </si>
  <si>
    <t>13-RC0805FR-101M2LCT-ND</t>
  </si>
  <si>
    <t>RC0805FR-071M2L</t>
  </si>
  <si>
    <t>311-1.20MCRCT-ND</t>
  </si>
  <si>
    <t>1M3/0805</t>
  </si>
  <si>
    <t xml:space="preserve">RES SM 0805 1M3 </t>
  </si>
  <si>
    <t>RC0805FR-071M3L</t>
  </si>
  <si>
    <t>311-1.30MCRCT-ND</t>
  </si>
  <si>
    <t>1M5/0805</t>
  </si>
  <si>
    <t xml:space="preserve">RES SM 0805 1M5 </t>
  </si>
  <si>
    <t>RC0805FR-131M5L</t>
  </si>
  <si>
    <t>13-RC0805FR-131M5LCT-ND</t>
  </si>
  <si>
    <t>RC0805FR-101M5L</t>
  </si>
  <si>
    <t>13-RC0805FR-101M5LCT-ND</t>
  </si>
  <si>
    <t>1M6/0805</t>
  </si>
  <si>
    <t xml:space="preserve">RES SM 0805 1M6 </t>
  </si>
  <si>
    <t>RC0805FR-071M6L</t>
  </si>
  <si>
    <t>YAG3334CT-ND</t>
  </si>
  <si>
    <t>1M8/0805</t>
  </si>
  <si>
    <t xml:space="preserve">RES SM 0805 1M8 </t>
  </si>
  <si>
    <t>RC0805FR-131M8L</t>
  </si>
  <si>
    <t>13-RC0805FR-131M8LCT-ND</t>
  </si>
  <si>
    <t>RC0805FR-071M8L</t>
  </si>
  <si>
    <t>311-1.80MCRCT-ND</t>
  </si>
  <si>
    <t>2M/0805</t>
  </si>
  <si>
    <t xml:space="preserve">RES SM 0805 2M </t>
  </si>
  <si>
    <t>RC0805FR-072ML</t>
  </si>
  <si>
    <t>311-2.00MCRCT-ND</t>
  </si>
  <si>
    <t>2M2/0805</t>
  </si>
  <si>
    <t xml:space="preserve">RES SM 0805 2M2 </t>
  </si>
  <si>
    <t>RC0805FR-102M2L</t>
  </si>
  <si>
    <t>13-RC0805FR-102M2LCT-ND</t>
  </si>
  <si>
    <t>RC0805FR-072M2L</t>
  </si>
  <si>
    <t>311-2.20MCRCT-ND</t>
  </si>
  <si>
    <t>2M4/0805</t>
  </si>
  <si>
    <t xml:space="preserve">RES SM 0805 2M4 </t>
  </si>
  <si>
    <t>RC0805FR-072M4L</t>
  </si>
  <si>
    <t>13-RC0805FR-072M4LCT-ND</t>
  </si>
  <si>
    <t>2M7/0805</t>
  </si>
  <si>
    <t xml:space="preserve">RES SM 0805 2M7 </t>
  </si>
  <si>
    <t>RC0805FR-072M7L</t>
  </si>
  <si>
    <t>13-RC0805FR-072M7LCT-ND</t>
  </si>
  <si>
    <t>3M/0805</t>
  </si>
  <si>
    <t xml:space="preserve">RES SM 0805 3M </t>
  </si>
  <si>
    <t>RC0805FR-073ML</t>
  </si>
  <si>
    <t>13-RC0805FR-073MLCT-ND</t>
  </si>
  <si>
    <t>3M3/0805</t>
  </si>
  <si>
    <t xml:space="preserve">RES SM 0805 3M3 </t>
  </si>
  <si>
    <t>RC0805FR-073M3L</t>
  </si>
  <si>
    <t>311-3.30MCRCT-ND</t>
  </si>
  <si>
    <t>3M6/0805</t>
  </si>
  <si>
    <t xml:space="preserve">RES SM 0805 3M6 </t>
  </si>
  <si>
    <t>RC0805FR-073M6L</t>
  </si>
  <si>
    <t>13-RC0805FR-073M6LCT-ND</t>
  </si>
  <si>
    <t>3M9/0805</t>
  </si>
  <si>
    <t xml:space="preserve">RES SM 0805 3M9 </t>
  </si>
  <si>
    <t>RC0805FR-073M9L</t>
  </si>
  <si>
    <t>13-RC0805FR-073M9LCT-ND</t>
  </si>
  <si>
    <t>4M3/0805</t>
  </si>
  <si>
    <t xml:space="preserve">RES SM 0805 4M3 </t>
  </si>
  <si>
    <t>RC0805FR-074M3L</t>
  </si>
  <si>
    <t>13-RC0805FR-074M3LCT-ND</t>
  </si>
  <si>
    <t>4M7/0805</t>
  </si>
  <si>
    <t xml:space="preserve">RES SM 0805 4M7 </t>
  </si>
  <si>
    <t>RC0805FR-134M7L</t>
  </si>
  <si>
    <t>13-RC0805FR-134M7LCT-ND</t>
  </si>
  <si>
    <t>RC0805FR-104M7L</t>
  </si>
  <si>
    <t>13-RC0805FR-104M7LCT-ND</t>
  </si>
  <si>
    <t>5M1/0805</t>
  </si>
  <si>
    <t xml:space="preserve">RES SM 0805 5M1 </t>
  </si>
  <si>
    <t>RC0805FR-075M1L</t>
  </si>
  <si>
    <t>13-RC0805FR-075M1LCT-ND</t>
  </si>
  <si>
    <t>5M6/0805</t>
  </si>
  <si>
    <t xml:space="preserve">RES SM 0805 5M6 </t>
  </si>
  <si>
    <t>RC0805FR-075M6L</t>
  </si>
  <si>
    <t>13-RC0805FR-075M6LCT-ND</t>
  </si>
  <si>
    <t>6M2/0805</t>
  </si>
  <si>
    <t xml:space="preserve">RES SM 0805 6M2 </t>
  </si>
  <si>
    <t>RC0805FR-076M2L</t>
  </si>
  <si>
    <t>13-RC0805FR-076M2LCT-ND</t>
  </si>
  <si>
    <t>6M8/0805</t>
  </si>
  <si>
    <t xml:space="preserve">RES SM 0805 6M8 </t>
  </si>
  <si>
    <t>RC0805FR-076M8L</t>
  </si>
  <si>
    <t>13-RC0805FR-076M8LCT-ND</t>
  </si>
  <si>
    <t>7M5/0805</t>
  </si>
  <si>
    <t xml:space="preserve">RES SM 0805 7M5 </t>
  </si>
  <si>
    <t>RC0805FR-077M5L</t>
  </si>
  <si>
    <t>311-7.50MCRCT-ND</t>
  </si>
  <si>
    <t>8M2/0805</t>
  </si>
  <si>
    <t xml:space="preserve">RES SM 0805 8M2 </t>
  </si>
  <si>
    <t>RC0805FR-078M2L</t>
  </si>
  <si>
    <t>13-RC0805FR-078M2LCT-ND</t>
  </si>
  <si>
    <t>9M1/0805</t>
  </si>
  <si>
    <t xml:space="preserve">RES SM 0805 9M1 </t>
  </si>
  <si>
    <t>RC0805FR-079M1L</t>
  </si>
  <si>
    <t>13-RC0805FR-079M1LCT-ND</t>
  </si>
  <si>
    <t>10M/0805</t>
  </si>
  <si>
    <t xml:space="preserve">RES SM 0805 10M </t>
  </si>
  <si>
    <t>RC0805FR-1310ML</t>
  </si>
  <si>
    <t>13-RC0805FR-1310MLCT-ND</t>
  </si>
  <si>
    <t>RC0805FR-1010ML</t>
  </si>
  <si>
    <t>13-RC0805FR-1010MLCT-ND</t>
  </si>
  <si>
    <t>RC0805FR-130RL</t>
  </si>
  <si>
    <t>RC0805FR-100RL</t>
  </si>
  <si>
    <t>13-RC0805FR-100RLCT-ND </t>
  </si>
  <si>
    <t>13-RC0805FR-130RLCT-ND</t>
  </si>
  <si>
    <t>IC Naming Convention</t>
  </si>
  <si>
    <t>Pin one is according to IPC always Top Left or Top Center</t>
  </si>
  <si>
    <t>SOP + Pitch P + Lead Span Nominal X height - Pin Qty -[TH Width X Length]</t>
  </si>
  <si>
    <t>DW01A</t>
  </si>
  <si>
    <t>Single Cell Lithium-ion battery protection IC</t>
  </si>
  <si>
    <t>PUOLOP</t>
  </si>
  <si>
    <t>SCH/Integrated.SchLib</t>
  </si>
  <si>
    <t>SOT23-6</t>
  </si>
  <si>
    <t>TP4056-MS</t>
  </si>
  <si>
    <t xml:space="preserve">1A Standalone Linear Li-lon Battery Charger with Thermal Regulation in SOP-8 </t>
  </si>
  <si>
    <t>MSKSEMI</t>
  </si>
  <si>
    <t>TP4056</t>
  </si>
  <si>
    <t>C7473158</t>
  </si>
  <si>
    <t>MOSFET N CD</t>
  </si>
  <si>
    <t>8205S</t>
  </si>
  <si>
    <t>Common Drain MOSFET</t>
  </si>
  <si>
    <t>JSMSEMI</t>
  </si>
  <si>
    <t>C2762930</t>
  </si>
  <si>
    <t>SMF5.0A</t>
  </si>
  <si>
    <t xml:space="preserve">TVS DIODE 5VWM 9.2VC SOD123F </t>
  </si>
  <si>
    <t>Littelfuse Inc.</t>
  </si>
  <si>
    <t>SOD-123F</t>
  </si>
  <si>
    <t>SCH/D_IEC.SchLib</t>
  </si>
  <si>
    <t>PCB/SOD.PcbLib</t>
  </si>
  <si>
    <t>SOD3720X110</t>
  </si>
  <si>
    <t>5V</t>
  </si>
  <si>
    <t>https://www.littelfuse.com/~/media/electronics/datasheets/tvs_diodes/littelfuse_tvs_diode_smf_datasheet.pdf.pdf</t>
  </si>
  <si>
    <t>SMF5.0A-T13</t>
  </si>
  <si>
    <t>18-SMF5.0A-T13CT-ND</t>
  </si>
  <si>
    <t>F5748CT-ND</t>
  </si>
  <si>
    <t>SMF5.0CA</t>
  </si>
  <si>
    <t xml:space="preserve">TVS SOD123FL 5V 200W BIDIR </t>
  </si>
  <si>
    <t>18-SMF5.0CACT-ND</t>
  </si>
  <si>
    <t>SMF6.0A</t>
  </si>
  <si>
    <t xml:space="preserve">TVS DIODE 6VWM 10.3VC SOD123FL </t>
  </si>
  <si>
    <t>6V</t>
  </si>
  <si>
    <t>SMF6.0A-T13</t>
  </si>
  <si>
    <t>18-SMF6.0A-T13CT-ND</t>
  </si>
  <si>
    <t>F5749CT-ND</t>
  </si>
  <si>
    <t>SMF6.0CA</t>
  </si>
  <si>
    <t xml:space="preserve">TVS SOD123FL 6V 200W BIDIR </t>
  </si>
  <si>
    <t>18-SMF6.0CACT-ND</t>
  </si>
  <si>
    <t>SMF6.5A</t>
  </si>
  <si>
    <t xml:space="preserve">TVS DIODE 6.5VWM 11.2VC SOD123FL </t>
  </si>
  <si>
    <t>6.5V</t>
  </si>
  <si>
    <t>SMF6.5A-T13</t>
  </si>
  <si>
    <t>18-SMF6.5A-T13CT-ND</t>
  </si>
  <si>
    <t>F5750CT-ND</t>
  </si>
  <si>
    <t>SMF7.0A</t>
  </si>
  <si>
    <t xml:space="preserve">TVS SOD123FL 7V 200W UNIDIR </t>
  </si>
  <si>
    <t>7V</t>
  </si>
  <si>
    <t>F5751CT-ND</t>
  </si>
  <si>
    <t>SMF7.5A</t>
  </si>
  <si>
    <t xml:space="preserve">TVS SOD123FL 7.5V 200W UNIDIR </t>
  </si>
  <si>
    <t>7.5V</t>
  </si>
  <si>
    <t>F5752CT-ND</t>
  </si>
  <si>
    <t>SMF8.0A</t>
  </si>
  <si>
    <t xml:space="preserve">TVS SOD123FL 80V 200W UNIDIR </t>
  </si>
  <si>
    <t>8V</t>
  </si>
  <si>
    <t>F5753CT-ND</t>
  </si>
  <si>
    <t>SZSMF8.0AT1G</t>
  </si>
  <si>
    <t>F11658CT-ND</t>
  </si>
  <si>
    <t>SMF8.5A</t>
  </si>
  <si>
    <t xml:space="preserve">TVS SOD123FL 8.5V 200W UNIDIR </t>
  </si>
  <si>
    <t>8.5V</t>
  </si>
  <si>
    <t>F5754CT-ND</t>
  </si>
  <si>
    <t>SMF8.5CA</t>
  </si>
  <si>
    <t xml:space="preserve">TVS SOD123FL 8.5V 200W BIDIR </t>
  </si>
  <si>
    <t>18-SMF8.5CACT-ND</t>
  </si>
  <si>
    <t>SMF9.0A</t>
  </si>
  <si>
    <t xml:space="preserve">TVS DIODE 9VWM 15.4VC SOD123FL </t>
  </si>
  <si>
    <t>9V</t>
  </si>
  <si>
    <t>SMF9.0A-T13</t>
  </si>
  <si>
    <t>18-SMF9.0A-T13CT-ND</t>
  </si>
  <si>
    <t>F5755CT-ND</t>
  </si>
  <si>
    <t>SMF9.0CA</t>
  </si>
  <si>
    <t xml:space="preserve">TVS SOD123FL 9V 200W BIDIR </t>
  </si>
  <si>
    <t>18-SMF9.0CACT-ND</t>
  </si>
  <si>
    <t>SMF10A</t>
  </si>
  <si>
    <t xml:space="preserve">TVS DIODE 10VWM 17VC SOD123FL </t>
  </si>
  <si>
    <t>10V</t>
  </si>
  <si>
    <t>SMF10A-T13</t>
  </si>
  <si>
    <t>18-SMF10A-T13CT-ND</t>
  </si>
  <si>
    <t>F5745CT-ND</t>
  </si>
  <si>
    <t>SMF10CA</t>
  </si>
  <si>
    <t xml:space="preserve">TVS SOD123FL 10V 200W BIDIR </t>
  </si>
  <si>
    <t>18-SMF10CACT-ND</t>
  </si>
  <si>
    <t>SMF11A</t>
  </si>
  <si>
    <t xml:space="preserve">TVS SOD123FL 11V 200W UNIDIR </t>
  </si>
  <si>
    <t>11V</t>
  </si>
  <si>
    <t>F5746CT-ND</t>
  </si>
  <si>
    <t>SMF12A</t>
  </si>
  <si>
    <t xml:space="preserve">TVS DIODE 12VWM 19.9VC SOD123FL </t>
  </si>
  <si>
    <t>12V</t>
  </si>
  <si>
    <t>SMF12A-T13</t>
  </si>
  <si>
    <t>18-SMF12A-T13CT-ND</t>
  </si>
  <si>
    <t>F5747CT-ND</t>
  </si>
  <si>
    <t>SMF12CA</t>
  </si>
  <si>
    <t xml:space="preserve">TVS SOD123FL 12V 200W BIDIR </t>
  </si>
  <si>
    <t>18-SMF12CACT-ND</t>
  </si>
  <si>
    <t>SMF13A</t>
  </si>
  <si>
    <t xml:space="preserve">TVS DIODE 13VWM 21.5VC SOD123FL </t>
  </si>
  <si>
    <t>13V</t>
  </si>
  <si>
    <t>SMF13A-T13</t>
  </si>
  <si>
    <t>18-SMF13A-T13CT-ND</t>
  </si>
  <si>
    <t>F5815CT-ND</t>
  </si>
  <si>
    <t>SMF13CA</t>
  </si>
  <si>
    <t xml:space="preserve">TVS SOD123FL 13V 200W BIDIR </t>
  </si>
  <si>
    <t>18-SMF13CACT-ND</t>
  </si>
  <si>
    <t>SMF14A</t>
  </si>
  <si>
    <t xml:space="preserve">TVS DIODE 14VWM 23.2VC SOD123FL </t>
  </si>
  <si>
    <t>14V</t>
  </si>
  <si>
    <t>SMF14A-T13</t>
  </si>
  <si>
    <t>18-SMF14A-T13CT-ND</t>
  </si>
  <si>
    <t>F5816CT-ND</t>
  </si>
  <si>
    <t>SMF14CA</t>
  </si>
  <si>
    <t xml:space="preserve">TVS SOD123FL 14V 200W BIDIR </t>
  </si>
  <si>
    <t>18-SMF14CACT-ND</t>
  </si>
  <si>
    <t>SMF15A</t>
  </si>
  <si>
    <t xml:space="preserve">TVS DIODE 15VWM 24.4VC SOD123FL </t>
  </si>
  <si>
    <t>15V</t>
  </si>
  <si>
    <t>SMF15A-T13</t>
  </si>
  <si>
    <t>18-SMF15A-T13CT-ND</t>
  </si>
  <si>
    <t>F5817CT-ND</t>
  </si>
  <si>
    <t>SMF15CA</t>
  </si>
  <si>
    <t xml:space="preserve">TVS SOD123FL 15V 200W BIDIR </t>
  </si>
  <si>
    <t>18-SMF15CACT-ND</t>
  </si>
  <si>
    <t>SMF16A</t>
  </si>
  <si>
    <t xml:space="preserve">TVS DIODE 16VWM 26VC SOD123FL </t>
  </si>
  <si>
    <t>16V</t>
  </si>
  <si>
    <t>SMF16A-T13</t>
  </si>
  <si>
    <t>18-SMF16A-T13CT-ND</t>
  </si>
  <si>
    <t>F5818CT-ND</t>
  </si>
  <si>
    <t>SMF16CA</t>
  </si>
  <si>
    <t xml:space="preserve">TVS SOD123FL 16V 200W BIDIR </t>
  </si>
  <si>
    <t>18-SMF16CACT-ND</t>
  </si>
  <si>
    <t>SMF17A</t>
  </si>
  <si>
    <t xml:space="preserve">TVS SOD123FL 17V 200W UNIDIR </t>
  </si>
  <si>
    <t>17V</t>
  </si>
  <si>
    <t>F5819CT-ND</t>
  </si>
  <si>
    <t>SMF18A</t>
  </si>
  <si>
    <t xml:space="preserve">TVS DIODE 18VWM 29.2VC SOD123FL </t>
  </si>
  <si>
    <t>18V</t>
  </si>
  <si>
    <t>SMF18A-T13</t>
  </si>
  <si>
    <t>18-SMF18A-T13CT-ND</t>
  </si>
  <si>
    <t>F5820CT-ND</t>
  </si>
  <si>
    <t>SMF18CA</t>
  </si>
  <si>
    <t xml:space="preserve">TVS SOD123FL 18V 200W BIDIR </t>
  </si>
  <si>
    <t>18-SMF18CACT-ND</t>
  </si>
  <si>
    <t>SMF20A</t>
  </si>
  <si>
    <t xml:space="preserve">TVS DIODE 20VWM 32.4VC SOD123FL </t>
  </si>
  <si>
    <t>20V</t>
  </si>
  <si>
    <t>SMF20A-T13</t>
  </si>
  <si>
    <t>18-SMF20A-T13CT-ND</t>
  </si>
  <si>
    <t>F5821CT-ND</t>
  </si>
  <si>
    <t>SMF20CA</t>
  </si>
  <si>
    <t xml:space="preserve">TVS SOD123FL 20V 200W BIDIR </t>
  </si>
  <si>
    <t>18-SMF20CACT-ND</t>
  </si>
  <si>
    <t>SMF22A</t>
  </si>
  <si>
    <t xml:space="preserve">TVS SOD123FL 22V 200W UNIDIR </t>
  </si>
  <si>
    <t>22V</t>
  </si>
  <si>
    <t>F5822CT-ND</t>
  </si>
  <si>
    <t>SZSMF22AT1G</t>
  </si>
  <si>
    <t>18-SZSMF22AT1GCT-ND</t>
  </si>
  <si>
    <t>SMF22CA</t>
  </si>
  <si>
    <t xml:space="preserve">TVS SOD123FL 22V 200W BIDIR </t>
  </si>
  <si>
    <t>18-SMF22CACT-ND</t>
  </si>
  <si>
    <t>SMF24A</t>
  </si>
  <si>
    <t xml:space="preserve">TVS DIODE 24VWM 38.9VC SOD123FL </t>
  </si>
  <si>
    <t>24V</t>
  </si>
  <si>
    <t>SMF24A-T13</t>
  </si>
  <si>
    <t>18-SMF24A-T13CT-ND</t>
  </si>
  <si>
    <t>F5823CT-ND</t>
  </si>
  <si>
    <t>SMF24CA</t>
  </si>
  <si>
    <t xml:space="preserve">TVS SOD123FL 24V 200W BIDIR </t>
  </si>
  <si>
    <t>18-SMF24CACT-ND</t>
  </si>
  <si>
    <t>SMF26A</t>
  </si>
  <si>
    <t xml:space="preserve">TVS DIODE 26VWM 42.1VC SOD123FL </t>
  </si>
  <si>
    <t>26V</t>
  </si>
  <si>
    <t>SMF26A-T13</t>
  </si>
  <si>
    <t>18-SMF26A-T13CT-ND</t>
  </si>
  <si>
    <t>F5824CT-ND</t>
  </si>
  <si>
    <t>SMF26CA</t>
  </si>
  <si>
    <t xml:space="preserve">TVS SOD123FL 26V 200W BIDIR </t>
  </si>
  <si>
    <t>18-SMF26CACT-ND</t>
  </si>
  <si>
    <t>SMF28A</t>
  </si>
  <si>
    <t xml:space="preserve">TVS DIODE 28VWM 45.4VC SOD123FL </t>
  </si>
  <si>
    <t>28V</t>
  </si>
  <si>
    <t>SMF28A-T13</t>
  </si>
  <si>
    <t>18-SMF28A-T13CT-ND</t>
  </si>
  <si>
    <t>F5825CT-ND</t>
  </si>
  <si>
    <t>SMF28CA</t>
  </si>
  <si>
    <t xml:space="preserve">TVS SOD123FL 28V 200W BIDIR </t>
  </si>
  <si>
    <t>18-SMF28CACT-ND</t>
  </si>
  <si>
    <t>SMF30A</t>
  </si>
  <si>
    <t xml:space="preserve">TVS DIODE 30VWM 48.4VC SOD123FL </t>
  </si>
  <si>
    <t>30V</t>
  </si>
  <si>
    <t>SMF30A-T13</t>
  </si>
  <si>
    <t>18-SMF30A-T13CT-ND</t>
  </si>
  <si>
    <t>F5826CT-ND</t>
  </si>
  <si>
    <t>SMF30CA</t>
  </si>
  <si>
    <t xml:space="preserve">TVS SOD123FL 30V 200W BIDIR </t>
  </si>
  <si>
    <t>18-SMF30CACT-ND</t>
  </si>
  <si>
    <t>SMF33A</t>
  </si>
  <si>
    <t xml:space="preserve">TVS DIODE 33VWM 53.3VC SOD123FL </t>
  </si>
  <si>
    <t>33V</t>
  </si>
  <si>
    <t>SMF33A-T13</t>
  </si>
  <si>
    <t>18-SMF33A-T13CT-ND</t>
  </si>
  <si>
    <t>F5827CT-ND</t>
  </si>
  <si>
    <t>SMF33CA</t>
  </si>
  <si>
    <t xml:space="preserve">TVS SOD123FL 33V 200W BIDIR </t>
  </si>
  <si>
    <t>18-SMF33CACT-ND</t>
  </si>
  <si>
    <t>SMF36A</t>
  </si>
  <si>
    <t xml:space="preserve">TVS SOD123FL 36V 200W UNIDIR </t>
  </si>
  <si>
    <t>SOD-123FL</t>
  </si>
  <si>
    <t>36V</t>
  </si>
  <si>
    <t>F5828CT-ND</t>
  </si>
  <si>
    <t>SZSMF36AT1G</t>
  </si>
  <si>
    <t>F11654CT-ND</t>
  </si>
  <si>
    <t>SMF36CA</t>
  </si>
  <si>
    <t xml:space="preserve">TVS SOD123FL 36V 200W BIDIR </t>
  </si>
  <si>
    <t>18-SMF36CACT-ND</t>
  </si>
  <si>
    <t>SMF40A</t>
  </si>
  <si>
    <t xml:space="preserve">TVS DIODE 40VWM 64.5VC SOD123FL </t>
  </si>
  <si>
    <t>40V</t>
  </si>
  <si>
    <t>SMF40A-T13</t>
  </si>
  <si>
    <t>18-SMF40A-T13CT-ND</t>
  </si>
  <si>
    <t>F5829CT-ND</t>
  </si>
  <si>
    <t>SMF40CA</t>
  </si>
  <si>
    <t xml:space="preserve">TVS SOD123FL 40V 200W BIDIR </t>
  </si>
  <si>
    <t>18-SMF40CACT-ND</t>
  </si>
  <si>
    <t>SMF43A</t>
  </si>
  <si>
    <t xml:space="preserve">TVS SOD123FL 43V 200W UNIDIR </t>
  </si>
  <si>
    <t>43V</t>
  </si>
  <si>
    <t>F5830CT-ND</t>
  </si>
  <si>
    <t>SMF43CA</t>
  </si>
  <si>
    <t xml:space="preserve">TVS SOD123FL 43V 200W BIDIR </t>
  </si>
  <si>
    <t>18-SMF43CACT-ND</t>
  </si>
  <si>
    <t>SMF45A</t>
  </si>
  <si>
    <t xml:space="preserve">TVS SOD123FL 45V 200W UNIDIR </t>
  </si>
  <si>
    <t>45V</t>
  </si>
  <si>
    <t>F5831CT-ND</t>
  </si>
  <si>
    <t>SMF48A</t>
  </si>
  <si>
    <t xml:space="preserve">TVS DIODE 48VWM 77.4VC SOD123FL </t>
  </si>
  <si>
    <t>48V</t>
  </si>
  <si>
    <t>SMF48A-T13</t>
  </si>
  <si>
    <t>18-SMF48A-T13CT-ND</t>
  </si>
  <si>
    <t>F5832CT-ND</t>
  </si>
  <si>
    <t>SMF48CA</t>
  </si>
  <si>
    <t xml:space="preserve">TVS SOD123FL 48V 200W BIDIR </t>
  </si>
  <si>
    <t>18-SMF48CACT-ND</t>
  </si>
  <si>
    <t>SMF51A</t>
  </si>
  <si>
    <t xml:space="preserve">TVS SOD123FL 51V 200W UNIDIR </t>
  </si>
  <si>
    <t>51V</t>
  </si>
  <si>
    <t>F5833CT-ND</t>
  </si>
  <si>
    <t>SMF51CA</t>
  </si>
  <si>
    <t xml:space="preserve">TVS SOD123FL 51V 200W BIDIR </t>
  </si>
  <si>
    <t>18-SMF51CACT-ND</t>
  </si>
  <si>
    <t>SMF54A</t>
  </si>
  <si>
    <t xml:space="preserve">TVS SOD123FL 54V 200W UNIDIR </t>
  </si>
  <si>
    <t>54V</t>
  </si>
  <si>
    <t>F5834CT-ND</t>
  </si>
  <si>
    <t>SMF54CA</t>
  </si>
  <si>
    <t xml:space="preserve">TVS SOD123FL 54V 200W BIDIR </t>
  </si>
  <si>
    <t>18-SMF54CACT-ND</t>
  </si>
  <si>
    <t>SMF58A</t>
  </si>
  <si>
    <t xml:space="preserve">TVS SOD123FL 58V 200W UNIDIR </t>
  </si>
  <si>
    <t>58V</t>
  </si>
  <si>
    <t>SMF58ACT-ND</t>
  </si>
  <si>
    <t>SMF58CA</t>
  </si>
  <si>
    <t xml:space="preserve">TVS SOD123FL 58V 200W BIDIR </t>
  </si>
  <si>
    <t>18-SMF58CACT-ND</t>
  </si>
  <si>
    <t>SMF60A</t>
  </si>
  <si>
    <t xml:space="preserve">TVS SOD123FL 60V 200W UNIDIR </t>
  </si>
  <si>
    <t>60V</t>
  </si>
  <si>
    <t>18-SMF60ACT-ND</t>
  </si>
  <si>
    <t>SMF60CA</t>
  </si>
  <si>
    <t xml:space="preserve">TVS SOD123FL 60V 200W BIDIR </t>
  </si>
  <si>
    <t>18-SMF60CACT-ND</t>
  </si>
  <si>
    <t>SMF64A</t>
  </si>
  <si>
    <t xml:space="preserve">TVS SOD123FL 64V 200W UNIDIR </t>
  </si>
  <si>
    <t>64V</t>
  </si>
  <si>
    <t>SMF64ACT-ND</t>
  </si>
  <si>
    <t>SMF70A</t>
  </si>
  <si>
    <t xml:space="preserve">TVS SOD123FL 70V 200W UNIDIR </t>
  </si>
  <si>
    <t>70V</t>
  </si>
  <si>
    <t>18-SMF70ACT-ND</t>
  </si>
  <si>
    <t>SMF75A</t>
  </si>
  <si>
    <t xml:space="preserve">TVS SOD123FL 75V 200W UNIDIR </t>
  </si>
  <si>
    <t>75V</t>
  </si>
  <si>
    <t>F10084CT-ND</t>
  </si>
  <si>
    <t>SMF75CA</t>
  </si>
  <si>
    <t xml:space="preserve">TVS SOD123FL 75V 200W BIDIR </t>
  </si>
  <si>
    <t>18-SMF75CACT-ND</t>
  </si>
  <si>
    <t>SMF85A</t>
  </si>
  <si>
    <t xml:space="preserve">TVS SOD123FL 85V 200W UNIDIR </t>
  </si>
  <si>
    <t>85V</t>
  </si>
  <si>
    <t>18-SMF85ACT-ND</t>
  </si>
  <si>
    <t>SMF85CA</t>
  </si>
  <si>
    <t xml:space="preserve">TVS SOD123FL 85V 200W BIDIR </t>
  </si>
  <si>
    <t>18-SMF85CACT-ND</t>
  </si>
  <si>
    <t>SMF150A</t>
  </si>
  <si>
    <t xml:space="preserve">TVS SOD123FL 150V 200W UNIDIR </t>
  </si>
  <si>
    <t>150V</t>
  </si>
  <si>
    <t>18-SMF150ACT-ND</t>
  </si>
  <si>
    <t>SMF180A</t>
  </si>
  <si>
    <t xml:space="preserve">TVS SOD123FL 180V 200W UNIDIR </t>
  </si>
  <si>
    <t>180V</t>
  </si>
  <si>
    <t>18-SMF180ACT-ND</t>
  </si>
  <si>
    <t>SMF200A</t>
  </si>
  <si>
    <t xml:space="preserve">TVS SOD123FL 200V 200W UNIDIR </t>
  </si>
  <si>
    <t>200V</t>
  </si>
  <si>
    <t>18-SMF200ACT-ND</t>
  </si>
  <si>
    <t>SMF220A</t>
  </si>
  <si>
    <t xml:space="preserve">TVS SOD123FL 220V 200W UNIDIR </t>
  </si>
  <si>
    <t>220V</t>
  </si>
  <si>
    <t>18-SMF220ACT-ND</t>
  </si>
  <si>
    <t>SMAJ5.0A</t>
  </si>
  <si>
    <t xml:space="preserve">TVS DIODE 5VWM 9.2VC DO214AC </t>
  </si>
  <si>
    <t>DO-214AC, SMA</t>
  </si>
  <si>
    <t>DIOM5226X230</t>
  </si>
  <si>
    <t>https://www.littelfuse.com/~/media/electronics/datasheets/tvs_diodes/littelfuse_tvs_diode_smaj_datasheet.pdf.pdf</t>
  </si>
  <si>
    <t>SMAJ5.0ALFCT-ND</t>
  </si>
  <si>
    <t>SMAJ5.0CA</t>
  </si>
  <si>
    <t>SMAJ5.0CALFCT-ND</t>
  </si>
  <si>
    <t>SMAJ6.0A</t>
  </si>
  <si>
    <t xml:space="preserve">TVS DIODE 6VWM 10.3VC DO214AC </t>
  </si>
  <si>
    <t>SMAJ6.0ALFCT-ND</t>
  </si>
  <si>
    <t>SMAJ6.0CA</t>
  </si>
  <si>
    <t>SMAJ6.0CALFCT-ND</t>
  </si>
  <si>
    <t>SMAJ6.5A</t>
  </si>
  <si>
    <t xml:space="preserve">TVS DIODE 6.5VWM 11.2VC DO214AC </t>
  </si>
  <si>
    <t>SMAJ6.5ALFCT-ND</t>
  </si>
  <si>
    <t>SMAJ6.5CA</t>
  </si>
  <si>
    <t>SMAJ6.5CALFCT-ND</t>
  </si>
  <si>
    <t>SMAJ7.0A</t>
  </si>
  <si>
    <t xml:space="preserve">TVS DIODE 7VWM 12VC DO214AC </t>
  </si>
  <si>
    <t>SMAJ7.0ALFCT-ND</t>
  </si>
  <si>
    <t>SMAJ7.0CA</t>
  </si>
  <si>
    <t>SMAJ7.0CALFCT-ND</t>
  </si>
  <si>
    <t>SMAJ7.5A</t>
  </si>
  <si>
    <t xml:space="preserve">TVS DIODE 7.5VWM 12.9VC DO214AC </t>
  </si>
  <si>
    <t>SMAJ7.5ALFCT-ND</t>
  </si>
  <si>
    <t>SMAJ7.5CA</t>
  </si>
  <si>
    <t>SMAJ7.5CALFCT-ND</t>
  </si>
  <si>
    <t>SMAJ8.0A</t>
  </si>
  <si>
    <t xml:space="preserve">TVS DIODE 8VWM 13.6VC DO214AC </t>
  </si>
  <si>
    <t>SMAJ8.0ALFCT-ND</t>
  </si>
  <si>
    <t>SMAJ8.0CA</t>
  </si>
  <si>
    <t>SMAJ8.0CALFCT-ND</t>
  </si>
  <si>
    <t>SMAJ8.5A</t>
  </si>
  <si>
    <t xml:space="preserve">TVS DIODE 8.5VWM 14.4VC DO214AC </t>
  </si>
  <si>
    <t>SMAJ8.5ALFCT-ND</t>
  </si>
  <si>
    <t>SMAJ8.5CA</t>
  </si>
  <si>
    <t>SMAJ8.5CALFCT-ND</t>
  </si>
  <si>
    <t>SMAJ9.0A</t>
  </si>
  <si>
    <t xml:space="preserve">TVS DIODE 9VWM 15.4VC DO214AC </t>
  </si>
  <si>
    <t>SMAJ9.0ALFCT-ND</t>
  </si>
  <si>
    <t>SMAJ9.0CA</t>
  </si>
  <si>
    <t>SMAJ9.0CALFCT-ND</t>
  </si>
  <si>
    <t>SMAJ10A</t>
  </si>
  <si>
    <t xml:space="preserve">TVS DIODE 10VWM 17VC DO214AC </t>
  </si>
  <si>
    <t>SMAJ10ALFCT-ND</t>
  </si>
  <si>
    <t>SMAJ10CA</t>
  </si>
  <si>
    <t>SMAJ10CALFCT-ND</t>
  </si>
  <si>
    <t>SMAJ11A</t>
  </si>
  <si>
    <t xml:space="preserve">TVS DIODE 11VWM 18.2VC DO214AC </t>
  </si>
  <si>
    <t>SMAJ11ALFCT-ND</t>
  </si>
  <si>
    <t>SMAJ11CA</t>
  </si>
  <si>
    <t>SMAJ11CALFCT-ND</t>
  </si>
  <si>
    <t>SMAJ12A</t>
  </si>
  <si>
    <t xml:space="preserve">TVS DIODE 12VWM 19.9VC DO214AC </t>
  </si>
  <si>
    <t>SMAJ12ALFCT-ND</t>
  </si>
  <si>
    <t>SMAJ12CA</t>
  </si>
  <si>
    <t>SMAJ12CALFCT-ND</t>
  </si>
  <si>
    <t>SMAJ13A</t>
  </si>
  <si>
    <t xml:space="preserve">TVS DIODE 13VWM 21.5VC DO214AC </t>
  </si>
  <si>
    <t>SMAJ13ALFCT-ND</t>
  </si>
  <si>
    <t>SMAJ13CA</t>
  </si>
  <si>
    <t>SMAJ13CALFCT-ND</t>
  </si>
  <si>
    <t>SMAJ14A</t>
  </si>
  <si>
    <t xml:space="preserve">TVS DIODE 14VWM 23.2VC DO214AC </t>
  </si>
  <si>
    <t>SMAJ14ALFCT-ND</t>
  </si>
  <si>
    <t>SMAJ14CA</t>
  </si>
  <si>
    <t>SMAJ14CALFCT-ND</t>
  </si>
  <si>
    <t>SMAJ15A</t>
  </si>
  <si>
    <t xml:space="preserve">TVS DIODE 15VWM 24.4VC DO214AC </t>
  </si>
  <si>
    <t>SMAJ15ALFCT-ND</t>
  </si>
  <si>
    <t>SMAJ15CA</t>
  </si>
  <si>
    <t>SMAJ15CALFCT-ND</t>
  </si>
  <si>
    <t>SMAJ16A</t>
  </si>
  <si>
    <t xml:space="preserve">TVS DIODE 16VWM 26VC DO214AC </t>
  </si>
  <si>
    <t>SMAJ16ALFCT-ND</t>
  </si>
  <si>
    <t>SMAJ16CA</t>
  </si>
  <si>
    <t>SMAJ16CALFCT-ND</t>
  </si>
  <si>
    <t>SMAJ17A</t>
  </si>
  <si>
    <t xml:space="preserve">TVS DIODE 17VWM 27.6VC DO214AC </t>
  </si>
  <si>
    <t>SMAJ17ALFCT-ND</t>
  </si>
  <si>
    <t>SMAJ17CA</t>
  </si>
  <si>
    <t>SMAJ17CALFCT-ND</t>
  </si>
  <si>
    <t>SMAJ18A</t>
  </si>
  <si>
    <t xml:space="preserve">TVS DIODE 18VWM 29.2VC DO214AC </t>
  </si>
  <si>
    <t>SMAJ18ALFCT-ND</t>
  </si>
  <si>
    <t>SMAJ18CA</t>
  </si>
  <si>
    <t>SMAJ18CALFCT-ND</t>
  </si>
  <si>
    <t>SMAJ20A</t>
  </si>
  <si>
    <t xml:space="preserve">TVS DIODE 20VWM 32.4VC DO214AC </t>
  </si>
  <si>
    <t>SMAJ20ALFCT-ND</t>
  </si>
  <si>
    <t>SMAJ20CA</t>
  </si>
  <si>
    <t>SMAJ20CALFCT-ND</t>
  </si>
  <si>
    <t>SMAJ22A</t>
  </si>
  <si>
    <t xml:space="preserve">TVS DIODE 22VWM 35.5VC DO214AC </t>
  </si>
  <si>
    <t>SMAJ22ALFCT-ND</t>
  </si>
  <si>
    <t>SMAJ22CA</t>
  </si>
  <si>
    <t>SMAJ22CALFCT-ND</t>
  </si>
  <si>
    <t>SMAJ24A</t>
  </si>
  <si>
    <t xml:space="preserve">TVS DIODE 24VWM 38.9VC DO214AC </t>
  </si>
  <si>
    <t>SMAJ24ALFCT-ND</t>
  </si>
  <si>
    <t>SMAJ24CA</t>
  </si>
  <si>
    <t>SMAJ24CALFCT-ND</t>
  </si>
  <si>
    <t>SMAJ26A</t>
  </si>
  <si>
    <t xml:space="preserve">TVS DIODE 26VWM 42.1VC DO214AC </t>
  </si>
  <si>
    <t>SMAJ26ALFCT-ND</t>
  </si>
  <si>
    <t>SMAJ26CA</t>
  </si>
  <si>
    <t>18-SMAJ26CACT-ND</t>
  </si>
  <si>
    <t>SMAJ28A</t>
  </si>
  <si>
    <t xml:space="preserve">TVS DIODE 28VWM 45.4VC DO214AC </t>
  </si>
  <si>
    <t>SMAJ28ALFCT-ND</t>
  </si>
  <si>
    <t>SMAJ28CA</t>
  </si>
  <si>
    <t>SMAJ28CALFCT-ND</t>
  </si>
  <si>
    <t>SMAJ30A</t>
  </si>
  <si>
    <t xml:space="preserve">TVS DIODE 30VWM 48.4VC DO214AC </t>
  </si>
  <si>
    <t>SMAJ30ALFCT-ND</t>
  </si>
  <si>
    <t>SMAJ30CA</t>
  </si>
  <si>
    <t>SMAJ30CALFCT-ND</t>
  </si>
  <si>
    <t>SMAJ33A</t>
  </si>
  <si>
    <t xml:space="preserve">TVS DIODE 33VWM 53.3VC DO214AC </t>
  </si>
  <si>
    <t>SMAJ33ALFCT-ND</t>
  </si>
  <si>
    <t>SMAJ33CA</t>
  </si>
  <si>
    <t>SMAJ33CALFCT-ND</t>
  </si>
  <si>
    <t>SMAJ36A</t>
  </si>
  <si>
    <t xml:space="preserve">TVS DIODE 36VWM 58.1VC DO214AC </t>
  </si>
  <si>
    <t>SMAJ36ALFCT-ND</t>
  </si>
  <si>
    <t>SMAJ36CA</t>
  </si>
  <si>
    <t>SMAJ36CALFCT-ND</t>
  </si>
  <si>
    <t>SMAJ40A</t>
  </si>
  <si>
    <t xml:space="preserve">TVS DIODE 40VWM 64.5VC DO214AC </t>
  </si>
  <si>
    <t>SMAJ40ALFCT-ND</t>
  </si>
  <si>
    <t>SMAJ40CA</t>
  </si>
  <si>
    <t>18-SMAJ40CACT-ND</t>
  </si>
  <si>
    <t>SMAJ43A</t>
  </si>
  <si>
    <t xml:space="preserve">TVS DIODE 43VWM 69.4VC DO214AC </t>
  </si>
  <si>
    <t>SMAJ43ALFCT-ND</t>
  </si>
  <si>
    <t>SMAJ43CA</t>
  </si>
  <si>
    <t>SMAJ43CALFCT-ND</t>
  </si>
  <si>
    <t>SMAJ45A</t>
  </si>
  <si>
    <t xml:space="preserve">TVS DIODE 45VWM 72.7VC DO214AC </t>
  </si>
  <si>
    <t>SMAJ45ALFCT-ND</t>
  </si>
  <si>
    <t>SMAJ45CA</t>
  </si>
  <si>
    <t>SMAJ45CALFCT-ND</t>
  </si>
  <si>
    <t>SMAJ48A</t>
  </si>
  <si>
    <t xml:space="preserve">TVS DIODE 48VWM 77.4VC DO214AC </t>
  </si>
  <si>
    <t>SMAJ48ALFCT-ND</t>
  </si>
  <si>
    <t>SMAJ48CA</t>
  </si>
  <si>
    <t>SMAJ48CALFCT-ND</t>
  </si>
  <si>
    <t>SMAJ51A</t>
  </si>
  <si>
    <t xml:space="preserve">TVS DIODE 51VWM 82.4VC DO214AC </t>
  </si>
  <si>
    <t>SMAJ51ALFCT-ND</t>
  </si>
  <si>
    <t>SMAJ51CA</t>
  </si>
  <si>
    <t>SMAJ51CALFCT-ND</t>
  </si>
  <si>
    <t>SMAJ54A</t>
  </si>
  <si>
    <t xml:space="preserve">TVS DIODE 54VWM 87.1VC DO214AC </t>
  </si>
  <si>
    <t>SMAJ54ALFCT-ND</t>
  </si>
  <si>
    <t>SMAJ54CA</t>
  </si>
  <si>
    <t>SMAJ54CALFCT-ND</t>
  </si>
  <si>
    <t>SMAJ58A</t>
  </si>
  <si>
    <t xml:space="preserve">TVS DIODE 58VWM 93.6VC DO214AC </t>
  </si>
  <si>
    <t>SMAJ58ALFCT-ND</t>
  </si>
  <si>
    <t>SMAJ58CA</t>
  </si>
  <si>
    <t>SMAJ58CALFCT-ND</t>
  </si>
  <si>
    <t>SMAJ60A</t>
  </si>
  <si>
    <t xml:space="preserve">TVS DIODE 60VWM 96.8VC DO214AC </t>
  </si>
  <si>
    <t>SMAJ60ALFCT-ND</t>
  </si>
  <si>
    <t>SMAJ60CA</t>
  </si>
  <si>
    <t>SMAJ60CALFCT-ND</t>
  </si>
  <si>
    <t>SMAJ64A</t>
  </si>
  <si>
    <t xml:space="preserve">TVS DIODE 64VWM 103VC DO214AC </t>
  </si>
  <si>
    <t>SMAJ64ALFCT-ND</t>
  </si>
  <si>
    <t>SMAJ64CA</t>
  </si>
  <si>
    <t>SMAJ64CALFCT-ND</t>
  </si>
  <si>
    <t>SMAJ70A</t>
  </si>
  <si>
    <t xml:space="preserve">TVS DIODE 70VWM 113VC DO214AC </t>
  </si>
  <si>
    <t>SMAJ70ALFCT-ND</t>
  </si>
  <si>
    <t>SMAJ70CA</t>
  </si>
  <si>
    <t>SMAJ70CALFCT-ND</t>
  </si>
  <si>
    <t>SMAJ75A</t>
  </si>
  <si>
    <t xml:space="preserve">TVS DIODE 75VWM 121VC DO214AC </t>
  </si>
  <si>
    <t>SMAJ75ALFCT-ND</t>
  </si>
  <si>
    <t>SMAJ75CA</t>
  </si>
  <si>
    <t>SMAJ75CALFCT-ND</t>
  </si>
  <si>
    <t>SMAJ78A</t>
  </si>
  <si>
    <t xml:space="preserve">TVS DIODE 78VWM 126VC DO214AC </t>
  </si>
  <si>
    <t>78V</t>
  </si>
  <si>
    <t>SMAJ78ALFCT-ND</t>
  </si>
  <si>
    <t>SMAJ78CA</t>
  </si>
  <si>
    <t>SMAJ78CALFCT-ND</t>
  </si>
  <si>
    <t>SMAJ85A</t>
  </si>
  <si>
    <t xml:space="preserve">TVS DIODE 85VWM 137VC DO214AC </t>
  </si>
  <si>
    <t>SMAJ85ALFCT-ND</t>
  </si>
  <si>
    <t>SMAJ85CA</t>
  </si>
  <si>
    <t>SMAJ85CALFCT-ND</t>
  </si>
  <si>
    <t>SMAJ90A</t>
  </si>
  <si>
    <t xml:space="preserve">TVS DIODE 90VWM 146VC DO214AC </t>
  </si>
  <si>
    <t>90V</t>
  </si>
  <si>
    <t>SMAJ90ALFCT-ND</t>
  </si>
  <si>
    <t>SMAJ90CA</t>
  </si>
  <si>
    <t>SMAJ90CALFCT-ND</t>
  </si>
  <si>
    <t>SMAJ100A</t>
  </si>
  <si>
    <t xml:space="preserve">TVS DIODE 100VWM 162VC DO214AC </t>
  </si>
  <si>
    <t>100V</t>
  </si>
  <si>
    <t>SMAJ100ALFCT-ND</t>
  </si>
  <si>
    <t>SMAJ100CA</t>
  </si>
  <si>
    <t>SMAJ100CALFCT-ND</t>
  </si>
  <si>
    <t>SMAJ110A</t>
  </si>
  <si>
    <t xml:space="preserve">TVS DIODE 110VWM 177VC DO214AC </t>
  </si>
  <si>
    <t>110V</t>
  </si>
  <si>
    <t>SMAJ110ALFCT-ND</t>
  </si>
  <si>
    <t>SMAJ110CA</t>
  </si>
  <si>
    <t>SMAJ110CALFCT-ND</t>
  </si>
  <si>
    <t>SMAJ120A</t>
  </si>
  <si>
    <t xml:space="preserve">TVS DIODE 120VWM 193VC DO214AC </t>
  </si>
  <si>
    <t>120V</t>
  </si>
  <si>
    <t>SMAJ120ALFCT-ND</t>
  </si>
  <si>
    <t>SMAJ120CA</t>
  </si>
  <si>
    <t>SMAJ120CALFCT-ND</t>
  </si>
  <si>
    <t>SMAJ130A</t>
  </si>
  <si>
    <t xml:space="preserve">TVS DIODE 130VWM 209VC DO214AC </t>
  </si>
  <si>
    <t>130V</t>
  </si>
  <si>
    <t>SMAJ130ALFCT-ND</t>
  </si>
  <si>
    <t>SMAJ130CA</t>
  </si>
  <si>
    <t>SMAJ130CALFCT-ND</t>
  </si>
  <si>
    <t>SMAJ150A</t>
  </si>
  <si>
    <t xml:space="preserve">TVS DIODE 150VWM 243VC DO214AC </t>
  </si>
  <si>
    <t>SMAJ150ALFCT-ND</t>
  </si>
  <si>
    <t>SMAJ150CA</t>
  </si>
  <si>
    <t>SMAJ150CALFCT-ND</t>
  </si>
  <si>
    <t>SMAJ160A</t>
  </si>
  <si>
    <t xml:space="preserve">TVS DIODE 160VWM 259VC DO214AC </t>
  </si>
  <si>
    <t>160V</t>
  </si>
  <si>
    <t>SMAJ160ALFCT-ND</t>
  </si>
  <si>
    <t>SMAJ160CA</t>
  </si>
  <si>
    <t>SMAJ160CALFCT-ND</t>
  </si>
  <si>
    <t>SMAJ170A</t>
  </si>
  <si>
    <t xml:space="preserve">TVS DIODE 170VWM 275VC DO214AC </t>
  </si>
  <si>
    <t>170V</t>
  </si>
  <si>
    <t>SMAJ170ALFCT-ND</t>
  </si>
  <si>
    <t>SMAJ170CA</t>
  </si>
  <si>
    <t>SMAJ170CALFCT-ND</t>
  </si>
  <si>
    <t>SMAJ180A</t>
  </si>
  <si>
    <t xml:space="preserve">TVS DIODE 180VWM 292VC DO214AC </t>
  </si>
  <si>
    <t>SMAJ180ALFCT-ND</t>
  </si>
  <si>
    <t>SMAJ188A</t>
  </si>
  <si>
    <t xml:space="preserve">TVS DIODE SMA SMT </t>
  </si>
  <si>
    <t>188V</t>
  </si>
  <si>
    <t>18-SMAJ188ACT-ND</t>
  </si>
  <si>
    <t>SMAJ188CA</t>
  </si>
  <si>
    <t>18-SMAJ188CACT-ND</t>
  </si>
  <si>
    <t>SMAJ200A</t>
  </si>
  <si>
    <t xml:space="preserve">TVS DIODE 200VWM 324VC DO214AC </t>
  </si>
  <si>
    <t>SMAJ200ALFCT-ND</t>
  </si>
  <si>
    <t>SMAJ200CA</t>
  </si>
  <si>
    <t>SMAJ200CALFCT-ND</t>
  </si>
  <si>
    <t>SMAJ220A</t>
  </si>
  <si>
    <t xml:space="preserve">TVS DIODE 220VWM 356VC DO214AC </t>
  </si>
  <si>
    <t>SMAJ220ALFCT-ND</t>
  </si>
  <si>
    <t>SMAJ220CA</t>
  </si>
  <si>
    <t>18-SMAJ220CACT-ND</t>
  </si>
  <si>
    <t>SMAJ250A</t>
  </si>
  <si>
    <t xml:space="preserve">TVS DIODE 250VWM 405VC DO214AC </t>
  </si>
  <si>
    <t>250V</t>
  </si>
  <si>
    <t>SMAJ250ALFCT-ND</t>
  </si>
  <si>
    <t>SMAJ250CA</t>
  </si>
  <si>
    <t>SMAJ250CALFCT-ND</t>
  </si>
  <si>
    <t>SMAJ300A</t>
  </si>
  <si>
    <t xml:space="preserve">TVS DIODE 300VWM 486VC DO214AC </t>
  </si>
  <si>
    <t>300V</t>
  </si>
  <si>
    <t>SMAJ300ALFCT-ND</t>
  </si>
  <si>
    <t>SMAJ300CA</t>
  </si>
  <si>
    <t>SMAJ300CALFCT-ND</t>
  </si>
  <si>
    <t>SMAJ350A</t>
  </si>
  <si>
    <t xml:space="preserve">TVS DIODE 350VWM 567VC DO214AC </t>
  </si>
  <si>
    <t>350V</t>
  </si>
  <si>
    <t>SMAJ350ALFCT-ND</t>
  </si>
  <si>
    <t>SMAJ350CA</t>
  </si>
  <si>
    <t>SMAJ350CALFCT-ND</t>
  </si>
  <si>
    <t>SMAJ400A</t>
  </si>
  <si>
    <t xml:space="preserve">TVS DIODE 400VWM 648VC DO214AC </t>
  </si>
  <si>
    <t>400V</t>
  </si>
  <si>
    <t>SMAJ400ALFCT-ND</t>
  </si>
  <si>
    <t>SMAJ400CA</t>
  </si>
  <si>
    <t>SMAJ400CALFCT-ND</t>
  </si>
  <si>
    <t>SMAJ440A</t>
  </si>
  <si>
    <t xml:space="preserve">TVS DIODE 440VWM 713VC DO214AC </t>
  </si>
  <si>
    <t>440V</t>
  </si>
  <si>
    <t>SMAJ440ALFCT-ND</t>
  </si>
  <si>
    <t>SMAJ440CA</t>
  </si>
  <si>
    <t>SMAJ440CALFCT-ND</t>
  </si>
  <si>
    <t>SMBJ5.0A</t>
  </si>
  <si>
    <t xml:space="preserve">TVS DIODE 5VWM 9.2VC DO214AA </t>
  </si>
  <si>
    <t>DO-214AA, SMB</t>
  </si>
  <si>
    <t>DIOM5436X265</t>
  </si>
  <si>
    <t>https://www.littelfuse.com/media?resourcetype=datasheets&amp;itemid=09a6ae9a-73cb-4ac4-acac-e6dab92ab953&amp;filename=littelfuse_tvs_diode_smbj_datasheet.pdf</t>
  </si>
  <si>
    <t>SMBJ5.0ALFCT-ND</t>
  </si>
  <si>
    <t>SMBJ5.0CA</t>
  </si>
  <si>
    <t>SMBJ5.0CALFCT-ND</t>
  </si>
  <si>
    <t>SMBJ5.0CA-HR</t>
  </si>
  <si>
    <t>F6747CT-ND</t>
  </si>
  <si>
    <t>SMBJ6.0A</t>
  </si>
  <si>
    <t xml:space="preserve">TVS DIODE 6VWM 10.3VC DO214AA </t>
  </si>
  <si>
    <t>SMBJ6.0ALFCT-ND</t>
  </si>
  <si>
    <t>SMBJ6.0CA</t>
  </si>
  <si>
    <t>SMBJ6.0CALFCT-ND</t>
  </si>
  <si>
    <t>SMBJ6.5A</t>
  </si>
  <si>
    <t xml:space="preserve">TVS DIODE 6.5VWM 11.2VC DO214AA </t>
  </si>
  <si>
    <t>SMBJ6.5ALFCT-ND</t>
  </si>
  <si>
    <t>SMBJ6.5CA</t>
  </si>
  <si>
    <t>SMBJ6.5CALFCT-ND</t>
  </si>
  <si>
    <t>SMBJ7.0A</t>
  </si>
  <si>
    <t xml:space="preserve">TVS DIODE 7VWM 12VC DO214AA </t>
  </si>
  <si>
    <t>SMBJ7.0ALFCT-ND</t>
  </si>
  <si>
    <t>SMBJ7.0CA</t>
  </si>
  <si>
    <t>SMBJ7.0CALFCT-ND</t>
  </si>
  <si>
    <t>SMBJ7.5A</t>
  </si>
  <si>
    <t xml:space="preserve">TVS DIODE 7.5VWM 12.9VC DO214AA </t>
  </si>
  <si>
    <t>SMBJ7.5ALFCT-ND</t>
  </si>
  <si>
    <t>SMBJ7.5CA</t>
  </si>
  <si>
    <t>SMBJ7.5CALFCT-ND</t>
  </si>
  <si>
    <t>SMBJ8.0A</t>
  </si>
  <si>
    <t xml:space="preserve">TVS DIODE 8VWM 13.6VC DO214AA </t>
  </si>
  <si>
    <t>SMBJ8.0ALFCT-ND</t>
  </si>
  <si>
    <t>SMBJ8.0CA</t>
  </si>
  <si>
    <t>SMBJ8.0CALFCT-ND</t>
  </si>
  <si>
    <t>SMBJ8.5A</t>
  </si>
  <si>
    <t xml:space="preserve">TVS DIODE 8.5VWM 14.4VC DO214AA </t>
  </si>
  <si>
    <t>SMBJ8.5ALFCT-ND</t>
  </si>
  <si>
    <t>SMBJ8.5CA</t>
  </si>
  <si>
    <t>SMBJ8.5CALFCT-ND</t>
  </si>
  <si>
    <t>SMBJ9.0A</t>
  </si>
  <si>
    <t xml:space="preserve">TVS DIODE 9VWM 15.4VC DO214AA </t>
  </si>
  <si>
    <t>SMBJ9.0ALFCT-ND</t>
  </si>
  <si>
    <t>SMBJ9.0CA</t>
  </si>
  <si>
    <t>SMBJ9.0CALFCT-ND</t>
  </si>
  <si>
    <t>SMBJ10A</t>
  </si>
  <si>
    <t xml:space="preserve">TVS DIODE 10VWM 17VC DO214AA </t>
  </si>
  <si>
    <t>SMBJ10ALFCT-ND</t>
  </si>
  <si>
    <t>SMBJ10CA</t>
  </si>
  <si>
    <t>SMBJ10CALFCT-ND</t>
  </si>
  <si>
    <t>SMBJ11A</t>
  </si>
  <si>
    <t xml:space="preserve">TVS DIODE 11VWM 18.2VC DO214AA </t>
  </si>
  <si>
    <t>SMBJ11ALFCT-ND</t>
  </si>
  <si>
    <t>SMBJ11CA</t>
  </si>
  <si>
    <t>SMBJ11CALFCT-ND</t>
  </si>
  <si>
    <t>SMBJ12A</t>
  </si>
  <si>
    <t xml:space="preserve">TVS DIODE 12VWM 19.9VC DO214AA </t>
  </si>
  <si>
    <t>SMBJ12ALFCT-ND</t>
  </si>
  <si>
    <t>SMBJ12CA</t>
  </si>
  <si>
    <t>SMBJ12CALFCT-ND</t>
  </si>
  <si>
    <t>SMBJ13A</t>
  </si>
  <si>
    <t xml:space="preserve">TVS DIODE 13VWM 21.5VC DO214AA </t>
  </si>
  <si>
    <t>SMBJ13ALFCT-ND</t>
  </si>
  <si>
    <t>SMBJ13CA</t>
  </si>
  <si>
    <t>SMBJ13CALFCT-ND</t>
  </si>
  <si>
    <t>SMBJ14A</t>
  </si>
  <si>
    <t xml:space="preserve">TVS DIODE 14VWM 23.2VC DO214AA </t>
  </si>
  <si>
    <t>SMBJ14ALFCT-ND</t>
  </si>
  <si>
    <t>SMBJ14CA</t>
  </si>
  <si>
    <t>SMBJ14CALFCT-ND</t>
  </si>
  <si>
    <t>SMBJ15A</t>
  </si>
  <si>
    <t xml:space="preserve">TVS DIODE 15VWM 24.4VC DO214AA </t>
  </si>
  <si>
    <t>SMBJ15ALFCT-ND</t>
  </si>
  <si>
    <t>SMBJ15CA</t>
  </si>
  <si>
    <t>SMBJ15CALFCT-ND</t>
  </si>
  <si>
    <t>SMBJ16A</t>
  </si>
  <si>
    <t xml:space="preserve">TVS DIODE 16VWM 26VC DO214AA </t>
  </si>
  <si>
    <t>SMBJ16ALFCT-ND</t>
  </si>
  <si>
    <t>SMBJ16CA</t>
  </si>
  <si>
    <t>SMBJ16CALFCT-ND</t>
  </si>
  <si>
    <t>SMBJ17A</t>
  </si>
  <si>
    <t xml:space="preserve">TVS DIODE 17VWM 27.6VC DO214AA </t>
  </si>
  <si>
    <t>SMBJ17ALFCT-ND</t>
  </si>
  <si>
    <t>SMBJ17CA</t>
  </si>
  <si>
    <t>SMBJ17CALFCT-ND</t>
  </si>
  <si>
    <t>SMBJ18A</t>
  </si>
  <si>
    <t xml:space="preserve">TVS DIODE 18VWM 29.2VC DO214AA </t>
  </si>
  <si>
    <t>SMBJ18ALFCT-ND</t>
  </si>
  <si>
    <t>SMBJ18CA</t>
  </si>
  <si>
    <t>SMBJ18CALFCT-ND</t>
  </si>
  <si>
    <t>SMBJ20A</t>
  </si>
  <si>
    <t xml:space="preserve">TVS DIODE 20VWM 32.4VC DO214AA </t>
  </si>
  <si>
    <t>SMBJ20ALFCT-ND</t>
  </si>
  <si>
    <t>SMBJ20CA</t>
  </si>
  <si>
    <t>SMBJ20CALFCT-ND</t>
  </si>
  <si>
    <t>SMBJ22A</t>
  </si>
  <si>
    <t xml:space="preserve">TVS DIODE 22VWM 35.5VC DO214AA </t>
  </si>
  <si>
    <t>SMBJ22ALFCT-ND</t>
  </si>
  <si>
    <t>SMBJ22CA</t>
  </si>
  <si>
    <t>SMBJ22CALFCT-ND</t>
  </si>
  <si>
    <t>SMBJ24A</t>
  </si>
  <si>
    <t xml:space="preserve">TVS DIODE 24VWM 38.9VC DO214AA </t>
  </si>
  <si>
    <t>SMBJ24ALFCT-ND</t>
  </si>
  <si>
    <t>SMBJ24CA</t>
  </si>
  <si>
    <t>SMBJ24CALFCT-ND</t>
  </si>
  <si>
    <t>SMBJ26A</t>
  </si>
  <si>
    <t xml:space="preserve">TVS DIODE 26VWM 42.1VC DO214AA </t>
  </si>
  <si>
    <t>SMBJ26ALFCT-ND</t>
  </si>
  <si>
    <t>SMBJ26CA</t>
  </si>
  <si>
    <t>SMBJ26CALFCT-ND</t>
  </si>
  <si>
    <t>SMBJ28A</t>
  </si>
  <si>
    <t xml:space="preserve">TVS DIODE 28VWM 45.4VC DO214AA </t>
  </si>
  <si>
    <t>SMBJ28ALFCT-ND</t>
  </si>
  <si>
    <t>SMBJ28CA</t>
  </si>
  <si>
    <t>SMBJ28CALFCT-ND</t>
  </si>
  <si>
    <t>SMBJ30A</t>
  </si>
  <si>
    <t xml:space="preserve">TVS DIODE 30VWM 48.4VC DO214AA </t>
  </si>
  <si>
    <t>SMBJ30ALFCT-ND</t>
  </si>
  <si>
    <t>SMBJ30CA</t>
  </si>
  <si>
    <t>SMBJ30CALFCT-ND</t>
  </si>
  <si>
    <t>SMBJ33A</t>
  </si>
  <si>
    <t xml:space="preserve">TVS DIODE 33VWM 53.3VC DO214AA </t>
  </si>
  <si>
    <t>SMBJ33ALFCT-ND</t>
  </si>
  <si>
    <t>SMBJ33CA</t>
  </si>
  <si>
    <t>SMBJ33CALFCT-ND</t>
  </si>
  <si>
    <t>SMBJ36A</t>
  </si>
  <si>
    <t xml:space="preserve">TVS DIODE 36VWM 58.1VC DO214AA </t>
  </si>
  <si>
    <t>SMBJ36ALFCT-ND</t>
  </si>
  <si>
    <t>SMBJ36CA</t>
  </si>
  <si>
    <t>SMBJ36CALFCT-ND</t>
  </si>
  <si>
    <t>SMBJ40A</t>
  </si>
  <si>
    <t xml:space="preserve">TVS DIODE 40VWM 64.5VC DO214AA </t>
  </si>
  <si>
    <t>SMBJ40ALFCT-ND</t>
  </si>
  <si>
    <t>SMBJ40CA</t>
  </si>
  <si>
    <t>SMBJ40CALFCT-ND</t>
  </si>
  <si>
    <t>SMBJ43A</t>
  </si>
  <si>
    <t xml:space="preserve">TVS DIODE 43VWM 69.4VC DO214AA </t>
  </si>
  <si>
    <t>SMBJ43ALFCT-ND</t>
  </si>
  <si>
    <t>SMBJ43CA</t>
  </si>
  <si>
    <t>SMBJ43CALFCT-ND</t>
  </si>
  <si>
    <t>SMBJ45A</t>
  </si>
  <si>
    <t xml:space="preserve">TVS DIODE 45VWM 72.7VC DO214AA </t>
  </si>
  <si>
    <t>SMBJ45ALFCT-ND</t>
  </si>
  <si>
    <t>SMBJ45CA</t>
  </si>
  <si>
    <t>SMBJ45CALFCT-ND</t>
  </si>
  <si>
    <t>SMBJ48A</t>
  </si>
  <si>
    <t xml:space="preserve">TVS DIODE 48VWM 77.4VC DO214AA </t>
  </si>
  <si>
    <t>SMBJ48ALFCT-ND</t>
  </si>
  <si>
    <t>SMBJ48CA</t>
  </si>
  <si>
    <t>SMBJ48CALFCT-ND</t>
  </si>
  <si>
    <t>SMBJ51A</t>
  </si>
  <si>
    <t xml:space="preserve">TVS DIODE 51VWM 82.4VC DO214AA </t>
  </si>
  <si>
    <t>SMBJ51ALFCT-ND</t>
  </si>
  <si>
    <t>SMBJ51CA</t>
  </si>
  <si>
    <t>SMBJ51CALFCT-ND</t>
  </si>
  <si>
    <t>SMBJ54A</t>
  </si>
  <si>
    <t xml:space="preserve">TVS DIODE 54VWM 87.1VC DO214AA </t>
  </si>
  <si>
    <t>SMBJ54ALFCT-ND</t>
  </si>
  <si>
    <t>SMBJ54CA</t>
  </si>
  <si>
    <t>SMBJ54CALFCT-ND</t>
  </si>
  <si>
    <t>SMBJ58A</t>
  </si>
  <si>
    <t xml:space="preserve">TVS DIODE 58VWM 93.6VC DO214AA </t>
  </si>
  <si>
    <t>SMBJ58ALFCT-ND</t>
  </si>
  <si>
    <t>SMBJ58CA</t>
  </si>
  <si>
    <t>SMBJ58CALFCT-ND</t>
  </si>
  <si>
    <t>SMBJ60A</t>
  </si>
  <si>
    <t xml:space="preserve">TVS DIODE 60VWM 96.8VC DO214AA </t>
  </si>
  <si>
    <t>SMBJ60ALFCT-ND</t>
  </si>
  <si>
    <t>SMBJ60CA</t>
  </si>
  <si>
    <t>SMBJ60CALFCT-ND</t>
  </si>
  <si>
    <t>SMBJ64A</t>
  </si>
  <si>
    <t xml:space="preserve">TVS DIODE 64VWM 103VC DO214AA </t>
  </si>
  <si>
    <t>SMBJ64ALFCT-ND</t>
  </si>
  <si>
    <t>SMBJ64CA</t>
  </si>
  <si>
    <t>SMBJ64CALFCT-ND</t>
  </si>
  <si>
    <t>SMBJ70A</t>
  </si>
  <si>
    <t xml:space="preserve">TVS DIODE 70VWM 113VC DO214AA </t>
  </si>
  <si>
    <t>SMBJ70ALFCT-ND</t>
  </si>
  <si>
    <t>SMBJ70CA</t>
  </si>
  <si>
    <t>SMBJ70CALFCT-ND</t>
  </si>
  <si>
    <t>SMBJ75A</t>
  </si>
  <si>
    <t xml:space="preserve">TVS DIODE 75VWM 121VC DO214AA </t>
  </si>
  <si>
    <t>SMBJ75ALFCT-ND</t>
  </si>
  <si>
    <t>SMBJ75CA</t>
  </si>
  <si>
    <t>SMBJ75CALFCT-ND</t>
  </si>
  <si>
    <t>SMBJ78A</t>
  </si>
  <si>
    <t xml:space="preserve">TVS DIODE 78VWM 126VC DO214AA </t>
  </si>
  <si>
    <t>SMBJ78ALFCT-ND</t>
  </si>
  <si>
    <t>SMBJ78CA</t>
  </si>
  <si>
    <t>SMBJ78CALFCT-ND</t>
  </si>
  <si>
    <t>SMBJ85A</t>
  </si>
  <si>
    <t xml:space="preserve">TVS DIODE 85VWM 137VC DO214AA </t>
  </si>
  <si>
    <t>SMBJ85ALFCT-ND</t>
  </si>
  <si>
    <t>SMBJ85A-HR</t>
  </si>
  <si>
    <t>F6748CT-ND</t>
  </si>
  <si>
    <t>SMBJ85CA</t>
  </si>
  <si>
    <t>SMBJ85CALFCT-ND</t>
  </si>
  <si>
    <t>SMBJ90A</t>
  </si>
  <si>
    <t xml:space="preserve">TVS DIODE 90VWM 146VC DO214AA </t>
  </si>
  <si>
    <t>SMBJ90ALFCT-ND</t>
  </si>
  <si>
    <t>SMBJ90CA</t>
  </si>
  <si>
    <t>SMBJ90CALFCT-ND</t>
  </si>
  <si>
    <t>SMBJ100A</t>
  </si>
  <si>
    <t xml:space="preserve">TVS DIODE 100VWM 162VC DO214AA </t>
  </si>
  <si>
    <t>SMBJ100ALFCT-ND</t>
  </si>
  <si>
    <t>SMBJ100CA</t>
  </si>
  <si>
    <t>SMBJ100CALFCT-ND</t>
  </si>
  <si>
    <t>SMBJ110A</t>
  </si>
  <si>
    <t xml:space="preserve">TVS DIODE 110VWM 177VC DO214AA </t>
  </si>
  <si>
    <t>SMBJ110ALFCT-ND</t>
  </si>
  <si>
    <t>SMBJ110CA</t>
  </si>
  <si>
    <t>SMBJ110CALFCT-ND</t>
  </si>
  <si>
    <t>SMBJ120A</t>
  </si>
  <si>
    <t xml:space="preserve">TVS DIODE 120VWM 193VC DO214AA </t>
  </si>
  <si>
    <t>SMBJ120ALFCT-ND</t>
  </si>
  <si>
    <t>SMBJ120CA</t>
  </si>
  <si>
    <t>SMBJ120CALFCT-ND</t>
  </si>
  <si>
    <t>SMBJ130A</t>
  </si>
  <si>
    <t xml:space="preserve">TVS DIODE 130VWM 209VC DO214AA </t>
  </si>
  <si>
    <t>SMBJ130ALFCT-ND</t>
  </si>
  <si>
    <t>SMBJ130CA</t>
  </si>
  <si>
    <t>SMBJ130CALFCT-ND</t>
  </si>
  <si>
    <t>SMBJ150A</t>
  </si>
  <si>
    <t xml:space="preserve">TVS DIODE 150VWM 243VC DO214AA </t>
  </si>
  <si>
    <t>SMBJ150ALFCT-ND</t>
  </si>
  <si>
    <t>SMBJ150CA</t>
  </si>
  <si>
    <t>SMBJ150CALFCT-ND</t>
  </si>
  <si>
    <t>SMBJ160A</t>
  </si>
  <si>
    <t xml:space="preserve">TVS DIODE 160VWM 259VC DO214AA </t>
  </si>
  <si>
    <t>SMBJ160ALFCT-ND</t>
  </si>
  <si>
    <t>SMBJ160CA</t>
  </si>
  <si>
    <t>SMBJ160CALFCT-ND</t>
  </si>
  <si>
    <t>SMBJ170A</t>
  </si>
  <si>
    <t xml:space="preserve">TVS DIODE 170VWM 275VC DO214AA </t>
  </si>
  <si>
    <t>SMBJ170ALFCT-ND</t>
  </si>
  <si>
    <t>SMBJ170CA</t>
  </si>
  <si>
    <t>SMBJ170CALFCT-ND</t>
  </si>
  <si>
    <t>SMBJ170CA-HR</t>
  </si>
  <si>
    <t>F6746CT-ND</t>
  </si>
  <si>
    <t>SMBJ180A</t>
  </si>
  <si>
    <t xml:space="preserve">TVS DIODE 180VWM 292VC DO214AA </t>
  </si>
  <si>
    <t>SMBJ180ALFCT-ND</t>
  </si>
  <si>
    <t>SMBJ180CA</t>
  </si>
  <si>
    <t>SMBJ180CALFCT-ND</t>
  </si>
  <si>
    <t>SMBJ188A</t>
  </si>
  <si>
    <t xml:space="preserve">TVS DIODE 188VWM DO214AA </t>
  </si>
  <si>
    <t>18-SMBJ188ACT-ND</t>
  </si>
  <si>
    <t>SMBJ188CA</t>
  </si>
  <si>
    <t>SMBJ188CALFCT-ND</t>
  </si>
  <si>
    <t>SMBJ200A</t>
  </si>
  <si>
    <t xml:space="preserve">TVS DIODE 200VWM 324VC DO214AA </t>
  </si>
  <si>
    <t>SMBJ200ALFCT-ND</t>
  </si>
  <si>
    <t>SMBJ200CA</t>
  </si>
  <si>
    <t>SMBJ200CALFCT-ND</t>
  </si>
  <si>
    <t>SMBJ220A</t>
  </si>
  <si>
    <t xml:space="preserve">TVS DIODE 220VWM 356VC DO214AA </t>
  </si>
  <si>
    <t>SMBJ220ALFCT-ND</t>
  </si>
  <si>
    <t>SMBJ220CA</t>
  </si>
  <si>
    <t>SMBJ220CALFCT-ND</t>
  </si>
  <si>
    <t>SMBJ250A</t>
  </si>
  <si>
    <t xml:space="preserve">TVS DIODE 250VWM 405VC DO214AA </t>
  </si>
  <si>
    <t>SMBJ250ACT-ND</t>
  </si>
  <si>
    <t>SMBJ250CA</t>
  </si>
  <si>
    <t>SMBJ250CACT-ND</t>
  </si>
  <si>
    <t>SMBJ300A</t>
  </si>
  <si>
    <t xml:space="preserve">TVS DIODE 300VWM 486VC DO214AA </t>
  </si>
  <si>
    <t>18-SMBJ300ACT-ND</t>
  </si>
  <si>
    <t>SMBJ300CA</t>
  </si>
  <si>
    <t>SMBJ300CALFCT-ND</t>
  </si>
  <si>
    <t>SMBJ350A</t>
  </si>
  <si>
    <t xml:space="preserve">TVS DIODE 350VWM 567VC DO214AA </t>
  </si>
  <si>
    <t>SMBJ350ALFCT-ND</t>
  </si>
  <si>
    <t>SMBJ350CA</t>
  </si>
  <si>
    <t>SMBJ350CALFCT-ND</t>
  </si>
  <si>
    <t>SMBJ400A</t>
  </si>
  <si>
    <t xml:space="preserve">TVS DIODE 400VWM 648VC DO214AA </t>
  </si>
  <si>
    <t>SMBJ400ALFCT-ND</t>
  </si>
  <si>
    <t>SMBJ400CA</t>
  </si>
  <si>
    <t>SMBJ400CALFCT-ND</t>
  </si>
  <si>
    <t>SMBJ440A</t>
  </si>
  <si>
    <t xml:space="preserve">TVS DIODE 440VWM 713VC DO214AA </t>
  </si>
  <si>
    <t>SMBJ440ALFCT-ND</t>
  </si>
  <si>
    <t>SMBJ440CA</t>
  </si>
  <si>
    <t>SMBJ440CALFCT-ND</t>
  </si>
  <si>
    <t>WS2813E</t>
  </si>
  <si>
    <t>SMCJ5.0A</t>
  </si>
  <si>
    <t xml:space="preserve">TVS DIODE 5VWM 9.2VC DO214AB </t>
  </si>
  <si>
    <t>DO-214AB, SMC</t>
  </si>
  <si>
    <t>DIOM7959X265</t>
  </si>
  <si>
    <t>https://www.littelfuse.com/media?resourcetype=datasheets&amp;itemid=37388813-0d6d-4329-969b-1aa8b7614ac1&amp;filename=littelfuse_tvs_diode_smcj_datasheet.pdf</t>
  </si>
  <si>
    <t>SMCJ5.0ALFCT-ND</t>
  </si>
  <si>
    <t>SMCJ5.0CA</t>
  </si>
  <si>
    <t>SMCJ5.0CALFCT-ND</t>
  </si>
  <si>
    <t>3.0SMCJ5.0CA</t>
  </si>
  <si>
    <t>18-3.0SMCJ5.0CACT-ND</t>
  </si>
  <si>
    <t>SMCJ6.0A</t>
  </si>
  <si>
    <t xml:space="preserve">TVS DIODE 6VWM 10.3VC DO214AB </t>
  </si>
  <si>
    <t>SMCJ6.0ALFCT-ND</t>
  </si>
  <si>
    <t>SMCJ6.0CA</t>
  </si>
  <si>
    <t>SMCJ6.0CALFCT-ND</t>
  </si>
  <si>
    <t>SMCJ6.5A</t>
  </si>
  <si>
    <t xml:space="preserve">TVS DIODE 6.5VWM 11.2VC DO214AB </t>
  </si>
  <si>
    <t>SMCJ6.5ALFCT-ND</t>
  </si>
  <si>
    <t>SMCJ6.5CA</t>
  </si>
  <si>
    <t>SMCJ6.5CALFCT-ND</t>
  </si>
  <si>
    <t>SMCJ7.0A</t>
  </si>
  <si>
    <t xml:space="preserve">TVS DIODE 7VWM 12VC DO214AB </t>
  </si>
  <si>
    <t>SMCJ7.0ALFCT-ND</t>
  </si>
  <si>
    <t>SMCJ7.0CA</t>
  </si>
  <si>
    <t>SMCJ7.0CALFCT-ND</t>
  </si>
  <si>
    <t>SMCJ7.5A</t>
  </si>
  <si>
    <t xml:space="preserve">TVS DIODE 7.5VWM 12.9VC DO214AB </t>
  </si>
  <si>
    <t>SMCJ7.5ALFCT-ND</t>
  </si>
  <si>
    <t>SMCJ7.5CA</t>
  </si>
  <si>
    <t>SMCJ7.5CALFCT-ND</t>
  </si>
  <si>
    <t>SMCJ8.0A</t>
  </si>
  <si>
    <t xml:space="preserve">TVS DIODE 8VWM 13.6VC DO214AB </t>
  </si>
  <si>
    <t>SMCJ8.0ALFCT-ND</t>
  </si>
  <si>
    <t>SMCJ8.0CA</t>
  </si>
  <si>
    <t>SMCJ8.0CALFCT-ND</t>
  </si>
  <si>
    <t>SMCJ8.5A</t>
  </si>
  <si>
    <t xml:space="preserve">TVS DIODE 8.5VWM 14.4VC DO214AB </t>
  </si>
  <si>
    <t>SMCJ8.5ALFCT-ND</t>
  </si>
  <si>
    <t>SMCJ8.5CA</t>
  </si>
  <si>
    <t xml:space="preserve">TVS DIOD 3000W DO-214AB 8.5V </t>
  </si>
  <si>
    <t>https://www.littelfuse.com/~/media/electronics/datasheets/tvs_diodes/littelfuse_tvs_diode_3_0smcj_datasheet.pdf.pdf</t>
  </si>
  <si>
    <t>3.0SMCJ8.5CA</t>
  </si>
  <si>
    <t>18-3.0SMCJ8.5CACT-ND</t>
  </si>
  <si>
    <t>SMCJ9.0A</t>
  </si>
  <si>
    <t xml:space="preserve">TVS DIODE 9VWM 15.4VC DO214AB </t>
  </si>
  <si>
    <t>SMCJ9.0ALFCT-ND</t>
  </si>
  <si>
    <t>SMCJ9.0CA</t>
  </si>
  <si>
    <t>SMCJ9.0CALFCT-ND</t>
  </si>
  <si>
    <t>SMCJ10A</t>
  </si>
  <si>
    <t xml:space="preserve">TVS DIODE 10VWM 17VC DO214AB </t>
  </si>
  <si>
    <t>SMCJ10ALFCT-ND</t>
  </si>
  <si>
    <t>SMCJ10CA</t>
  </si>
  <si>
    <t>SMCJ10CALFCT-ND</t>
  </si>
  <si>
    <t>SMCJ11A</t>
  </si>
  <si>
    <t xml:space="preserve">TVS DIODE 11VWM 18.2VC DO214AB </t>
  </si>
  <si>
    <t>SMCJ11ALFCT-ND</t>
  </si>
  <si>
    <t>SMCJ11CA</t>
  </si>
  <si>
    <t>SMCJ11CALFCT-ND</t>
  </si>
  <si>
    <t>SMCJ12A</t>
  </si>
  <si>
    <t xml:space="preserve">TVS DIODE 12VWM 19.9VC DO214AB </t>
  </si>
  <si>
    <t>SMCJ12ALFCT-ND</t>
  </si>
  <si>
    <t>3.0SMCJ12A</t>
  </si>
  <si>
    <t>18-3.0SMCJ12ACT-ND</t>
  </si>
  <si>
    <t>SMCJ12CA</t>
  </si>
  <si>
    <t>SMCJ12CALFCT-ND</t>
  </si>
  <si>
    <t>3.0SMCJ12CA</t>
  </si>
  <si>
    <t>18-3.0SMCJ12CACT-ND</t>
  </si>
  <si>
    <t>SMCJ13A</t>
  </si>
  <si>
    <t xml:space="preserve">TVS DIODE 13VWM 21.5VC DO214AB </t>
  </si>
  <si>
    <t>SMCJ13ALFCT-ND</t>
  </si>
  <si>
    <t>3.0SMCJ13A</t>
  </si>
  <si>
    <t>18-3.0SMCJ13ACT-ND</t>
  </si>
  <si>
    <t>SMCJ13CA</t>
  </si>
  <si>
    <t>SMCJ13CALFCT-ND</t>
  </si>
  <si>
    <t>SMCJ14A</t>
  </si>
  <si>
    <t xml:space="preserve">TVS DIODE 14VWM 23.2VC DO214AB </t>
  </si>
  <si>
    <t>SMCJ14ALFCT-ND</t>
  </si>
  <si>
    <t>SMCJ14CA</t>
  </si>
  <si>
    <t>SMCJ14CALFCT-ND</t>
  </si>
  <si>
    <t>3.0SMCJ14CA</t>
  </si>
  <si>
    <t>18-3.0SMCJ14CACT-ND</t>
  </si>
  <si>
    <t>SMCJ15A</t>
  </si>
  <si>
    <t xml:space="preserve">TVS DIODE 15VWM 24.4VC DO214AB </t>
  </si>
  <si>
    <t>SMCJ15ALFCT-ND</t>
  </si>
  <si>
    <t>3.0SMCJ15A</t>
  </si>
  <si>
    <t>18-3.0SMCJ15ACT-ND</t>
  </si>
  <si>
    <t>SMCJ15CA</t>
  </si>
  <si>
    <t>SMCJ15CALFCT-ND</t>
  </si>
  <si>
    <t>SMCJ16A</t>
  </si>
  <si>
    <t xml:space="preserve">TVS DIODE 16VWM 26VC DO214AB </t>
  </si>
  <si>
    <t>SMCJ16ALFCT-ND</t>
  </si>
  <si>
    <t>3.0SMCJ16A</t>
  </si>
  <si>
    <t>18-3.0SMCJ16ACT-ND</t>
  </si>
  <si>
    <t>SMCJ16CA</t>
  </si>
  <si>
    <t>SMCJ16CALFCT-ND</t>
  </si>
  <si>
    <t>SMCJ17A</t>
  </si>
  <si>
    <t xml:space="preserve">TVS DIODE 17VWM 27.6VC DO214AB </t>
  </si>
  <si>
    <t>SMCJ17ALFCT-ND</t>
  </si>
  <si>
    <t>SMCJ17CA</t>
  </si>
  <si>
    <t>SMCJ17CALFCT-ND</t>
  </si>
  <si>
    <t>SMCJ18A</t>
  </si>
  <si>
    <t xml:space="preserve">TVS DIODE 18VWM 29.2VC DO214AB </t>
  </si>
  <si>
    <t>SMCJ18ALFCT-ND</t>
  </si>
  <si>
    <t>SMCJ18CA</t>
  </si>
  <si>
    <t>SMCJ18CALFCT-ND</t>
  </si>
  <si>
    <t>SMCJ20A</t>
  </si>
  <si>
    <t xml:space="preserve">TVS DIODE 20VWM 32.4VC DO214AB </t>
  </si>
  <si>
    <t>SMCJ20ALFCT-ND</t>
  </si>
  <si>
    <t>3.0SMCJ20A</t>
  </si>
  <si>
    <t>18-3.0SMCJ20ACT-ND</t>
  </si>
  <si>
    <t>SMCJ20CA</t>
  </si>
  <si>
    <t>SMCJ20CALFCT-ND</t>
  </si>
  <si>
    <t>SMCJ22A</t>
  </si>
  <si>
    <t xml:space="preserve">TVS DIODE 22VWM 35.5VC DO214AB </t>
  </si>
  <si>
    <t>SMCJ22ALFCT-ND</t>
  </si>
  <si>
    <t>SMCJ22CA</t>
  </si>
  <si>
    <t>SMCJ22CALFCT-ND</t>
  </si>
  <si>
    <t>SMCJ24A</t>
  </si>
  <si>
    <t xml:space="preserve">TVS DIODE 24VWM 38.9VC DO214AB </t>
  </si>
  <si>
    <t>SMCJ24ALFCT-ND</t>
  </si>
  <si>
    <t>SMCJ24CA</t>
  </si>
  <si>
    <t>SMCJ24CALFCT-ND</t>
  </si>
  <si>
    <t>3.0SMCJ24CA</t>
  </si>
  <si>
    <t>18-3.0SMCJ24CACT-ND</t>
  </si>
  <si>
    <t>SMCJ26A</t>
  </si>
  <si>
    <t xml:space="preserve">TVS DIODE 26VWM 42.1VC DO214AB </t>
  </si>
  <si>
    <t>SMCJ26ALFCT-ND</t>
  </si>
  <si>
    <t>SMCJ26CA</t>
  </si>
  <si>
    <t>SMCJ26CALFCT-ND</t>
  </si>
  <si>
    <t>SMCJ28A</t>
  </si>
  <si>
    <t xml:space="preserve">TVS DIODE 28VWM 45.4VC DO214AB </t>
  </si>
  <si>
    <t>SMCJ28ALFCT-ND</t>
  </si>
  <si>
    <t>3.0SMCJ28A</t>
  </si>
  <si>
    <t>18-3.0SMCJ28ACT-ND</t>
  </si>
  <si>
    <t>SMCJ28CA</t>
  </si>
  <si>
    <t>SMCJ28CALFCT-ND</t>
  </si>
  <si>
    <t>3.0SMCJ28CA</t>
  </si>
  <si>
    <t>18-3.0SMCJ28CACT-ND</t>
  </si>
  <si>
    <t>SMCJ30A</t>
  </si>
  <si>
    <t xml:space="preserve">TVS DIODE 30VWM 48.4VC DO214AB </t>
  </si>
  <si>
    <t>SMCJ30ALFCT-ND</t>
  </si>
  <si>
    <t>3.0SMCJ30A</t>
  </si>
  <si>
    <t>18-3.0SMCJ30ACT-ND</t>
  </si>
  <si>
    <t>SMCJ30CA</t>
  </si>
  <si>
    <t>SMCJ30CALFCT-ND</t>
  </si>
  <si>
    <t>3.0SMCJ30CA</t>
  </si>
  <si>
    <t>18-3.0SMCJ30CACT-ND</t>
  </si>
  <si>
    <t>SMCJ33A</t>
  </si>
  <si>
    <t xml:space="preserve">TVS DIODE 33VWM 53.3VC DO214AB </t>
  </si>
  <si>
    <t>SMCJ33ALFCT-ND</t>
  </si>
  <si>
    <t>SMCJ33CA</t>
  </si>
  <si>
    <t>SMCJ33CALFCT-ND</t>
  </si>
  <si>
    <t>3.0SMCJ33CA</t>
  </si>
  <si>
    <t>18-3.0SMCJ33CACT-ND</t>
  </si>
  <si>
    <t>SMCJ36A</t>
  </si>
  <si>
    <t xml:space="preserve">TVS DIODE 36VWM 58.1VC DO214AB </t>
  </si>
  <si>
    <t>SMCJ36ALFCT-ND</t>
  </si>
  <si>
    <t>3.0SMCJ36A</t>
  </si>
  <si>
    <t>18-3.0SMCJ36ACT-ND</t>
  </si>
  <si>
    <t>SMCJ36CA</t>
  </si>
  <si>
    <t>SMCJ36CALFCT-ND</t>
  </si>
  <si>
    <t>3.0SMCJ36CA</t>
  </si>
  <si>
    <t>18-3.0SMCJ36CACT-ND</t>
  </si>
  <si>
    <t>SMCJ40A</t>
  </si>
  <si>
    <t xml:space="preserve">TVS DIODE 40VWM 64.5VC DO214AB </t>
  </si>
  <si>
    <t>SMCJ40ALFCT-ND</t>
  </si>
  <si>
    <t>3.0SMCJ40A</t>
  </si>
  <si>
    <t>18-3.0SMCJ40ACT-ND</t>
  </si>
  <si>
    <t>SMCJ40CA</t>
  </si>
  <si>
    <t>SMCJ40CALFCT-ND</t>
  </si>
  <si>
    <t>3.0SMCJ40CA</t>
  </si>
  <si>
    <t>18-3.0SMCJ40CACT-ND</t>
  </si>
  <si>
    <t>SMCJ43A</t>
  </si>
  <si>
    <t xml:space="preserve">TVS DIODE 43VWM 69.4VC DO214AB </t>
  </si>
  <si>
    <t>SMCJ43ALCT-ND</t>
  </si>
  <si>
    <t>SMCJ43CA</t>
  </si>
  <si>
    <t>SMCJ43CALCT-ND</t>
  </si>
  <si>
    <t>SMCJ45A</t>
  </si>
  <si>
    <t xml:space="preserve">TVS DIODE 45VWM 72.7VC DO214AB </t>
  </si>
  <si>
    <t>SMCJ45ALFCT-ND</t>
  </si>
  <si>
    <t>SMCJ45CA</t>
  </si>
  <si>
    <t>SMCJ45CALFCT-ND</t>
  </si>
  <si>
    <t>SMCJ48A</t>
  </si>
  <si>
    <t xml:space="preserve">TVS DIODE 48VWM 77.4VC DO214AB </t>
  </si>
  <si>
    <t>SMCJ48ALFCT-ND</t>
  </si>
  <si>
    <t>SMCJ48CA</t>
  </si>
  <si>
    <t>SMCJ48CALFCT-ND</t>
  </si>
  <si>
    <t>3.0SMCJ48CA</t>
  </si>
  <si>
    <t>18-3.0SMCJ48CACT-ND</t>
  </si>
  <si>
    <t>SMCJ51A</t>
  </si>
  <si>
    <t xml:space="preserve">TVS DIODE 51VWM 82.4VC DO214AB </t>
  </si>
  <si>
    <t>SMCJ51ALFCT-ND</t>
  </si>
  <si>
    <t>SMCJ51CA</t>
  </si>
  <si>
    <t>SMCJ51CALFCT-ND</t>
  </si>
  <si>
    <t>3.0SMCJ51CA</t>
  </si>
  <si>
    <t>18-3.0SMCJ51CACT-ND</t>
  </si>
  <si>
    <t>SMCJ54A</t>
  </si>
  <si>
    <t xml:space="preserve">TVS DIODE 54VWM 87.1VC DO214AB </t>
  </si>
  <si>
    <t>SMCJ54ALFCT-ND</t>
  </si>
  <si>
    <t>SMCJ54CA</t>
  </si>
  <si>
    <t>SMCJ54CALFCT-ND</t>
  </si>
  <si>
    <t>SMCJ58A</t>
  </si>
  <si>
    <t xml:space="preserve">TVS DIODE 58VWM 93.6VC DO214AB </t>
  </si>
  <si>
    <t>SMCJ58ALFCT-ND</t>
  </si>
  <si>
    <t>SMCJ58CA</t>
  </si>
  <si>
    <t>SMCJ58CALFCT-ND</t>
  </si>
  <si>
    <t>3.0SMCJ58CA</t>
  </si>
  <si>
    <t>18-3.0SMCJ58CACT-ND</t>
  </si>
  <si>
    <t>SMCJ60A</t>
  </si>
  <si>
    <t xml:space="preserve">TVS DIODE 60VWM 96.8VC DO214AB </t>
  </si>
  <si>
    <t>SMCJ60ALFCT-ND</t>
  </si>
  <si>
    <t>SMCJ60CA</t>
  </si>
  <si>
    <t>SMCJ60CALFCT-ND</t>
  </si>
  <si>
    <t>SMCJ64A</t>
  </si>
  <si>
    <t xml:space="preserve">TVS DIODE 64VWM 103VC DO214AB </t>
  </si>
  <si>
    <t>SMCJ64ALFCT-ND</t>
  </si>
  <si>
    <t>SMCJ64CA</t>
  </si>
  <si>
    <t>SMCJ64CALFCT-ND</t>
  </si>
  <si>
    <t>SMCJ70A</t>
  </si>
  <si>
    <t xml:space="preserve">TVS DIODE 70VWM 113VC DO214AB </t>
  </si>
  <si>
    <t>SMCJ70ALFCT-ND</t>
  </si>
  <si>
    <t>SMCJ70CA</t>
  </si>
  <si>
    <t>SMCJ70CALFCT-ND</t>
  </si>
  <si>
    <t>SMCJ75A</t>
  </si>
  <si>
    <t xml:space="preserve">TVS DIODE 75VWM 121VC DO214AB </t>
  </si>
  <si>
    <t>SMCJ75ALFCT-ND</t>
  </si>
  <si>
    <t>SMCJ75CA</t>
  </si>
  <si>
    <t>SMCJ75CALFCT-ND</t>
  </si>
  <si>
    <t>SMCJ78A</t>
  </si>
  <si>
    <t xml:space="preserve">TVS DIODE 78VWM 126VC DO214AB </t>
  </si>
  <si>
    <t>SMCJ78ALFCT-ND</t>
  </si>
  <si>
    <t>SMCJ78CA</t>
  </si>
  <si>
    <t>SMCJ78CALFCT-ND</t>
  </si>
  <si>
    <t>SMCJ85A</t>
  </si>
  <si>
    <t xml:space="preserve">TVS DIODE 85VWM 137VC DO214AB </t>
  </si>
  <si>
    <t>SMCJ85ALFCT-ND</t>
  </si>
  <si>
    <t>SMCJ85CA</t>
  </si>
  <si>
    <t>SMCJ85CALFCT-ND</t>
  </si>
  <si>
    <t>SMCJ90A</t>
  </si>
  <si>
    <t xml:space="preserve">TVS DIODE 90VWM 146VC DO214AB </t>
  </si>
  <si>
    <t>SMCJ90ALFCT-ND</t>
  </si>
  <si>
    <t>SMCJ90CA</t>
  </si>
  <si>
    <t>SMCJ90CALFCT-ND</t>
  </si>
  <si>
    <t>SMCJ100A</t>
  </si>
  <si>
    <t xml:space="preserve">TVS DIODE 100VWM 162VC DO214AB </t>
  </si>
  <si>
    <t>SMCJ100ALFCT-ND</t>
  </si>
  <si>
    <t>SMCJ100CA</t>
  </si>
  <si>
    <t>SMCJ100CALFCT-ND</t>
  </si>
  <si>
    <t>SMCJ110A</t>
  </si>
  <si>
    <t xml:space="preserve">TVS DIODE 110VWM 177VC DO214AB </t>
  </si>
  <si>
    <t>SMCJ110ALFCT-ND</t>
  </si>
  <si>
    <t>SMCJ110CA</t>
  </si>
  <si>
    <t>SMCJ110CALFCT-ND</t>
  </si>
  <si>
    <t>SMCJ120A</t>
  </si>
  <si>
    <t xml:space="preserve">TVS DIODE 120VWM 193VC DO214AB </t>
  </si>
  <si>
    <t>SMCJ120ALFCT-ND</t>
  </si>
  <si>
    <t>SMCJ120CA</t>
  </si>
  <si>
    <t>SMCJ120CALFCT-ND</t>
  </si>
  <si>
    <t>SMCJ130A</t>
  </si>
  <si>
    <t xml:space="preserve">TVS DIODE 130VWM 209VC DO214AB </t>
  </si>
  <si>
    <t>SMCJ130ALFCT-ND</t>
  </si>
  <si>
    <t>SMCJ130CA</t>
  </si>
  <si>
    <t>SMCJ130CALFCT-ND</t>
  </si>
  <si>
    <t>SMCJ150A</t>
  </si>
  <si>
    <t xml:space="preserve">TVS DIODE 150VWM 243VC DO214AB </t>
  </si>
  <si>
    <t>SMCJ150ALFCT-ND</t>
  </si>
  <si>
    <t>SMCJ150CA</t>
  </si>
  <si>
    <t>SMCJ150CALFCT-ND</t>
  </si>
  <si>
    <t>SMCJ160A</t>
  </si>
  <si>
    <t xml:space="preserve">TVS DIODE 160VWM 259VC DO214AB </t>
  </si>
  <si>
    <t>18-SMCJ160ACT-ND</t>
  </si>
  <si>
    <t>SMCJ160CA</t>
  </si>
  <si>
    <t>SMCJ160CALFCT-ND</t>
  </si>
  <si>
    <t>SMCJ170A</t>
  </si>
  <si>
    <t xml:space="preserve">TVS DIODE 170VWM 275VC DO214AB </t>
  </si>
  <si>
    <t>SMCJ170ALFCT-ND</t>
  </si>
  <si>
    <t>SMCJ170CA</t>
  </si>
  <si>
    <t>SMCJ170CALFCT-ND</t>
  </si>
  <si>
    <t>SMCJ180A</t>
  </si>
  <si>
    <t xml:space="preserve">TVS DIODE 180VWM 292VC DO214AB </t>
  </si>
  <si>
    <t>SMCJ180ALFCT-ND</t>
  </si>
  <si>
    <t>SMCJ180CA</t>
  </si>
  <si>
    <t>SMCJ180CALFCT-ND</t>
  </si>
  <si>
    <t>SMCJ200A</t>
  </si>
  <si>
    <t xml:space="preserve">TVS DIODE 200VWM 324VC DO214AB </t>
  </si>
  <si>
    <t>SMCJ200ALFCT-ND</t>
  </si>
  <si>
    <t>SMCJ200CA</t>
  </si>
  <si>
    <t>SMCJ200CALFCT-ND</t>
  </si>
  <si>
    <t>SMCJ220A</t>
  </si>
  <si>
    <t xml:space="preserve">TVS DIODE 220VWM 356VC DO214AB </t>
  </si>
  <si>
    <t>SMCJ220ALFCT-ND</t>
  </si>
  <si>
    <t>SMCJ220CA</t>
  </si>
  <si>
    <t>SMCJ220CALFCT-ND</t>
  </si>
  <si>
    <t>SMCJ250A</t>
  </si>
  <si>
    <t xml:space="preserve">TVS DIODE 250VWM 405VC DO214AB </t>
  </si>
  <si>
    <t>SMCJ250ALFCT-ND</t>
  </si>
  <si>
    <t>SMCJ250CA</t>
  </si>
  <si>
    <t>SMCJ250CALFCT-ND</t>
  </si>
  <si>
    <t>SMCJ300A</t>
  </si>
  <si>
    <t xml:space="preserve">TVS DIODE 300VWM 486VC DO214AB </t>
  </si>
  <si>
    <t>SMCJ300ALFCT-ND</t>
  </si>
  <si>
    <t>SMCJ300CA</t>
  </si>
  <si>
    <t>SMCJ300CALFCT-ND</t>
  </si>
  <si>
    <t>SMCJ350A</t>
  </si>
  <si>
    <t xml:space="preserve">TVS DIODE 350VWM 567VC DO214AB </t>
  </si>
  <si>
    <t>SMCJ350ALFCT-ND</t>
  </si>
  <si>
    <t>SMCJ350CA</t>
  </si>
  <si>
    <t>SMCJ350CALFCT-ND</t>
  </si>
  <si>
    <t>SMCJ400A</t>
  </si>
  <si>
    <t xml:space="preserve">TVS DIODE 400VWM 648VC DO214AB </t>
  </si>
  <si>
    <t>SMCJ400ALFCT-ND</t>
  </si>
  <si>
    <t>SMCJ400CA</t>
  </si>
  <si>
    <t>SMCJ400CALFCT-ND</t>
  </si>
  <si>
    <t>SMCJ440A</t>
  </si>
  <si>
    <t xml:space="preserve">TVS DIODE 440VWM 713VC DO214AB </t>
  </si>
  <si>
    <t>SMCJ440ALFCT-ND</t>
  </si>
  <si>
    <t>SMCJ440CA</t>
  </si>
  <si>
    <t>SMCJ440CALFCT-ND</t>
  </si>
  <si>
    <t>WS2813B-MINI</t>
  </si>
  <si>
    <t>Intelligent control LED integrated light source</t>
  </si>
  <si>
    <t>Intelligent control LED integrated light source with backup Pin</t>
  </si>
  <si>
    <t>WS2812B-MINI</t>
  </si>
  <si>
    <t>WorldSemi</t>
  </si>
  <si>
    <t>SMD5050</t>
  </si>
  <si>
    <t>SMD3535</t>
  </si>
  <si>
    <t>WS2812E-V5</t>
  </si>
  <si>
    <t>WS2813B-V5</t>
  </si>
  <si>
    <t>WS2812B-V5</t>
  </si>
  <si>
    <t>WS2812</t>
  </si>
  <si>
    <t>PCB/LED.PcbLib</t>
  </si>
  <si>
    <t>5.0SMDJ6.0A</t>
  </si>
  <si>
    <t xml:space="preserve">TVS DIODE 6VWM 10.3VC DO214 TR13 </t>
  </si>
  <si>
    <t>https://m.littelfuse.com/~/media/electronics/datasheets/tvs_diodes/littelfuse_tvs_diode_5_0smdjxxs_datasheet.pdf.pdf</t>
  </si>
  <si>
    <t>5.0SMDJ6.0AS</t>
  </si>
  <si>
    <t>18-5.0SMDJ6.0ASCT-ND</t>
  </si>
  <si>
    <t>5.0SMDJ6.0CA</t>
  </si>
  <si>
    <t>5.0SMDJ6.0CAS</t>
  </si>
  <si>
    <t>18-5.0SMDJ6.0CASCT-ND</t>
  </si>
  <si>
    <t>5.0SMDJ6.5A</t>
  </si>
  <si>
    <t xml:space="preserve">TVS DIODE 6.5V 11.2V DO214 TR13 </t>
  </si>
  <si>
    <t>5.0SMDJ6.5AS</t>
  </si>
  <si>
    <t>18-5.0SMDJ6.5ASCT-ND</t>
  </si>
  <si>
    <t>5.0SMDJ6.5CA</t>
  </si>
  <si>
    <t>5.0SMDJ6.5CAS</t>
  </si>
  <si>
    <t>18-5.0SMDJ6.5CASCT-ND</t>
  </si>
  <si>
    <t>5.0SMDJ7.0A</t>
  </si>
  <si>
    <t xml:space="preserve">TVS DIODE 7VWM 12VC DO214AB TR13 </t>
  </si>
  <si>
    <t>5.0SMDJ7.0AS</t>
  </si>
  <si>
    <t>18-5.0SMDJ7.0ASCT-ND</t>
  </si>
  <si>
    <t>5.0SMDJ7.0CA</t>
  </si>
  <si>
    <t>5.0SMDJ7.0CAS</t>
  </si>
  <si>
    <t>18-5.0SMDJ7.0CASCT-ND</t>
  </si>
  <si>
    <t>5.0SMDJ7.5A</t>
  </si>
  <si>
    <t xml:space="preserve">TVS DIODE 7.5V 12.9V DO214 TR13 </t>
  </si>
  <si>
    <t>5.0SMDJ7.5AS</t>
  </si>
  <si>
    <t>18-5.0SMDJ7.5ASCT-ND</t>
  </si>
  <si>
    <t>5.0SMDJ7.5CA</t>
  </si>
  <si>
    <t>5.0SMDJ7.5CAS</t>
  </si>
  <si>
    <t>18-5.0SMDJ7.5CASCT-ND</t>
  </si>
  <si>
    <t>5.0SMDJ8.0A</t>
  </si>
  <si>
    <t xml:space="preserve">TVS DIODE 8VWM 13.6VC DO214 TR13 </t>
  </si>
  <si>
    <t>5.0SMDJ8.0AS</t>
  </si>
  <si>
    <t>18-5.0SMDJ8.0ASCT-ND</t>
  </si>
  <si>
    <t>5.0SMDJ8.0CA</t>
  </si>
  <si>
    <t>5.0SMDJ8.0CAS</t>
  </si>
  <si>
    <t>18-5.0SMDJ8.0CASCT-ND</t>
  </si>
  <si>
    <t>5.0SMDJ8.5A</t>
  </si>
  <si>
    <t xml:space="preserve">TVS DIODE 8.5V 14.4V DO214 TR13 </t>
  </si>
  <si>
    <t>5.0SMDJ8.5AS</t>
  </si>
  <si>
    <t>18-5.0SMDJ8.5ASCT-ND</t>
  </si>
  <si>
    <t>5.0SMDJ8.5CA</t>
  </si>
  <si>
    <t>5.0SMDJ8.5CAS</t>
  </si>
  <si>
    <t>18-5.0SMDJ8.5CASCT-ND</t>
  </si>
  <si>
    <t>5.0SMDJ9.0A</t>
  </si>
  <si>
    <t xml:space="preserve">TVS DIODE 9VWM 15.4VC DO214 TR13 </t>
  </si>
  <si>
    <t>5.0SMDJ9.0AS</t>
  </si>
  <si>
    <t>18-5.0SMDJ9.0ASCT-ND</t>
  </si>
  <si>
    <t>5.0SMDJ9.0CA</t>
  </si>
  <si>
    <t>5.0SMDJ9.0CAS</t>
  </si>
  <si>
    <t>18-5.0SMDJ9.0CASCT-ND</t>
  </si>
  <si>
    <t>5.0SMDJ10A</t>
  </si>
  <si>
    <t xml:space="preserve">TVS DIODE 10VWM 17VC DO214 TR13 </t>
  </si>
  <si>
    <t>5.0SMDJ10AS</t>
  </si>
  <si>
    <t>18-5.0SMDJ10ASCT-ND</t>
  </si>
  <si>
    <t>5.0SMDJ10CA</t>
  </si>
  <si>
    <t>5.0SMDJ10CAS</t>
  </si>
  <si>
    <t>18-5.0SMDJ10CASCT-ND</t>
  </si>
  <si>
    <t>5.0SMDJ11A</t>
  </si>
  <si>
    <t xml:space="preserve">TVS DIODE 11VWM 18.2V DO214 TR13 </t>
  </si>
  <si>
    <t>5.0SMDJ11AS</t>
  </si>
  <si>
    <t>18-5.0SMDJ11ASCT-ND</t>
  </si>
  <si>
    <t>5.0SMDJ11CA</t>
  </si>
  <si>
    <t>5.0SMDJ11CAS</t>
  </si>
  <si>
    <t>18-5.0SMDJ11CASCT-ND</t>
  </si>
  <si>
    <t>5.0SMDJ12A</t>
  </si>
  <si>
    <t xml:space="preserve">TVS DIODE 12VWM 19.9V DO214 TR13 </t>
  </si>
  <si>
    <t>5.0SMDJ12AS</t>
  </si>
  <si>
    <t>18-5.0SMDJ12ASCT-ND</t>
  </si>
  <si>
    <t>5.0SMDJ12ACT-ND</t>
  </si>
  <si>
    <t>5.0SMDJ12CA</t>
  </si>
  <si>
    <t>5.0SMDJ12CAS</t>
  </si>
  <si>
    <t>18-5.0SMDJ12CASCT-ND</t>
  </si>
  <si>
    <t>5.0SMDJ12CACT-ND</t>
  </si>
  <si>
    <t>5.0SMDJ13A</t>
  </si>
  <si>
    <t xml:space="preserve">TVS DIODE 13VWM 21.5V DO214 TR13 </t>
  </si>
  <si>
    <t>5.0SMDJ13AS</t>
  </si>
  <si>
    <t>18-5.0SMDJ13ASCT-ND</t>
  </si>
  <si>
    <t>F6609CT-ND</t>
  </si>
  <si>
    <t>5.0SMDJ13CA</t>
  </si>
  <si>
    <t>5.0SMDJ13CAS</t>
  </si>
  <si>
    <t>18-5.0SMDJ13CASCT-ND</t>
  </si>
  <si>
    <t>5.0SMDJ13CACT-ND</t>
  </si>
  <si>
    <t>5.0SMDJ14A</t>
  </si>
  <si>
    <t xml:space="preserve">TVS DIODE 14VWM 23.2V DO214 TR13 </t>
  </si>
  <si>
    <t>5.0SMDJ14AS</t>
  </si>
  <si>
    <t>18-5.0SMDJ14ASCT-ND</t>
  </si>
  <si>
    <t>5.0SMDJ14ACT-ND</t>
  </si>
  <si>
    <t>5.0SMDJ14CA</t>
  </si>
  <si>
    <t>5.0SMDJ14CAS</t>
  </si>
  <si>
    <t>18-5.0SMDJ14CASCT-ND</t>
  </si>
  <si>
    <t>F6610CT-ND</t>
  </si>
  <si>
    <t>5.0SMDJ15A</t>
  </si>
  <si>
    <t xml:space="preserve">TVS DIODE 15VWM 24.4V DO214 TR13 </t>
  </si>
  <si>
    <t>5.0SMDJ15AS</t>
  </si>
  <si>
    <t>18-5.0SMDJ15ASCT-ND</t>
  </si>
  <si>
    <t>5.0SMDJ15ACT-ND</t>
  </si>
  <si>
    <t>5.0SMDJ15CA</t>
  </si>
  <si>
    <t>5.0SMDJ15CAS</t>
  </si>
  <si>
    <t>18-5.0SMDJ15CASCT-ND</t>
  </si>
  <si>
    <t>5.0SMDJ15CACT-ND</t>
  </si>
  <si>
    <t>5.0SMDJ16A</t>
  </si>
  <si>
    <t>https://www.littelfuse.com/media?resourcetype=datasheets&amp;itemid=2b2f4a8c-2e81-4894-8d41-3d748bb79e68&amp;filename=littelfuse_tvs_diode_5_0smdj_datasheet.pdf</t>
  </si>
  <si>
    <t>5.0SMDJ16ACT-ND</t>
  </si>
  <si>
    <t>5.0SMDJ16CA</t>
  </si>
  <si>
    <t xml:space="preserve">TVS DIODE 16VWM 26VC DO214 TR13 </t>
  </si>
  <si>
    <t>5.0SMDJ16CAS</t>
  </si>
  <si>
    <t>18-5.0SMDJ16CASCT-ND</t>
  </si>
  <si>
    <t>5.0SMDJ16CACT-ND</t>
  </si>
  <si>
    <t>5.0SMDJ17A</t>
  </si>
  <si>
    <t xml:space="preserve">TVS DIODE 17VWM 27.6V DO214 TR13 </t>
  </si>
  <si>
    <t>5.0SMDJ17AS</t>
  </si>
  <si>
    <t>18-5.0SMDJ17ASCT-ND</t>
  </si>
  <si>
    <t>5.0SMDJ17ACT-ND</t>
  </si>
  <si>
    <t>5.0SMDJ17CA</t>
  </si>
  <si>
    <t>5.0SMDJ17CAS</t>
  </si>
  <si>
    <t>18-5.0SMDJ17CASCT-ND</t>
  </si>
  <si>
    <t>F6611CT-ND</t>
  </si>
  <si>
    <t>5.0SMDJ18A</t>
  </si>
  <si>
    <t xml:space="preserve">TVS DIODE 18VWM 29.2V DO214 TR13 </t>
  </si>
  <si>
    <t>5.0SMDJ18AS</t>
  </si>
  <si>
    <t>18-5.0SMDJ18ASCT-ND</t>
  </si>
  <si>
    <t>5.0SMDJ18ACT-ND</t>
  </si>
  <si>
    <t>5.0SMDJ18CA</t>
  </si>
  <si>
    <t>5.0SMDJ18CAS</t>
  </si>
  <si>
    <t>18-5.0SMDJ18CASCT-ND</t>
  </si>
  <si>
    <t>F10849CT-ND</t>
  </si>
  <si>
    <t>5.0SMDJ20A</t>
  </si>
  <si>
    <t xml:space="preserve">TVS DIODE 20VWM 32.4V DO214 TR13 </t>
  </si>
  <si>
    <t>5.0SMDJ20AS</t>
  </si>
  <si>
    <t>18-5.0SMDJ20ASCT-ND</t>
  </si>
  <si>
    <t>5.0SMDJ20ACT-ND</t>
  </si>
  <si>
    <t>5.0SMDJ20CA</t>
  </si>
  <si>
    <t>5.0SMDJ20CAS</t>
  </si>
  <si>
    <t>18-5.0SMDJ20CASCT-ND</t>
  </si>
  <si>
    <t>5.0SMDJ20CACT-ND</t>
  </si>
  <si>
    <t>5.0SMDJ22A</t>
  </si>
  <si>
    <t xml:space="preserve">TVS DIODE 22VWM 35.5V DO214 TR13 </t>
  </si>
  <si>
    <t>5.0SMDJ22AS</t>
  </si>
  <si>
    <t>18-5.0SMDJ22ASCT-ND</t>
  </si>
  <si>
    <t>18-5.0SMDJ22ACT-ND</t>
  </si>
  <si>
    <t>5.0SMDJ22CA</t>
  </si>
  <si>
    <t>5.0SMDJ22CAS</t>
  </si>
  <si>
    <t>18-5.0SMDJ22CASCT-ND</t>
  </si>
  <si>
    <t>F10850CT-ND</t>
  </si>
  <si>
    <t>5.0SMDJ24A</t>
  </si>
  <si>
    <t xml:space="preserve">TVS DIODE 24VWM 38.9V DO214 TR13 </t>
  </si>
  <si>
    <t>5.0SMDJ24AS</t>
  </si>
  <si>
    <t>18-5.0SMDJ24ASCT-ND</t>
  </si>
  <si>
    <t>5.0SMDJ24ACT-ND</t>
  </si>
  <si>
    <t>5.0SMDJ24CA</t>
  </si>
  <si>
    <t>5.0SMDJ24CAS</t>
  </si>
  <si>
    <t>18-5.0SMDJ24CASCT-ND</t>
  </si>
  <si>
    <t>F5634CT-ND</t>
  </si>
  <si>
    <t>5.0SMDJ26A</t>
  </si>
  <si>
    <t xml:space="preserve">TVS DIODE 26VWM 42.1V DO214 TR13 </t>
  </si>
  <si>
    <t>5.0SMDJ26AS</t>
  </si>
  <si>
    <t>18-5.0SMDJ26ASCT-ND</t>
  </si>
  <si>
    <t>F10851CT-ND</t>
  </si>
  <si>
    <t>5.0SMDJ26CA</t>
  </si>
  <si>
    <t>5.0SMDJ26CAS</t>
  </si>
  <si>
    <t>18-5.0SMDJ26CASCT-ND</t>
  </si>
  <si>
    <t>F10852CT-ND</t>
  </si>
  <si>
    <t>5.0SMDJ28A</t>
  </si>
  <si>
    <t xml:space="preserve">TVS DIODE 28VWM 45.4V DO214 TR13 </t>
  </si>
  <si>
    <t>5.0SMDJ28AS</t>
  </si>
  <si>
    <t>18-5.0SMDJ28ASCT-ND</t>
  </si>
  <si>
    <t>5.0SMDJ28ACT-ND</t>
  </si>
  <si>
    <t>5.0SMDJ28CA</t>
  </si>
  <si>
    <t>5.0SMDJ28CAS</t>
  </si>
  <si>
    <t>18-5.0SMDJ28CASCT-ND</t>
  </si>
  <si>
    <t>F6012CT-ND</t>
  </si>
  <si>
    <t>5.0SMDJ30A</t>
  </si>
  <si>
    <t xml:space="preserve">TVS DIODE 30VWM 48.4V DO214 TR13 </t>
  </si>
  <si>
    <t>5.0SMDJ30AS</t>
  </si>
  <si>
    <t>18-5.0SMDJ30ASCT-ND</t>
  </si>
  <si>
    <t>F5635CT-ND</t>
  </si>
  <si>
    <t>5.0SMDJ30CA</t>
  </si>
  <si>
    <t>5.0SMDJ30CAS</t>
  </si>
  <si>
    <t>18-5.0SMDJ30CASCT-ND</t>
  </si>
  <si>
    <t>F6258CT-ND</t>
  </si>
  <si>
    <t>5.0SMDJ33A</t>
  </si>
  <si>
    <t>5.0SMDJ33AS</t>
  </si>
  <si>
    <t>5.0SMDJ33ASCT-ND</t>
  </si>
  <si>
    <t>F4119CT-ND</t>
  </si>
  <si>
    <t>5.0SMDJ33CA</t>
  </si>
  <si>
    <t>5.0SMDJ33CAS</t>
  </si>
  <si>
    <t>5.0SMDJ33CASCT-ND</t>
  </si>
  <si>
    <t>F4120CT-ND</t>
  </si>
  <si>
    <t>5.0SMDJ36A</t>
  </si>
  <si>
    <t>5.0SMDJ36AS</t>
  </si>
  <si>
    <t>5.0SMDJ36ASCT-ND</t>
  </si>
  <si>
    <t>F4121CT-ND</t>
  </si>
  <si>
    <t>5.0SMDJ36CA</t>
  </si>
  <si>
    <t>5.0SMDJ36CAS</t>
  </si>
  <si>
    <t>5.0SMDJ36CASCT-ND</t>
  </si>
  <si>
    <t>F4122CT-ND</t>
  </si>
  <si>
    <t>5.0SMDJ40A</t>
  </si>
  <si>
    <t>5.0SMDJ40AS</t>
  </si>
  <si>
    <t>5.0SMDJ40ASCT-ND</t>
  </si>
  <si>
    <t>F6808CT-ND</t>
  </si>
  <si>
    <t>5.0SMDJ40CA</t>
  </si>
  <si>
    <t>5.0SMDJ40CAS</t>
  </si>
  <si>
    <t>5.0SMDJ40CASCT-ND</t>
  </si>
  <si>
    <t>F6809CT-ND</t>
  </si>
  <si>
    <t>5.0SMDJ43A</t>
  </si>
  <si>
    <t>5.0SMDJ43AS</t>
  </si>
  <si>
    <t>5.0SMDJ43ASCT-ND</t>
  </si>
  <si>
    <t>F10853CT-ND</t>
  </si>
  <si>
    <t>5.0SMDJ43CA</t>
  </si>
  <si>
    <t>5.0SMDJ43CAS</t>
  </si>
  <si>
    <t>5.0SMDJ43CASCT-ND</t>
  </si>
  <si>
    <t>F10854CT-ND</t>
  </si>
  <si>
    <t>5.0SMDJ45A</t>
  </si>
  <si>
    <t>5.0SMDJ45AS</t>
  </si>
  <si>
    <t>5.0SMDJ45ASCT-ND</t>
  </si>
  <si>
    <t>F4123CT-ND</t>
  </si>
  <si>
    <t>5.0SMDJ45CA</t>
  </si>
  <si>
    <t>F4124CT-ND</t>
  </si>
  <si>
    <t>5.0SMDJ45CA-T7</t>
  </si>
  <si>
    <t>F11457CT-ND</t>
  </si>
  <si>
    <t>5.0SMDJ48A</t>
  </si>
  <si>
    <t>5.0SMDJ48AS</t>
  </si>
  <si>
    <t>5.0SMDJ48ASCT-ND</t>
  </si>
  <si>
    <t>F6612CT-ND</t>
  </si>
  <si>
    <t>5.0SMDJ48CA</t>
  </si>
  <si>
    <t>5.0SMDJ48CAS</t>
  </si>
  <si>
    <t>5.0SMDJ48CASCT-ND</t>
  </si>
  <si>
    <t>5.0SMDJ48CA-T7</t>
  </si>
  <si>
    <t>5.0SMDJ48CA-T7CT-ND</t>
  </si>
  <si>
    <t>5.0SMDJ51A</t>
  </si>
  <si>
    <t>5.0SMDJ51AS</t>
  </si>
  <si>
    <t>5.0SMDJ51ASCT-ND</t>
  </si>
  <si>
    <t>5.0SMDJ51ACT-ND</t>
  </si>
  <si>
    <t>5.0SMDJ51CA</t>
  </si>
  <si>
    <t>5.0SMDJ51CAS</t>
  </si>
  <si>
    <t>5.0SMDJ51CASCT-ND</t>
  </si>
  <si>
    <t>F10855CT-ND</t>
  </si>
  <si>
    <t>5.0SMDJ54A</t>
  </si>
  <si>
    <t>5.0SMDJ54AS</t>
  </si>
  <si>
    <t>5.0SMDJ54ASCT-ND</t>
  </si>
  <si>
    <t>5.0SMDJ54ACT-ND</t>
  </si>
  <si>
    <t>5.0SMDJ54CA</t>
  </si>
  <si>
    <t>5.0SMDJ54CAS</t>
  </si>
  <si>
    <t>5.0SMDJ54CASCT-ND</t>
  </si>
  <si>
    <t>F10856CT-ND</t>
  </si>
  <si>
    <t>5.0SMDJ58A</t>
  </si>
  <si>
    <t>5.0SMDJ58AS</t>
  </si>
  <si>
    <t>5.0SMDJ58ASCT-ND</t>
  </si>
  <si>
    <t>5.0SMDJ58ACT-ND</t>
  </si>
  <si>
    <t>5.0SMDJ58CA</t>
  </si>
  <si>
    <t>F10857CT-ND</t>
  </si>
  <si>
    <t>5.0SMDJ58CA-T7</t>
  </si>
  <si>
    <t>5.0SMDJ58CA-T7CT-ND</t>
  </si>
  <si>
    <t>5.0SMDJ60A</t>
  </si>
  <si>
    <t xml:space="preserve">TVS 5KW 60V 5%UNI DO-214AB </t>
  </si>
  <si>
    <t>5.0SMDJ60AS</t>
  </si>
  <si>
    <t>18-5.0SMDJ60ASCT-ND</t>
  </si>
  <si>
    <t>5.0SMDJ60ACT-ND</t>
  </si>
  <si>
    <t>5.0SMDJ60CA</t>
  </si>
  <si>
    <t>F10858CT-ND</t>
  </si>
  <si>
    <t>5.0SMDJ60CA-T7</t>
  </si>
  <si>
    <t>5.0SMDJ60CA-T7CT-ND</t>
  </si>
  <si>
    <t>5.0SMDJ64A</t>
  </si>
  <si>
    <t>5.0SMDJ64ACT-ND</t>
  </si>
  <si>
    <t>5.0SMDJ64A-T7</t>
  </si>
  <si>
    <t>18-5.0SMDJ64A-T7CT-ND</t>
  </si>
  <si>
    <t>5.0SMDJ64CA</t>
  </si>
  <si>
    <t>F6259CT-ND</t>
  </si>
  <si>
    <t>5.0SMDJ64CA-T7</t>
  </si>
  <si>
    <t>18-5.0SMDJ64CA-T7CT-ND</t>
  </si>
  <si>
    <t>5.0SMDJ70A</t>
  </si>
  <si>
    <t>5.0SMDJ70ACT-ND</t>
  </si>
  <si>
    <t>5.0SMDJ70A-T7</t>
  </si>
  <si>
    <t>5.0SMDJ70A-T7CT-ND</t>
  </si>
  <si>
    <t>5.0SMDJ70CA</t>
  </si>
  <si>
    <t>F10859CT-ND</t>
  </si>
  <si>
    <t>5.0SMDJ70CA-T7</t>
  </si>
  <si>
    <t>18-5.0SMDJ70CA-T7CT-ND</t>
  </si>
  <si>
    <t>5.0SMDJ75A</t>
  </si>
  <si>
    <t>5.0SMDJ75ACT-ND</t>
  </si>
  <si>
    <t>5.0SMDJ75A-T7</t>
  </si>
  <si>
    <t>5.0SMDJ75A-T7CT-ND</t>
  </si>
  <si>
    <t>5.0SMDJ75CA</t>
  </si>
  <si>
    <t>F10860CT-ND</t>
  </si>
  <si>
    <t>5.0SMDJ75CA-T7</t>
  </si>
  <si>
    <t>5.0SMDJ75CA-T7CT-ND</t>
  </si>
  <si>
    <t>5.0SMDJ78A</t>
  </si>
  <si>
    <t>5.0SMDJ78ACT-ND</t>
  </si>
  <si>
    <t>5.0SMDJ78A-T7</t>
  </si>
  <si>
    <t>18-5.0SMDJ78A-T7CT-ND</t>
  </si>
  <si>
    <t>5.0SMDJ78CA</t>
  </si>
  <si>
    <t>F10861CT-ND</t>
  </si>
  <si>
    <t>5.0SMDJ78CA-T7</t>
  </si>
  <si>
    <t>18-5.0SMDJ78CA-T7CT-ND</t>
  </si>
  <si>
    <t>5.0SMDJ85A</t>
  </si>
  <si>
    <t>5.0SMDJ85ACT-ND</t>
  </si>
  <si>
    <t>5.0SMDJ85A-T7</t>
  </si>
  <si>
    <t>18-5.0SMDJ85A-T7CT-ND</t>
  </si>
  <si>
    <t>5.0SMDJ85CA</t>
  </si>
  <si>
    <t>F10862CT-ND</t>
  </si>
  <si>
    <t>5.0SMDJ85CA-T7</t>
  </si>
  <si>
    <t>5.0SMDJ85CA-T7CT-ND</t>
  </si>
  <si>
    <t>5.0SMDJ90A</t>
  </si>
  <si>
    <t>5.0SMDJ90ACT-ND</t>
  </si>
  <si>
    <t>5.0SMDJ90A-T7</t>
  </si>
  <si>
    <t>18-5.0SMDJ90A-T7CT-ND</t>
  </si>
  <si>
    <t>5.0SMDJ90CA</t>
  </si>
  <si>
    <t>F10863CT-ND</t>
  </si>
  <si>
    <t>5.0SMDJ90CA-T7</t>
  </si>
  <si>
    <t>18-5.0SMDJ90CA-T7CT-ND</t>
  </si>
  <si>
    <t>5.0SMDJ100A</t>
  </si>
  <si>
    <t>F6608CT-ND</t>
  </si>
  <si>
    <t>TP5.0SMDJ100A</t>
  </si>
  <si>
    <t>18-TP5.0SMDJ100ACT-ND</t>
  </si>
  <si>
    <t>5.0SMDJ100CA</t>
  </si>
  <si>
    <t>F10846CT-ND</t>
  </si>
  <si>
    <t>TP5.0SMDJ100CA</t>
  </si>
  <si>
    <t>18-TP5.0SMDJ100CACT-ND</t>
  </si>
  <si>
    <t>5.0SMDJ110A</t>
  </si>
  <si>
    <t>5.0SMDJ110ACT-ND</t>
  </si>
  <si>
    <t>TP5.0SMDJ110A</t>
  </si>
  <si>
    <t>18-TP5.0SMDJ110ACT-ND</t>
  </si>
  <si>
    <t>5.0SMDJ110CA</t>
  </si>
  <si>
    <t>18-5.0SMDJ110CACT-ND</t>
  </si>
  <si>
    <t>5.0SMDJ110CA-T7</t>
  </si>
  <si>
    <t>18-5.0SMDJ110CA-T7CT-ND</t>
  </si>
  <si>
    <t>5.0SMDJ120A</t>
  </si>
  <si>
    <t>5.0SMDJ120ACT-ND</t>
  </si>
  <si>
    <t>5.0SMDJ120A-T7</t>
  </si>
  <si>
    <t>18-5.0SMDJ120A-T7CT-ND</t>
  </si>
  <si>
    <t>5.0SMDJ120CA</t>
  </si>
  <si>
    <t>5.0SMDJ120CACT-ND</t>
  </si>
  <si>
    <t>5.0SMDJ120CA-T7</t>
  </si>
  <si>
    <t>5.0SMDJ120CA-T7CT-ND</t>
  </si>
  <si>
    <t>5.0SMDJ130A</t>
  </si>
  <si>
    <t>5.0SMDJ130ACT-ND</t>
  </si>
  <si>
    <t>TP5.0SMDJ130A</t>
  </si>
  <si>
    <t>18-TP5.0SMDJ130ACT-ND</t>
  </si>
  <si>
    <t>5.0SMDJ130CA</t>
  </si>
  <si>
    <t>F10847CT-ND</t>
  </si>
  <si>
    <t>5.0SMDJ130CA-T7</t>
  </si>
  <si>
    <t>18-5.0SMDJ130CA-T7CT-ND</t>
  </si>
  <si>
    <t>5.0SMDJ150A</t>
  </si>
  <si>
    <t>5.0SMDJ150ACT-ND</t>
  </si>
  <si>
    <t>5.0SMDJ150A-T7</t>
  </si>
  <si>
    <t>18-5.0SMDJ150A-T7CT-ND</t>
  </si>
  <si>
    <t>5.0SMDJ150CA</t>
  </si>
  <si>
    <t>F10848CT-ND</t>
  </si>
  <si>
    <t>5.0SMDJ150CA-T7</t>
  </si>
  <si>
    <t>F11454CT-ND</t>
  </si>
  <si>
    <t>5.0SMDJ160A</t>
  </si>
  <si>
    <t>5.0SMDJ160ACT-ND</t>
  </si>
  <si>
    <t>TP5.0SMDJ160A</t>
  </si>
  <si>
    <t>18-TP5.0SMDJ160ACT-ND</t>
  </si>
  <si>
    <t>5.0SMDJ160CA</t>
  </si>
  <si>
    <t>18-5.0SMDJ160CACT-ND</t>
  </si>
  <si>
    <t>5.0SMDJ160CA-T7</t>
  </si>
  <si>
    <t>18-5.0SMDJ160CA-T7CT-ND</t>
  </si>
  <si>
    <t>5.0SMDJ170A</t>
  </si>
  <si>
    <t>5.0SMDJ170ACT-ND</t>
  </si>
  <si>
    <t>5.0SMDJ170A-T7</t>
  </si>
  <si>
    <t>18-5.0SMDJ170A-T7CT-ND</t>
  </si>
  <si>
    <t>5.0SMDJ170CA</t>
  </si>
  <si>
    <t>5.0SMDJ170CACT-ND</t>
  </si>
  <si>
    <t>5.0SMDJ170CA-T7</t>
  </si>
  <si>
    <t>5.0SMDJ170CA-T7CT-ND</t>
  </si>
  <si>
    <t>PCB/DIOM.PcbLib</t>
  </si>
  <si>
    <t>C160214</t>
  </si>
  <si>
    <t>WS2813B-MINI-V1</t>
  </si>
  <si>
    <t>C965558</t>
  </si>
  <si>
    <t>C2832664</t>
  </si>
  <si>
    <t>WS2812B-V5/W</t>
  </si>
  <si>
    <t>C2874885</t>
  </si>
  <si>
    <t>C2920042</t>
  </si>
  <si>
    <t>C527089</t>
  </si>
  <si>
    <t>WS2812B-Mini</t>
  </si>
  <si>
    <t>D_Schottky</t>
  </si>
  <si>
    <t>SS24-MS</t>
  </si>
  <si>
    <t>Si Shottky Diode 2A DO-214AC</t>
  </si>
  <si>
    <t>C2836395</t>
  </si>
  <si>
    <t>C7509566</t>
  </si>
  <si>
    <t>ElecSuper</t>
  </si>
  <si>
    <t>SS24</t>
  </si>
  <si>
    <t>SS26</t>
  </si>
  <si>
    <t>C7525160</t>
  </si>
  <si>
    <t>C513477</t>
  </si>
  <si>
    <t>Slkor(SLKORMICRO Elec.)</t>
  </si>
  <si>
    <t>LED Red</t>
  </si>
  <si>
    <t>LED Blue</t>
  </si>
  <si>
    <t>LED Green</t>
  </si>
  <si>
    <t>LED Yellow</t>
  </si>
  <si>
    <t>LED White</t>
  </si>
  <si>
    <t>Red</t>
  </si>
  <si>
    <t>Blue</t>
  </si>
  <si>
    <t>Green</t>
  </si>
  <si>
    <t>Yellow</t>
  </si>
  <si>
    <t>White</t>
  </si>
  <si>
    <t>LED_BLUE</t>
  </si>
  <si>
    <t>LED_RED</t>
  </si>
  <si>
    <t>LED_GREEN</t>
  </si>
  <si>
    <t>LED_YELLOW</t>
  </si>
  <si>
    <t>LED</t>
  </si>
  <si>
    <t>LED0603_BLUE</t>
  </si>
  <si>
    <t>LED0603_RED</t>
  </si>
  <si>
    <t>LED0603_GREEN</t>
  </si>
  <si>
    <t>LED0603_YELLOW</t>
  </si>
  <si>
    <t>LED0603_WHITE</t>
  </si>
  <si>
    <t>150060YS75000</t>
  </si>
  <si>
    <t>Würth</t>
  </si>
  <si>
    <t>732-4981-1-ND</t>
  </si>
  <si>
    <t>150060VS75000</t>
  </si>
  <si>
    <t>https://www.we-online.com/katalog/datasheet/150060VS75000.pdf</t>
  </si>
  <si>
    <t>732-4980-1-ND</t>
  </si>
  <si>
    <t>150060BS75000</t>
  </si>
  <si>
    <t>https://www.we-online.com/katalog/datasheet/150060BS75000.pdf</t>
  </si>
  <si>
    <t>732-4966-1-ND </t>
  </si>
  <si>
    <t>150060RS75000</t>
  </si>
  <si>
    <t>https://www.we-online.com/katalog/datasheet/150060RS75000.pdf</t>
  </si>
  <si>
    <t>732-4978-1-ND</t>
  </si>
  <si>
    <t>https://www.we-online.com/components/products/datasheet/150060YS75000.pdf</t>
  </si>
  <si>
    <t>1830-1070-1-ND</t>
  </si>
  <si>
    <t>IN-S63BT5UW</t>
  </si>
  <si>
    <t>Inolux</t>
  </si>
  <si>
    <t>https://www.inolux-corp.com/datasheet/SMDLED/Mono%20Color%20Top%20View/IN-S63BT%20Series_V1.0.pdf</t>
  </si>
  <si>
    <t>RES NTC SM 0603 10K</t>
  </si>
  <si>
    <t>R_NTC</t>
  </si>
  <si>
    <t>https://www.murata.com/en-us/api/pdfdownloadapi?cate=luNTCforTempeSenso&amp;partno=NCU18XH103E60RB</t>
  </si>
  <si>
    <t>Murata</t>
  </si>
  <si>
    <t>NCU18XH103E60RB</t>
  </si>
  <si>
    <t>490-18164-1-ND</t>
  </si>
  <si>
    <t>10K/0603/NTC/3380K</t>
  </si>
  <si>
    <t>SDNT1608X103F3380FTF</t>
  </si>
  <si>
    <t>Sunlord</t>
  </si>
  <si>
    <t>C316397</t>
  </si>
  <si>
    <t>Misc</t>
  </si>
  <si>
    <t>Mechanical, Solderjumper, etc</t>
  </si>
  <si>
    <t>Solder Jumper</t>
  </si>
  <si>
    <t>Solder_Jumper_2pin_0.2mm</t>
  </si>
  <si>
    <t>Solder Jumper 2pin 0.2mm</t>
  </si>
  <si>
    <t>NONE</t>
  </si>
  <si>
    <t>SolderJumper_2</t>
  </si>
  <si>
    <t>D_Zener</t>
  </si>
  <si>
    <t>Solder Nut M3x0.5, 2mm</t>
  </si>
  <si>
    <t>PCB/Mech.PcbLib</t>
  </si>
  <si>
    <t>PCB/SolderJumper.PcbLib</t>
  </si>
  <si>
    <t>MECH_SMTSO3020CTJ</t>
  </si>
  <si>
    <t>TP_SMD_1</t>
  </si>
  <si>
    <t>TP_THD_1.5/0.8</t>
  </si>
  <si>
    <t>THT Test Point 1.5/0.8mm</t>
  </si>
  <si>
    <t>SMD Test Point 1mm</t>
  </si>
  <si>
    <t>Testpoint</t>
  </si>
  <si>
    <t>PCB/Testpoint.PcbLib</t>
  </si>
  <si>
    <t>Solder_Jumper_2pin_0.2mm_small</t>
  </si>
  <si>
    <t>Solder jumper with two pins with a spacing of 0.2mm</t>
  </si>
  <si>
    <t>Solder Jumper 2pin 0.2mm small</t>
  </si>
  <si>
    <t>SolderJumper_3</t>
  </si>
  <si>
    <t>SolderJumper_4</t>
  </si>
  <si>
    <t>Solder_Jumper_2pin_0.3mm</t>
  </si>
  <si>
    <t>Solder jumper with two pins with a spacing of 0.3mm</t>
  </si>
  <si>
    <t>Solder Jumper 2pin 0.3mm</t>
  </si>
  <si>
    <t>Solder_Jumper_3pin_0.2mm</t>
  </si>
  <si>
    <t>Solder_Jumper_3pin_0.3mm</t>
  </si>
  <si>
    <t>Solder_Jumper_4pin_0.2mm</t>
  </si>
  <si>
    <t>Solder_Jumper_4pin_0.3mm</t>
  </si>
  <si>
    <t>Solder Jumper 3pin 0.2mm</t>
  </si>
  <si>
    <t>Solder Jumper 3pin 0.3mm</t>
  </si>
  <si>
    <t>Solder Jumper 4pin 0.2mm</t>
  </si>
  <si>
    <t>Solder Jumper 4pin 0.3mm</t>
  </si>
  <si>
    <t>Solder jumper with four pins with a spacing of 0.3mm</t>
  </si>
  <si>
    <t>Solder jumper with four pins with a spacing of 0.2mm</t>
  </si>
  <si>
    <t>Solder jumper with three pins with a spacing of 0.3mm</t>
  </si>
  <si>
    <t>Solder jumper with three pins with a spacing of 0.2mm</t>
  </si>
  <si>
    <t>Sinhoo</t>
  </si>
  <si>
    <t>SMTSO3020MTJ</t>
  </si>
  <si>
    <t>C2915633</t>
  </si>
  <si>
    <t>PEM</t>
  </si>
  <si>
    <t>SMTSO-M3-2ET</t>
  </si>
  <si>
    <t>153-SMTSO-M3-2ET</t>
  </si>
  <si>
    <t>Mouser</t>
  </si>
  <si>
    <t>ESP-01S</t>
  </si>
  <si>
    <t>ESP8266 based Module with 1MByte Storage</t>
  </si>
  <si>
    <t>AI-Thinker</t>
  </si>
  <si>
    <t>Board</t>
  </si>
  <si>
    <t>SCH/ESP8266.SchLib</t>
  </si>
  <si>
    <t>https://www.microchip.ua/wireless/esp01.pdf</t>
  </si>
  <si>
    <t>C503582</t>
  </si>
  <si>
    <t>Ai-Thinker</t>
  </si>
  <si>
    <t>SCH/Bat.SchLib</t>
  </si>
  <si>
    <t>PCB/Bat.PcbLib</t>
  </si>
  <si>
    <t>1.5A/1206/Fuse</t>
  </si>
  <si>
    <t>Multifuse 1206 1.5A</t>
  </si>
  <si>
    <t>1.5A</t>
  </si>
  <si>
    <t>Fuse</t>
  </si>
  <si>
    <t>Fuse1206-0.55-WW</t>
  </si>
  <si>
    <t>MF-NSMF150-2CT-ND</t>
  </si>
  <si>
    <t>MF-NSMF150-2</t>
  </si>
  <si>
    <t>https://www.bourns.com/docs/product-datasheets/mf-nsmf.pdf?sfvrsn=39c76af6_20</t>
  </si>
  <si>
    <t>Bourns</t>
  </si>
  <si>
    <t>C89655</t>
  </si>
  <si>
    <t>UHE4913</t>
  </si>
  <si>
    <t>Ultra Low Power Hall Switch Open Drain</t>
  </si>
  <si>
    <t>SOT23</t>
  </si>
  <si>
    <t>UHE4913G-AE3-R</t>
  </si>
  <si>
    <t>C86815</t>
  </si>
  <si>
    <t>UTC(Unisonic Tech)</t>
  </si>
  <si>
    <t>PCB/SOT.PcbLib</t>
  </si>
  <si>
    <t>PCB/SOP.PcbLib</t>
  </si>
  <si>
    <t>XL555</t>
  </si>
  <si>
    <t>XINLUDA</t>
  </si>
  <si>
    <t>SOP-8 Timers / Clock Oscillators ROHS</t>
  </si>
  <si>
    <t>SOP8</t>
  </si>
  <si>
    <t>C521186</t>
  </si>
  <si>
    <t>NE555</t>
  </si>
  <si>
    <t>BSS138</t>
  </si>
  <si>
    <t>N-Kanal 50 V 220mA (Ta) 350mW (Ta) Oberflächenmontage SOT-23</t>
  </si>
  <si>
    <t>4530-BSS138CT-ND</t>
  </si>
  <si>
    <t>ANBON SEMICONDUCTOR (INT'L) LIMITED</t>
  </si>
  <si>
    <t>https://mm.digikey.com/Volume0/opasdata/d220001/medias/docus/3037/BSS138.pdf</t>
  </si>
  <si>
    <t>FOSAN</t>
  </si>
  <si>
    <t>C2926186</t>
  </si>
  <si>
    <t>BSS84</t>
  </si>
  <si>
    <t>4786-BSS84CT-ND</t>
  </si>
  <si>
    <t>Good-Ark Semiconductor</t>
  </si>
  <si>
    <t>https://goodarksemi.com/docs/datasheets/mosfets/BSS84.pdf</t>
  </si>
  <si>
    <t>50V P-Channel MOSFET</t>
  </si>
  <si>
    <t>Jiangsu Changjing Electronics Technology Co., Ltd.</t>
  </si>
  <si>
    <t>C114481</t>
  </si>
  <si>
    <t>PMV213SN</t>
  </si>
  <si>
    <t>N-channel TrenchMOS standard level FET</t>
  </si>
  <si>
    <t>https://assets.nexperia.com/documents/data-sheet/PMV213SN.pdf</t>
  </si>
  <si>
    <t>Nexperia</t>
  </si>
  <si>
    <t>1727-6294-1-ND</t>
  </si>
  <si>
    <t>PMV213SN,215</t>
  </si>
  <si>
    <t>HSS2302B</t>
  </si>
  <si>
    <t>N-Ch 20V Fast Switching MOSFETs</t>
  </si>
  <si>
    <t>HUASHUO</t>
  </si>
  <si>
    <t>C518782</t>
  </si>
  <si>
    <t>SI2302</t>
  </si>
  <si>
    <t>FUXINSEMI</t>
  </si>
  <si>
    <t>C6807797</t>
  </si>
  <si>
    <t>BAS70-02V-G3-08</t>
  </si>
  <si>
    <t>SOD1608X065</t>
  </si>
  <si>
    <t>Small Signal Schottky Diode</t>
  </si>
  <si>
    <t>Vishay</t>
  </si>
  <si>
    <t>SOD523</t>
  </si>
  <si>
    <t>70V/100mA</t>
  </si>
  <si>
    <t>https://www.vishay.com/docs/85652/bas70-02v.pdf</t>
  </si>
  <si>
    <t>Vishay General Semiconductor - Diodes Division</t>
  </si>
  <si>
    <t>112-BAS70-02V-G3-08CT-ND</t>
  </si>
  <si>
    <t>Vishay Intertech</t>
  </si>
  <si>
    <t>C3313114</t>
  </si>
  <si>
    <t>P-CH 20V Fast Switching MOSFETs</t>
  </si>
  <si>
    <t>C7431444</t>
  </si>
  <si>
    <t>HL 2302</t>
  </si>
  <si>
    <t>HL 3415</t>
  </si>
  <si>
    <t>HL</t>
  </si>
  <si>
    <t>Header_2x4</t>
  </si>
  <si>
    <t>Header 100 mil</t>
  </si>
  <si>
    <t>CON8</t>
  </si>
  <si>
    <t>SCH/Connector.SchLib</t>
  </si>
  <si>
    <t>PCB/ESP8622.PcbLib</t>
  </si>
  <si>
    <t>CD4040BC</t>
  </si>
  <si>
    <t>12-Stage binary ripple Counter</t>
  </si>
  <si>
    <t>HGSEMI</t>
  </si>
  <si>
    <t>SOP-16</t>
  </si>
  <si>
    <t>CD4040BM/TR</t>
  </si>
  <si>
    <t>C725347</t>
  </si>
  <si>
    <t>74LVC1G157</t>
  </si>
  <si>
    <t>Single 2-input multiplexer</t>
  </si>
  <si>
    <t>SOT-363-6</t>
  </si>
  <si>
    <t>MUX 1X2-1</t>
  </si>
  <si>
    <t>74LVC1G157GW,125</t>
  </si>
  <si>
    <t>C135822</t>
  </si>
  <si>
    <t>AIP74HC00SA.TB</t>
  </si>
  <si>
    <t>AIP74HC00</t>
  </si>
  <si>
    <t>Quad 2-input NAND</t>
  </si>
  <si>
    <t>Wuxi I-core Elec</t>
  </si>
  <si>
    <t>SOP-14</t>
  </si>
  <si>
    <t>SCH/Logic_IEC.SchLib</t>
  </si>
  <si>
    <t>SCH/Logic_ANSI.SchLib</t>
  </si>
  <si>
    <t>SCH/Logic_DIN.SchLib</t>
  </si>
  <si>
    <t>GATE NAND 4X2</t>
  </si>
  <si>
    <t>C2943283</t>
  </si>
  <si>
    <t>CNT 12</t>
  </si>
  <si>
    <t>2520 metric</t>
  </si>
  <si>
    <t>SCH/L_IEC.SchLib</t>
  </si>
  <si>
    <t>INDM2520X10</t>
  </si>
  <si>
    <t>https://mm.digikey.com/Volume0/opasdata/d220001/medias/docus/5561/WIP252010S%20L%20Series.pdf</t>
  </si>
  <si>
    <t>WIP252010S-1R5MLDG</t>
  </si>
  <si>
    <t>3526-WIP252010S-1R5MLDGCT-ND</t>
  </si>
  <si>
    <t>WIP252010S-R47MLDG</t>
  </si>
  <si>
    <t>3526-WIP252010S-R47MLDGCT-ND</t>
  </si>
  <si>
    <t>3526-WIP252010S-R68MLDGCT-ND</t>
  </si>
  <si>
    <t>WIP252010S-R68MLDG</t>
  </si>
  <si>
    <t>3526-WIP252010S-1R0MLDGCT-ND</t>
  </si>
  <si>
    <t>WIP252010S-1R0MLDG</t>
  </si>
  <si>
    <t>WIP252010S-2R2MLDG</t>
  </si>
  <si>
    <t>3526-WIP252010S-2R2MLDGCT-ND</t>
  </si>
  <si>
    <t>WIP252010S-4R7MLDG</t>
  </si>
  <si>
    <t>3526-WIP252010S-4R7MLDGCT-ND</t>
  </si>
  <si>
    <t>INPAQ Technology Co., Ltd</t>
  </si>
  <si>
    <t>WIP252010S-R47ML</t>
  </si>
  <si>
    <t>WIP252010S-2R2ML</t>
  </si>
  <si>
    <t>WIP252010S-4R7ML</t>
  </si>
  <si>
    <t>INPAQ</t>
  </si>
  <si>
    <t>C964116</t>
  </si>
  <si>
    <t>C19631658</t>
  </si>
  <si>
    <t>C964118</t>
  </si>
  <si>
    <t>TDK</t>
  </si>
  <si>
    <t>VLS252010HBX-R68M</t>
  </si>
  <si>
    <t>C307862</t>
  </si>
  <si>
    <t>WIP252012P-1R0ML</t>
  </si>
  <si>
    <t>C315711</t>
  </si>
  <si>
    <t>WIP252012P-1R5ML</t>
  </si>
  <si>
    <t>C964121</t>
  </si>
  <si>
    <t>WIP201610P-R24ML</t>
  </si>
  <si>
    <t>WIP201610P-R33ML</t>
  </si>
  <si>
    <t>WIP201610P-R47ML</t>
  </si>
  <si>
    <t>WIP201610P-R68ML</t>
  </si>
  <si>
    <t>WIP201610P-1R0ML</t>
  </si>
  <si>
    <t>WIP201610P-1R5ML</t>
  </si>
  <si>
    <t>WIP201610P-2R2ML</t>
  </si>
  <si>
    <t>INDM2016X10</t>
  </si>
  <si>
    <t>3526-WIP201610S-R24MLDGCT-ND</t>
  </si>
  <si>
    <t>WIP201610S-R24MLDG</t>
  </si>
  <si>
    <t>WIP201610S-R33MLDG</t>
  </si>
  <si>
    <t>WIP201610S-R47MLDG</t>
  </si>
  <si>
    <t>WIP201610S-R68MLDG</t>
  </si>
  <si>
    <t>WIP201610S-1R0MLDG</t>
  </si>
  <si>
    <t>WIP201610S-1R5MLDG</t>
  </si>
  <si>
    <t>WIP201610S-2R2MLDG</t>
  </si>
  <si>
    <t>3526-WIP201610S-R33MLDGCT-ND</t>
  </si>
  <si>
    <t>3526-WIP201610S-R47MLDGCT-ND</t>
  </si>
  <si>
    <t>3526-WIP201610S-R68MLDGCT-ND</t>
  </si>
  <si>
    <t>3526-WIP201610S-1R0MLDGCT-ND</t>
  </si>
  <si>
    <t>3526-WIP201610S-1R5MLDGCT-ND</t>
  </si>
  <si>
    <t>3526-WIP201610S-2R2MLDGCT-ND</t>
  </si>
  <si>
    <t>https://mm.digikey.com/Volume0/opasdata/d220001/medias/docus/5561/WIP201610S%20L%20Series.pdf</t>
  </si>
  <si>
    <t>C964103</t>
  </si>
  <si>
    <t>C964106</t>
  </si>
  <si>
    <t>C315717</t>
  </si>
  <si>
    <t>C964104</t>
  </si>
  <si>
    <t>C964105</t>
  </si>
  <si>
    <t>C315716</t>
  </si>
  <si>
    <t>C315718</t>
  </si>
  <si>
    <t>2016 metric</t>
  </si>
  <si>
    <t>Texas Instruments</t>
  </si>
  <si>
    <t>C919459</t>
  </si>
  <si>
    <t>3.7-A Boost Converter with 0.5-V Ultra-low Input Voltage</t>
  </si>
  <si>
    <t>TPS61023</t>
  </si>
  <si>
    <t>296-TPS61023DRLRTR-ND</t>
  </si>
  <si>
    <t>https://www.ti.com/lit/ds/symlink/tps61023.pdf</t>
  </si>
  <si>
    <t>SOT563</t>
  </si>
  <si>
    <t>ZD8028IB5TR</t>
  </si>
  <si>
    <t>C2928932</t>
  </si>
  <si>
    <t>Zetta</t>
  </si>
  <si>
    <t>ZD8028C</t>
  </si>
  <si>
    <t>1.5A 2MHz 5.5V Synchronous Buck Converter</t>
  </si>
  <si>
    <t>GRM21BZ71A226ME15L</t>
  </si>
  <si>
    <t>490-GRM21BZ71A226ME15LCT-ND</t>
  </si>
  <si>
    <t>https://search.murata.co.jp/Ceramy/image/img/A01X/G101/ENG/GRM21BZ71A226ME15-01.pdf</t>
  </si>
  <si>
    <t>490-GRM21BZ70J226ME44LCT-ND</t>
  </si>
  <si>
    <t>GRM21BZ70J226ME44L</t>
  </si>
  <si>
    <t>22uF</t>
  </si>
  <si>
    <t>CAP SM 0805 22uF 6.3V X7R</t>
  </si>
  <si>
    <t>22U/0805/6.3V/X7R</t>
  </si>
  <si>
    <t>SCH/L_ANSI.SchLib</t>
  </si>
  <si>
    <t>732K/0603</t>
  </si>
  <si>
    <t xml:space="preserve">RES SM 0603 732K </t>
  </si>
  <si>
    <t>732K</t>
  </si>
  <si>
    <t>311-732KHRCT-ND</t>
  </si>
  <si>
    <t>RC0603FR-07732KL</t>
  </si>
  <si>
    <t xml:space="preserve">RES SM 0603 4502K </t>
  </si>
  <si>
    <t>CR0603-FX-4993ELFCT-ND</t>
  </si>
  <si>
    <t>CR0603-FX-4993ELF</t>
  </si>
  <si>
    <t>Bourns Inc.</t>
  </si>
  <si>
    <t>https://www.bourns.com/docs/product-datasheets/cr.pdf?sfvrsn=574d41f6_14</t>
  </si>
  <si>
    <t>499K/0603</t>
  </si>
  <si>
    <t>499K</t>
  </si>
  <si>
    <t>C916396</t>
  </si>
  <si>
    <t>2N7002</t>
  </si>
  <si>
    <t>60V 115mA 1.2Ω@10V,500mA 200mW 2.1V@250uA N Channel SOT-23 MOSFETs</t>
  </si>
  <si>
    <t>SOT23-5</t>
  </si>
  <si>
    <t>AS2302</t>
  </si>
  <si>
    <t>N-Channel 20V(D-S) MOSFET</t>
  </si>
  <si>
    <t>4530-AS2302CT-ND</t>
  </si>
  <si>
    <t>AnBon</t>
  </si>
  <si>
    <t>C232266</t>
  </si>
  <si>
    <t>LCSC</t>
  </si>
  <si>
    <t>470NH/2520</t>
  </si>
  <si>
    <t>680NH/2520</t>
  </si>
  <si>
    <t>1UH/2520</t>
  </si>
  <si>
    <t>240NH/2016</t>
  </si>
  <si>
    <t>330NH/2016</t>
  </si>
  <si>
    <t>470NH/2016</t>
  </si>
  <si>
    <t>680NH/2016</t>
  </si>
  <si>
    <t>1UH/2016</t>
  </si>
  <si>
    <t>0.47UH 2520 Shielded Inductor SMD</t>
  </si>
  <si>
    <t>0.68UH 2520 Shielded Inductor SMD</t>
  </si>
  <si>
    <t>1UH 2520 Shielded Inductor SMD</t>
  </si>
  <si>
    <t>1.5UH 2520 Shielded Inductor SMD</t>
  </si>
  <si>
    <t>2.2UH 2520 Shielded Inductor SMD</t>
  </si>
  <si>
    <t>4.7UH 2520 Shielded Inductor SMD</t>
  </si>
  <si>
    <t>240NH 2016 Shielded Inductor SMD</t>
  </si>
  <si>
    <t>330NH 2016 Shielded Inductor SMD</t>
  </si>
  <si>
    <t>470NH 2016 Shielded Inductor SMD</t>
  </si>
  <si>
    <t>680NH 2016 Shielded Inductor SMD</t>
  </si>
  <si>
    <t>1UH 2016 Shielded Inductor SMD</t>
  </si>
  <si>
    <t>1.5UH 2016 Shielded Inductor SMD</t>
  </si>
  <si>
    <t>2.2UH 2016 Shielded Inductor SMD</t>
  </si>
  <si>
    <t>470NH</t>
  </si>
  <si>
    <t>680NH</t>
  </si>
  <si>
    <t>1UH</t>
  </si>
  <si>
    <t>1.5UH</t>
  </si>
  <si>
    <t>2.2UH</t>
  </si>
  <si>
    <t>330NH</t>
  </si>
  <si>
    <t>240NH</t>
  </si>
  <si>
    <t>4.7UH</t>
  </si>
  <si>
    <t xml:space="preserve">CAP SM 0603 1.0uF 10V X7R </t>
  </si>
  <si>
    <t>0603B105K100NT</t>
  </si>
  <si>
    <t>C167338</t>
  </si>
  <si>
    <t>FH (Guangdong Fenghua Advanced Tech)</t>
  </si>
  <si>
    <t>Manufacturer 3</t>
  </si>
  <si>
    <t>Manufacturer Part Number 3</t>
  </si>
  <si>
    <t>Supplier 3</t>
  </si>
  <si>
    <t>Supplier Part Number 3</t>
  </si>
  <si>
    <t>MDD（Microdiode Electronics）</t>
  </si>
  <si>
    <t>C193402</t>
  </si>
  <si>
    <t>MMBT4403LT1G</t>
  </si>
  <si>
    <t>Switching Transistor PNP Silicon</t>
  </si>
  <si>
    <t>https://www.onsemi.com/pdf/datasheet/mmbt4403lt1-d.pdf</t>
  </si>
  <si>
    <t>ONSEMI</t>
  </si>
  <si>
    <t>C78864</t>
  </si>
  <si>
    <t>ON SEMI</t>
  </si>
  <si>
    <t>MMBT4403L</t>
  </si>
  <si>
    <t>PEM M3, 2mm</t>
  </si>
  <si>
    <t>https://datasheet.lcsc.com/lcsc/2202131930_MSKSEMI-SS24-MS_C2836395.pdf</t>
  </si>
  <si>
    <t>https://datasheet.lcsc.com/lcsc/1912111437_PUOLOP-DW01A_C351410.pdf</t>
  </si>
  <si>
    <t>https://datasheet.lcsc.com/lcsc/2308080947_MSKSEMI-TP4056-MS_C7473158.pdf</t>
  </si>
  <si>
    <t>https://datasheet.lcsc.com/lcsc/2401050929_JSMSEMI-8205S_C2762930.pdf</t>
  </si>
  <si>
    <t>https://datasheet.lcsc.com/lcsc/1810231212_Worldsemi-WS2813E_C160214.pdf</t>
  </si>
  <si>
    <t>https://datasheet.lcsc.com/lcsc/2012110135_Worldsemi-WS2813B-V5_C965558.pdf</t>
  </si>
  <si>
    <t>https://datasheet.lcsc.com/lcsc/2310251544_Worldsemi-WS2813B-MINI-V1_C2832664.pdf</t>
  </si>
  <si>
    <t>https://datasheet.lcsc.com/lcsc/2206131216_Worldsemi-WS2812B-V5-W_C2874885.pdf</t>
  </si>
  <si>
    <t>https://datasheet.lcsc.com/lcsc/2111171930_Worldsemi-WS2812E-V5_C2920042.pdf</t>
  </si>
  <si>
    <t>https://datasheet.lcsc.com/lcsc/2005251033_Worldsemi-WS2812B-Mini_C527089.pdf</t>
  </si>
  <si>
    <t>https://datasheet.lcsc.com/lcsc/1811061532_UTC-Unisonic-Tech-UHE4913G-AE3-R_C86815.pdf</t>
  </si>
  <si>
    <t>https://datasheet.lcsc.com/lcsc/2212101330_XINLUDA-XL555_C521186.pdf</t>
  </si>
  <si>
    <t>https://datasheet.lcsc.com/lcsc/2009171007_HUASHUO-HSS2302B_C518782.pdf</t>
  </si>
  <si>
    <t>https://datasheet.lcsc.com/lcsc/2306211455_HL-3415_C7431444.pdf</t>
  </si>
  <si>
    <t>https://datasheet.lcsc.com/lcsc/2203221830_Zetta-ZD8028IB5TR_C2928932.pdf</t>
  </si>
  <si>
    <t>https://datasheet.lcsc.com/lcsc/1809211431_AnBon-AS2302_C232266.pdf</t>
  </si>
  <si>
    <t>PCB/Header_254.PcbLib</t>
  </si>
  <si>
    <t>HEAD_254_2X4</t>
  </si>
  <si>
    <t>WS2813B-B</t>
  </si>
  <si>
    <t>WS2813_NC</t>
  </si>
  <si>
    <t>WS2813_BO</t>
  </si>
  <si>
    <t>WS2813_VCC</t>
  </si>
  <si>
    <t>https://datasheet.lcsc.com/lcsc/1809261040_Worldsemi-WS2813B-B_C114592.pdf</t>
  </si>
  <si>
    <t>C114592</t>
  </si>
  <si>
    <t>AO3400A</t>
  </si>
  <si>
    <t>30V N-Channel MOSFET</t>
  </si>
  <si>
    <t>Alpha &amp; Omega Semiconductor</t>
  </si>
  <si>
    <t>https://aosmd.com/res/data_sheets/AO3400A.pdf</t>
  </si>
  <si>
    <t>C20917</t>
  </si>
  <si>
    <t>C131676</t>
  </si>
  <si>
    <t>1801-SS24CT-ND</t>
  </si>
  <si>
    <t>Taiwan Semiconductor Corporation</t>
  </si>
  <si>
    <t>1801-SS26CT-ND</t>
  </si>
  <si>
    <t>LED Red 0603</t>
  </si>
  <si>
    <t>LED Blue 0603</t>
  </si>
  <si>
    <t>LED Green 0603</t>
  </si>
  <si>
    <t>LED Yellow 0603</t>
  </si>
  <si>
    <t>LED White 0603</t>
  </si>
  <si>
    <t>Generic LED Red 0603</t>
  </si>
  <si>
    <t>Generic LED Blue 0603</t>
  </si>
  <si>
    <t>Generic LED Green 0603</t>
  </si>
  <si>
    <t>Generic LED Yellow 0603</t>
  </si>
  <si>
    <t>Generic LED White 0603</t>
  </si>
  <si>
    <t>LED Red 0805</t>
  </si>
  <si>
    <t>LED Blue 0805</t>
  </si>
  <si>
    <t>LED Green 0805</t>
  </si>
  <si>
    <t>LED Yellow 0805</t>
  </si>
  <si>
    <t>LED White 0805</t>
  </si>
  <si>
    <t>Generic LED Red 0805</t>
  </si>
  <si>
    <t>Generic LED Blue 0805</t>
  </si>
  <si>
    <t>Generic LED Green 0805</t>
  </si>
  <si>
    <t>Generic LED White 0805</t>
  </si>
  <si>
    <t>Generic LED Yellow 0805</t>
  </si>
  <si>
    <t>LED0805_RED</t>
  </si>
  <si>
    <t>LED0805_BLUE</t>
  </si>
  <si>
    <t>LED0805_GREEN</t>
  </si>
  <si>
    <t>LED0805_YELLOW</t>
  </si>
  <si>
    <t>LED0805_WHITE</t>
  </si>
  <si>
    <t>150080BS75000</t>
  </si>
  <si>
    <t>150080RS75000</t>
  </si>
  <si>
    <t>150080GS75000</t>
  </si>
  <si>
    <t>150080YS75000</t>
  </si>
  <si>
    <t>732-4982-1-ND</t>
  </si>
  <si>
    <t>732-4984-1-ND</t>
  </si>
  <si>
    <t>732-4983-1-ND</t>
  </si>
  <si>
    <t>732-4987-1-ND</t>
  </si>
  <si>
    <t>3147-B1701TW--20P000314U1930CT-ND</t>
  </si>
  <si>
    <t>B1701TW--20P000314U1930</t>
  </si>
  <si>
    <t>Harvatek Corporation</t>
  </si>
  <si>
    <t>C84256</t>
  </si>
  <si>
    <t>NCD0805R1</t>
  </si>
  <si>
    <t>Foshan NationStar Optoelectronics</t>
  </si>
  <si>
    <t>C2296</t>
  </si>
  <si>
    <t>KT-0805Y</t>
  </si>
  <si>
    <t>Hubei KENTO Elec</t>
  </si>
  <si>
    <t>KT-0805G</t>
  </si>
  <si>
    <t>C2297</t>
  </si>
  <si>
    <t>KT-0805W</t>
  </si>
  <si>
    <t>C34499</t>
  </si>
  <si>
    <t>C5906651</t>
  </si>
  <si>
    <t>Dialight</t>
  </si>
  <si>
    <t>5973605607F</t>
  </si>
  <si>
    <t>KT-0603R</t>
  </si>
  <si>
    <t>C2286</t>
  </si>
  <si>
    <t>19-217/BHC-ZL1M2RY/3T</t>
  </si>
  <si>
    <t>Everlight Elec</t>
  </si>
  <si>
    <t>C72041</t>
  </si>
  <si>
    <t>19-217/GHC-YR1S2/3T</t>
  </si>
  <si>
    <t>C72043</t>
  </si>
  <si>
    <t>KT-0603W</t>
  </si>
  <si>
    <t>C2290</t>
  </si>
  <si>
    <t>19-213/Y2C-CQ2R2L/3T(CY)</t>
  </si>
  <si>
    <t>C72038</t>
  </si>
  <si>
    <t>1N5819WS</t>
  </si>
  <si>
    <t>40V 600mV@1A 1A SOD-323 Schottky Barrier Diodes (SBD) ROHS</t>
  </si>
  <si>
    <t>SOD323</t>
  </si>
  <si>
    <t>https://datasheet.lcsc.com/lcsc/2204281430_Guangdong-Hottech-1N5819WS_C191023.pdf</t>
  </si>
  <si>
    <t>Guangdong Hottech</t>
  </si>
  <si>
    <t>C191023</t>
  </si>
  <si>
    <t>P6SMB6.8CA</t>
  </si>
  <si>
    <t>10.5V 6.45V 5.8V SMB(DO-214AA) TVS</t>
  </si>
  <si>
    <t>DO-214AA</t>
  </si>
  <si>
    <t>6.8V</t>
  </si>
  <si>
    <t>https://datasheet.lcsc.com/lcsc/1810181007_Brightking-P6SMB6-8CA-TR13_C78395.pdf</t>
  </si>
  <si>
    <t>C78395</t>
  </si>
  <si>
    <t>Brightking</t>
  </si>
  <si>
    <t>P6SMB6.8CA/TR13</t>
  </si>
  <si>
    <t>SS34</t>
  </si>
  <si>
    <t>Si Shottky Diode 3A DO-214AC</t>
  </si>
  <si>
    <t>https://datasheet.lcsc.com/lcsc/2303141100_MDD-Microdiode-Electronics--SS34_C8678.pdf</t>
  </si>
  <si>
    <t>MDD</t>
  </si>
  <si>
    <t>C8678</t>
  </si>
  <si>
    <t>B5819W SL</t>
  </si>
  <si>
    <t>40V 600mV@1A 1A SOD-123 Schottky Barrier Diodes</t>
  </si>
  <si>
    <t>SOD-123</t>
  </si>
  <si>
    <t>SOD2513X100</t>
  </si>
  <si>
    <t>SOD3718X125</t>
  </si>
  <si>
    <t>https://datasheet.lcsc.com/lcsc/2304140030_Jiangsu-Changjing-Electronics-Technology-Co---Ltd--B5819W-SL_C8598.pdf</t>
  </si>
  <si>
    <t>C8598</t>
  </si>
  <si>
    <t>JLC Type</t>
  </si>
  <si>
    <t>Extended</t>
  </si>
  <si>
    <t>Basic</t>
  </si>
  <si>
    <t>UNI-ROYAL(Uniroyal Elec)</t>
  </si>
  <si>
    <t>0603WAF0000T5E</t>
  </si>
  <si>
    <t>C21189</t>
  </si>
  <si>
    <t>0603WAF1001T5E</t>
  </si>
  <si>
    <t>C21190</t>
  </si>
  <si>
    <t>0603WAF1002T5E</t>
  </si>
  <si>
    <t>C25804</t>
  </si>
  <si>
    <t>0603WAF1004T5E</t>
  </si>
  <si>
    <t>C22935</t>
  </si>
  <si>
    <t>0603WAF2001T5E</t>
  </si>
  <si>
    <t>C22975</t>
  </si>
  <si>
    <t>0603WAF5101T5E</t>
  </si>
  <si>
    <t>C23186</t>
  </si>
  <si>
    <t>0603WAF1005T5E</t>
  </si>
  <si>
    <t>C7250</t>
  </si>
  <si>
    <t>0603WAF1503T5E</t>
  </si>
  <si>
    <t>C22807</t>
  </si>
  <si>
    <t>0603WAF2200T5E</t>
  </si>
  <si>
    <t>C22962</t>
  </si>
  <si>
    <t>0603WAF3300T5E</t>
  </si>
  <si>
    <t>C23138</t>
  </si>
  <si>
    <t>0603WAF1003T5E</t>
  </si>
  <si>
    <t>C25803</t>
  </si>
  <si>
    <t>0603WAF1501T5E</t>
  </si>
  <si>
    <t>C22843</t>
  </si>
  <si>
    <t>0603WAF2700T5E</t>
  </si>
  <si>
    <t>C22966</t>
  </si>
  <si>
    <t>0805W8F100KT5E</t>
  </si>
  <si>
    <t>C25271</t>
  </si>
  <si>
    <t>0603WAF4702T5E</t>
  </si>
  <si>
    <t>C25819</t>
  </si>
  <si>
    <t>0603WAF200JT5E</t>
  </si>
  <si>
    <t>C22950</t>
  </si>
  <si>
    <t>C351410</t>
  </si>
  <si>
    <t>0603B471K500NT</t>
  </si>
  <si>
    <t>C1620</t>
  </si>
  <si>
    <t>CAP SM 0603 1.0uF 50V X5R</t>
  </si>
  <si>
    <t>CL10A105KB8NNNC</t>
  </si>
  <si>
    <t>C15849</t>
  </si>
  <si>
    <t>C14663</t>
  </si>
  <si>
    <t>10U/0805/50V/X5R</t>
  </si>
  <si>
    <t>CAP SM 0805 10uF 50V X5R</t>
  </si>
  <si>
    <t>Murata Electronics</t>
  </si>
  <si>
    <t>GRM21BR61H106KE43L</t>
  </si>
  <si>
    <t>C440198</t>
  </si>
  <si>
    <t>22U/0805/25V/X5R</t>
  </si>
  <si>
    <t>CAP SM 0805 22uF 25V X5R</t>
  </si>
  <si>
    <t>CL21A226MAQNNNE</t>
  </si>
  <si>
    <t>C45783</t>
  </si>
  <si>
    <t>0603WAF2203T5E</t>
  </si>
  <si>
    <t>C22961</t>
  </si>
  <si>
    <t>0603WAF1302T5E</t>
  </si>
  <si>
    <t>C22797</t>
  </si>
  <si>
    <t>0603WAF2202T5E</t>
  </si>
  <si>
    <t>C31850</t>
  </si>
  <si>
    <t>WS2813C</t>
  </si>
  <si>
    <t>https://datasheet.lcsc.com/lcsc/1809291530_Worldsemi-WS2813C_C194323.pdf</t>
  </si>
  <si>
    <t>C194323</t>
  </si>
  <si>
    <t>0603WAF4701T5E</t>
  </si>
  <si>
    <t>C23162</t>
  </si>
  <si>
    <t>SOT2395P280X125-6-NW</t>
  </si>
  <si>
    <t>LEDM3535X095-6-NW</t>
  </si>
  <si>
    <t>LEDM5050X157-4-NW</t>
  </si>
  <si>
    <t>LEDM3535X195-4-NW</t>
  </si>
  <si>
    <t>SOP127P600X155-8-NW</t>
  </si>
  <si>
    <t>SOP127P600X155-8-SW</t>
  </si>
  <si>
    <t>SOT65P210X95-6-SE</t>
  </si>
  <si>
    <t>SOP127P600X155-14-SW</t>
  </si>
  <si>
    <t>SOP127P600X155-16-SW</t>
  </si>
  <si>
    <t>SOT2395P280X125-3-SE</t>
  </si>
  <si>
    <t>SOT2395P280X125-5-SW</t>
  </si>
  <si>
    <t>SOT50P160X60-6-SE</t>
  </si>
  <si>
    <t>SOT2395P280X125-6-SW</t>
  </si>
  <si>
    <t>LEDM5050X165-6-SE</t>
  </si>
  <si>
    <t>ESP-12F</t>
  </si>
  <si>
    <t>ESP8266 based Module with 4MByte Storage</t>
  </si>
  <si>
    <t>ESP-12F(ESP8266MOD)</t>
  </si>
  <si>
    <t>C82891</t>
  </si>
  <si>
    <t>BAT-21700-NC</t>
  </si>
  <si>
    <t>BAT-18650-NC</t>
  </si>
  <si>
    <t>18650 Battery cell for FSCH nightcone project</t>
  </si>
  <si>
    <t>BAT_18650_NightCone</t>
  </si>
  <si>
    <t>BAT_21700_NightCone</t>
  </si>
  <si>
    <t>21700 Battery cell for FSCH nightcone project</t>
  </si>
  <si>
    <t>LEDM5050X165-6-NE</t>
  </si>
  <si>
    <t>Walsin Tech Corp</t>
  </si>
  <si>
    <t xml:space="preserve">MT18N471J500CT </t>
  </si>
  <si>
    <t>c458969</t>
  </si>
  <si>
    <t>SCH/C_IEC.SchLib</t>
  </si>
  <si>
    <t>SCH/C_ANSI.SchLib</t>
  </si>
  <si>
    <t>1R/0402</t>
  </si>
  <si>
    <t xml:space="preserve">RES SM 0402 1R </t>
  </si>
  <si>
    <t>R0402-0.35-WW</t>
  </si>
  <si>
    <t>RC0402FR-131RL</t>
  </si>
  <si>
    <t>13-RC0402FR-131RLCT-ND</t>
  </si>
  <si>
    <t>RC0402FR-071RL</t>
  </si>
  <si>
    <t>311-1.00LRCT-ND</t>
  </si>
  <si>
    <t>1R1/0402</t>
  </si>
  <si>
    <t xml:space="preserve">RES SM 0402 1R1 </t>
  </si>
  <si>
    <t>RC0402FR-071R1L</t>
  </si>
  <si>
    <t>13-RC0402FR-071R1LCT-ND</t>
  </si>
  <si>
    <t>1R2/0402</t>
  </si>
  <si>
    <t xml:space="preserve">RES SM 0402 1R2 </t>
  </si>
  <si>
    <t>RC0402FR-071R2L</t>
  </si>
  <si>
    <t>13-RC0402FR-071R2LCT-ND</t>
  </si>
  <si>
    <t>RC0402FR-7W1R2L</t>
  </si>
  <si>
    <t>13-RC0402FR-7W1R2LCT-ND</t>
  </si>
  <si>
    <t>1R3/0402</t>
  </si>
  <si>
    <t xml:space="preserve">RES SM 0402 1R3 </t>
  </si>
  <si>
    <t>RC0402FR-071R3L</t>
  </si>
  <si>
    <t>13-RC0402FR-071R3LCT-ND</t>
  </si>
  <si>
    <t>1R5/0402</t>
  </si>
  <si>
    <t xml:space="preserve">RES SM 0402 1R5 </t>
  </si>
  <si>
    <t>RC0402FR-071R5L</t>
  </si>
  <si>
    <t>311-1.50LRCT-ND</t>
  </si>
  <si>
    <t>1R6/0402</t>
  </si>
  <si>
    <t xml:space="preserve">RES SM 0402 1R6 </t>
  </si>
  <si>
    <t>RC0402FR-071R6L</t>
  </si>
  <si>
    <t>13-RC0402FR-071R6LCT-ND</t>
  </si>
  <si>
    <t>1R8/0402</t>
  </si>
  <si>
    <t xml:space="preserve">RES SM 0402 1R8 </t>
  </si>
  <si>
    <t>RC0402FR-071R8L</t>
  </si>
  <si>
    <t>13-RC0402FR-071R8LCT-ND</t>
  </si>
  <si>
    <t>2R/0402</t>
  </si>
  <si>
    <t xml:space="preserve">RES SM 0402 2R </t>
  </si>
  <si>
    <t>RC0402FR-072RL</t>
  </si>
  <si>
    <t>YAG3369CT-ND</t>
  </si>
  <si>
    <t>2R2/0402</t>
  </si>
  <si>
    <t xml:space="preserve">RES SM 0402 2R2 </t>
  </si>
  <si>
    <t>RC0402FR-132R2L</t>
  </si>
  <si>
    <t>13-RC0402FR-132R2LCT-ND</t>
  </si>
  <si>
    <t>RC0402FR-072R2L</t>
  </si>
  <si>
    <t>311-2.20LRCT-ND</t>
  </si>
  <si>
    <t>2R4/0402</t>
  </si>
  <si>
    <t xml:space="preserve">RES SM 0402 2R4 </t>
  </si>
  <si>
    <t>RC0402FR-072R4L</t>
  </si>
  <si>
    <t>13-RC0402FR-072R4LCT-ND</t>
  </si>
  <si>
    <t>2R7/0402</t>
  </si>
  <si>
    <t xml:space="preserve">RES SM 0402 2R7 </t>
  </si>
  <si>
    <t>RC0402FR-072R7L</t>
  </si>
  <si>
    <t>13-RC0402FR-072R7LCT-ND</t>
  </si>
  <si>
    <t>RC0402FR-7W2R7L</t>
  </si>
  <si>
    <t>13-RC0402FR-7W2R7LCT-ND</t>
  </si>
  <si>
    <t>3R/0402</t>
  </si>
  <si>
    <t xml:space="preserve">RES SM 0402 3R </t>
  </si>
  <si>
    <t>RC0402FR-133RL</t>
  </si>
  <si>
    <t>13-RC0402FR-133RLCT-ND</t>
  </si>
  <si>
    <t>RC0402FR-073RL</t>
  </si>
  <si>
    <t>13-RC0402FR-073RLCT-ND</t>
  </si>
  <si>
    <t>3R3/0402</t>
  </si>
  <si>
    <t xml:space="preserve">RES SM 0402 3R3 </t>
  </si>
  <si>
    <t>RC0402FR-133R3L</t>
  </si>
  <si>
    <t>13-RC0402FR-133R3LCT-ND</t>
  </si>
  <si>
    <t>RC0402FR-073R3L</t>
  </si>
  <si>
    <t>311-3.30LRCT-ND</t>
  </si>
  <si>
    <t>3R6/0402</t>
  </si>
  <si>
    <t xml:space="preserve">RES SM 0402 3R6 </t>
  </si>
  <si>
    <t>RC0402FR-073R6L</t>
  </si>
  <si>
    <t>13-RC0402FR-073R6LCT-ND</t>
  </si>
  <si>
    <t>3R9/0402</t>
  </si>
  <si>
    <t xml:space="preserve">RES SM 0402 3R9 </t>
  </si>
  <si>
    <t>RC0402FR-073R9L</t>
  </si>
  <si>
    <t>13-RC0402FR-073R9LCT-ND</t>
  </si>
  <si>
    <t>4R3/0402</t>
  </si>
  <si>
    <t xml:space="preserve">RES SM 0402 4R3 </t>
  </si>
  <si>
    <t>RC0402FR-074R3L</t>
  </si>
  <si>
    <t>13-RC0402FR-074R3LCT-ND</t>
  </si>
  <si>
    <t>4R7/0402</t>
  </si>
  <si>
    <t xml:space="preserve">RES SM 0402 4R7 </t>
  </si>
  <si>
    <t>RC0402FR-134R7L</t>
  </si>
  <si>
    <t>13-RC0402FR-134R7LCT-ND</t>
  </si>
  <si>
    <t>RC0402FR-074R7L</t>
  </si>
  <si>
    <t>311-4.70LRCT-ND</t>
  </si>
  <si>
    <t>5R1/0402</t>
  </si>
  <si>
    <t xml:space="preserve">RES SM 0402 5R1 </t>
  </si>
  <si>
    <t>RC0402FR-075R1L</t>
  </si>
  <si>
    <t>YAG3370CT-ND</t>
  </si>
  <si>
    <t>5R6/0402</t>
  </si>
  <si>
    <t xml:space="preserve">RES SM 0402 5R6 </t>
  </si>
  <si>
    <t>RC0402FR-075R6L</t>
  </si>
  <si>
    <t>13-RC0402FR-075R6LCT-ND</t>
  </si>
  <si>
    <t>6R2/0402</t>
  </si>
  <si>
    <t xml:space="preserve">RES SM 0402 6R2 </t>
  </si>
  <si>
    <t>RC0402FR-076R2L</t>
  </si>
  <si>
    <t>13-RC0402FR-076R2LCT-ND</t>
  </si>
  <si>
    <t>6R8/0402</t>
  </si>
  <si>
    <t xml:space="preserve">RES SM 0402 6R8 </t>
  </si>
  <si>
    <t>RC0402FR-076R8L</t>
  </si>
  <si>
    <t>13-RC0402FR-076R8LCT-ND</t>
  </si>
  <si>
    <t>7R5/0402</t>
  </si>
  <si>
    <t xml:space="preserve">RES SM 0402 7R5 </t>
  </si>
  <si>
    <t>RC0402FR-077R5L</t>
  </si>
  <si>
    <t>13-RC0402FR-077R5LCT-ND</t>
  </si>
  <si>
    <t>8R2/0402</t>
  </si>
  <si>
    <t xml:space="preserve">RES SM 0402 8R2 </t>
  </si>
  <si>
    <t>RC0402FR-078R2L</t>
  </si>
  <si>
    <t>13-RC0402FR-078R2LCT-ND</t>
  </si>
  <si>
    <t>9R1/0402</t>
  </si>
  <si>
    <t xml:space="preserve">RES SM 0402 9R1 </t>
  </si>
  <si>
    <t>RC0402FR-079R1L</t>
  </si>
  <si>
    <t>13-RC0402FR-079R1LCT-ND</t>
  </si>
  <si>
    <t>10R/0402</t>
  </si>
  <si>
    <t xml:space="preserve">RES SM 0402 10R </t>
  </si>
  <si>
    <t>RC0402FR-1310RL</t>
  </si>
  <si>
    <t>13-RC0402FR-1310RLCT-ND</t>
  </si>
  <si>
    <t>RC0402FR-1010RL</t>
  </si>
  <si>
    <t>13-RC0402FR-1010RLCT-ND</t>
  </si>
  <si>
    <t>11R/0402</t>
  </si>
  <si>
    <t xml:space="preserve">RES SM 0402 11R </t>
  </si>
  <si>
    <t>RC0402FR-0711RL</t>
  </si>
  <si>
    <t>YAG2962CT-ND</t>
  </si>
  <si>
    <t>12R/0402</t>
  </si>
  <si>
    <t xml:space="preserve">RES SM 0402 12R </t>
  </si>
  <si>
    <t>RC0402FR-1312RL</t>
  </si>
  <si>
    <t>13-RC0402FR-1312RLCT-ND</t>
  </si>
  <si>
    <t>RC0402FR-0712RL</t>
  </si>
  <si>
    <t>YAG2968CT-ND</t>
  </si>
  <si>
    <t>13R/0402</t>
  </si>
  <si>
    <t xml:space="preserve">RES SM 0402 13R </t>
  </si>
  <si>
    <t>RC0402FR-0713RL</t>
  </si>
  <si>
    <t>YAG2977CT-ND</t>
  </si>
  <si>
    <t>15R/0402</t>
  </si>
  <si>
    <t xml:space="preserve">RES SM 0402 15R </t>
  </si>
  <si>
    <t>RC0402FR-1315RL</t>
  </si>
  <si>
    <t>13-RC0402FR-1315RLCT-ND</t>
  </si>
  <si>
    <t>RC0402FR-0715RL</t>
  </si>
  <si>
    <t>311-15LRCT-ND</t>
  </si>
  <si>
    <t>16R/0402</t>
  </si>
  <si>
    <t xml:space="preserve">RES SM 0402 16R </t>
  </si>
  <si>
    <t>RC0402FR-0716RL</t>
  </si>
  <si>
    <t>YAG3007CT-ND</t>
  </si>
  <si>
    <t>18R/0402</t>
  </si>
  <si>
    <t xml:space="preserve">RES SM 0402 18R </t>
  </si>
  <si>
    <t>RC0402FR-1318RL</t>
  </si>
  <si>
    <t>13-RC0402FR-1318RLCT-ND</t>
  </si>
  <si>
    <t>RC0402FR-0718RL</t>
  </si>
  <si>
    <t>YAG3021CT-ND</t>
  </si>
  <si>
    <t>20R/0402</t>
  </si>
  <si>
    <t xml:space="preserve">RES SM 0402 20R </t>
  </si>
  <si>
    <t>RC0402FR-1320RL</t>
  </si>
  <si>
    <t>13-RC0402FR-1320RLCT-ND</t>
  </si>
  <si>
    <t>RC0402FR-0720RL</t>
  </si>
  <si>
    <t>311-20LRCT-ND</t>
  </si>
  <si>
    <t>22R/0402</t>
  </si>
  <si>
    <t xml:space="preserve">RES SM 0402 22R </t>
  </si>
  <si>
    <t>RC0402FR-1322RL</t>
  </si>
  <si>
    <t>13-RC0402FR-1322RLCT-ND</t>
  </si>
  <si>
    <t>RC0402FR-1022RL</t>
  </si>
  <si>
    <t>13-RC0402FR-1022RLCT-ND</t>
  </si>
  <si>
    <t>24R/0402</t>
  </si>
  <si>
    <t xml:space="preserve">RES SM 0402 24R </t>
  </si>
  <si>
    <t>RC0402FR-1324RL</t>
  </si>
  <si>
    <t>13-RC0402FR-1324RLCT-ND</t>
  </si>
  <si>
    <t>RC0402FR-0724RL</t>
  </si>
  <si>
    <t>YAG3073CT-ND</t>
  </si>
  <si>
    <t>27R/0402</t>
  </si>
  <si>
    <t xml:space="preserve">RES SM 0402 27R </t>
  </si>
  <si>
    <t>RC0402FR-1327RL</t>
  </si>
  <si>
    <t>13-RC0402FR-1327RLCT-ND</t>
  </si>
  <si>
    <t>RC0402FR-0727RL</t>
  </si>
  <si>
    <t>YAG3086CT-ND</t>
  </si>
  <si>
    <t>30R/0402</t>
  </si>
  <si>
    <t xml:space="preserve">RES SM 0402 30R </t>
  </si>
  <si>
    <t>RC0402FR-1330RL</t>
  </si>
  <si>
    <t>13-RC0402FR-1330RLCT-ND</t>
  </si>
  <si>
    <t>RC0402FR-0730RL</t>
  </si>
  <si>
    <t>311-30LRCT-ND</t>
  </si>
  <si>
    <t>33R/0402</t>
  </si>
  <si>
    <t xml:space="preserve">RES SM 0402 33R </t>
  </si>
  <si>
    <t>RC0402FR-1333RL</t>
  </si>
  <si>
    <t>13-RC0402FR-1333RLCT-ND</t>
  </si>
  <si>
    <t>RC0402FR-0733RL</t>
  </si>
  <si>
    <t>311-33.0LRCT-ND</t>
  </si>
  <si>
    <t>36R/0402</t>
  </si>
  <si>
    <t xml:space="preserve">RES SM 0402 36R </t>
  </si>
  <si>
    <t>RC0402FR-1336RL</t>
  </si>
  <si>
    <t>13-RC0402FR-1336RLCT-ND</t>
  </si>
  <si>
    <t>RC0402FR-0736RL</t>
  </si>
  <si>
    <t>311-36.0LRCT-ND</t>
  </si>
  <si>
    <t>39R/0402</t>
  </si>
  <si>
    <t xml:space="preserve">RES SM 0402 39R </t>
  </si>
  <si>
    <t>RC0402FR-1339RL</t>
  </si>
  <si>
    <t>13-RC0402FR-1339RLCT-ND</t>
  </si>
  <si>
    <t>RC0402FR-0739RL</t>
  </si>
  <si>
    <t>311-39.0LRCT-ND</t>
  </si>
  <si>
    <t>43R/0402</t>
  </si>
  <si>
    <t xml:space="preserve">RES SM 0402 43R </t>
  </si>
  <si>
    <t>RC0402FR-0743RL</t>
  </si>
  <si>
    <t>13-RC0402FR-0743RLCT-ND</t>
  </si>
  <si>
    <t>47R/0402</t>
  </si>
  <si>
    <t xml:space="preserve">RES SM 0402 47R </t>
  </si>
  <si>
    <t>RC0402FR-1347RL</t>
  </si>
  <si>
    <t>13-RC0402FR-1347RLCT-ND</t>
  </si>
  <si>
    <t>RC0402FR-0747RL</t>
  </si>
  <si>
    <t>311-47.0LRCT-ND</t>
  </si>
  <si>
    <t>51R/0402</t>
  </si>
  <si>
    <t xml:space="preserve">RES SM 0402 51R </t>
  </si>
  <si>
    <t>RC0402FR-1351RL</t>
  </si>
  <si>
    <t>13-RC0402FR-1351RLCT-ND</t>
  </si>
  <si>
    <t>RC0402FR-0751RL</t>
  </si>
  <si>
    <t>311-51.0LRCT-ND</t>
  </si>
  <si>
    <t>56R/0402</t>
  </si>
  <si>
    <t xml:space="preserve">RES SM 0402 56R </t>
  </si>
  <si>
    <t>RC0402FR-1356RL</t>
  </si>
  <si>
    <t>13-RC0402FR-1356RLCT-ND</t>
  </si>
  <si>
    <t>RC0402FR-0756RL</t>
  </si>
  <si>
    <t>311-56.0LRCT-ND</t>
  </si>
  <si>
    <t>62R/0402</t>
  </si>
  <si>
    <t xml:space="preserve">RES SM 0402 62R </t>
  </si>
  <si>
    <t>RC0402FR-1362RL</t>
  </si>
  <si>
    <t>13-RC0402FR-1362RLCT-ND</t>
  </si>
  <si>
    <t>RC0402FR-0762RL</t>
  </si>
  <si>
    <t>311-62.0LRCT-ND</t>
  </si>
  <si>
    <t>68R/0402</t>
  </si>
  <si>
    <t xml:space="preserve">RES SM 0402 68R </t>
  </si>
  <si>
    <t>RC0402FR-1368RL</t>
  </si>
  <si>
    <t>13-RC0402FR-1368RLCT-ND</t>
  </si>
  <si>
    <t>RC0402FR-0768RL</t>
  </si>
  <si>
    <t>311-68.0LRCT-ND</t>
  </si>
  <si>
    <t>75R/0402</t>
  </si>
  <si>
    <t xml:space="preserve">RES SM 0402 75R </t>
  </si>
  <si>
    <t>RC0402FR-1375RL</t>
  </si>
  <si>
    <t>13-RC0402FR-1375RLCT-ND</t>
  </si>
  <si>
    <t>RC0402FR-0775RL</t>
  </si>
  <si>
    <t>311-75.0LRCT-ND</t>
  </si>
  <si>
    <t>82R/0402</t>
  </si>
  <si>
    <t xml:space="preserve">RES SM 0402 82R </t>
  </si>
  <si>
    <t>RC0402FR-1382RL</t>
  </si>
  <si>
    <t>13-RC0402FR-1382RLCT-ND</t>
  </si>
  <si>
    <t>RC0402FR-0782RL</t>
  </si>
  <si>
    <t>311-82LRCT-ND</t>
  </si>
  <si>
    <t>91R/0402</t>
  </si>
  <si>
    <t xml:space="preserve">RES SM 0402 91R </t>
  </si>
  <si>
    <t>RC0402FR-1391RL</t>
  </si>
  <si>
    <t>13-RC0402FR-1391RLCT-ND</t>
  </si>
  <si>
    <t>RC0402FR-0791RL</t>
  </si>
  <si>
    <t>311-91LRCT-ND</t>
  </si>
  <si>
    <t>100R/0402</t>
  </si>
  <si>
    <t xml:space="preserve">RES SM 0402 100R </t>
  </si>
  <si>
    <t>RC0402FR-13100RL</t>
  </si>
  <si>
    <t>13-RC0402FR-13100RLCT-ND</t>
  </si>
  <si>
    <t>RC0402FR-10100RL</t>
  </si>
  <si>
    <t>13-RC0402FR-10100RLCT-ND</t>
  </si>
  <si>
    <t>110R/0402</t>
  </si>
  <si>
    <t xml:space="preserve">RES SM 0402 110R </t>
  </si>
  <si>
    <t>RC0402FR-13110RL</t>
  </si>
  <si>
    <t>13-RC0402FR-13110RLCT-ND</t>
  </si>
  <si>
    <t>RC0402FR-07110RL</t>
  </si>
  <si>
    <t>311-110LRCT-ND</t>
  </si>
  <si>
    <t>120R/0402</t>
  </si>
  <si>
    <t xml:space="preserve">RES SM 0402 120R </t>
  </si>
  <si>
    <t>RC0402FR-13120RL</t>
  </si>
  <si>
    <t>13-RC0402FR-13120RLCT-ND</t>
  </si>
  <si>
    <t>RC0402FR-07120RL</t>
  </si>
  <si>
    <t>311-120LRCT-ND</t>
  </si>
  <si>
    <t>130R/0402</t>
  </si>
  <si>
    <t xml:space="preserve">RES SM 0402 130R </t>
  </si>
  <si>
    <t>RC0402FR-13130RL</t>
  </si>
  <si>
    <t>13-RC0402FR-13130RLCT-ND</t>
  </si>
  <si>
    <t>RC0402FR-07130RL</t>
  </si>
  <si>
    <t>311-130LRCT-ND</t>
  </si>
  <si>
    <t>150R/0402</t>
  </si>
  <si>
    <t xml:space="preserve">RES SM 0402 150R </t>
  </si>
  <si>
    <t>RC0402FR-13150RL</t>
  </si>
  <si>
    <t>13-RC0402FR-13150RLCT-ND</t>
  </si>
  <si>
    <t>RC0402FR-07150RL</t>
  </si>
  <si>
    <t>311-150LRCT-ND</t>
  </si>
  <si>
    <t>160R/0402</t>
  </si>
  <si>
    <t xml:space="preserve">RES SM 0402 160R </t>
  </si>
  <si>
    <t>RC0402FR-13160RL</t>
  </si>
  <si>
    <t>13-RC0402FR-13160RLCT-ND</t>
  </si>
  <si>
    <t>RC0402FR-07160RL</t>
  </si>
  <si>
    <t>311-160LRCT-ND</t>
  </si>
  <si>
    <t>180R/0402</t>
  </si>
  <si>
    <t xml:space="preserve">RES SM 0402 180R </t>
  </si>
  <si>
    <t>RC0402FR-13180RL</t>
  </si>
  <si>
    <t>13-RC0402FR-13180RLCT-ND</t>
  </si>
  <si>
    <t>RC0402FR-07180RL</t>
  </si>
  <si>
    <t>311-180LRCT-ND</t>
  </si>
  <si>
    <t>200R/0402</t>
  </si>
  <si>
    <t xml:space="preserve">RES SM 0402 200R </t>
  </si>
  <si>
    <t>RC0402FR-13200RL</t>
  </si>
  <si>
    <t>13-RC0402FR-13200RLCT-ND</t>
  </si>
  <si>
    <t>RC0402FR-07200RL</t>
  </si>
  <si>
    <t>311-200LRCT-ND</t>
  </si>
  <si>
    <t>220R/0402</t>
  </si>
  <si>
    <t xml:space="preserve">RES SM 0402 220R </t>
  </si>
  <si>
    <t>RC0402FR-13220RL</t>
  </si>
  <si>
    <t>13-RC0402FR-13220RLCT-ND</t>
  </si>
  <si>
    <t>RC0402FR-07220RL</t>
  </si>
  <si>
    <t>311-220LRCT-ND</t>
  </si>
  <si>
    <t>240R/0402</t>
  </si>
  <si>
    <t xml:space="preserve">RES SM 0402 240R </t>
  </si>
  <si>
    <t>RC0402FR-13240RL</t>
  </si>
  <si>
    <t>13-RC0402FR-13240RLCT-ND</t>
  </si>
  <si>
    <t>RC0402FR-07240RL</t>
  </si>
  <si>
    <t>311-240LRCT-ND</t>
  </si>
  <si>
    <t>270R/0402</t>
  </si>
  <si>
    <t xml:space="preserve">RES SM 0402 270R </t>
  </si>
  <si>
    <t>RC0402FR-13270RL</t>
  </si>
  <si>
    <t>13-RC0402FR-13270RLCT-ND</t>
  </si>
  <si>
    <t>RC0402FR-07270RL</t>
  </si>
  <si>
    <t>311-270LRCT-ND</t>
  </si>
  <si>
    <t>300R/0402</t>
  </si>
  <si>
    <t xml:space="preserve">RES SM 0402 300R </t>
  </si>
  <si>
    <t>RC0402FR-13300RL</t>
  </si>
  <si>
    <t>13-RC0402FR-13300RLCT-ND</t>
  </si>
  <si>
    <t>RC0402FR-07300RL</t>
  </si>
  <si>
    <t>311-300LRCT-ND</t>
  </si>
  <si>
    <t>330R/0402</t>
  </si>
  <si>
    <t xml:space="preserve">RES SM 0402 330R </t>
  </si>
  <si>
    <t>RC0402FR-13330RL</t>
  </si>
  <si>
    <t>13-RC0402FR-13330RLCT-ND</t>
  </si>
  <si>
    <t>RC0402FR-10330RL</t>
  </si>
  <si>
    <t>13-RC0402FR-10330RLCT-ND</t>
  </si>
  <si>
    <t>360R/0402</t>
  </si>
  <si>
    <t xml:space="preserve">RES SM 0402 360R </t>
  </si>
  <si>
    <t>RC0402FR-13360RL</t>
  </si>
  <si>
    <t>13-RC0402FR-13360RLCT-ND</t>
  </si>
  <si>
    <t>RC0402FR-07360RL</t>
  </si>
  <si>
    <t>YAG3132CT-ND</t>
  </si>
  <si>
    <t>390R/0402</t>
  </si>
  <si>
    <t xml:space="preserve">RES SM 0402 390R </t>
  </si>
  <si>
    <t>RC0402FR-13390RL</t>
  </si>
  <si>
    <t>13-RC0402FR-13390RLCT-ND</t>
  </si>
  <si>
    <t>RC0402FR-07390RL</t>
  </si>
  <si>
    <t>311-390LRCT-ND</t>
  </si>
  <si>
    <t>430R/0402</t>
  </si>
  <si>
    <t xml:space="preserve">RES SM 0402 430R </t>
  </si>
  <si>
    <t>RC0402FR-13430RL</t>
  </si>
  <si>
    <t>13-RC0402FR-13430RLCT-ND</t>
  </si>
  <si>
    <t>RC0402FR-07430RL</t>
  </si>
  <si>
    <t>311-430LRCT-ND</t>
  </si>
  <si>
    <t>470R/0402</t>
  </si>
  <si>
    <t xml:space="preserve">RES SM 0402 470R </t>
  </si>
  <si>
    <t>RC0402FR-13470RL</t>
  </si>
  <si>
    <t>13-RC0402FR-13470RLCT-ND</t>
  </si>
  <si>
    <t>RC0402FR-07470RL</t>
  </si>
  <si>
    <t>311-470LRCT-ND</t>
  </si>
  <si>
    <t>510R/0402</t>
  </si>
  <si>
    <t xml:space="preserve">RES SM 0402 510R </t>
  </si>
  <si>
    <t>RC0402FR-13510RL</t>
  </si>
  <si>
    <t>13-RC0402FR-13510RLCT-ND</t>
  </si>
  <si>
    <t>RC0402FR-07510RL</t>
  </si>
  <si>
    <t>311-510LRCT-ND</t>
  </si>
  <si>
    <t>560R/0402</t>
  </si>
  <si>
    <t xml:space="preserve">RES SM 0402 560R </t>
  </si>
  <si>
    <t>RC0402FR-13560RL</t>
  </si>
  <si>
    <t>13-RC0402FR-13560RLCT-ND</t>
  </si>
  <si>
    <t>RC0402FR-07560RL</t>
  </si>
  <si>
    <t>311-560LRCT-ND</t>
  </si>
  <si>
    <t>620R/0402</t>
  </si>
  <si>
    <t xml:space="preserve">RES SM 0402 620R </t>
  </si>
  <si>
    <t>RC0402FR-13620RL</t>
  </si>
  <si>
    <t>13-RC0402FR-13620RLCT-ND</t>
  </si>
  <si>
    <t>RC0402FR-07620RL</t>
  </si>
  <si>
    <t>311-620LRCT-ND</t>
  </si>
  <si>
    <t>680R/0402</t>
  </si>
  <si>
    <t xml:space="preserve">RES SM 0402 680R </t>
  </si>
  <si>
    <t>RC0402FR-13680RL</t>
  </si>
  <si>
    <t>13-RC0402FR-13680RLCT-ND</t>
  </si>
  <si>
    <t>RC0402FR-07680RL</t>
  </si>
  <si>
    <t>311-680LRCT-ND</t>
  </si>
  <si>
    <t>750R/0402</t>
  </si>
  <si>
    <t xml:space="preserve">RES SM 0402 750R </t>
  </si>
  <si>
    <t>RC0402FR-13750RL</t>
  </si>
  <si>
    <t>13-RC0402FR-13750RLCT-ND</t>
  </si>
  <si>
    <t>RC0402FR-07750RL</t>
  </si>
  <si>
    <t>311-750LRCT-ND</t>
  </si>
  <si>
    <t>820R/0402</t>
  </si>
  <si>
    <t xml:space="preserve">RES SM 0402 820R </t>
  </si>
  <si>
    <t>RC0402FR-13820RL</t>
  </si>
  <si>
    <t>13-RC0402FR-13820RLCT-ND</t>
  </si>
  <si>
    <t>RC0402FR-07820RL</t>
  </si>
  <si>
    <t>311-820LRCT-ND</t>
  </si>
  <si>
    <t>910R/0402</t>
  </si>
  <si>
    <t xml:space="preserve">RES SM 0402 910R </t>
  </si>
  <si>
    <t>RC0402FR-13910RL</t>
  </si>
  <si>
    <t>13-RC0402FR-13910RLCT-ND</t>
  </si>
  <si>
    <t>RC0402FR-07910RL</t>
  </si>
  <si>
    <t>311-910LRCT-ND</t>
  </si>
  <si>
    <t>1K/0402</t>
  </si>
  <si>
    <t xml:space="preserve">RES SM 0402 1K </t>
  </si>
  <si>
    <t>RC0402FR-131KL</t>
  </si>
  <si>
    <t>13-RC0402FR-131KLCT-ND</t>
  </si>
  <si>
    <t>RC0402FR-101KL</t>
  </si>
  <si>
    <t>13-RC0402FR-101KLCT-ND</t>
  </si>
  <si>
    <t>1K1/0402</t>
  </si>
  <si>
    <t xml:space="preserve">RES SM 0402 1K1 </t>
  </si>
  <si>
    <t>RC0402FR-131K1L</t>
  </si>
  <si>
    <t>13-RC0402FR-131K1LCT-ND</t>
  </si>
  <si>
    <t>RC0402FR-071K1L</t>
  </si>
  <si>
    <t>311-1.10KLRCT-ND</t>
  </si>
  <si>
    <t>1K2/0402</t>
  </si>
  <si>
    <t xml:space="preserve">RES SM 0402 1K2 </t>
  </si>
  <si>
    <t>RC0402FR-131K2L</t>
  </si>
  <si>
    <t>13-RC0402FR-131K2LCT-ND</t>
  </si>
  <si>
    <t>RC0402FR-071K2L</t>
  </si>
  <si>
    <t>311-1.20KLRCT-ND</t>
  </si>
  <si>
    <t>1K3/0402</t>
  </si>
  <si>
    <t xml:space="preserve">RES SM 0402 1K3 </t>
  </si>
  <si>
    <t>RC0402FR-131K3L</t>
  </si>
  <si>
    <t>13-RC0402FR-131K3LCT-ND</t>
  </si>
  <si>
    <t>RC0402FR-071K3L</t>
  </si>
  <si>
    <t>YAG3036CT-ND</t>
  </si>
  <si>
    <t>1K5/0402</t>
  </si>
  <si>
    <t xml:space="preserve">RES SM 0402 1K5 </t>
  </si>
  <si>
    <t>RC0402FR-131K5L</t>
  </si>
  <si>
    <t>13-RC0402FR-131K5LCT-ND</t>
  </si>
  <si>
    <t>RC0402FR-071K5L</t>
  </si>
  <si>
    <t>311-1.50KLRCT-ND</t>
  </si>
  <si>
    <t>1K6/0402</t>
  </si>
  <si>
    <t xml:space="preserve">RES SM 0402 1K6 </t>
  </si>
  <si>
    <t>RC0402FR-131K6L</t>
  </si>
  <si>
    <t>13-RC0402FR-131K6LCT-ND</t>
  </si>
  <si>
    <t>RC0402FR-071K6L</t>
  </si>
  <si>
    <t>YAG3045CT-ND</t>
  </si>
  <si>
    <t>1K8/0402</t>
  </si>
  <si>
    <t xml:space="preserve">RES SM 0402 1K8 </t>
  </si>
  <si>
    <t>RC0402FR-131K8L</t>
  </si>
  <si>
    <t>13-RC0402FR-131K8LCT-ND</t>
  </si>
  <si>
    <t>RC0402FR-071K8L</t>
  </si>
  <si>
    <t>311-1.80KLRCT-ND</t>
  </si>
  <si>
    <t>2K/0402</t>
  </si>
  <si>
    <t xml:space="preserve">RES SM 0402 2K </t>
  </si>
  <si>
    <t>RC0402FR-132KL</t>
  </si>
  <si>
    <t>13-RC0402FR-132KLCT-ND</t>
  </si>
  <si>
    <t>RC0402FR-072KL</t>
  </si>
  <si>
    <t>311-2KLRCT-ND</t>
  </si>
  <si>
    <t>2K2/0402</t>
  </si>
  <si>
    <t xml:space="preserve">RES SM 0402 2K2 </t>
  </si>
  <si>
    <t>RC0402FR-132K2L</t>
  </si>
  <si>
    <t>13-RC0402FR-132K2LCT-ND</t>
  </si>
  <si>
    <t>RC0402FR-102K2L</t>
  </si>
  <si>
    <t>13-RC0402FR-102K2LCT-ND</t>
  </si>
  <si>
    <t>2K4/0402</t>
  </si>
  <si>
    <t xml:space="preserve">RES SM 0402 2K4 </t>
  </si>
  <si>
    <t>RC0402FR-132K4L</t>
  </si>
  <si>
    <t>13-RC0402FR-132K4LCT-ND</t>
  </si>
  <si>
    <t>RC0402FR-072K4L</t>
  </si>
  <si>
    <t>311-2.40KLRCT-ND</t>
  </si>
  <si>
    <t>2K7/0402</t>
  </si>
  <si>
    <t xml:space="preserve">RES SM 0402 2K7 </t>
  </si>
  <si>
    <t>RC0402FR-132K7L</t>
  </si>
  <si>
    <t>13-RC0402FR-132K7LCT-ND</t>
  </si>
  <si>
    <t>RC0402FR-072K7L</t>
  </si>
  <si>
    <t>311-2.70KLRCT-ND</t>
  </si>
  <si>
    <t>3K/0402</t>
  </si>
  <si>
    <t xml:space="preserve">RES SM 0402 3K </t>
  </si>
  <si>
    <t>RC0402FR-073KL</t>
  </si>
  <si>
    <t>311-3KLRCT-ND</t>
  </si>
  <si>
    <t>3K3/0402</t>
  </si>
  <si>
    <t xml:space="preserve">RES SM 0402 3K3 </t>
  </si>
  <si>
    <t>RC0402FR-133K3L</t>
  </si>
  <si>
    <t>13-RC0402FR-133K3LCT-ND</t>
  </si>
  <si>
    <t>RC0402FR-073K3L</t>
  </si>
  <si>
    <t>311-3.30KLRCT-ND</t>
  </si>
  <si>
    <t>3K6/0402</t>
  </si>
  <si>
    <t xml:space="preserve">RES SM 0402 3K6 </t>
  </si>
  <si>
    <t>RC0402FR-133K6L</t>
  </si>
  <si>
    <t>13-RC0402FR-133K6LCT-ND</t>
  </si>
  <si>
    <t>RC0402FR-073K6L</t>
  </si>
  <si>
    <t>311-3.6KLRCT-ND</t>
  </si>
  <si>
    <t>3K9/0402</t>
  </si>
  <si>
    <t xml:space="preserve">RES SM 0402 3K9 </t>
  </si>
  <si>
    <t>RC0402FR-133K9L</t>
  </si>
  <si>
    <t>13-RC0402FR-133K9LCT-ND</t>
  </si>
  <si>
    <t>RC0402FR-073K9L</t>
  </si>
  <si>
    <t>311-3.90KLRCT-ND</t>
  </si>
  <si>
    <t>4K3/0402</t>
  </si>
  <si>
    <t xml:space="preserve">RES SM 0402 4K3 </t>
  </si>
  <si>
    <t>RC0402FR-134K3L</t>
  </si>
  <si>
    <t>13-RC0402FR-134K3LCT-ND</t>
  </si>
  <si>
    <t>RC0402FR-074K3L</t>
  </si>
  <si>
    <t>311-4.30KLRCT-ND</t>
  </si>
  <si>
    <t>4K7/0402</t>
  </si>
  <si>
    <t xml:space="preserve">RES SM 0402 4K7 </t>
  </si>
  <si>
    <t>RC0402FR-134K7L</t>
  </si>
  <si>
    <t>13-RC0402FR-134K7LCT-ND</t>
  </si>
  <si>
    <t>RC0402FR-104K7L</t>
  </si>
  <si>
    <t>13-RC0402FR-104K7LCT-ND</t>
  </si>
  <si>
    <t>5K1/0402</t>
  </si>
  <si>
    <t xml:space="preserve">RES SM 0402 5K1 </t>
  </si>
  <si>
    <t>RC0402FR-135K1L</t>
  </si>
  <si>
    <t>13-RC0402FR-135K1LCT-ND</t>
  </si>
  <si>
    <t>RC0402FR-075K1L</t>
  </si>
  <si>
    <t>311-5.10KLRCT-ND</t>
  </si>
  <si>
    <t>5K6/0402</t>
  </si>
  <si>
    <t xml:space="preserve">RES SM 0402 5K6 </t>
  </si>
  <si>
    <t>RC0402FR-135K6L</t>
  </si>
  <si>
    <t>13-RC0402FR-135K6LCT-ND</t>
  </si>
  <si>
    <t>RC0402FR-075K6L</t>
  </si>
  <si>
    <t>311-5.6KLRCT-ND</t>
  </si>
  <si>
    <t>6K2/0402</t>
  </si>
  <si>
    <t xml:space="preserve">RES SM 0402 6K2 </t>
  </si>
  <si>
    <t>RC0402FR-136K2L</t>
  </si>
  <si>
    <t>13-RC0402FR-136K2LCT-ND</t>
  </si>
  <si>
    <t>RC0402FR-076K2L</t>
  </si>
  <si>
    <t>311-6.20KLRCT-ND</t>
  </si>
  <si>
    <t>6K8/0402</t>
  </si>
  <si>
    <t xml:space="preserve">RES SM 0402 6K8 </t>
  </si>
  <si>
    <t>RC0402FR-136K8L</t>
  </si>
  <si>
    <t>13-RC0402FR-136K8LCT-ND</t>
  </si>
  <si>
    <t>RC0402FR-076K8L</t>
  </si>
  <si>
    <t>311-6.80KLRCT-ND</t>
  </si>
  <si>
    <t>7K5/0402</t>
  </si>
  <si>
    <t xml:space="preserve">RES SM 0402 7K5 </t>
  </si>
  <si>
    <t>RC0402FR-137K5L</t>
  </si>
  <si>
    <t>13-RC0402FR-137K5LCT-ND</t>
  </si>
  <si>
    <t>RC0402FR-077K5L</t>
  </si>
  <si>
    <t>311-7.50KLRCT-ND</t>
  </si>
  <si>
    <t>8K2/0402</t>
  </si>
  <si>
    <t xml:space="preserve">RES SM 0402 8K2 </t>
  </si>
  <si>
    <t>RC0402FR-138K2L</t>
  </si>
  <si>
    <t>13-RC0402FR-138K2LCT-ND</t>
  </si>
  <si>
    <t>RC0402FR-078K2L</t>
  </si>
  <si>
    <t>311-8.20KLRCT-ND</t>
  </si>
  <si>
    <t>9K1/0402</t>
  </si>
  <si>
    <t xml:space="preserve">RES SM 0402 9K1 </t>
  </si>
  <si>
    <t>RC0402FR-139K1L</t>
  </si>
  <si>
    <t>13-RC0402FR-139K1LCT-ND</t>
  </si>
  <si>
    <t>RC0402FR-079K1L</t>
  </si>
  <si>
    <t>311-9.10KLRCT-ND</t>
  </si>
  <si>
    <t>10K/0402</t>
  </si>
  <si>
    <t xml:space="preserve">RES SM 0402 10K </t>
  </si>
  <si>
    <t>RC0402FR-1310KL</t>
  </si>
  <si>
    <t>13-RC0402FR-1310KLCT-ND</t>
  </si>
  <si>
    <t>RC0402FR-1010KL</t>
  </si>
  <si>
    <t>13-RC0402FR-1010KLCT-ND</t>
  </si>
  <si>
    <t>11K/0402</t>
  </si>
  <si>
    <t xml:space="preserve">RES SM 0402 11K </t>
  </si>
  <si>
    <t>RC0402FR-1311KL</t>
  </si>
  <si>
    <t>13-RC0402FR-1311KLCT-ND</t>
  </si>
  <si>
    <t>RC0402FR-0711KL</t>
  </si>
  <si>
    <t>311-11.0KLRCT-ND</t>
  </si>
  <si>
    <t>12K/0402</t>
  </si>
  <si>
    <t xml:space="preserve">RES SM 0402 12K </t>
  </si>
  <si>
    <t>RC0402FR-1312KL</t>
  </si>
  <si>
    <t>13-RC0402FR-1312KLCT-ND</t>
  </si>
  <si>
    <t>RC0402FR-0712KL</t>
  </si>
  <si>
    <t>311-12.0KLRCT-ND</t>
  </si>
  <si>
    <t>13K/0402</t>
  </si>
  <si>
    <t xml:space="preserve">RES SM 0402 13K </t>
  </si>
  <si>
    <t>RC0402FR-1313KL</t>
  </si>
  <si>
    <t>13-RC0402FR-1313KLCT-ND</t>
  </si>
  <si>
    <t>RC0402FR-0713KL</t>
  </si>
  <si>
    <t>311-13.0KLRCT-ND</t>
  </si>
  <si>
    <t>15K/0402</t>
  </si>
  <si>
    <t xml:space="preserve">RES SM 0402 15K </t>
  </si>
  <si>
    <t>RC0402FR-1315KL</t>
  </si>
  <si>
    <t>13-RC0402FR-1315KLCT-ND</t>
  </si>
  <si>
    <t>RC0402FR-1015KL</t>
  </si>
  <si>
    <t>13-RC0402FR-1015KLCT-ND</t>
  </si>
  <si>
    <t>16K/0402</t>
  </si>
  <si>
    <t xml:space="preserve">RES SM 0402 16K </t>
  </si>
  <si>
    <t>RC0402FR-1316KL</t>
  </si>
  <si>
    <t>13-RC0402FR-1316KLCT-ND</t>
  </si>
  <si>
    <t>RC0402FR-0716KL</t>
  </si>
  <si>
    <t>311-16.0KLRCT-ND</t>
  </si>
  <si>
    <t>18K/0402</t>
  </si>
  <si>
    <t xml:space="preserve">RES SM 0402 18K </t>
  </si>
  <si>
    <t>RC0402FR-1318KL</t>
  </si>
  <si>
    <t>13-RC0402FR-1318KLCT-ND</t>
  </si>
  <si>
    <t>RC0402FR-0718KL</t>
  </si>
  <si>
    <t>311-18.0KLRCT-ND</t>
  </si>
  <si>
    <t>20K/0402</t>
  </si>
  <si>
    <t xml:space="preserve">RES SM 0402 20K </t>
  </si>
  <si>
    <t>RC0402FR-1320KL</t>
  </si>
  <si>
    <t>13-RC0402FR-1320KLCT-ND</t>
  </si>
  <si>
    <t>RC0402FR-0720KL</t>
  </si>
  <si>
    <t>311-20.0KLRCT-ND</t>
  </si>
  <si>
    <t>22K/0402</t>
  </si>
  <si>
    <t xml:space="preserve">RES SM 0402 22K </t>
  </si>
  <si>
    <t>RC0402FR-1022KL</t>
  </si>
  <si>
    <t>13-RC0402FR-1022KLCT-ND</t>
  </si>
  <si>
    <t>RC0402FR-1322KL</t>
  </si>
  <si>
    <t>13-RC0402FR-1322KLCT-ND</t>
  </si>
  <si>
    <t>24K/0402</t>
  </si>
  <si>
    <t xml:space="preserve">RES SM 0402 24K </t>
  </si>
  <si>
    <t>RC0402FR-1324KL</t>
  </si>
  <si>
    <t>13-RC0402FR-1324KLCT-ND</t>
  </si>
  <si>
    <t>RC0402FR-0724KL</t>
  </si>
  <si>
    <t>311-24KLRCT-ND</t>
  </si>
  <si>
    <t>27K/0402</t>
  </si>
  <si>
    <t xml:space="preserve">RES SM 0402 27K </t>
  </si>
  <si>
    <t>RC0402FR-1327KL</t>
  </si>
  <si>
    <t>13-RC0402FR-1327KLCT-ND</t>
  </si>
  <si>
    <t>RC0402FR-0727KL</t>
  </si>
  <si>
    <t>311-27.0KLRCT-ND</t>
  </si>
  <si>
    <t>30K/0402</t>
  </si>
  <si>
    <t xml:space="preserve">RES SM 0402 30K </t>
  </si>
  <si>
    <t>RC0402FR-1330KL</t>
  </si>
  <si>
    <t>13-RC0402FR-1330KLCT-ND</t>
  </si>
  <si>
    <t>RC0402FR-0730KL</t>
  </si>
  <si>
    <t>311-30.0KLRCT-ND</t>
  </si>
  <si>
    <t>33K/0402</t>
  </si>
  <si>
    <t xml:space="preserve">RES SM 0402 33K </t>
  </si>
  <si>
    <t>RC0402FR-1333KL</t>
  </si>
  <si>
    <t>13-RC0402FR-1333KLCT-ND</t>
  </si>
  <si>
    <t>RC0402FR-0733KL</t>
  </si>
  <si>
    <t>311-33.0KLRCT-ND</t>
  </si>
  <si>
    <t>36K/0402</t>
  </si>
  <si>
    <t xml:space="preserve">RES SM 0402 36K </t>
  </si>
  <si>
    <t>RC0402FR-1336KL</t>
  </si>
  <si>
    <t>13-RC0402FR-1336KLCT-ND</t>
  </si>
  <si>
    <t>RC0402FR-0736KL</t>
  </si>
  <si>
    <t>311-36.0KLRCT-ND</t>
  </si>
  <si>
    <t>39K/0402</t>
  </si>
  <si>
    <t xml:space="preserve">RES SM 0402 39K </t>
  </si>
  <si>
    <t>RC0402FR-1339KL</t>
  </si>
  <si>
    <t>13-RC0402FR-1339KLCT-ND</t>
  </si>
  <si>
    <t>RC0402FR-0739KL</t>
  </si>
  <si>
    <t>311-39.0KLRCT-ND</t>
  </si>
  <si>
    <t>43K/0402</t>
  </si>
  <si>
    <t xml:space="preserve">RES SM 0402 43K </t>
  </si>
  <si>
    <t>RC0402FR-1343KL</t>
  </si>
  <si>
    <t>13-RC0402FR-1343KLCT-ND</t>
  </si>
  <si>
    <t>RC0402FR-0743KL</t>
  </si>
  <si>
    <t>311-43.0KLRCT-ND</t>
  </si>
  <si>
    <t>47K/0402</t>
  </si>
  <si>
    <t xml:space="preserve">RES SM 0402 47K </t>
  </si>
  <si>
    <t>RC0402FR-1347KL</t>
  </si>
  <si>
    <t>13-RC0402FR-1347KLCT-ND</t>
  </si>
  <si>
    <t>RC0402FR-0747KL</t>
  </si>
  <si>
    <t>311-47.0KLRCT-ND</t>
  </si>
  <si>
    <t>51K/0402</t>
  </si>
  <si>
    <t xml:space="preserve">RES SM 0402 51K </t>
  </si>
  <si>
    <t>RC0402FR-1351KL</t>
  </si>
  <si>
    <t>13-RC0402FR-1351KLCT-ND</t>
  </si>
  <si>
    <t>RC0402FR-0751KL</t>
  </si>
  <si>
    <t>311-51.0KLRCT-ND</t>
  </si>
  <si>
    <t>56K/0402</t>
  </si>
  <si>
    <t xml:space="preserve">RES SM 0402 56K </t>
  </si>
  <si>
    <t>RC0402FR-1356KL</t>
  </si>
  <si>
    <t>13-RC0402FR-1356KLCT-ND</t>
  </si>
  <si>
    <t>RC0402FR-0756KL</t>
  </si>
  <si>
    <t>311-56.0KLRCT-ND</t>
  </si>
  <si>
    <t>62K/0402</t>
  </si>
  <si>
    <t xml:space="preserve">RES SM 0402 62K </t>
  </si>
  <si>
    <t>RC0402FR-1362KL</t>
  </si>
  <si>
    <t>13-RC0402FR-1362KLCT-ND</t>
  </si>
  <si>
    <t>RC0402FR-0762KL</t>
  </si>
  <si>
    <t>311-62.0KLRCT-ND</t>
  </si>
  <si>
    <t>68K/0402</t>
  </si>
  <si>
    <t xml:space="preserve">RES SM 0402 68K </t>
  </si>
  <si>
    <t>RC0402FR-1368KL</t>
  </si>
  <si>
    <t>13-RC0402FR-1368KLCT-ND</t>
  </si>
  <si>
    <t>RC0402FR-0768KL</t>
  </si>
  <si>
    <t>311-68.0KLRCT-ND</t>
  </si>
  <si>
    <t>75K/0402</t>
  </si>
  <si>
    <t xml:space="preserve">RES SM 0402 75K </t>
  </si>
  <si>
    <t>RC0402FR-1375KL</t>
  </si>
  <si>
    <t>13-RC0402FR-1375KLCT-ND</t>
  </si>
  <si>
    <t>RC0402FR-0775KL</t>
  </si>
  <si>
    <t>311-75KLRCT-ND</t>
  </si>
  <si>
    <t>82K/0402</t>
  </si>
  <si>
    <t xml:space="preserve">RES SM 0402 82K </t>
  </si>
  <si>
    <t>RC0402FR-1382KL</t>
  </si>
  <si>
    <t>13-RC0402FR-1382KLCT-ND</t>
  </si>
  <si>
    <t>RC0402FR-0782KL</t>
  </si>
  <si>
    <t>311-82.0KLRCT-ND</t>
  </si>
  <si>
    <t>91K/0402</t>
  </si>
  <si>
    <t xml:space="preserve">RES SM 0402 91K </t>
  </si>
  <si>
    <t>RC0402FR-1391KL</t>
  </si>
  <si>
    <t>13-RC0402FR-1391KLCT-ND</t>
  </si>
  <si>
    <t>RC0402FR-0791KL</t>
  </si>
  <si>
    <t>311-91.0KLRCT-ND</t>
  </si>
  <si>
    <t>100K/0402</t>
  </si>
  <si>
    <t xml:space="preserve">RES SM 0402 100K </t>
  </si>
  <si>
    <t>RC0402FR-13100KL</t>
  </si>
  <si>
    <t>13-RC0402FR-13100KLCT-ND</t>
  </si>
  <si>
    <t>RC0402FR-10100KL</t>
  </si>
  <si>
    <t>13-RC0402FR-10100KLCT-ND</t>
  </si>
  <si>
    <t>110K/0402</t>
  </si>
  <si>
    <t xml:space="preserve">RES SM 0402 110K </t>
  </si>
  <si>
    <t>RC0402FR-13110KL</t>
  </si>
  <si>
    <t>13-RC0402FR-13110KLCT-ND</t>
  </si>
  <si>
    <t>RC0402FR-07110KL</t>
  </si>
  <si>
    <t>311-110KLRCT-ND</t>
  </si>
  <si>
    <t>120K/0402</t>
  </si>
  <si>
    <t xml:space="preserve">RES SM 0402 120K </t>
  </si>
  <si>
    <t>RC0402FR-13120KL</t>
  </si>
  <si>
    <t>13-RC0402FR-13120KLCT-ND</t>
  </si>
  <si>
    <t>RC0402FR-07120KL</t>
  </si>
  <si>
    <t>311-120KLRCT-ND</t>
  </si>
  <si>
    <t>130K/0402</t>
  </si>
  <si>
    <t xml:space="preserve">RES SM 0402 130K </t>
  </si>
  <si>
    <t>RC0402FR-13130KL</t>
  </si>
  <si>
    <t>13-RC0402FR-13130KLCT-ND</t>
  </si>
  <si>
    <t>RC0402FR-07130KL</t>
  </si>
  <si>
    <t>YAG2969CT-ND</t>
  </si>
  <si>
    <t>150K/0402</t>
  </si>
  <si>
    <t xml:space="preserve">RES SM 0402 150K </t>
  </si>
  <si>
    <t>RC0402FR-13150KL</t>
  </si>
  <si>
    <t>13-RC0402FR-13150KLCT-ND</t>
  </si>
  <si>
    <t>RC0402FR-07150KL</t>
  </si>
  <si>
    <t>311-150KLRCT-ND</t>
  </si>
  <si>
    <t>160K/0402</t>
  </si>
  <si>
    <t xml:space="preserve">RES SM 0402 160K </t>
  </si>
  <si>
    <t>RC0402FR-13160KL</t>
  </si>
  <si>
    <t>13-RC0402FR-13160KLCT-ND</t>
  </si>
  <si>
    <t>RC0402FR-07160KL</t>
  </si>
  <si>
    <t>YAG2996CT-ND</t>
  </si>
  <si>
    <t>180K/0402</t>
  </si>
  <si>
    <t xml:space="preserve">RES SM 0402 180K </t>
  </si>
  <si>
    <t>RC0402FR-13180KL</t>
  </si>
  <si>
    <t>13-RC0402FR-13180KLCT-ND</t>
  </si>
  <si>
    <t>RC0402FR-07180KL</t>
  </si>
  <si>
    <t>311-180KLRCT-ND</t>
  </si>
  <si>
    <t>200K/0402</t>
  </si>
  <si>
    <t xml:space="preserve">RES SM 0402 200K </t>
  </si>
  <si>
    <t>RC0402FR-13200KL</t>
  </si>
  <si>
    <t>13-RC0402FR-13200KLCT-ND</t>
  </si>
  <si>
    <t>RC0402FR-07200KL</t>
  </si>
  <si>
    <t>311-200KLRCT-ND</t>
  </si>
  <si>
    <t>220K/0402</t>
  </si>
  <si>
    <t xml:space="preserve">RES SM 0402 220K </t>
  </si>
  <si>
    <t>RC0402FR-13220KL</t>
  </si>
  <si>
    <t>13-RC0402FR-13220KLCT-ND</t>
  </si>
  <si>
    <t>RC0402FR-07220KL</t>
  </si>
  <si>
    <t>311-220KLRCT-ND</t>
  </si>
  <si>
    <t>240K/0402</t>
  </si>
  <si>
    <t xml:space="preserve">RES SM 0402 240K </t>
  </si>
  <si>
    <t>RC0402FR-13240KL</t>
  </si>
  <si>
    <t>13-RC0402FR-13240KLCT-ND</t>
  </si>
  <si>
    <t>RC0402FR-07240KL</t>
  </si>
  <si>
    <t>311-240KLRCT-ND</t>
  </si>
  <si>
    <t>270K/0402</t>
  </si>
  <si>
    <t xml:space="preserve">RES SM 0402 270K </t>
  </si>
  <si>
    <t>RC0402FR-13270KL</t>
  </si>
  <si>
    <t>13-RC0402FR-13270KLCT-ND</t>
  </si>
  <si>
    <t>RC0402FR-07270KL</t>
  </si>
  <si>
    <t>311-270KLRCT-ND</t>
  </si>
  <si>
    <t>300K/0402</t>
  </si>
  <si>
    <t xml:space="preserve">RES SM 0402 300K </t>
  </si>
  <si>
    <t>RC0402FR-13300KL</t>
  </si>
  <si>
    <t>13-RC0402FR-13300KLCT-ND</t>
  </si>
  <si>
    <t>RC0402FR-07300KL</t>
  </si>
  <si>
    <t>311-300KLRCT-ND</t>
  </si>
  <si>
    <t>330K/0402</t>
  </si>
  <si>
    <t xml:space="preserve">RES SM 0402 330K </t>
  </si>
  <si>
    <t>RC0402FR-13330KL</t>
  </si>
  <si>
    <t>13-RC0402FR-13330KLCT-ND</t>
  </si>
  <si>
    <t>RC0402FR-07330KL</t>
  </si>
  <si>
    <t>311-330KLRCT-ND</t>
  </si>
  <si>
    <t>360K/0402</t>
  </si>
  <si>
    <t xml:space="preserve">RES SM 0402 360K </t>
  </si>
  <si>
    <t>RC0402FR-07360KL</t>
  </si>
  <si>
    <t>311-360KLRCT-ND</t>
  </si>
  <si>
    <t>390K/0402</t>
  </si>
  <si>
    <t xml:space="preserve">RES SM 0402 390K </t>
  </si>
  <si>
    <t>RC0402FR-13390KL</t>
  </si>
  <si>
    <t>13-RC0402FR-13390KLCT-ND</t>
  </si>
  <si>
    <t>RC0402FR-07390KL</t>
  </si>
  <si>
    <t>YAG3143CT-ND</t>
  </si>
  <si>
    <t>430K/0402</t>
  </si>
  <si>
    <t xml:space="preserve">RES SM 0402 430K </t>
  </si>
  <si>
    <t>RC0402FR-07430KL</t>
  </si>
  <si>
    <t>311-430KLRCT-ND</t>
  </si>
  <si>
    <t>470K/0402</t>
  </si>
  <si>
    <t xml:space="preserve">RES SM 0402 470K </t>
  </si>
  <si>
    <t>RC0402FR-13470KL</t>
  </si>
  <si>
    <t>13-RC0402FR-13470KLCT-ND</t>
  </si>
  <si>
    <t>RC0402FR-07470KL</t>
  </si>
  <si>
    <t>311-470KLRCT-ND</t>
  </si>
  <si>
    <t>510K/0402</t>
  </si>
  <si>
    <t xml:space="preserve">RES SM 0402 510K </t>
  </si>
  <si>
    <t>RC0402FR-13510KL</t>
  </si>
  <si>
    <t>13-RC0402FR-13510KLCT-ND</t>
  </si>
  <si>
    <t>RC0402FR-10510KL</t>
  </si>
  <si>
    <t>13-RC0402FR-10510KLCT-ND</t>
  </si>
  <si>
    <t>560K/0402</t>
  </si>
  <si>
    <t xml:space="preserve">RES SM 0402 560K </t>
  </si>
  <si>
    <t>RC0402FR-13560KL</t>
  </si>
  <si>
    <t>13-RC0402FR-13560KLCT-ND</t>
  </si>
  <si>
    <t>RC0402FR-07560KL</t>
  </si>
  <si>
    <t>311-560KLRCT-ND</t>
  </si>
  <si>
    <t>620K/0402</t>
  </si>
  <si>
    <t xml:space="preserve">RES SM 0402 620K </t>
  </si>
  <si>
    <t>RC0402FR-07620KL</t>
  </si>
  <si>
    <t>311-620KLRCT-ND</t>
  </si>
  <si>
    <t>680K/0402</t>
  </si>
  <si>
    <t xml:space="preserve">RES SM 0402 680K </t>
  </si>
  <si>
    <t>RC0402FR-13680KL</t>
  </si>
  <si>
    <t>13-RC0402FR-13680KLCT-ND</t>
  </si>
  <si>
    <t>RC0402FR-07680KL</t>
  </si>
  <si>
    <t>YAG3211CT-ND</t>
  </si>
  <si>
    <t>750K/0402</t>
  </si>
  <si>
    <t xml:space="preserve">RES SM 0402 750K </t>
  </si>
  <si>
    <t>RC0402FR-13750KL</t>
  </si>
  <si>
    <t>13-RC0402FR-13750KLCT-ND</t>
  </si>
  <si>
    <t>RC0402FR-07750KL</t>
  </si>
  <si>
    <t>YAG3228CT-ND</t>
  </si>
  <si>
    <t>820K/0402</t>
  </si>
  <si>
    <t xml:space="preserve">RES SM 0402 820K </t>
  </si>
  <si>
    <t>RC0402FR-13820KL</t>
  </si>
  <si>
    <t>13-RC0402FR-13820KLCT-ND</t>
  </si>
  <si>
    <t>RC0402FR-07820KL</t>
  </si>
  <si>
    <t>YAG3240CT-ND</t>
  </si>
  <si>
    <t>910K/0402</t>
  </si>
  <si>
    <t xml:space="preserve">RES SM 0402 910K </t>
  </si>
  <si>
    <t>RC0402FR-07910KL</t>
  </si>
  <si>
    <t>YAG3257CT-ND</t>
  </si>
  <si>
    <t>RC0402FR-7W910KL</t>
  </si>
  <si>
    <t>13-RC0402FR-7W910KLCT-ND</t>
  </si>
  <si>
    <t>1M/0402</t>
  </si>
  <si>
    <t xml:space="preserve">RES SM 0402 1M </t>
  </si>
  <si>
    <t>RC0402FR-131ML</t>
  </si>
  <si>
    <t>13-RC0402FR-131MLCT-ND</t>
  </si>
  <si>
    <t>RC0402FR-101ML</t>
  </si>
  <si>
    <t>13-RC0402FR-101MLCT-ND</t>
  </si>
  <si>
    <t>1M1/0402</t>
  </si>
  <si>
    <t xml:space="preserve">RES SM 0402 1M1 </t>
  </si>
  <si>
    <t>RC0402FR-071M1L</t>
  </si>
  <si>
    <t>13-RC0402FR-071M1LCT-ND</t>
  </si>
  <si>
    <t>1M2/0402</t>
  </si>
  <si>
    <t xml:space="preserve">RES SM 0402 1M2 </t>
  </si>
  <si>
    <t>RC0402FR-071M2L</t>
  </si>
  <si>
    <t>13-RC0402FR-071M2LCT-ND</t>
  </si>
  <si>
    <t>1M3/0402</t>
  </si>
  <si>
    <t xml:space="preserve">RES SM 0402 1M3 </t>
  </si>
  <si>
    <t>RC0402FR-071M3L</t>
  </si>
  <si>
    <t>13-RC0402FR-071M3LCT-ND</t>
  </si>
  <si>
    <t>1M5/0402</t>
  </si>
  <si>
    <t xml:space="preserve">RES SM 0402 1M5 </t>
  </si>
  <si>
    <t>RC0402FR-071M5L</t>
  </si>
  <si>
    <t>13-RC0402FR-071M5LCT-ND</t>
  </si>
  <si>
    <t>1M6/0402</t>
  </si>
  <si>
    <t xml:space="preserve">RES SM 0402 1M6 </t>
  </si>
  <si>
    <t>RC0402FR-071M6L</t>
  </si>
  <si>
    <t>13-RC0402FR-071M6LCT-ND</t>
  </si>
  <si>
    <t>1M8/0402</t>
  </si>
  <si>
    <t xml:space="preserve">RES SM 0402 1M8 </t>
  </si>
  <si>
    <t>RC0402FR-131M8L</t>
  </si>
  <si>
    <t>13-RC0402FR-131M8LCT-ND</t>
  </si>
  <si>
    <t>RC0402FR-071M8L</t>
  </si>
  <si>
    <t>13-RC0402FR-071M8LCT-ND</t>
  </si>
  <si>
    <t>2M/0402</t>
  </si>
  <si>
    <t xml:space="preserve">RES SM 0402 2M </t>
  </si>
  <si>
    <t>RC0402FR-132ML</t>
  </si>
  <si>
    <t>13-RC0402FR-132MLCT-ND</t>
  </si>
  <si>
    <t>RC0402FR-072ML</t>
  </si>
  <si>
    <t>13-RC0402FR-072MLCT-ND</t>
  </si>
  <si>
    <t>2M2/0402</t>
  </si>
  <si>
    <t xml:space="preserve">RES SM 0402 2M2 </t>
  </si>
  <si>
    <t>RC0402FR-132M2L</t>
  </si>
  <si>
    <t>13-RC0402FR-132M2LCT-ND</t>
  </si>
  <si>
    <t>RC0402FR-072M2L</t>
  </si>
  <si>
    <t>13-RC0402FR-072M2LCT-ND</t>
  </si>
  <si>
    <t>2M4/0402</t>
  </si>
  <si>
    <t xml:space="preserve">RES SM 0402 2M4 </t>
  </si>
  <si>
    <t>RC0402FR-072M4L</t>
  </si>
  <si>
    <t>13-RC0402FR-072M4LCT-ND</t>
  </si>
  <si>
    <t>2M7/0402</t>
  </si>
  <si>
    <t xml:space="preserve">RES SM 0402 2M7 </t>
  </si>
  <si>
    <t>RC0402FR-072M7L</t>
  </si>
  <si>
    <t>13-RC0402FR-072M7LCT-ND</t>
  </si>
  <si>
    <t>3M/0402</t>
  </si>
  <si>
    <t xml:space="preserve">RES SM 0402 3M </t>
  </si>
  <si>
    <t>RC0402FR-073ML</t>
  </si>
  <si>
    <t>13-RC0402FR-073MLCT-ND</t>
  </si>
  <si>
    <t>3M3/0402</t>
  </si>
  <si>
    <t xml:space="preserve">RES SM 0402 3M3 </t>
  </si>
  <si>
    <t>RC0402FR-133M3L</t>
  </si>
  <si>
    <t>13-RC0402FR-133M3LCT-ND</t>
  </si>
  <si>
    <t>RC0402FR-073M3L</t>
  </si>
  <si>
    <t>311-3.30MLRCT-ND</t>
  </si>
  <si>
    <t>3M6/0402</t>
  </si>
  <si>
    <t xml:space="preserve">RES SM 0402 3M6 </t>
  </si>
  <si>
    <t>RC0402FR-073M6L</t>
  </si>
  <si>
    <t>311-3.60MLRCT-ND</t>
  </si>
  <si>
    <t>3M9/0402</t>
  </si>
  <si>
    <t xml:space="preserve">RES SM 0402 3M9 </t>
  </si>
  <si>
    <t>RC0402FR-073M9L</t>
  </si>
  <si>
    <t>13-RC0402FR-073M9LCT-ND</t>
  </si>
  <si>
    <t>4M3/0402</t>
  </si>
  <si>
    <t xml:space="preserve">RES SM 0402 4M3 </t>
  </si>
  <si>
    <t>RC0402FR-074M3L</t>
  </si>
  <si>
    <t>13-RC0402FR-074M3LCT-ND</t>
  </si>
  <si>
    <t>4M7/0402</t>
  </si>
  <si>
    <t xml:space="preserve">RES SM 0402 4M7 </t>
  </si>
  <si>
    <t>RC0402FR-074M7L</t>
  </si>
  <si>
    <t>13-RC0402FR-074M7LCT-ND</t>
  </si>
  <si>
    <t>5M1/0402</t>
  </si>
  <si>
    <t xml:space="preserve">RES SM 0402 5M1 </t>
  </si>
  <si>
    <t>RC0402FR-075M1L</t>
  </si>
  <si>
    <t>13-RC0402FR-075M1LCT-ND</t>
  </si>
  <si>
    <t>5M6/0402</t>
  </si>
  <si>
    <t xml:space="preserve">RES SM 0402 5M6 </t>
  </si>
  <si>
    <t>RC0402FR-075M6L</t>
  </si>
  <si>
    <t>13-RC0402FR-075M6LCT-ND</t>
  </si>
  <si>
    <t>6M2/0402</t>
  </si>
  <si>
    <t xml:space="preserve">RES SM 0402 6M2 </t>
  </si>
  <si>
    <t>RC0402FR-076M2L</t>
  </si>
  <si>
    <t>13-RC0402FR-076M2LCT-ND</t>
  </si>
  <si>
    <t>6M8/0402</t>
  </si>
  <si>
    <t xml:space="preserve">RES SM 0402 6M8 </t>
  </si>
  <si>
    <t>RC0402FR-076M8L</t>
  </si>
  <si>
    <t>13-RC0402FR-076M8LCT-ND</t>
  </si>
  <si>
    <t>7M5/0402</t>
  </si>
  <si>
    <t xml:space="preserve">RES SM 0402 7M5 </t>
  </si>
  <si>
    <t>RC0402FR-077M5L</t>
  </si>
  <si>
    <t>13-RC0402FR-077M5LCT-ND</t>
  </si>
  <si>
    <t>8M2/0402</t>
  </si>
  <si>
    <t xml:space="preserve">RES SM 0402 8M2 </t>
  </si>
  <si>
    <t>RC0402FR-078M2L</t>
  </si>
  <si>
    <t>13-RC0402FR-078M2LCT-ND</t>
  </si>
  <si>
    <t>9M1/0402</t>
  </si>
  <si>
    <t xml:space="preserve">RES SM 0402 9M1 </t>
  </si>
  <si>
    <t>RC0402FR-079M1L</t>
  </si>
  <si>
    <t>13-RC0402FR-079M1LCT-ND</t>
  </si>
  <si>
    <t>10M/0402</t>
  </si>
  <si>
    <t xml:space="preserve">RES SM 0402 10M </t>
  </si>
  <si>
    <t>RC0402FR-1310ML</t>
  </si>
  <si>
    <t>13-RC0402FR-1310MLCT-ND</t>
  </si>
  <si>
    <t>RC0402FR-0710ML</t>
  </si>
  <si>
    <t>311-10.0MLRCT-ND</t>
  </si>
  <si>
    <t xml:space="preserve">CAP SM 0402 1.0pF 50V C0G </t>
  </si>
  <si>
    <t>CAP0402_C0G</t>
  </si>
  <si>
    <t>CC0402CRNPO9BN1R0</t>
  </si>
  <si>
    <t>311-2076-1-ND</t>
  </si>
  <si>
    <t>CC0402CPNPO9BN1R0</t>
  </si>
  <si>
    <t>13-CC0402CPNPO9BN1R0CT-ND</t>
  </si>
  <si>
    <t xml:space="preserve">CAP SM 0402 1.2pF 50V C0G </t>
  </si>
  <si>
    <t>CC0402CRNPO9BN1R2</t>
  </si>
  <si>
    <t>311-1002-1-ND</t>
  </si>
  <si>
    <t>CC0402CPNPO9BN1R2</t>
  </si>
  <si>
    <t>13-CC0402CPNPO9BN1R2CT-ND</t>
  </si>
  <si>
    <t xml:space="preserve">CAP SM 0402 1.5pF 50V C0G </t>
  </si>
  <si>
    <t>CC0402CRNPO9BN1R5</t>
  </si>
  <si>
    <t>311-1003-1-ND</t>
  </si>
  <si>
    <t>CC0402CPNPO9BN1R5</t>
  </si>
  <si>
    <t>13-CC0402CPNPO9BN1R5CT-ND</t>
  </si>
  <si>
    <t xml:space="preserve">CAP SM 0402 1.8pF 50V C0G </t>
  </si>
  <si>
    <t>CC0402CRNPO9BN1R8</t>
  </si>
  <si>
    <t>311-1004-1-ND</t>
  </si>
  <si>
    <t>CC0402CPNPO9BN1R8</t>
  </si>
  <si>
    <t>13-CC0402CPNPO9BN1R8CT-ND</t>
  </si>
  <si>
    <t xml:space="preserve">CAP SM 0402 2.2pF 50V C0G </t>
  </si>
  <si>
    <t>CC0402CRNPO9BN2R2</t>
  </si>
  <si>
    <t>311-1354-1-ND</t>
  </si>
  <si>
    <t>CC0402CPNPO9BN2R2</t>
  </si>
  <si>
    <t>13-CC0402CPNPO9BN2R2CT-ND</t>
  </si>
  <si>
    <t xml:space="preserve">CAP SM 0402 2.7pF 50V C0G </t>
  </si>
  <si>
    <t>CC0402CRNPO9BN2R7</t>
  </si>
  <si>
    <t>311-1005-1-ND</t>
  </si>
  <si>
    <t>CC0402CPNPO9BN2R7</t>
  </si>
  <si>
    <t>13-CC0402CPNPO9BN2R7CT-ND</t>
  </si>
  <si>
    <t xml:space="preserve">CAP SM 0402 3.3pF 50V C0G </t>
  </si>
  <si>
    <t>CC0402CRNPO9BN3R3</t>
  </si>
  <si>
    <t>311-1008-1-ND</t>
  </si>
  <si>
    <t>CC0402CPNPO9BN3R3</t>
  </si>
  <si>
    <t>13-CC0402CPNPO9BN3R3CT-ND</t>
  </si>
  <si>
    <t xml:space="preserve">CAP SM 0402 3.9pF 50V C0G </t>
  </si>
  <si>
    <t>CC0402CRNPO9BN3R9</t>
  </si>
  <si>
    <t>311-3325-1-ND</t>
  </si>
  <si>
    <t>CC0402CPNPO9BN3R9</t>
  </si>
  <si>
    <t>13-CC0402CPNPO9BN3R9CT-ND</t>
  </si>
  <si>
    <t xml:space="preserve">CAP SM 0402 4.7pF 50V C0G </t>
  </si>
  <si>
    <t>CC0402CRNPO9BN4R7</t>
  </si>
  <si>
    <t>311-1367-1-ND</t>
  </si>
  <si>
    <t>CC0402CPNPO9BN4R7</t>
  </si>
  <si>
    <t>13-CC0402CPNPO9BN4R7CT-ND</t>
  </si>
  <si>
    <t xml:space="preserve">CAP SM 0402 5.6pF 50V C0G </t>
  </si>
  <si>
    <t>CC0402CRNPO9BN5R6</t>
  </si>
  <si>
    <t>311-3326-1-ND</t>
  </si>
  <si>
    <t>CC0402CPNPO9BN5R6</t>
  </si>
  <si>
    <t>13-CC0402CPNPO9BN5R6CT-ND</t>
  </si>
  <si>
    <t xml:space="preserve">CAP SM 0402 6.8pF 50V C0G </t>
  </si>
  <si>
    <t>CC0402CRNPO9BN6R8</t>
  </si>
  <si>
    <t>311-3327-1-ND</t>
  </si>
  <si>
    <t>CC0402DRNPO9BN6R8</t>
  </si>
  <si>
    <t>311-1637-1-ND</t>
  </si>
  <si>
    <t xml:space="preserve">CAP SM 0402 8.2pF 50V C0G </t>
  </si>
  <si>
    <t>CC0402DRNPO9BN8R2</t>
  </si>
  <si>
    <t>311-1012-1-ND</t>
  </si>
  <si>
    <t>CC0402CRNPO9BN8R2</t>
  </si>
  <si>
    <t>311-1635-1-ND</t>
  </si>
  <si>
    <t>10P/0402/50V/C0G</t>
  </si>
  <si>
    <t xml:space="preserve">CAP SM 0402 10pF 50V C0G </t>
  </si>
  <si>
    <t>CC0402JRNPO9BN100</t>
  </si>
  <si>
    <t>311-1014-1-ND</t>
  </si>
  <si>
    <t>CC0402DRNPO9BN100</t>
  </si>
  <si>
    <t>311-3651-1-ND</t>
  </si>
  <si>
    <t>12P/0402/50V/C0G</t>
  </si>
  <si>
    <t xml:space="preserve">CAP SM 0402 12pF 50V C0G </t>
  </si>
  <si>
    <t>CC0402JRNPO9BN120</t>
  </si>
  <si>
    <t>311-1016-1-ND</t>
  </si>
  <si>
    <t>CC0402JPNPO9BN120</t>
  </si>
  <si>
    <t>13-CC0402JPNPO9BN120CT-ND</t>
  </si>
  <si>
    <t>15P/0402/50V/C0G</t>
  </si>
  <si>
    <t xml:space="preserve">CAP SM 0402 15pF 50V C0G </t>
  </si>
  <si>
    <t>CC0402JRNPO9BN150</t>
  </si>
  <si>
    <t>311-1017-1-ND</t>
  </si>
  <si>
    <t>CC0402KRNPO9BN150</t>
  </si>
  <si>
    <t>311-3780-1-ND</t>
  </si>
  <si>
    <t>18P/0402/50V/C0G</t>
  </si>
  <si>
    <t xml:space="preserve">CAP SM 0402 18pF 50V C0G </t>
  </si>
  <si>
    <t>CC0402JPNPO9BN180</t>
  </si>
  <si>
    <t>13-CC0402JPNPO9BN180CT-ND</t>
  </si>
  <si>
    <t>CC0402JRNPO9BN180</t>
  </si>
  <si>
    <t>311-1415-1-ND</t>
  </si>
  <si>
    <t>22P/0402/50V/C0G</t>
  </si>
  <si>
    <t xml:space="preserve">CAP SM 0402 22pF 50V C0G </t>
  </si>
  <si>
    <t>CC0402JRNPO9BN220</t>
  </si>
  <si>
    <t>311-1018-1-ND</t>
  </si>
  <si>
    <t>CC0402JPNPO9BN220</t>
  </si>
  <si>
    <t>13-CC0402JPNPO9BN220CT-ND</t>
  </si>
  <si>
    <t>27P/0402/50V/C0G</t>
  </si>
  <si>
    <t xml:space="preserve">CAP SM 0402 27pF 50V C0G </t>
  </si>
  <si>
    <t>CC0402KRNPO9BN270</t>
  </si>
  <si>
    <t>13-CC0402KRNPO9BN270CT-ND</t>
  </si>
  <si>
    <t>CC0402JRNPO9BN270</t>
  </si>
  <si>
    <t>311-1019-1-ND</t>
  </si>
  <si>
    <t>33P/0402/50V/C0G</t>
  </si>
  <si>
    <t xml:space="preserve">CAP SM 0402 33pF 50V C0G </t>
  </si>
  <si>
    <t>CC0402JRNPO9BN330</t>
  </si>
  <si>
    <t>311-1020-1-ND</t>
  </si>
  <si>
    <t>CC0402JPNPO9BN330</t>
  </si>
  <si>
    <t>13-CC0402JPNPO9BN330CT-ND</t>
  </si>
  <si>
    <t>39P/0402/50V/C0G</t>
  </si>
  <si>
    <t xml:space="preserve">CAP SM 0402 39pF 50V C0G </t>
  </si>
  <si>
    <t>CC0402JRNPO9BN390</t>
  </si>
  <si>
    <t>311-1009-1-ND</t>
  </si>
  <si>
    <t>CC0402GRNPO9BN390</t>
  </si>
  <si>
    <t>311-1655-1-ND</t>
  </si>
  <si>
    <t>47P/0402/50V/C0G</t>
  </si>
  <si>
    <t xml:space="preserve">CAP SM 0402 47pF 50V C0G </t>
  </si>
  <si>
    <t>CC0402JRNPO9BN470</t>
  </si>
  <si>
    <t>311-1021-1-ND</t>
  </si>
  <si>
    <t>CC0402JPNPO9BN470</t>
  </si>
  <si>
    <t>13-CC0402JPNPO9BN470CT-ND</t>
  </si>
  <si>
    <t>56P/0402/50V/C0G</t>
  </si>
  <si>
    <t xml:space="preserve">CAP SM 0402 56pF 50V C0G </t>
  </si>
  <si>
    <t>CC0402JRNPO9BN560</t>
  </si>
  <si>
    <t>311-1022-1-ND</t>
  </si>
  <si>
    <t>CC0402JPNPO9BN560</t>
  </si>
  <si>
    <t>13-CC0402JPNPO9BN560CT-ND</t>
  </si>
  <si>
    <t>68P/0402/50V/C0G</t>
  </si>
  <si>
    <t xml:space="preserve">CAP SM 0402 68pF 50V C0G </t>
  </si>
  <si>
    <t>CC0402JRNPO9BN680</t>
  </si>
  <si>
    <t>311-1340-1-ND</t>
  </si>
  <si>
    <t>CC0402JPNPO9BN680</t>
  </si>
  <si>
    <t>13-CC0402JPNPO9BN680CT-ND</t>
  </si>
  <si>
    <t>82P/0402/50V/C0G</t>
  </si>
  <si>
    <t xml:space="preserve">CAP SM 0402 82pF 50V C0G </t>
  </si>
  <si>
    <t>CC0402JRNPO9BN820</t>
  </si>
  <si>
    <t>311-1023-1-ND</t>
  </si>
  <si>
    <t>CC0402JPNPO9BN820</t>
  </si>
  <si>
    <t>13-CC0402JPNPO9BN820CT-ND</t>
  </si>
  <si>
    <t>100P/0402/50V/C0G</t>
  </si>
  <si>
    <t xml:space="preserve">CAP SM 0402 100pF 50V C0G </t>
  </si>
  <si>
    <t>CC0402JRNPO9BN101</t>
  </si>
  <si>
    <t>311-1024-1-ND</t>
  </si>
  <si>
    <t>CC0402JPNPO9BN101</t>
  </si>
  <si>
    <t>13-CC0402JPNPO9BN101CT-ND</t>
  </si>
  <si>
    <t>120P/0402/50V/C0G</t>
  </si>
  <si>
    <t xml:space="preserve">CAP SM 0402 120pF 50V C0G </t>
  </si>
  <si>
    <t>CC0402JRNPO9BN121</t>
  </si>
  <si>
    <t>311-3337-1-ND</t>
  </si>
  <si>
    <t>CC0402JPNPO9BN121</t>
  </si>
  <si>
    <t>13-CC0402JPNPO9BN121CT-ND</t>
  </si>
  <si>
    <t>150P/0402/50V/C0G</t>
  </si>
  <si>
    <t xml:space="preserve">CAP SM 0402 150pF 50V C0G </t>
  </si>
  <si>
    <t>CC0402JRNPO9BN151</t>
  </si>
  <si>
    <t>311-1025-1-ND</t>
  </si>
  <si>
    <t>CC0402JPNPO9BN151</t>
  </si>
  <si>
    <t>13-CC0402JPNPO9BN151CT-ND</t>
  </si>
  <si>
    <t>180P/0402/50V/C0G</t>
  </si>
  <si>
    <t xml:space="preserve">CAP SM 0402 180pF 50V C0G </t>
  </si>
  <si>
    <t>CC0402JRNPO9BN181</t>
  </si>
  <si>
    <t>311-1663-1-ND</t>
  </si>
  <si>
    <t>CC0402GRNPO9BN181</t>
  </si>
  <si>
    <t>311-3333-1-ND</t>
  </si>
  <si>
    <t>220P/0402/50V/C0G</t>
  </si>
  <si>
    <t xml:space="preserve">CAP SM 0402 220pF 50V C0G </t>
  </si>
  <si>
    <t>CC0402JRNPO9BN221</t>
  </si>
  <si>
    <t>311-1416-1-ND</t>
  </si>
  <si>
    <t>CC0402JPNPO9BN221</t>
  </si>
  <si>
    <t>13-CC0402JPNPO9BN221CT-ND</t>
  </si>
  <si>
    <t>270P/0402/50V/C0G</t>
  </si>
  <si>
    <t xml:space="preserve">CAP SM 0402 270pF 50V C0G </t>
  </si>
  <si>
    <t>CC0402JRNPO9BN271</t>
  </si>
  <si>
    <t>311-1665-1-ND</t>
  </si>
  <si>
    <t>CC0402GRNPO9BN271</t>
  </si>
  <si>
    <t>13-CC0402GRNPO9BN271CT-ND</t>
  </si>
  <si>
    <t>330P/0402/50V/C0G</t>
  </si>
  <si>
    <t xml:space="preserve">CAP SM 0402 330pF 50V C0G </t>
  </si>
  <si>
    <t>CC0402JRNPO9BN331</t>
  </si>
  <si>
    <t>311-1667-1-ND</t>
  </si>
  <si>
    <t>CC0402JPNPO9BN331</t>
  </si>
  <si>
    <t>13-CC0402JPNPO9BN331CT-ND</t>
  </si>
  <si>
    <t>390P/0402/50V/C0G</t>
  </si>
  <si>
    <t xml:space="preserve">CAP SM 0402 390pF 50V C0G </t>
  </si>
  <si>
    <t>CC0402JRNPO9BN391</t>
  </si>
  <si>
    <t>311-1669-1-ND</t>
  </si>
  <si>
    <t>CC0402GRNPO9BN391</t>
  </si>
  <si>
    <t>13-CC0402GRNPO9BN391CT-ND</t>
  </si>
  <si>
    <t>470P/0402/50V/C0G</t>
  </si>
  <si>
    <t xml:space="preserve">CAP SM 0402 470pF 50V C0G </t>
  </si>
  <si>
    <t>CC0402JRNPO9BN471</t>
  </si>
  <si>
    <t>311-1671-1-ND</t>
  </si>
  <si>
    <t>CC0402JPNPO9BN471</t>
  </si>
  <si>
    <t>13-CC0402JPNPO9BN471CT-ND</t>
  </si>
  <si>
    <t>560P/0402/50V/C0G</t>
  </si>
  <si>
    <t xml:space="preserve">CAP SM 0402 560pF 50V C0G </t>
  </si>
  <si>
    <t>CC0402GRNPO9BN561</t>
  </si>
  <si>
    <t>13-CC0402GRNPO9BN561CT-ND</t>
  </si>
  <si>
    <t>CC0402JRNPO9BN561</t>
  </si>
  <si>
    <t>311-1673-1-ND</t>
  </si>
  <si>
    <t>680P/0402/50V/C0G</t>
  </si>
  <si>
    <t xml:space="preserve">CAP SM 0402 680pF 50V C0G </t>
  </si>
  <si>
    <t>CC0402JRNPO9BN681</t>
  </si>
  <si>
    <t>311-1675-1-ND</t>
  </si>
  <si>
    <t>CC0402FRNPO9BN681</t>
  </si>
  <si>
    <t>13-CC0402FRNPO9BN681CT-ND</t>
  </si>
  <si>
    <t>820P/0402/50V/C0G</t>
  </si>
  <si>
    <t xml:space="preserve">CAP SM 0402 820pF 50V C0G </t>
  </si>
  <si>
    <t>CC0402JRNPO9BN821</t>
  </si>
  <si>
    <t>13-CC0402JRNPO9BN821CT-ND</t>
  </si>
  <si>
    <t xml:space="preserve">CAP SM 0402 1.0nF 50V C0G </t>
  </si>
  <si>
    <t>CC0402GRNPO9BN102</t>
  </si>
  <si>
    <t>13-CC0402GRNPO9BN102CT-ND</t>
  </si>
  <si>
    <t>CC0402JRNPO9BN102</t>
  </si>
  <si>
    <t>311-1661-1-ND</t>
  </si>
  <si>
    <t>100P/0402/50V/X7R</t>
  </si>
  <si>
    <t xml:space="preserve">CAP SM 0402 100pF 50V X7R </t>
  </si>
  <si>
    <t>CAP0402_X7R</t>
  </si>
  <si>
    <t>CC0402KRX7R9BB101</t>
  </si>
  <si>
    <t>311-1419-1-ND</t>
  </si>
  <si>
    <t>CC0402KPX7R9BB101</t>
  </si>
  <si>
    <t>13-CC0402KPX7R9BB101CT-ND</t>
  </si>
  <si>
    <t>120P/0402/50V/X7R</t>
  </si>
  <si>
    <t xml:space="preserve">CAP SM 0402 120pF 50V X7R </t>
  </si>
  <si>
    <t>CC0402KRX7R9BB121</t>
  </si>
  <si>
    <t>311-3812-1-ND</t>
  </si>
  <si>
    <t>CC0402JRX7R9BB121</t>
  </si>
  <si>
    <t>13-CC0402JRX7R9BB121CT-ND</t>
  </si>
  <si>
    <t>150P/0402/50V/X7R</t>
  </si>
  <si>
    <t xml:space="preserve">CAP SM 0402 150pF 50V X7R </t>
  </si>
  <si>
    <t>CC0402KRX7R9BB151</t>
  </si>
  <si>
    <t>311-3610-1-ND</t>
  </si>
  <si>
    <t>CC0402JRX7R9BB151</t>
  </si>
  <si>
    <t>13-CC0402JRX7R9BB151CT-ND</t>
  </si>
  <si>
    <t>180P/0402/50V/X7R</t>
  </si>
  <si>
    <t xml:space="preserve">CAP SM 0402 180pF 50V X7R </t>
  </si>
  <si>
    <t>CC0402KRX7R9BB181</t>
  </si>
  <si>
    <t>311-3612-1-ND</t>
  </si>
  <si>
    <t>CC0402JRX7R9BB181</t>
  </si>
  <si>
    <t>13-CC0402JRX7R9BB181CT-ND</t>
  </si>
  <si>
    <t>220P/0402/50V/X7R</t>
  </si>
  <si>
    <t xml:space="preserve">CAP SM 0402 220pF 50V X7R </t>
  </si>
  <si>
    <t>CC0402KRX7R9BB221</t>
  </si>
  <si>
    <t>311-1035-1-ND</t>
  </si>
  <si>
    <t>CC0402KPX7R9BB221</t>
  </si>
  <si>
    <t>13-CC0402KPX7R9BB221CT-ND</t>
  </si>
  <si>
    <t>270P/0402/50V/X7R</t>
  </si>
  <si>
    <t xml:space="preserve">CAP SM 0402 270pF 50V X7R </t>
  </si>
  <si>
    <t>CC0402KRX7R9BB271</t>
  </si>
  <si>
    <t>311-1723-1-ND</t>
  </si>
  <si>
    <t>CC0402JRX7R9BB271</t>
  </si>
  <si>
    <t>311-3766-1-ND</t>
  </si>
  <si>
    <t>330P/0402/50V/X7R</t>
  </si>
  <si>
    <t xml:space="preserve">CAP SM 0402 330pF 50V X7R </t>
  </si>
  <si>
    <t>CC0402KRX7R9BB331</t>
  </si>
  <si>
    <t>311-1027-1-ND</t>
  </si>
  <si>
    <t>CC0402KPX7R9BB331</t>
  </si>
  <si>
    <t>13-CC0402KPX7R9BB331CT-ND</t>
  </si>
  <si>
    <t>390P/0402/50V/X7R</t>
  </si>
  <si>
    <t xml:space="preserve">CAP SM 0402 390pF 50V X7R </t>
  </si>
  <si>
    <t>CC0402KRX7R9BB391</t>
  </si>
  <si>
    <t>311-1724-1-ND</t>
  </si>
  <si>
    <t>CC0402JRX7R9BB391</t>
  </si>
  <si>
    <t>311-3770-1-ND</t>
  </si>
  <si>
    <t>470P/0402/50V/X7R</t>
  </si>
  <si>
    <t xml:space="preserve">CAP SM 0402 470pF 50V X7R </t>
  </si>
  <si>
    <t>CC0402KRX7R9BB471</t>
  </si>
  <si>
    <t>311-1028-1-ND</t>
  </si>
  <si>
    <t>CC0402KPX7R9BB471</t>
  </si>
  <si>
    <t>13-CC0402KPX7R9BB471CT-ND</t>
  </si>
  <si>
    <t>560P/0402/50V/X7R</t>
  </si>
  <si>
    <t xml:space="preserve">CAP SM 0402 560pF 50V X7R </t>
  </si>
  <si>
    <t>CC0402KRX7R9BB561</t>
  </si>
  <si>
    <t>311-1029-1-ND</t>
  </si>
  <si>
    <t>CC0402JRX7R9BB561</t>
  </si>
  <si>
    <t>311-3772-1-ND</t>
  </si>
  <si>
    <t>680P/0402/50V/X7R</t>
  </si>
  <si>
    <t xml:space="preserve">CAP SM 0402 680pF 50V X7R </t>
  </si>
  <si>
    <t>CC0402KPX7R9BB681</t>
  </si>
  <si>
    <t>13-CC0402KPX7R9BB681CT-ND</t>
  </si>
  <si>
    <t>CC0402KRX7R9BB681</t>
  </si>
  <si>
    <t>311-1030-1-ND</t>
  </si>
  <si>
    <t>820P/0402/50V/X7R</t>
  </si>
  <si>
    <t xml:space="preserve">CAP SM 0402 820pF 50V X7R </t>
  </si>
  <si>
    <t>CC0402KRX7R9BB821</t>
  </si>
  <si>
    <t>311-1727-1-ND</t>
  </si>
  <si>
    <t>CC0402JRX7R9BB821</t>
  </si>
  <si>
    <t>311-3776-1-ND</t>
  </si>
  <si>
    <t xml:space="preserve">CAP SM 0402 1.0nF 50V X7R </t>
  </si>
  <si>
    <t>CC0402MRX7R9BB102</t>
  </si>
  <si>
    <t>311-1414-1-ND</t>
  </si>
  <si>
    <t>CC0402KRX7R9BB102</t>
  </si>
  <si>
    <t>311-1036-1-ND</t>
  </si>
  <si>
    <t xml:space="preserve">CAP SM 0402 1.2nF 50V X7R </t>
  </si>
  <si>
    <t>CC0402KRX7R9BB122</t>
  </si>
  <si>
    <t>311-1031-1-ND</t>
  </si>
  <si>
    <t>CC0402KPX7R9BB122</t>
  </si>
  <si>
    <t>13-CC0402KPX7R9BB122CT-ND</t>
  </si>
  <si>
    <t xml:space="preserve">CAP SM 0402 1.5nF 50V X7R </t>
  </si>
  <si>
    <t>CC0402KPX7R9BB152</t>
  </si>
  <si>
    <t>13-CC0402KPX7R9BB152CT-ND</t>
  </si>
  <si>
    <t>CC0402KRX7R9BB152</t>
  </si>
  <si>
    <t>311-1032-1-ND</t>
  </si>
  <si>
    <t xml:space="preserve">CAP SM 0402 1.8nF 50V X7R </t>
  </si>
  <si>
    <t>CC0402KRX7R9BB182</t>
  </si>
  <si>
    <t>311-1721-1-ND</t>
  </si>
  <si>
    <t>CC0402KPX7R9BB182</t>
  </si>
  <si>
    <t>13-CC0402KPX7R9BB182CT-ND</t>
  </si>
  <si>
    <t xml:space="preserve">CAP SM 0402 2.2nF 50V X7R </t>
  </si>
  <si>
    <t>CC0402KRX7R9BB222</t>
  </si>
  <si>
    <t>311-1037-1-ND</t>
  </si>
  <si>
    <t>CC0402KPX7R9BB222</t>
  </si>
  <si>
    <t>13-CC0402KPX7R9BB222CT-ND</t>
  </si>
  <si>
    <t xml:space="preserve">CAP SM 0402 2.7nF 50V X7R </t>
  </si>
  <si>
    <t>CC0402KRX7R9BB272</t>
  </si>
  <si>
    <t>311-1033-1-ND</t>
  </si>
  <si>
    <t>CC0402KPX7R9BB272</t>
  </si>
  <si>
    <t>13-CC0402KPX7R9BB272CT-ND</t>
  </si>
  <si>
    <t xml:space="preserve">CAP SM 0402 3.3nF 50V X7R </t>
  </si>
  <si>
    <t>CC0402KRX7R9BB332</t>
  </si>
  <si>
    <t>311-1034-1-ND</t>
  </si>
  <si>
    <t>CC0402KPX7R9BB332</t>
  </si>
  <si>
    <t>13-CC0402KPX7R9BB332CT-ND</t>
  </si>
  <si>
    <t xml:space="preserve">CAP SM 0402 3.9nF 50V X7R </t>
  </si>
  <si>
    <t>CC0402KRX7R9BB392</t>
  </si>
  <si>
    <t>311-1725-1-ND</t>
  </si>
  <si>
    <t>CC0402JRX7R9BB392</t>
  </si>
  <si>
    <t>311-3771-1-ND</t>
  </si>
  <si>
    <t xml:space="preserve">CAP SM 0402 4.7nF 50V X7R </t>
  </si>
  <si>
    <t>CC0402KRX7R9BB472</t>
  </si>
  <si>
    <t>311-1418-1-ND</t>
  </si>
  <si>
    <t>CC0402KPX7R9BB472</t>
  </si>
  <si>
    <t>13-CC0402KPX7R9BB472CT-ND</t>
  </si>
  <si>
    <t xml:space="preserve">CAP SM 0402 5.6nF 50V X7R </t>
  </si>
  <si>
    <t>CC0402KRX7R9BB562</t>
  </si>
  <si>
    <t>311-3816-1-ND</t>
  </si>
  <si>
    <t>CC0402JRX7R9BB562</t>
  </si>
  <si>
    <t>311-3773-1-ND</t>
  </si>
  <si>
    <t xml:space="preserve">CAP SM 0402 6.8nF 50V X7R </t>
  </si>
  <si>
    <t>CC0402KRX7R9BB682</t>
  </si>
  <si>
    <t>311-1726-1-ND</t>
  </si>
  <si>
    <t>CC0402JRX7R9BB682</t>
  </si>
  <si>
    <t>311-3775-1-ND</t>
  </si>
  <si>
    <t xml:space="preserve">CAP SM 0402 8.2nF 50V X7R </t>
  </si>
  <si>
    <t>CC0402KRX7R9BB822</t>
  </si>
  <si>
    <t>311-3817-1-ND</t>
  </si>
  <si>
    <t>CC0402JRX7R9BB822</t>
  </si>
  <si>
    <t>13-CC0402JRX7R9BB822CT-ND</t>
  </si>
  <si>
    <t>10N/0402/50V/X7R</t>
  </si>
  <si>
    <t xml:space="preserve">CAP SM 0402 10nF 50V X7R </t>
  </si>
  <si>
    <t>CC0402KRX7R9BB103</t>
  </si>
  <si>
    <t>311-1349-1-ND</t>
  </si>
  <si>
    <t>CC0402KPX7R9BB103</t>
  </si>
  <si>
    <t>13-CC0402KPX7R9BB103CT-ND</t>
  </si>
  <si>
    <t>12N/0402/50V/X7R</t>
  </si>
  <si>
    <t xml:space="preserve">CAP SM 0402 12nF 50V X7R </t>
  </si>
  <si>
    <t>CC0402KRX7R9BB123</t>
  </si>
  <si>
    <t>13-CC0402KRX7R9BB123CT-ND</t>
  </si>
  <si>
    <t>15N/0402/50V/X7R</t>
  </si>
  <si>
    <t xml:space="preserve">CAP SM 0402 15nF 50V X7R </t>
  </si>
  <si>
    <t>CC0402JRX7R9BB153</t>
  </si>
  <si>
    <t>13-CC0402JRX7R9BB153CT-ND</t>
  </si>
  <si>
    <t>CC0402KRX7R9BB153</t>
  </si>
  <si>
    <t>311-3813-1-ND</t>
  </si>
  <si>
    <t>18N/0402/50V/X7R</t>
  </si>
  <si>
    <t xml:space="preserve">CAP SM 0402 18nF 50V X7R </t>
  </si>
  <si>
    <t>CC0402KRX7R9BB183</t>
  </si>
  <si>
    <t>13-CC0402KRX7R9BB183CT-ND</t>
  </si>
  <si>
    <t>22N/0402/50V/X7R</t>
  </si>
  <si>
    <t xml:space="preserve">CAP SM 0402 22nF 50V X7R </t>
  </si>
  <si>
    <t>CC0402KRX7R9BB223</t>
  </si>
  <si>
    <t>311-1722-1-ND</t>
  </si>
  <si>
    <t>CC0402KPX7R9BB223</t>
  </si>
  <si>
    <t>13-CC0402KPX7R9BB223CT-ND</t>
  </si>
  <si>
    <t>27N/0402/50V/X7R</t>
  </si>
  <si>
    <t xml:space="preserve">CAP SM 0402 27nF 50V X7R </t>
  </si>
  <si>
    <t>CC0402KRX7R9BB273</t>
  </si>
  <si>
    <t>13-CC0402KRX7R9BB273CT-ND</t>
  </si>
  <si>
    <t>33N/0402/50V/X7R</t>
  </si>
  <si>
    <t xml:space="preserve">CAP SM 0402 33nF 50V X7R </t>
  </si>
  <si>
    <t>CC0402KRX7R9BB333</t>
  </si>
  <si>
    <t>13-CC0402KRX7R9BB333CT-ND</t>
  </si>
  <si>
    <t>CC0402JRX7R9BB333</t>
  </si>
  <si>
    <t>13-CC0402JRX7R9BB333CT-ND</t>
  </si>
  <si>
    <t>39N/0402/50V/X7R</t>
  </si>
  <si>
    <t xml:space="preserve">CAP SM 0402 39nF 50V X7R </t>
  </si>
  <si>
    <t>CC0402JRX7R9BB393</t>
  </si>
  <si>
    <t>13-CC0402JRX7R9BB393CT-ND</t>
  </si>
  <si>
    <t>CC0402KRX7R9BB393</t>
  </si>
  <si>
    <t>13-CC0402KRX7R9BB393CT-ND</t>
  </si>
  <si>
    <t>47N/0402/50V/X7R</t>
  </si>
  <si>
    <t xml:space="preserve">CAP SM 0402 47nF 50V X7R </t>
  </si>
  <si>
    <t>CC0402KRX7R9BB473</t>
  </si>
  <si>
    <t>311-3815-1-ND</t>
  </si>
  <si>
    <t>CC0402JRX7R9BB473</t>
  </si>
  <si>
    <t>13-CC0402JRX7R9BB473CT-ND</t>
  </si>
  <si>
    <t>56N/0402/50V/X7R</t>
  </si>
  <si>
    <t xml:space="preserve">CAP SM 0402 56nF 50V X7R </t>
  </si>
  <si>
    <t>CC0402KRX7R9BB563</t>
  </si>
  <si>
    <t>13-CC0402KRX7R9BB563CT-ND</t>
  </si>
  <si>
    <t>68N/0402/50V/X7R</t>
  </si>
  <si>
    <t xml:space="preserve">CAP SM 0402 68nF 50V X7R </t>
  </si>
  <si>
    <t>CC0402KRX7R9BB683</t>
  </si>
  <si>
    <t>13-CC0402KRX7R9BB683CT-ND</t>
  </si>
  <si>
    <t>100N/0402/50V/X7R</t>
  </si>
  <si>
    <t xml:space="preserve">CAP SM 0402 100nF 50V X7R </t>
  </si>
  <si>
    <t>CC0402KRX7R9BB104</t>
  </si>
  <si>
    <t>311-3566-1-ND</t>
  </si>
  <si>
    <t>CC0402KPX7R9BB104</t>
  </si>
  <si>
    <t>13-CC0402KPX7R9BB104CT-ND</t>
  </si>
  <si>
    <t>1276-1946-1-ND</t>
  </si>
  <si>
    <t>CL10B105KP8NNNC</t>
  </si>
  <si>
    <t>https://mm.digikey.com/Volume0/opasdata/d220001/medias/docus/3584/CL10B105KP8NNNC_Spec.pdf</t>
  </si>
  <si>
    <t>1276-1860-1-ND</t>
  </si>
  <si>
    <t>https://mm.digikey.com/Volume0/opasdata/d220001/medias/docus/658/CL10A105KB8NNNC_Spec.pdf</t>
  </si>
  <si>
    <t>490-GRM21BR61H106KE43KCT-ND</t>
  </si>
  <si>
    <t>GRM21BR61H106KE43K</t>
  </si>
  <si>
    <t>https://search.murata.co.jp/Ceramy/image/img/A01X/G101/ENG/GRM21BR61H106KE43-01A.pdf</t>
  </si>
  <si>
    <t>1276-CL21A226MAYNNNECT-ND</t>
  </si>
  <si>
    <t>CL21A226MAYNNNE</t>
  </si>
  <si>
    <t>https://mm.digikey.com/Volume0/opasdata/d220001/medias/docus/339/CL21A226MAYNNNE_Spec.pdf</t>
  </si>
  <si>
    <t>22N/0603/100V/X7R</t>
  </si>
  <si>
    <t>399-C0603C223K1RAC7867CT-ND</t>
  </si>
  <si>
    <t>KEMET</t>
  </si>
  <si>
    <t>C0603C223K1RAC7867</t>
  </si>
  <si>
    <t>https://connect.kemet.com:7667/gateway/IntelliData-ComponentDocumentation/1.0/download/datasheet/C0603C223K1RACTU</t>
  </si>
  <si>
    <t>C388010</t>
  </si>
  <si>
    <t>0603B223K101CT</t>
  </si>
  <si>
    <t>100N/0603/100V/X7R</t>
  </si>
  <si>
    <t>CAP SM 0603 100nF 100V X7R</t>
  </si>
  <si>
    <t>CAP SM 0603 22nF 100V X7R</t>
  </si>
  <si>
    <t>1276-6807-1-ND</t>
  </si>
  <si>
    <t>CL10B104KC8NNNC</t>
  </si>
  <si>
    <t>https://mm.digikey.com/Volume0/opasdata/d220001/medias/docus/1296/CL10B104KC8NNNC_Spec.pdf</t>
  </si>
  <si>
    <t>HRE</t>
  </si>
  <si>
    <t>4.7uF</t>
  </si>
  <si>
    <t>https://search.murata.co.jp/Ceramy/image/img/A01X/G101/ENG/GRM31CC72A475ME11-01A.pdf</t>
  </si>
  <si>
    <t>490-18621-1-ND</t>
  </si>
  <si>
    <t>GRM31CC72A475ME11L</t>
  </si>
  <si>
    <t>CAP1210_X7R</t>
  </si>
  <si>
    <t>CAP SM 1210 4.7uF 100V X7S</t>
  </si>
  <si>
    <t>C6120041</t>
  </si>
  <si>
    <t>CGA1210X7S475K101RT</t>
  </si>
  <si>
    <t>CAP SM 0805 4.7uF 16V X7R</t>
  </si>
  <si>
    <t>490-14466-1-ND</t>
  </si>
  <si>
    <t>GRM21BR71C475KE51L</t>
  </si>
  <si>
    <t>https://search.murata.co.jp/Ceramy/image/img/A01X/G101/ENG/GRM21BR71C475KE51-01.pdf</t>
  </si>
  <si>
    <t>CCTC</t>
  </si>
  <si>
    <t>C7393897</t>
  </si>
  <si>
    <t>TCC0603X5R475M160CT</t>
  </si>
  <si>
    <t>22U/1210/16V/X7R</t>
  </si>
  <si>
    <t>CAP SM 1210 22uF 16V X7R</t>
  </si>
  <si>
    <t>https://www.samsungsem.com/resources/file/global/support/product_catalog/MLCC.pdf</t>
  </si>
  <si>
    <t>CL32B226MOJNNNE</t>
  </si>
  <si>
    <t>1276-3395-1-ND</t>
  </si>
  <si>
    <t>CS3225X5R226K160NRL</t>
  </si>
  <si>
    <t>C2918506</t>
  </si>
  <si>
    <t>Samwha Capacitor</t>
  </si>
  <si>
    <t>VSS8D2M10HM3/I</t>
  </si>
  <si>
    <t>100V 560mV@2A 2A DO-221AD Automotive Schottky Barrier Diode</t>
  </si>
  <si>
    <t>DO-221AD, SOD-128</t>
  </si>
  <si>
    <t>SOD4026X100</t>
  </si>
  <si>
    <t>https://www.vishay.com/docs/87442/vss8d2m10.pdf</t>
  </si>
  <si>
    <t>112-VSS8D2M10HM3/ICT-ND</t>
  </si>
  <si>
    <t>SS210LB</t>
  </si>
  <si>
    <t>SS210</t>
  </si>
  <si>
    <t>100V Single 600mV 2A SMB Schottky Barrier Diodes</t>
  </si>
  <si>
    <t>C5125726</t>
  </si>
  <si>
    <t>JUXING</t>
  </si>
  <si>
    <t>1801-SS210CT-ND</t>
  </si>
  <si>
    <t>https://datasheet.lcsc.com/lcsc/2208081830_JUXING-SS210LB_C5125726.pdf</t>
  </si>
  <si>
    <t>SL510B</t>
  </si>
  <si>
    <t>100V Single 700mV 5A SMB Schottky Barrier Diodes</t>
  </si>
  <si>
    <t>https://goodarksemi.com/docs/datasheets/schottky_rectifiers/SL52B-SL510B.pdf</t>
  </si>
  <si>
    <t>4786-SL510BCT-ND</t>
  </si>
  <si>
    <t>NH</t>
  </si>
  <si>
    <t>C7428118</t>
  </si>
  <si>
    <t>SDT5A100SB-13</t>
  </si>
  <si>
    <t>31-SDT5A100SB-13CT-ND</t>
  </si>
  <si>
    <t>Diodes Incorporated</t>
  </si>
  <si>
    <t>https://www.diodes.com/assets/Datasheets/SDT5A100SB.pdf</t>
  </si>
  <si>
    <t>100V Single 660mV 5A SMB Schottky Barrier Diodes</t>
  </si>
  <si>
    <t>155124RV73200</t>
  </si>
  <si>
    <t>LED Bicolor Green Red Seitenansicht</t>
  </si>
  <si>
    <t>Würth Elektronik</t>
  </si>
  <si>
    <t>732-11416-1-ND</t>
  </si>
  <si>
    <t>https://www.we-online.com/katalog/datasheet/155124RV73200.pdf</t>
  </si>
  <si>
    <t>Green/Red</t>
  </si>
  <si>
    <t>LED_GREEN_RED</t>
  </si>
  <si>
    <t>LEDS3210X150</t>
  </si>
  <si>
    <t>APBA3010ESGC-GX</t>
  </si>
  <si>
    <t>C5944338</t>
  </si>
  <si>
    <t>Kingbright</t>
  </si>
  <si>
    <t>PCB/THT_Connectors.PcbLib</t>
  </si>
  <si>
    <t>TPS2376DDAR-H</t>
  </si>
  <si>
    <t>296-46378-1-ND</t>
  </si>
  <si>
    <t>C544899</t>
  </si>
  <si>
    <t>SOIC-8</t>
  </si>
  <si>
    <t>https://www.ti.com/lit/ds/symlink/tps2376-h.pdf</t>
  </si>
  <si>
    <t>https://recom-power.com/pdf/Innoline/RPX-1.0.pdf</t>
  </si>
  <si>
    <t>945-RPX-1.0-RCT-ND</t>
  </si>
  <si>
    <t>RPX-1.0-R</t>
  </si>
  <si>
    <t>Recom Power</t>
  </si>
  <si>
    <t>QFN050P300X500X160-16</t>
  </si>
  <si>
    <t>PCB/QFN.PcbLib</t>
  </si>
  <si>
    <t>MAX5035DUSA+TCT-ND</t>
  </si>
  <si>
    <t>MAX5035DUSA+T</t>
  </si>
  <si>
    <t>Analog Devices Inc./Maxim Integrated</t>
  </si>
  <si>
    <t>https://www.analog.com/media/en/technical-documentation/data-sheets/max5035.pdf</t>
  </si>
  <si>
    <t>QFN-16</t>
  </si>
  <si>
    <t>MAX5035</t>
  </si>
  <si>
    <t>MAX5035CUSA</t>
  </si>
  <si>
    <t>MAX5035DUSA</t>
  </si>
  <si>
    <t>MAX5035CUSA+-ND</t>
  </si>
  <si>
    <t>MAX5035CUSA+</t>
  </si>
  <si>
    <t>MAX5035DASA+T</t>
  </si>
  <si>
    <t>C15940</t>
  </si>
  <si>
    <t>Colibri-i.MX7</t>
  </si>
  <si>
    <t>Toradex</t>
  </si>
  <si>
    <t>Colibri i.MX7</t>
  </si>
  <si>
    <t>SCH/Toradex.SchLib</t>
  </si>
  <si>
    <t>iMX7</t>
  </si>
  <si>
    <t>1-1473005-1</t>
  </si>
  <si>
    <t>A121565-ND</t>
  </si>
  <si>
    <t>TE Connectivity AMP Connectors</t>
  </si>
  <si>
    <t>IC RTC CLOCK/CALENDAR I2C 16SO</t>
  </si>
  <si>
    <t>NXP USA Inc.</t>
  </si>
  <si>
    <t>SOIC-16</t>
  </si>
  <si>
    <t>PCA2129T</t>
  </si>
  <si>
    <t>https://www.nxp.com/docs/en/data-sheet/PCA2129.pdf</t>
  </si>
  <si>
    <t>C2669528</t>
  </si>
  <si>
    <t>568-10183-1-ND</t>
  </si>
  <si>
    <t>BAV199-QR</t>
  </si>
  <si>
    <t>1727-BAV199-QRCT-ND</t>
  </si>
  <si>
    <t>Nexperia USA Inc.</t>
  </si>
  <si>
    <t>https://assets.nexperia.com/documents/data-sheet/BAV199-Q.pdf</t>
  </si>
  <si>
    <t>Low-leakage double diode</t>
  </si>
  <si>
    <t>C68971</t>
  </si>
  <si>
    <t>BAV199</t>
  </si>
  <si>
    <t>D_Serie</t>
  </si>
  <si>
    <t>VMF106M3R8</t>
  </si>
  <si>
    <t>10F/RADIAL/3.8V</t>
  </si>
  <si>
    <t>CAP THT 8x16 10F EDLC 3.8V</t>
  </si>
  <si>
    <t>RADIAL</t>
  </si>
  <si>
    <t>10F</t>
  </si>
  <si>
    <t>C_ELEC</t>
  </si>
  <si>
    <t>PCB/C_THT.PcbLib</t>
  </si>
  <si>
    <t>https://www.cde.com/resources/catalogs/VMF.pdf</t>
  </si>
  <si>
    <t>Cornell Dubilier Electronics (CDE)</t>
  </si>
  <si>
    <t>338-VMF106M3R8-ND</t>
  </si>
  <si>
    <t>C2999862</t>
  </si>
  <si>
    <t>FH3R8M206T-N0813</t>
  </si>
  <si>
    <t>PESD1CAN-UX</t>
  </si>
  <si>
    <t>CAN bus ESD protection diode</t>
  </si>
  <si>
    <t>1727-1306-1-ND</t>
  </si>
  <si>
    <t>https://assets.nexperia.com/documents/data-sheet/PESD1CAN-U.pdf</t>
  </si>
  <si>
    <t>C152727</t>
  </si>
  <si>
    <t>SOT323</t>
  </si>
  <si>
    <t>1K/0603/FERRITE</t>
  </si>
  <si>
    <t>Ferrite</t>
  </si>
  <si>
    <t>FB0603</t>
  </si>
  <si>
    <t>https://product.tdk.com/en/system/files?file=dam/doc/product/emc/emc/beads/catalog/beads_automotive_power_mpz1608_en.pdf</t>
  </si>
  <si>
    <t>TDK Corporation</t>
  </si>
  <si>
    <t>MPZ1608S102ATD25</t>
  </si>
  <si>
    <t>445-MPZ1608S102ATD25CT-ND</t>
  </si>
  <si>
    <t>C2880084</t>
  </si>
  <si>
    <t>FCM1608KF-102T08</t>
  </si>
  <si>
    <t>TAI-TECH</t>
  </si>
  <si>
    <t>1K@100MHz 800mA 0603 Ferrite</t>
  </si>
  <si>
    <t>51UH/1812/CMC</t>
  </si>
  <si>
    <t>51UH</t>
  </si>
  <si>
    <t>L_CMC_2</t>
  </si>
  <si>
    <t>https://www.murata.com/en-eu/products/productdata/8796758605854/QFLC9101.pdf</t>
  </si>
  <si>
    <t>51uH 230mA Common mode choke</t>
  </si>
  <si>
    <t>4816-ACM4532F2NV-510T02-DCT-ND</t>
  </si>
  <si>
    <t>ACM 4532F2NV-510T02-D</t>
  </si>
  <si>
    <t>TAI-TECH Advanced Electronics Co., Ltd.</t>
  </si>
  <si>
    <t>C2880054</t>
  </si>
  <si>
    <t>ACM4532F2NV-510T02-D</t>
  </si>
  <si>
    <t>C658109</t>
  </si>
  <si>
    <t>ADM3057EBRWZ-RL</t>
  </si>
  <si>
    <t>Analog Devices</t>
  </si>
  <si>
    <t>SOIC-20</t>
  </si>
  <si>
    <t>ADM3057EBRWZ</t>
  </si>
  <si>
    <t>https://www.analog.com/media/en/technical-documentation/data-sheets/ADM3055E-3057E.pdf</t>
  </si>
  <si>
    <t>Analog Devices Inc</t>
  </si>
  <si>
    <t>505-ADM3057EBRWZ-ND</t>
  </si>
  <si>
    <t>TCAN1042HVDRQ1</t>
  </si>
  <si>
    <t>TCAN1042-Q1 Automotive fault protected CAN transceiver with CAN FD</t>
  </si>
  <si>
    <t>296-43938-1-ND</t>
  </si>
  <si>
    <t>https://www.ti.com/general/docs/suppproductinfo.tsp?distId=10&amp;gotoUrl=https%3A%2F%2Fwww.ti.com%2Flit%2Fgpn%2Ftcan1042hgv-q1</t>
  </si>
  <si>
    <t>C485807</t>
  </si>
  <si>
    <t>https://docs.toradex.com/103125-colibri-arm-som-imx7-datasheet.pdf</t>
  </si>
  <si>
    <t>VSSOP-8</t>
  </si>
  <si>
    <t>SPI_Flash_8</t>
  </si>
  <si>
    <t>AT25DN011-SSHF-T</t>
  </si>
  <si>
    <t>IC FLASH 1MBIT SPI 104MHZ 8SOIC</t>
  </si>
  <si>
    <t>Renesas Electronics Corporation</t>
  </si>
  <si>
    <t>https://www.renesas.com/us/en/document/dst/at25dn011-datasheet?language=en</t>
  </si>
  <si>
    <t>Winbond</t>
  </si>
  <si>
    <t>W25X10CLSNIG</t>
  </si>
  <si>
    <t>C56210</t>
  </si>
  <si>
    <t>D_TVS_BIDIR_DUAL</t>
  </si>
  <si>
    <t>KMB210S</t>
  </si>
  <si>
    <t>SMC Diode Solutions</t>
  </si>
  <si>
    <t>BRIDGE RECT 1PHASE 100V 2A MBS</t>
  </si>
  <si>
    <t>D_FB_Rectifier</t>
  </si>
  <si>
    <t>MB-S</t>
  </si>
  <si>
    <t>PCB/DIOB.PcbLib</t>
  </si>
  <si>
    <t>https://www.smc-diodes.com/propdf/KMB22S%20THRU%20KMB220S%20N1952%20REV.B.pdf</t>
  </si>
  <si>
    <t>MB210S</t>
  </si>
  <si>
    <t>C2898374</t>
  </si>
  <si>
    <t>YFW</t>
  </si>
  <si>
    <t>1655-KMB210SCT-ND</t>
  </si>
  <si>
    <t>CON4</t>
  </si>
  <si>
    <t>SD_2908-05WB-MG</t>
  </si>
  <si>
    <t>2908-05WB-MG</t>
  </si>
  <si>
    <t>CONN MICRO SD CARD PUSH-PUSH R/A</t>
  </si>
  <si>
    <t>3M5607CT-ND</t>
  </si>
  <si>
    <t>M12-PCB-THT-2PC-4P-ACOD-M-ANG-SHLD</t>
  </si>
  <si>
    <t>M12-PCB-THT-2PC-4P-DCOD-F-ANG-SHLD</t>
  </si>
  <si>
    <t>1195-6502-ND</t>
  </si>
  <si>
    <t>HARTING</t>
  </si>
  <si>
    <t>CON5</t>
  </si>
  <si>
    <t>1195-6496-ND</t>
  </si>
  <si>
    <t>https://b2b.harting.com/files/download/PRD/PDF_TS/21033213401_100671219DRW000A.pdf</t>
  </si>
  <si>
    <t>https://b2b.harting.com/files/download/PRD/PDF_TS/21033814440_100651928DRW000C.pdf</t>
  </si>
  <si>
    <t>C2977267</t>
  </si>
  <si>
    <t>HX2019NLT</t>
  </si>
  <si>
    <t>Pulse Elec</t>
  </si>
  <si>
    <t>HX2019NL</t>
  </si>
  <si>
    <t>MODULE MAGNETICS POE SINGLE VOIP</t>
  </si>
  <si>
    <t>Pulse Electronics</t>
  </si>
  <si>
    <t>553-1616-5-ND</t>
  </si>
  <si>
    <t>XFMR_HX2019</t>
  </si>
  <si>
    <t>Pulse_2Channel_CT</t>
  </si>
  <si>
    <t>Micro SD</t>
  </si>
  <si>
    <t>RC0603FR-0751K1L</t>
  </si>
  <si>
    <t>311-51.1KHRCT-ND</t>
  </si>
  <si>
    <t>FRC0603F5112TS</t>
  </si>
  <si>
    <t>FOJAN</t>
  </si>
  <si>
    <t>C2933234</t>
  </si>
  <si>
    <t>220UH/SRR1280</t>
  </si>
  <si>
    <t>FIXED IND 220UH 1.6A 400MOHM SMD</t>
  </si>
  <si>
    <t>Buorns Inc</t>
  </si>
  <si>
    <t>SRR1280-221K</t>
  </si>
  <si>
    <t>SRR1280-221KLCT-ND</t>
  </si>
  <si>
    <t>INDM125125X800</t>
  </si>
  <si>
    <t>220UH</t>
  </si>
  <si>
    <t>12.5x12.5mm</t>
  </si>
  <si>
    <t>https://www.bourns.com/docs/Product-Datasheets/SRR1280.pdf</t>
  </si>
  <si>
    <t>C5339683</t>
  </si>
  <si>
    <t>XRRH129-221M</t>
  </si>
  <si>
    <t>XR</t>
  </si>
  <si>
    <t>FIXED IND 2.2UH 4A 52 MOHM SMD</t>
  </si>
  <si>
    <t>5.7x5.2mm</t>
  </si>
  <si>
    <t>INDM5752X130</t>
  </si>
  <si>
    <t>https://www.bourns.com/docs/Product-Datasheets/SRP5015TA.pdf</t>
  </si>
  <si>
    <t>SRP5015TA-2R2M</t>
  </si>
  <si>
    <t>SRP5015TA-2R2MCT-ND</t>
  </si>
  <si>
    <t>YSPI0520-2R2M</t>
  </si>
  <si>
    <t>YJYCOIN</t>
  </si>
  <si>
    <t>C718375</t>
  </si>
  <si>
    <t>82UF/RADIAL/80V</t>
  </si>
  <si>
    <t>CAP THT 8x16 82UF ELKO 80V</t>
  </si>
  <si>
    <t>82UF</t>
  </si>
  <si>
    <t>https://industrial.panasonic.com/cdbs/www-data/pdf/RDF0000/ABA0000C1255.pdf</t>
  </si>
  <si>
    <t>Panasonic Electronic Components</t>
  </si>
  <si>
    <t>PCE5205-ND</t>
  </si>
  <si>
    <t>EEU-FS1K820</t>
  </si>
  <si>
    <t>ADM3057E</t>
  </si>
  <si>
    <t>R1206-0.80-WW</t>
  </si>
  <si>
    <t xml:space="preserve">RES SM 1206 60.4 </t>
  </si>
  <si>
    <t>60.4R/1206</t>
  </si>
  <si>
    <t>FRC1206F60R4TS</t>
  </si>
  <si>
    <t>C2933738</t>
  </si>
  <si>
    <t>311-60.4FRCT-ND</t>
  </si>
  <si>
    <t>RC1206FR-0760R4L</t>
  </si>
  <si>
    <t>10N/0603/100V/X7R</t>
  </si>
  <si>
    <t>CAP SM 0603 10nF 100V X7R</t>
  </si>
  <si>
    <t>https://www.vishay.com/docs/45230/ga31gautomotivemlcc.pdf</t>
  </si>
  <si>
    <t>Vishay Vitramon</t>
  </si>
  <si>
    <t>GA0603Y103MXBAC31G</t>
  </si>
  <si>
    <t>720-GA0603Y103MXBAC31GTR-ND</t>
  </si>
  <si>
    <t>0603B103K101NT</t>
  </si>
  <si>
    <t>C43253</t>
  </si>
  <si>
    <t>PEM M1.6, 3mm</t>
  </si>
  <si>
    <t>Solder Nut M1.6x0.35, 3mm</t>
  </si>
  <si>
    <t>Nut</t>
  </si>
  <si>
    <t>732-13691-1-ND</t>
  </si>
  <si>
    <t>9774030633R</t>
  </si>
  <si>
    <t>https://productfinder.pulseelectronics.com/api/open/part-attachments/datasheet/HX2019NL</t>
  </si>
  <si>
    <t>15R/1206</t>
  </si>
  <si>
    <t>RES SM 1206 15</t>
  </si>
  <si>
    <t>311-15.0FRCT-ND</t>
  </si>
  <si>
    <t>RC1206FR-0715RL</t>
  </si>
  <si>
    <t>FRC1206F15R0TS</t>
  </si>
  <si>
    <t>C2933601</t>
  </si>
  <si>
    <t>Fidu_1mm</t>
  </si>
  <si>
    <t>Fidu</t>
  </si>
  <si>
    <t>Testpoint_inline</t>
  </si>
  <si>
    <t>TP_IL_SMD_1</t>
  </si>
  <si>
    <t>21033213401</t>
  </si>
  <si>
    <t>21033814440</t>
  </si>
  <si>
    <t>Eurocircuits GPN</t>
  </si>
  <si>
    <t>60R4</t>
  </si>
  <si>
    <t>51R1</t>
  </si>
  <si>
    <t>0805</t>
  </si>
  <si>
    <t>0402</t>
  </si>
  <si>
    <t>GPC0603105-X5R</t>
  </si>
  <si>
    <t>GPC04021R0-C0G</t>
  </si>
  <si>
    <t>GPC04021R2-C0G</t>
  </si>
  <si>
    <t>GPC04021R5-C0G</t>
  </si>
  <si>
    <t>GPC04021R8-C0G</t>
  </si>
  <si>
    <t>GPC04022R2-C0G</t>
  </si>
  <si>
    <t>GPC04022R7-C0G</t>
  </si>
  <si>
    <t>GPC04023R3-C0G</t>
  </si>
  <si>
    <t>GPC04023R9-C0G</t>
  </si>
  <si>
    <t>GPC04024R7-C0G</t>
  </si>
  <si>
    <t>GPC04025R6-C0G</t>
  </si>
  <si>
    <t>GPC04026R8-C0G</t>
  </si>
  <si>
    <t>GPC04028R2-C0G</t>
  </si>
  <si>
    <t>GPC0402100-C0G</t>
  </si>
  <si>
    <t>GPC0402120-C0G</t>
  </si>
  <si>
    <t>GPC0402150-C0G</t>
  </si>
  <si>
    <t>GPC0402180-C0G</t>
  </si>
  <si>
    <t>GPC0402220-C0G</t>
  </si>
  <si>
    <t>GPC0402270-C0G</t>
  </si>
  <si>
    <t>GPC0402330-C0G</t>
  </si>
  <si>
    <t>GPC0402390-C0G</t>
  </si>
  <si>
    <t>GPC0402470-C0G</t>
  </si>
  <si>
    <t>GPC0402560-C0G</t>
  </si>
  <si>
    <t>GPC0402680-C0G</t>
  </si>
  <si>
    <t>GPC0402820-C0G</t>
  </si>
  <si>
    <t>GPC0402101-C0G</t>
  </si>
  <si>
    <t>GPC0402121-C0G</t>
  </si>
  <si>
    <t>GPC0402151-C0G</t>
  </si>
  <si>
    <t>GPC0402181-C0G</t>
  </si>
  <si>
    <t>GPC0402221-C0G</t>
  </si>
  <si>
    <t>GPC0402271-C0G</t>
  </si>
  <si>
    <t>GPC0402331-C0G</t>
  </si>
  <si>
    <t>GPC0402391-C0G</t>
  </si>
  <si>
    <t>GPC0402471-C0G</t>
  </si>
  <si>
    <t>GPC0402561-C0G</t>
  </si>
  <si>
    <t>GPC0402681-C0G</t>
  </si>
  <si>
    <t>GPC0402821-C0G</t>
  </si>
  <si>
    <t>GPC0402102-C0G</t>
  </si>
  <si>
    <t>GPC06031R0-C0G</t>
  </si>
  <si>
    <t>GPC06031R2-C0G</t>
  </si>
  <si>
    <t>GPC06031R5-C0G</t>
  </si>
  <si>
    <t>GPC06031R8-C0G</t>
  </si>
  <si>
    <t>GPC06032R2-C0G</t>
  </si>
  <si>
    <t>GPC06032R7-C0G</t>
  </si>
  <si>
    <t>GPC06033R3-C0G</t>
  </si>
  <si>
    <t>GPC06033R9-C0G</t>
  </si>
  <si>
    <t>GPC06034R7-C0G</t>
  </si>
  <si>
    <t>GPC06035R6-C0G</t>
  </si>
  <si>
    <t>GPC06036R8-C0G</t>
  </si>
  <si>
    <t>GPC06038R2-C0G</t>
  </si>
  <si>
    <t>GPC0603100-C0G</t>
  </si>
  <si>
    <t>GPC0603120-C0G</t>
  </si>
  <si>
    <t>GPC0603150-C0G</t>
  </si>
  <si>
    <t>GPC0603180-C0G</t>
  </si>
  <si>
    <t>GPC0603220-C0G</t>
  </si>
  <si>
    <t>GPC0603270-C0G</t>
  </si>
  <si>
    <t>GPC0603330-C0G</t>
  </si>
  <si>
    <t>GPC0603390-C0G</t>
  </si>
  <si>
    <t>GPC0603470-C0G</t>
  </si>
  <si>
    <t>GPC0603560-C0G</t>
  </si>
  <si>
    <t>GPC0603680-C0G</t>
  </si>
  <si>
    <t>GPC0603820-C0G</t>
  </si>
  <si>
    <t>GPC0603101-C0G</t>
  </si>
  <si>
    <t>GPC0603121-C0G</t>
  </si>
  <si>
    <t>GPC0603151-C0G</t>
  </si>
  <si>
    <t>GPC0603181-C0G</t>
  </si>
  <si>
    <t>GPC0603221-C0G</t>
  </si>
  <si>
    <t>GPC0603271-C0G</t>
  </si>
  <si>
    <t>GPC0603331-C0G</t>
  </si>
  <si>
    <t>GPC0603391-C0G</t>
  </si>
  <si>
    <t>GPC0603471-C0G</t>
  </si>
  <si>
    <t>GPC0603561-C0G</t>
  </si>
  <si>
    <t>GPC0603681-C0G</t>
  </si>
  <si>
    <t>GPC0603821-C0G</t>
  </si>
  <si>
    <t>GPC0603102-C0G</t>
  </si>
  <si>
    <t>GPC0603122-C0G</t>
  </si>
  <si>
    <t>GPC0603152-C0G</t>
  </si>
  <si>
    <t>GPC0603182-C0G</t>
  </si>
  <si>
    <t>GPC0603222-C0G</t>
  </si>
  <si>
    <t>GPC0603272-C0G</t>
  </si>
  <si>
    <t>GPC0603332-C0G</t>
  </si>
  <si>
    <t>GPC0603392-C0G</t>
  </si>
  <si>
    <t>GPC0603472-C0G</t>
  </si>
  <si>
    <t>GPC0603682-C0G</t>
  </si>
  <si>
    <t>GPC0603103-C0G</t>
  </si>
  <si>
    <t>GPN0805106-50-X5R</t>
  </si>
  <si>
    <t>GPN1210475-100</t>
  </si>
  <si>
    <t>PCB/IND_SMT.PcbLib</t>
  </si>
  <si>
    <t>CMC4532X260</t>
  </si>
  <si>
    <t>https://www.ti.com/lit/ds/symlink/tps1h000-q1.pdf</t>
  </si>
  <si>
    <t>TPS1H000</t>
  </si>
  <si>
    <t>TPS1H000-Q1</t>
  </si>
  <si>
    <t>296-47601-1-ND</t>
  </si>
  <si>
    <t>TPS1H000AQDGNRQ1</t>
  </si>
  <si>
    <t>C2653764</t>
  </si>
  <si>
    <t>SOP127P1065X265-20-NW</t>
  </si>
  <si>
    <t>SOP127P1065X265-16-NW</t>
  </si>
  <si>
    <t>GPN0805106-16</t>
  </si>
  <si>
    <t>GPN0805106-25</t>
  </si>
  <si>
    <t>GPN0805475-16</t>
  </si>
  <si>
    <t>GPN0805226-6.3</t>
  </si>
  <si>
    <t>GPN1210226-16</t>
  </si>
  <si>
    <t>GPC0603103-100</t>
  </si>
  <si>
    <t>GPC0603104-100</t>
  </si>
  <si>
    <t>GPC0603223-100</t>
  </si>
  <si>
    <t>GPC0603105-10</t>
  </si>
  <si>
    <t>TAG-CON-6</t>
  </si>
  <si>
    <t>TAG-CONNECT</t>
  </si>
  <si>
    <t>CON6</t>
  </si>
  <si>
    <t>TC2030</t>
  </si>
  <si>
    <t>https://www.tag-connect.com/wp-content/uploads/bsk-pdf-manager/2022/06/TC2030-MCP.pdf</t>
  </si>
  <si>
    <t>TAG-CON-6-NL</t>
  </si>
  <si>
    <t>TC2030-NL</t>
  </si>
  <si>
    <t>https://www.tag-connect.com/wp-content/uploads/bsk-pdf-manager/2022/06/TC2030-MCP-NL.pdf</t>
  </si>
  <si>
    <t>TAG-CON-10</t>
  </si>
  <si>
    <t>CON10</t>
  </si>
  <si>
    <t>TAG-CON-10-NL</t>
  </si>
  <si>
    <t>TAG-CON-14</t>
  </si>
  <si>
    <t>CON14</t>
  </si>
  <si>
    <t>TAG-CON-14-NL</t>
  </si>
  <si>
    <t>https://www.tag-connect.com/wp-content/uploads/bsk-pdf-manager/TC2050-IDC_Datasheet_7.pdf</t>
  </si>
  <si>
    <t>https://www.tag-connect.com/wp-content/uploads/bsk-pdf-manager/TC2070-IDC_Datasheet_11.pdf</t>
  </si>
  <si>
    <t>TC2050</t>
  </si>
  <si>
    <t>TC2050-NL</t>
  </si>
  <si>
    <t>Tag-Connect 2030, 6 pins</t>
  </si>
  <si>
    <t>Tag-Connect 2030-NL, 6 pins, no legs</t>
  </si>
  <si>
    <t>Tag-Connect 2050, 10 pins</t>
  </si>
  <si>
    <t>Tag-Connect 2050-NL, 10 pins, no legs</t>
  </si>
  <si>
    <t>Tag-Connect 2070, 14 pins</t>
  </si>
  <si>
    <t>Tag-Connect 2070-NL, 14 pins, no legs</t>
  </si>
  <si>
    <t>TC2070</t>
  </si>
  <si>
    <t>TC2070-NL</t>
  </si>
  <si>
    <t>ZD24C02B</t>
  </si>
  <si>
    <t>I2C-Compatible (2-wire) Serial EEPROM 2K bits</t>
  </si>
  <si>
    <t>EEPROM_I2C_WP_3ADDR</t>
  </si>
  <si>
    <t>https://datasheet.lcsc.com/lcsc/2402020955_Zetta-ZD24C02B-SSGMB_C5374786.pdf</t>
  </si>
  <si>
    <t>ZD24C02B-SSGMB</t>
  </si>
  <si>
    <t>C5374786</t>
  </si>
  <si>
    <t>PCB/TAG_CONNECT.PcbLib</t>
  </si>
  <si>
    <t>C112309</t>
  </si>
  <si>
    <t>C107701</t>
  </si>
  <si>
    <t>RC0603JR-072K2L</t>
  </si>
  <si>
    <t>C113303</t>
  </si>
  <si>
    <t>RC0603FR-0782RL</t>
  </si>
  <si>
    <t>C137676</t>
  </si>
  <si>
    <t>RC0603FR-0768KL</t>
  </si>
  <si>
    <t>C114633</t>
  </si>
  <si>
    <t>RC0603FR-07330KL</t>
  </si>
  <si>
    <t>C114618</t>
  </si>
  <si>
    <t>RC0603FR-07390KL</t>
  </si>
  <si>
    <t>C137735</t>
  </si>
  <si>
    <t>C95841</t>
  </si>
  <si>
    <t>C100042</t>
  </si>
  <si>
    <t>C107002</t>
  </si>
  <si>
    <t>FTR</t>
  </si>
  <si>
    <t>C707480</t>
  </si>
  <si>
    <t>TAG-CON-6-DUAL</t>
  </si>
  <si>
    <t>TAG-CON-6-NL-DUAL</t>
  </si>
  <si>
    <t>TAG-CON-10-DUAL</t>
  </si>
  <si>
    <t>TAG-CON-10-NL-DUAL</t>
  </si>
  <si>
    <t>TAG-CON-14-DUAL</t>
  </si>
  <si>
    <t>TAG-CON-14-NL-DUAL</t>
  </si>
  <si>
    <t>Tag-Connect 2030, 6 pins, two-sided</t>
  </si>
  <si>
    <t>Tag-Connect 2030-NL, 6 pins, no legs, two-sided</t>
  </si>
  <si>
    <t>Tag-Connect 2050, 10 pins, two-sided</t>
  </si>
  <si>
    <t>Tag-Connect 2050-NL, 10 pins, no legs, two-sided</t>
  </si>
  <si>
    <t>Tag-Connect 2070, 14 pins, two-sided</t>
  </si>
  <si>
    <t>Tag-Connect 2070-NL, 14 pins, no legs, two-sided</t>
  </si>
  <si>
    <t>TC2030-2</t>
  </si>
  <si>
    <t>TC2030-NL-2</t>
  </si>
  <si>
    <t>TC2050-2</t>
  </si>
  <si>
    <t>TC2050-NL-2</t>
  </si>
  <si>
    <t>TC2070-2</t>
  </si>
  <si>
    <t>TC2070-NL-2</t>
  </si>
  <si>
    <t>MCP1702T-4002E/CB</t>
  </si>
  <si>
    <t>Linear Voltage Regulator IC Positive Fixed 1 Output 250mA SOT-23A-3</t>
  </si>
  <si>
    <t>Microchip Technology</t>
  </si>
  <si>
    <t>MCP1702T</t>
  </si>
  <si>
    <t>https://ww1.microchip.com/downloads/en/DeviceDoc/22008E.pdf</t>
  </si>
  <si>
    <t>Microchip</t>
  </si>
  <si>
    <t>MCP1702T-4002E/CBCT-ND</t>
  </si>
  <si>
    <t>Microne</t>
  </si>
  <si>
    <t>ME6209A40M3G</t>
  </si>
  <si>
    <t>C83509</t>
  </si>
  <si>
    <t>Colibri_iMX</t>
  </si>
  <si>
    <t>C86474</t>
  </si>
  <si>
    <t>Molex</t>
  </si>
  <si>
    <t>https://www.molex.com/en-us/products/part-detail/5600200420</t>
  </si>
  <si>
    <t>5600200420</t>
  </si>
  <si>
    <t>WM10864CT-ND</t>
  </si>
  <si>
    <t>SMTSOM1.630STR</t>
  </si>
  <si>
    <t>C5301795</t>
  </si>
  <si>
    <t>https://www.lcsc.com/datasheet/lcsc_datasheet_2302021209_YIYUAN-SMTSOM1-630STR_C5301795.pdf</t>
  </si>
  <si>
    <t>MECH_SMTSOM1.630STR</t>
  </si>
  <si>
    <t>DuraClik Wire-to-Board Header, Single Row, Vertical, 4 Circuits, Tin (Sn) Over Nickel, Natural</t>
  </si>
  <si>
    <t>SD_DM3CS-SF</t>
  </si>
  <si>
    <t>https://www.hirose.com/product/document?clcode=CL0609-0033-6-00&amp;productname=DM3AT-SF-PEJ2M5&amp;series=DM3&amp;documenttype=Catalog&amp;lang=en&amp;documentid=D49662_en</t>
  </si>
  <si>
    <t>Hirose</t>
  </si>
  <si>
    <t>Hirose_DM3CS-SF</t>
  </si>
  <si>
    <t>HR1972CT-ND</t>
  </si>
  <si>
    <t>DM3CS-SF</t>
  </si>
  <si>
    <t>798-DM3CSSF</t>
  </si>
  <si>
    <t>HRS (Hirose)</t>
  </si>
  <si>
    <t>C202111</t>
  </si>
  <si>
    <t>DM3CS, Hinge, Push -Pull (no ejection mechanism), Top board mounting (Standard)</t>
  </si>
  <si>
    <t>1473005-1</t>
  </si>
  <si>
    <t>SOT65P210X95-3-SE</t>
  </si>
  <si>
    <t>TPS1H000-Q1 40-V 1-Ω Single-Channel Smart High-Side Switch</t>
  </si>
  <si>
    <t>TPS2376-H IEEE802.3af 600-mA Capable PD Controller</t>
  </si>
  <si>
    <t>1A 76V to 12V High-Efficiency MAXPower Step-Down DC-DC Converter</t>
  </si>
  <si>
    <t>DIOB250P700X250</t>
  </si>
  <si>
    <t>CAP350P80X180</t>
  </si>
  <si>
    <t>Single-Pole-Double-Throw Analog Switch</t>
  </si>
  <si>
    <t>TI</t>
  </si>
  <si>
    <t>SN74LVC1G3157DCKR</t>
  </si>
  <si>
    <t>C38663</t>
  </si>
  <si>
    <t>CONN MOD JACK 8P8C R/A SHIELDED</t>
  </si>
  <si>
    <t>615008160121</t>
  </si>
  <si>
    <t>615008160421</t>
  </si>
  <si>
    <t>CONN MOD JACK 8P8C VERT SHIELDED</t>
  </si>
  <si>
    <t>we-online.com/components/products/datasheet/615008160121.pdf</t>
  </si>
  <si>
    <t>https://www.we-online.com/components/products/datasheet/615008160421.pdf</t>
  </si>
  <si>
    <t>732-615008160121-ND</t>
  </si>
  <si>
    <t>732-615008160421-ND</t>
  </si>
  <si>
    <t>HCTL</t>
  </si>
  <si>
    <t>C3010560</t>
  </si>
  <si>
    <t>C3000201</t>
  </si>
  <si>
    <t>HC-RJ45-059-1-4-H</t>
  </si>
  <si>
    <t>HC-RJ45-5224-1-4</t>
  </si>
  <si>
    <t>ETH_THT_RA_Schielded</t>
  </si>
  <si>
    <t>ETH_THT_Vert_Schielded</t>
  </si>
  <si>
    <t>RJ-45 ETH W/O LED</t>
  </si>
  <si>
    <t>ETH_615008160121</t>
  </si>
  <si>
    <t>ETH_615008160421</t>
  </si>
  <si>
    <t>LAN2VSOPS24351C2</t>
  </si>
  <si>
    <t>350µH LAN 1000 Base-T, Power over Ethernet (PoE) Pulswandler 1CT:1CT Oberflächenmontage</t>
  </si>
  <si>
    <t>Eaton</t>
  </si>
  <si>
    <t>Pulse_4Channel_CT</t>
  </si>
  <si>
    <t>https://www.eaton.com/content/dam/eaton/products/electronic-components/resources/data-sheet/eaton-lan2vsop-1000-base-t-lan-transformer-poe-data-sheet-elx1376-en.pdf</t>
  </si>
  <si>
    <t>283-LAN2VSOPS24351C2CT-ND</t>
  </si>
  <si>
    <t>Pulse_8Channel_CT</t>
  </si>
  <si>
    <t>283-LAN2VSOPD48351C2CT-ND</t>
  </si>
  <si>
    <t>LAN2VSOPD48351C2</t>
  </si>
  <si>
    <t>C3003221</t>
  </si>
  <si>
    <t>G4812S</t>
  </si>
  <si>
    <t>CND-tek</t>
  </si>
  <si>
    <t>C2912224</t>
  </si>
  <si>
    <t>G2412S</t>
  </si>
  <si>
    <t>FDD4141</t>
  </si>
  <si>
    <t>MOSFET – P-Channel POWERTRENCH_x0002_ -40 V -50 A, 12.3 m_x0002_</t>
  </si>
  <si>
    <t>FDD4141-F085</t>
  </si>
  <si>
    <t>TO-252AA</t>
  </si>
  <si>
    <t>PCB/TO.PcbLib</t>
  </si>
  <si>
    <t>https://www.onsemi.com/pdf/datasheet/fdd4141_f085-d.pdf</t>
  </si>
  <si>
    <t>FDD4141CT-ND</t>
  </si>
  <si>
    <t>onsemi</t>
  </si>
  <si>
    <t>UMW(Youtai Semiconductor Co., Ltd.)</t>
  </si>
  <si>
    <t>FDD4141(UMW)</t>
  </si>
  <si>
    <t>C5346825</t>
  </si>
  <si>
    <t>MP3924</t>
  </si>
  <si>
    <t>MPS</t>
  </si>
  <si>
    <t>QFN-32</t>
  </si>
  <si>
    <t>QFN050P500X500X100-32-TH360X360</t>
  </si>
  <si>
    <t>https://www.monolithicpower.com/en/documentview/productdocument/index/version/2/document_type/Datasheet/lang/en/sku/MP3924GU/document_id/9919/</t>
  </si>
  <si>
    <t>MP3924GU-Z</t>
  </si>
  <si>
    <t>Monolithic Power Systems Inc.</t>
  </si>
  <si>
    <t>1589-MP3924GU-ZCT-ND</t>
  </si>
  <si>
    <t>TPS43060RTE</t>
  </si>
  <si>
    <t>15UH fixed inductor shielded</t>
  </si>
  <si>
    <t>15UH/1510</t>
  </si>
  <si>
    <t>15UH</t>
  </si>
  <si>
    <t>INDM165155X100</t>
  </si>
  <si>
    <t>https://www.bourns.com/docs/product-datasheets/srp1510ca.pdf</t>
  </si>
  <si>
    <t>SRP1510CA-150M</t>
  </si>
  <si>
    <t>Coilcraft</t>
  </si>
  <si>
    <t>XAL1510-153MED</t>
  </si>
  <si>
    <t>C3911455</t>
  </si>
  <si>
    <t>TPS4306x Low Quiescent Current Synchronous Boost DC-DC Controller With Wide VIN Range</t>
  </si>
  <si>
    <t>PWQFN-16</t>
  </si>
  <si>
    <t>QFN050P300X300X080-16-TH120X80</t>
  </si>
  <si>
    <t>https://www.ti.com/lit/ds/symlink/tps43060.pdf</t>
  </si>
  <si>
    <t>296-39400-1-ND</t>
  </si>
  <si>
    <t>TPS43060RTER</t>
  </si>
  <si>
    <t>C76516</t>
  </si>
  <si>
    <t>Infineon Technologies</t>
  </si>
  <si>
    <t>BSC123N08NS3GATMA1</t>
  </si>
  <si>
    <t>BSC123N08NS3GATMA1CT-ND</t>
  </si>
  <si>
    <t>N-Kanal 80 V 11 A (Ta), 55 A (Tc) 2,5W (Ta), 66W (Tc) Oberflächenmontage PG-TDSON-8-1</t>
  </si>
  <si>
    <t>PCB/SON.PcbLib</t>
  </si>
  <si>
    <t>PG-TDSON-8</t>
  </si>
  <si>
    <t>SON127P620X520X100-5-TH500X470</t>
  </si>
  <si>
    <t>C412732</t>
  </si>
  <si>
    <t>BSC123N08NS3G</t>
  </si>
  <si>
    <t>MP2659</t>
  </si>
  <si>
    <t>36V SWITCHING CHARGER FOR 3-CELL TO 6-CELL BATTERY</t>
  </si>
  <si>
    <t>Monolithic Power Systems</t>
  </si>
  <si>
    <t>QFN-19</t>
  </si>
  <si>
    <t>QFN040P300X300X100-19</t>
  </si>
  <si>
    <t>https://www.monolithicpower.com/en/documentview/productdocument/index/version/2/document_type/Datasheet/lang/en/sku/MP2659/document_id/6973/</t>
  </si>
  <si>
    <t xml:space="preserve">BQ24610 </t>
  </si>
  <si>
    <t>BQ2461x Stand-Alone 1- to 6-Cell Synchronous Buck Battery Charger Controller</t>
  </si>
  <si>
    <t>QFN-24</t>
  </si>
  <si>
    <t>QFN050P400X400X100-24-TH245X245</t>
  </si>
  <si>
    <t>https://www.ti.com/lit/ds/symlink/bq24610.pdf</t>
  </si>
  <si>
    <t>296-29437-1-ND</t>
  </si>
  <si>
    <t>BQ24610RGER</t>
  </si>
  <si>
    <t>C19384</t>
  </si>
  <si>
    <t>IRM30-15</t>
  </si>
  <si>
    <t>PCB/MeanWell.PcbLib</t>
  </si>
  <si>
    <t>https://www.meanwell-web.com/content/files/pdfs/productPdfs/MW/IRM-30/IRM-30-spec.pdf</t>
  </si>
  <si>
    <t>IRM30</t>
  </si>
  <si>
    <t>0R25</t>
  </si>
  <si>
    <t>0R25/1206</t>
  </si>
  <si>
    <t>RES SM 1206 0R25</t>
  </si>
  <si>
    <t>1206</t>
  </si>
  <si>
    <t>1N/1210/2kV</t>
  </si>
  <si>
    <t>CAP SM 1210 1nF 2kV</t>
  </si>
  <si>
    <t>191K/0603</t>
  </si>
  <si>
    <t>RES SM 0603 191K</t>
  </si>
  <si>
    <t>191K</t>
  </si>
  <si>
    <t>68UF</t>
  </si>
  <si>
    <t>47UF</t>
  </si>
  <si>
    <t>1210</t>
  </si>
  <si>
    <t>1N</t>
  </si>
  <si>
    <t>CAP SM 1210 10uF 63V X7R</t>
  </si>
  <si>
    <t>10UF</t>
  </si>
  <si>
    <t>TPS563300</t>
  </si>
  <si>
    <t>SOT-583</t>
  </si>
  <si>
    <t>TPS563300DRLR</t>
  </si>
  <si>
    <t>C5219249</t>
  </si>
  <si>
    <t>10UH</t>
  </si>
  <si>
    <t>https://www.ti.com/lit/ds/symlink/tps563300.pdf</t>
  </si>
  <si>
    <t>LMR51420</t>
  </si>
  <si>
    <t>https://www.ti.com/lit/ds/symlink/lmr51420.pdf</t>
  </si>
  <si>
    <t>296-LMR51420YFDDCRCT-ND</t>
  </si>
  <si>
    <t>LMR51420YFDDCR</t>
  </si>
  <si>
    <t>C7296200</t>
  </si>
  <si>
    <t>LMR51420YF</t>
  </si>
  <si>
    <t>IND127P1600X620-24</t>
  </si>
  <si>
    <t>IND102P1524X750-48</t>
  </si>
  <si>
    <t>FIXED IND 10UH 4A 68 MOHM SMD</t>
  </si>
  <si>
    <t>10UH/6630</t>
  </si>
  <si>
    <t>INDM660730X30</t>
  </si>
  <si>
    <t>553-BMRB00060630100MA1CT-ND</t>
  </si>
  <si>
    <t>BMRB00060630100MA1</t>
  </si>
  <si>
    <t>https://productfinder.pulseelectronics.com/api/open/part-attachments/datasheet/BMRB00060630100MA1</t>
  </si>
  <si>
    <t>C5201679</t>
  </si>
  <si>
    <t>Chilisin Elec</t>
  </si>
  <si>
    <t>3.3UH</t>
  </si>
  <si>
    <t>311-.25LWCT-ND</t>
  </si>
  <si>
    <t>C7500327</t>
  </si>
  <si>
    <t>RLT06R25JTP</t>
  </si>
  <si>
    <t>RALEC</t>
  </si>
  <si>
    <t>311-191KHRCT-ND</t>
  </si>
  <si>
    <t>RC0603FR-07191KL</t>
  </si>
  <si>
    <t>FRC0603F1913TS</t>
  </si>
  <si>
    <t>C2974031</t>
  </si>
  <si>
    <t>4587-C1210X102K202TCT-ND</t>
  </si>
  <si>
    <t>C1210X102K202T</t>
  </si>
  <si>
    <t>Holy Stone Enterprise Co., Ltd.</t>
  </si>
  <si>
    <t>1210B102K202NT</t>
  </si>
  <si>
    <t>C2836780</t>
  </si>
  <si>
    <t>CL32B106KMVNNWE</t>
  </si>
  <si>
    <t>1276-7053-1-ND</t>
  </si>
  <si>
    <t>CGA1210X7R106K630RT</t>
  </si>
  <si>
    <t>C6120029</t>
  </si>
  <si>
    <t>https://mm.digikey.com/Volume0/opasdata/d220001/medias/docus/2124/CL32B106KMVNNWE_Spec.pdf</t>
  </si>
  <si>
    <t>https://www.holystone.com.tw/downloads/series/10000/1000/45/20220530174254_file1.pdf</t>
  </si>
  <si>
    <t>EKMG630ETC470MF11D</t>
  </si>
  <si>
    <t>565-EKMG630ETC470MF11DTB-ND</t>
  </si>
  <si>
    <t>Chemi-Con</t>
  </si>
  <si>
    <t>47U/RADIAL/63V</t>
  </si>
  <si>
    <t>https://www.chemi-con.co.jp/products/relatedfiles/capacitor/catalog/KMGLL-e.PDF</t>
  </si>
  <si>
    <t>CAP250P63X125</t>
  </si>
  <si>
    <t>C106568</t>
  </si>
  <si>
    <t>ERJ1JM470E12OT</t>
  </si>
  <si>
    <t>AISHI(Aihua Group)</t>
  </si>
  <si>
    <t>CAP350P80X130</t>
  </si>
  <si>
    <t>CAP THT 6.3X12.5 47UF ELKO 63V</t>
  </si>
  <si>
    <t>CAP THT 8C130 68UF ELKO 63V</t>
  </si>
  <si>
    <t>68U/RADIAL/63V</t>
  </si>
  <si>
    <t>https://www.we-online.com/components/products/datasheet/860020774014.pdf</t>
  </si>
  <si>
    <t>732-8975-1-ND</t>
  </si>
  <si>
    <t>860020774014</t>
  </si>
  <si>
    <t>LKMD0901K680MF</t>
  </si>
  <si>
    <t>C443065</t>
  </si>
  <si>
    <t>YMIN</t>
  </si>
  <si>
    <t>D_TVS_BIDIR</t>
  </si>
  <si>
    <t>220NH/6630</t>
  </si>
  <si>
    <t>330NH/6630</t>
  </si>
  <si>
    <t>470NH/6630</t>
  </si>
  <si>
    <t>1UH/6630</t>
  </si>
  <si>
    <t>15UH/6630</t>
  </si>
  <si>
    <t>22UH/6630</t>
  </si>
  <si>
    <t>33UH/6630</t>
  </si>
  <si>
    <t>680NH/6630</t>
  </si>
  <si>
    <t>220NH</t>
  </si>
  <si>
    <t>22UH</t>
  </si>
  <si>
    <t>33UH</t>
  </si>
  <si>
    <t>FIXED IND 220NH   23 A 2.8 MOHM SMD</t>
  </si>
  <si>
    <t>FIXED IND 330NH   20 A 4.2 MOHM SMD</t>
  </si>
  <si>
    <t>FIXED IND 470NH 16.5 A 5.5 MOHM SMD</t>
  </si>
  <si>
    <t>FIXED IND 680NH 16.5 A 6.3 MOHM SMD</t>
  </si>
  <si>
    <t>FIXED IND 1UH     15 A  10 MOHM SMD</t>
  </si>
  <si>
    <t>FIXED IND 1.5UH   12 A  15 MOHM SMD</t>
  </si>
  <si>
    <t>FIXED IND 2.2UH  9.5 A  20 MOHM SMD</t>
  </si>
  <si>
    <t>FIXED IND 3.3UH  8.5 A  35 MOHM SMD</t>
  </si>
  <si>
    <t>FIXED IND 4.7UH    6 A  40 MOHM SMD</t>
  </si>
  <si>
    <t>FIXED IND 15UH   5.5 A 122 MOHM SMD</t>
  </si>
  <si>
    <t>FIXED IND 22UH     3 A 145 MOHM SMD</t>
  </si>
  <si>
    <t>FIXED IND 33UH     3 A 270 MOHM SMD</t>
  </si>
  <si>
    <t>https://productfinder.pulseelectronics.com/api/open/part-attachments/datasheet/BMRA00060630R22MA1</t>
  </si>
  <si>
    <t>https://productfinder.pulseelectronics.com/api/open/part-attachments/datasheet/BMRA00060630R33MA1</t>
  </si>
  <si>
    <t>https://productfinder.pulseelectronics.com/api/open/part-attachments/datasheet/BMRA00060630R47MA1</t>
  </si>
  <si>
    <t>https://productfinder.pulseelectronics.com/api/open/part-attachments/datasheet/BMRA00060630R68MA1</t>
  </si>
  <si>
    <t>https://productfinder.pulseelectronics.com/api/open/part-attachments/datasheet/BMRA000606301R0MA1</t>
  </si>
  <si>
    <t>https://productfinder.pulseelectronics.com/api/open/part-attachments/datasheet/BMRA000606301R5MA1</t>
  </si>
  <si>
    <t>https://productfinder.pulseelectronics.com/api/open/part-attachments/datasheet/BMRA000606302R2MA1</t>
  </si>
  <si>
    <t>https://productfinder.pulseelectronics.com/api/open/part-attachments/datasheet/BMRA000606303R3MA1</t>
  </si>
  <si>
    <t>https://productfinder.pulseelectronics.com/api/open/part-attachments/datasheet/BMRA000606304R7MA1</t>
  </si>
  <si>
    <t>BMRA00060630R22MA1</t>
  </si>
  <si>
    <t>BMRA00060630R33MA1</t>
  </si>
  <si>
    <t>BMRA00060630R47MA1</t>
  </si>
  <si>
    <t>BMRA00060630R68MA1</t>
  </si>
  <si>
    <t>BMRA000606301R0MA1</t>
  </si>
  <si>
    <t>BMRA000606301R5MA1</t>
  </si>
  <si>
    <t>BMRA000606302R2MA1</t>
  </si>
  <si>
    <t>BMRA000606303R3MA1</t>
  </si>
  <si>
    <t>BMRA000606304R7MA1</t>
  </si>
  <si>
    <t>553-BMRA00060630R22MA1CT-ND</t>
  </si>
  <si>
    <t>553-BMRA00060630R33MA1CT-ND</t>
  </si>
  <si>
    <t>https://productfinder.pulseelectronics.com/api/open/part-attachments/datasheet/BMRA00060630150MA1</t>
  </si>
  <si>
    <t>https://productfinder.pulseelectronics.com/api/open/part-attachments/datasheet/BMRA00060630220MA1</t>
  </si>
  <si>
    <t>https://productfinder.pulseelectronics.com/api/open/part-attachments/datasheet/BMRA00060630330MA1</t>
  </si>
  <si>
    <t>BMRA00060630150MA1</t>
  </si>
  <si>
    <t>BMRA00060630220MA1</t>
  </si>
  <si>
    <t>BMRA00060630330MA1</t>
  </si>
  <si>
    <t>553-BMRA00060630R47MA1CT-ND</t>
  </si>
  <si>
    <t>553-BMRA00060630R68MA1CT-ND</t>
  </si>
  <si>
    <t>553-BMRA000606301R0MA1CT-ND</t>
  </si>
  <si>
    <t>553-BMRA000606301R5MA1CT-ND</t>
  </si>
  <si>
    <t>553-BMRA000606302R2MA1CT-ND</t>
  </si>
  <si>
    <t>553-BMRA000606303R3MA1CT-ND</t>
  </si>
  <si>
    <t>553-BMRA000606304R7MA1CT-ND</t>
  </si>
  <si>
    <t>553-BMRA00060630150MA1CT-ND</t>
  </si>
  <si>
    <t>553-BMRA00060630220MA1CT-ND</t>
  </si>
  <si>
    <t>553-BMRA00060630330MA1CT-ND</t>
  </si>
  <si>
    <t>8.2UH</t>
  </si>
  <si>
    <t>INDM126126X47</t>
  </si>
  <si>
    <t>https://www.bourns.com/docs/product-datasheets/srp1245c.pdf</t>
  </si>
  <si>
    <t>118-SRP1245C-8R2MCT-ND</t>
  </si>
  <si>
    <t>SRP1245C-8R2M</t>
  </si>
  <si>
    <t>FIXED IND 150NH  55 A   0.41 MOHM SMD</t>
  </si>
  <si>
    <t>FIXED IND 220NH  48 A   0.55 MOHM SMD</t>
  </si>
  <si>
    <t>FIXED IND 360NH  41 A   0.83 MOHM SMD</t>
  </si>
  <si>
    <t>FIXED IND 470NH  38 A   1.15 MOHM SMD</t>
  </si>
  <si>
    <t>FIXED IND 680NH  32 A   1.6  MOHM SMD</t>
  </si>
  <si>
    <t>FIXED IND 1UH    30 A   2.4  MOHM SMD</t>
  </si>
  <si>
    <t>FIXED IND 1.5UH  27 A   3.5  MOHM SMD</t>
  </si>
  <si>
    <t>FIXED IND 2.2UH  25 A   5    MOHM SMD</t>
  </si>
  <si>
    <t>FIXED IND 3.3UH  20 A   8.4  MOHM SMD</t>
  </si>
  <si>
    <t>FIXED IND 4.7UH  14 A   15   MOHM SMD</t>
  </si>
  <si>
    <t>FIXED IND 6.8UH  12 A   16.7 MOHM SMD</t>
  </si>
  <si>
    <t>FIXED IND 8.2UH  11.5 A 21.5 MOHM SMD</t>
  </si>
  <si>
    <t>FIXED IND 10UH   11 A   25.5 MOHM SMD</t>
  </si>
  <si>
    <t>FIXED IND 15UH   9 A    38   MOHM SMD</t>
  </si>
  <si>
    <t>FIXED IND 22UH   7.5 A  58   MOHM SMD</t>
  </si>
  <si>
    <t>150NH/1245</t>
  </si>
  <si>
    <t>220NH/1245</t>
  </si>
  <si>
    <t>360NH/1245</t>
  </si>
  <si>
    <t>470NH/1245</t>
  </si>
  <si>
    <t>680NH/1245</t>
  </si>
  <si>
    <t xml:space="preserve">1UH/1245  </t>
  </si>
  <si>
    <t xml:space="preserve">10UH/1245 </t>
  </si>
  <si>
    <t xml:space="preserve">15UH/1245 </t>
  </si>
  <si>
    <t xml:space="preserve">22UH/1245 </t>
  </si>
  <si>
    <t>150NH</t>
  </si>
  <si>
    <t>360NH</t>
  </si>
  <si>
    <t xml:space="preserve">1UH  </t>
  </si>
  <si>
    <t>6.8UH</t>
  </si>
  <si>
    <t xml:space="preserve">10UH </t>
  </si>
  <si>
    <t xml:space="preserve">15UH </t>
  </si>
  <si>
    <t xml:space="preserve">22UH </t>
  </si>
  <si>
    <t>SRP1245C-R15M</t>
  </si>
  <si>
    <t>SRP1245C-R22M</t>
  </si>
  <si>
    <t>SRP1245C-R36M</t>
  </si>
  <si>
    <t>SRP1245C-R47M</t>
  </si>
  <si>
    <t>SRP1245C-R68M</t>
  </si>
  <si>
    <t>SRP1245C-1R0M</t>
  </si>
  <si>
    <t>SRP1245C-1R5M</t>
  </si>
  <si>
    <t>SRP1245C-2R2M</t>
  </si>
  <si>
    <t>SRP1245C-3R3M</t>
  </si>
  <si>
    <t>SRP1245C-4R7M</t>
  </si>
  <si>
    <t>SRP1245C-6R8M</t>
  </si>
  <si>
    <t>SRP1245C-100M</t>
  </si>
  <si>
    <t>SRP1245C-150M</t>
  </si>
  <si>
    <t>SRP1245C-220M</t>
  </si>
  <si>
    <t>118-SRP1245C-R15MCT-ND</t>
  </si>
  <si>
    <t>118-SRP1245C-R22MCT-ND</t>
  </si>
  <si>
    <t>118-SRP1245C-R36MCT-ND</t>
  </si>
  <si>
    <t>118-SRP1245C-R47MCT-ND</t>
  </si>
  <si>
    <t>118-SRP1245C-R68MCT-ND</t>
  </si>
  <si>
    <t>118-SRP1245C-1R0MCT-ND</t>
  </si>
  <si>
    <t>118-SRP1245C-1R5MCT-ND</t>
  </si>
  <si>
    <t>118-SRP1245C-2R2MCT-ND</t>
  </si>
  <si>
    <t>118-SRP1245C-3R3MCT-ND</t>
  </si>
  <si>
    <t>118-SRP1245C-4R7MCT-ND</t>
  </si>
  <si>
    <t>118-SRP1245C-6R8MCT-ND</t>
  </si>
  <si>
    <t>118-SRP1245C-100MCT-ND</t>
  </si>
  <si>
    <t>118-SRP1245C-150MCT-ND</t>
  </si>
  <si>
    <t>118-SRP1245C-220MCT-ND</t>
  </si>
  <si>
    <t>INA232BIDDFR</t>
  </si>
  <si>
    <t>SOT23-8</t>
  </si>
  <si>
    <t>INA232</t>
  </si>
  <si>
    <t>SOT065P280X110-8-SE</t>
  </si>
  <si>
    <t>https://www.ti.com/lit/ds/symlink/ina232.pdf</t>
  </si>
  <si>
    <t>296-INA232BIDDFRCT-ND</t>
  </si>
  <si>
    <t>TO228P990X229-3</t>
  </si>
  <si>
    <t>GSP1.9203.1</t>
  </si>
  <si>
    <t>CON3_MAINS</t>
  </si>
  <si>
    <t>IEC Gerätestecker C14 oder C18, Schraubmontage, rückseitig, PCB-Anschlüsse</t>
  </si>
  <si>
    <t>Schurter</t>
  </si>
  <si>
    <t>https://www.schurter.com/de/datasheet/GSP1</t>
  </si>
  <si>
    <t>486-4820-ND</t>
  </si>
  <si>
    <t>CONN QC TAB 0.250 SOLDER</t>
  </si>
  <si>
    <t>Tab_025_THT</t>
  </si>
  <si>
    <t>6.35mmx0.81mm Tab THT</t>
  </si>
  <si>
    <t>CON1</t>
  </si>
  <si>
    <t>Tab_THT_635</t>
  </si>
  <si>
    <t>https://www.te.com/usa-en/product-1217861-1.datasheet.pdf</t>
  </si>
  <si>
    <t>1217861-1</t>
  </si>
  <si>
    <t>A100452CT-ND</t>
  </si>
  <si>
    <t>C428480</t>
  </si>
  <si>
    <t>TE Connectivity</t>
  </si>
  <si>
    <t>Fuse/5x20mm/OGN</t>
  </si>
  <si>
    <t>Fuse 5x20mm</t>
  </si>
  <si>
    <t>open fuse holder, 5 x 20 mm, THR, IEC 60335-1</t>
  </si>
  <si>
    <t>5X20</t>
  </si>
  <si>
    <t>OGN_THR</t>
  </si>
  <si>
    <t>https://www.schurter.com/en/datasheet/typ_OGN.pdf</t>
  </si>
  <si>
    <t>3-132-873</t>
  </si>
  <si>
    <t>486-3-132-873-ND</t>
  </si>
  <si>
    <t>Microfit_3.0_2x2_VERT_THT</t>
  </si>
  <si>
    <t>Microfit_3.0_1x2_VERT_THT</t>
  </si>
  <si>
    <t>WM1790-ND</t>
  </si>
  <si>
    <t>https://tools.molex.com/pdm_docs/sd/430450412_sd.pdf</t>
  </si>
  <si>
    <t>Micro-Fit 3.0 Vertical Header, 3.00mm Pitch, Dual Row, 4 Circuits, with PCB Polarizing Peg, Tin, Glow-Wire Capable, Black</t>
  </si>
  <si>
    <t>WM1789-ND</t>
  </si>
  <si>
    <t>https://tools.molex.com/pdm_docs/ps/PS-43045.pdf</t>
  </si>
  <si>
    <t>CON2</t>
  </si>
  <si>
    <t>Micro-Fit 3.0 Vertical Header, 3.00mm Pitch, Dual Row, 2 Circuits, with PCB Polarizing Peg, Tin, Glow-Wire Capable, Black</t>
  </si>
  <si>
    <t>TA75S393FLFCT-ND</t>
  </si>
  <si>
    <t>Toshiba Semiconductor and Storage</t>
  </si>
  <si>
    <t>https://toshiba.semicon-storage.com/info/TA75S393F_datasheet_en_20220525.pdf?did=20981&amp;prodName=TA75S393F</t>
  </si>
  <si>
    <t>36V Single Voltage Comparator</t>
  </si>
  <si>
    <t>C840438</t>
  </si>
  <si>
    <t>TOSHIBA</t>
  </si>
  <si>
    <t>SCH/OPA.SchLib</t>
  </si>
  <si>
    <t>4K42/0603</t>
  </si>
  <si>
    <t>RES SM 0603 4K42</t>
  </si>
  <si>
    <t>4K42</t>
  </si>
  <si>
    <t>RC0603FR-074K42L</t>
  </si>
  <si>
    <t>311-4.42KHRCT-ND</t>
  </si>
  <si>
    <t>13-RC0603FR-104K42LCT-ND</t>
  </si>
  <si>
    <t>RC0603FR-104K42L</t>
  </si>
  <si>
    <t>https://www.infineon.com/dgdl/BSC123N08NS3G_rev2.5.pdf?folderId=db3a304313b8b5a60113cee8763b02d7&amp;fileId=db3a30431add1d95011ae80eb8555625&amp;fileId=db3a30431add1d95011ae80eb8555625</t>
  </si>
  <si>
    <t>C482858</t>
  </si>
  <si>
    <t>C273750</t>
  </si>
  <si>
    <t>14K3</t>
  </si>
  <si>
    <t>24K3</t>
  </si>
  <si>
    <t>RC0603FR-0714K3L</t>
  </si>
  <si>
    <t>C706062</t>
  </si>
  <si>
    <t>RT0603DRE0724K3L</t>
  </si>
  <si>
    <t>24K3/0603</t>
  </si>
  <si>
    <t>14K3/0603</t>
  </si>
  <si>
    <t>RES SM 0603 24K3</t>
  </si>
  <si>
    <t>RES SM 0603 14K3</t>
  </si>
  <si>
    <t>311-24.3KHRCT-ND</t>
  </si>
  <si>
    <t>RC0603FR-0724K3L</t>
  </si>
  <si>
    <t>13-RC0603FR-1024K3LCT-ND</t>
  </si>
  <si>
    <t>RC0603FR-1024K3L</t>
  </si>
  <si>
    <t>311-14.3KHRCT-ND</t>
  </si>
  <si>
    <t>BZT52C2V4T</t>
  </si>
  <si>
    <t xml:space="preserve">DIODE ZENER 2.4V 100MW SOD523 </t>
  </si>
  <si>
    <t>Micro Commercial Co</t>
  </si>
  <si>
    <t>SC-79, SOD-523</t>
  </si>
  <si>
    <t>2.4 V</t>
  </si>
  <si>
    <t>https://www.mccsemi.com/pdf/Products/BZT52C(B)2V4T-BZT52C(B)39T(SOD-523).pdf</t>
  </si>
  <si>
    <t>BZT52C2V4T-TP</t>
  </si>
  <si>
    <t>BZT52C2V4T-TPMSCT-ND</t>
  </si>
  <si>
    <t>BZT52C2V4T-7</t>
  </si>
  <si>
    <t>BZT52C2V4T-7DICT-ND</t>
  </si>
  <si>
    <t>BZT52C2V7T</t>
  </si>
  <si>
    <t xml:space="preserve">DIODE ZENER 2.7V 200MW SOD123 </t>
  </si>
  <si>
    <t>2.7 V</t>
  </si>
  <si>
    <t>https://www.mccsemi.com/pdf/Products/BZT52C2V4~BZT52C75(500mW)(SOD-123).pdf</t>
  </si>
  <si>
    <t>BZT52C2V7-TP</t>
  </si>
  <si>
    <t>BZT52C2V7-TPMSCT-ND</t>
  </si>
  <si>
    <t>BZT52C2V7T-7</t>
  </si>
  <si>
    <t>BZT52C2V7T-7DICT-ND</t>
  </si>
  <si>
    <t>BZT52C3V0T</t>
  </si>
  <si>
    <t xml:space="preserve">DIODE ZENER 3V 200MW SOD123 </t>
  </si>
  <si>
    <t>3 V</t>
  </si>
  <si>
    <t>BZT52C3V0-TP</t>
  </si>
  <si>
    <t>BZT52C3V0-TPMSCT-ND</t>
  </si>
  <si>
    <t>BZT52C3V0T-7</t>
  </si>
  <si>
    <t>BZT52C3V0T-7DICT-ND</t>
  </si>
  <si>
    <t>BZT52C3V3T</t>
  </si>
  <si>
    <t>3.3 V</t>
  </si>
  <si>
    <t>BZT52C3V3T-7</t>
  </si>
  <si>
    <t>BZT52C3V3T-7DICT-ND</t>
  </si>
  <si>
    <t>BZT52C3V6T</t>
  </si>
  <si>
    <t>3.6 V</t>
  </si>
  <si>
    <t>BZT52C3V6T-TP</t>
  </si>
  <si>
    <t>BZT52C3V6T-TPMSCT-ND</t>
  </si>
  <si>
    <t>BZT52C3V9T</t>
  </si>
  <si>
    <t xml:space="preserve">DIODE ZENER 3.9V 200MW SOD123 </t>
  </si>
  <si>
    <t>3.9 V</t>
  </si>
  <si>
    <t>BZT52C3V9-TP</t>
  </si>
  <si>
    <t>BZT52C3V9-TPMSCT-ND</t>
  </si>
  <si>
    <t>BZT52C3V9</t>
  </si>
  <si>
    <t>BZT52C4V3T</t>
  </si>
  <si>
    <t xml:space="preserve">DIODE ZENER 4.3V 200MW SOD123 </t>
  </si>
  <si>
    <t>4.3 V</t>
  </si>
  <si>
    <t>BZT52C4V3-TP</t>
  </si>
  <si>
    <t>BZT52C4V3-TPMSCT-ND</t>
  </si>
  <si>
    <t>BZT52C4V3T-7</t>
  </si>
  <si>
    <t>BZT52C4V3T-7DICT-ND</t>
  </si>
  <si>
    <t>BZT52C4V7T</t>
  </si>
  <si>
    <t xml:space="preserve">DIODE ZENER 4.7V 200MW SOD123 </t>
  </si>
  <si>
    <t>4.7 V</t>
  </si>
  <si>
    <t>BZT52C4V7-TP</t>
  </si>
  <si>
    <t>BZT52C4V7-TPMSCT-ND</t>
  </si>
  <si>
    <t>BZT52C4V7T-TP</t>
  </si>
  <si>
    <t>BZT52C4V7T-TPMSCT-ND</t>
  </si>
  <si>
    <t>BZT52C5V1T</t>
  </si>
  <si>
    <t xml:space="preserve">DIODE ZENER 5.1V 500MW SOD123 </t>
  </si>
  <si>
    <t>5.1 V</t>
  </si>
  <si>
    <t>BZT52C5V1-TP</t>
  </si>
  <si>
    <t>BZT52C5V1-TPMSCT-ND</t>
  </si>
  <si>
    <t>BZT52C5V1T-TP</t>
  </si>
  <si>
    <t>BZT52C5V1T-TPMSCT-ND</t>
  </si>
  <si>
    <t>BZT52C5V6T</t>
  </si>
  <si>
    <t xml:space="preserve">DIODE ZENER 5.6V 500MW SOD123 </t>
  </si>
  <si>
    <t>5.6 V</t>
  </si>
  <si>
    <t>BZT52C5V6-TP</t>
  </si>
  <si>
    <t>BZT52C5V6-TPMSCT-ND</t>
  </si>
  <si>
    <t>BZT52C5V6</t>
  </si>
  <si>
    <t>BZT52C6V2T</t>
  </si>
  <si>
    <t xml:space="preserve">DIODE ZENER 6.2V 200MW SOD123 </t>
  </si>
  <si>
    <t>6.2 V</t>
  </si>
  <si>
    <t>BZT52C6V2-TP</t>
  </si>
  <si>
    <t>BZT52C6V2-TPMSCT-ND</t>
  </si>
  <si>
    <t>BZT52C6V2T-TP</t>
  </si>
  <si>
    <t>BZT52C6V2T-TPMSCT-ND</t>
  </si>
  <si>
    <t>BZT52C6V8T</t>
  </si>
  <si>
    <t xml:space="preserve">DIODE ZENER 6.8V 200MW SOD123 </t>
  </si>
  <si>
    <t>6.8 V</t>
  </si>
  <si>
    <t>BZT52C6V8-TP</t>
  </si>
  <si>
    <t>BZT52C6V8-TPMSCT-ND</t>
  </si>
  <si>
    <t>BZT52C6V8T-TP</t>
  </si>
  <si>
    <t>BZT52C6V8T-TPMSCT-ND</t>
  </si>
  <si>
    <t>BZT52C7V5T</t>
  </si>
  <si>
    <t xml:space="preserve">DIODE ZENER 7.5V 300MW SOD523 </t>
  </si>
  <si>
    <t>7.5 V</t>
  </si>
  <si>
    <t>https://www.diodes.com/assets/Datasheets/ds30502.pdf</t>
  </si>
  <si>
    <t>BZT52C7V5T-7</t>
  </si>
  <si>
    <t>BZT52C7V5T-7DICT-ND</t>
  </si>
  <si>
    <t>BZT52C7V5T-TP</t>
  </si>
  <si>
    <t>BZT52C7V5T-TPMSCT-ND</t>
  </si>
  <si>
    <t>BZT52C8V2T</t>
  </si>
  <si>
    <t>8.2 V</t>
  </si>
  <si>
    <t>BZT52C8V2T-7</t>
  </si>
  <si>
    <t>BZT52C8V2T-7DICT-ND</t>
  </si>
  <si>
    <t>BZT52C9V1T</t>
  </si>
  <si>
    <t xml:space="preserve">DIODE ZENER 9.1V 200MW SOD123 </t>
  </si>
  <si>
    <t>9.1 V</t>
  </si>
  <si>
    <t>BZT52C9V1-TP</t>
  </si>
  <si>
    <t>BZT52C9V1-TPMSCT-ND</t>
  </si>
  <si>
    <t>BZT52C9V1T-7</t>
  </si>
  <si>
    <t>BZT52C9V1TDICT-ND</t>
  </si>
  <si>
    <t>BZT52C10T</t>
  </si>
  <si>
    <t xml:space="preserve">DIODE ZENER 10V 500MW SOD123 </t>
  </si>
  <si>
    <t>10 V</t>
  </si>
  <si>
    <t>BZT52C10-TP</t>
  </si>
  <si>
    <t>BZT52C10-TPMSCT-ND</t>
  </si>
  <si>
    <t>BZT52C10T-TP</t>
  </si>
  <si>
    <t>353-BZT52C10T-TPCT-ND</t>
  </si>
  <si>
    <t>BZT52C11T</t>
  </si>
  <si>
    <t xml:space="preserve">DIODE ZENER 11V 100MW SOD523 </t>
  </si>
  <si>
    <t>11 V</t>
  </si>
  <si>
    <t>BZT52C11T-TP</t>
  </si>
  <si>
    <t>BZT52C11T-TPMSCT-ND</t>
  </si>
  <si>
    <t>BZT52C11T-7</t>
  </si>
  <si>
    <t>BZT52C11T-7DICT-ND</t>
  </si>
  <si>
    <t>BZT52C12T</t>
  </si>
  <si>
    <t xml:space="preserve">DIODE ZENER 12V 200MW SOD123 </t>
  </si>
  <si>
    <t>12 V</t>
  </si>
  <si>
    <t>BZT52C12-TP</t>
  </si>
  <si>
    <t>BZT52C12-TPMSCT-ND</t>
  </si>
  <si>
    <t>BZT52C12T-TP</t>
  </si>
  <si>
    <t>BZT52C12T-TPMSCT-ND</t>
  </si>
  <si>
    <t>BZT52C13T</t>
  </si>
  <si>
    <t xml:space="preserve">DIODE ZENER 13V 200MW SOD123 </t>
  </si>
  <si>
    <t>13 V</t>
  </si>
  <si>
    <t>BZT52C13-TP</t>
  </si>
  <si>
    <t>BZT52C13-TPMSCT-ND</t>
  </si>
  <si>
    <t>BZT52C13T-TP</t>
  </si>
  <si>
    <t>BZT52C13T-TPMSCT-ND</t>
  </si>
  <si>
    <t>BZT52C15T</t>
  </si>
  <si>
    <t xml:space="preserve">DIODE ZENER 15V 100MW SOD523 </t>
  </si>
  <si>
    <t>15 V</t>
  </si>
  <si>
    <t>BZT52C15T-TP</t>
  </si>
  <si>
    <t>BZT52C15T-TPMSCT-ND</t>
  </si>
  <si>
    <t>BZT52C15</t>
  </si>
  <si>
    <t>BZT52C16T</t>
  </si>
  <si>
    <t xml:space="preserve">DIODE ZENER 16V 300MW SOD523 </t>
  </si>
  <si>
    <t>16 V</t>
  </si>
  <si>
    <t>BZT52C16T-7</t>
  </si>
  <si>
    <t>BZT52C16TDICT-ND</t>
  </si>
  <si>
    <t>BZT52C16T-TP</t>
  </si>
  <si>
    <t>BZT52C16T-TPMSCT-ND</t>
  </si>
  <si>
    <t>BZT52C18T</t>
  </si>
  <si>
    <t xml:space="preserve">DIODE ZENER 18V 200MW SOD123 </t>
  </si>
  <si>
    <t>18 V</t>
  </si>
  <si>
    <t>BZT52C18-TP</t>
  </si>
  <si>
    <t>BZT52C18-TPMSCT-ND</t>
  </si>
  <si>
    <t>BZT52C18T-TP</t>
  </si>
  <si>
    <t>BZT52C18T-TPMSCT-ND</t>
  </si>
  <si>
    <t>BZT52C20T</t>
  </si>
  <si>
    <t>20 V</t>
  </si>
  <si>
    <t>BZT52C20T-TP</t>
  </si>
  <si>
    <t>BZT52C20T-TPMSCT-ND</t>
  </si>
  <si>
    <t>BZT52C22T</t>
  </si>
  <si>
    <t>22 V</t>
  </si>
  <si>
    <t>BZT52C22T-TP</t>
  </si>
  <si>
    <t>BZT52C22T-TPMSCT-ND</t>
  </si>
  <si>
    <t>BZT52C24T</t>
  </si>
  <si>
    <t xml:space="preserve">DIODE ZENER 24V 200MW SOD123 </t>
  </si>
  <si>
    <t>24 V</t>
  </si>
  <si>
    <t>BZT52C24-TP</t>
  </si>
  <si>
    <t>353-BZT52C24-TPCT-ND</t>
  </si>
  <si>
    <t>BZT52C24T-7</t>
  </si>
  <si>
    <t>31-BZT52C24T-7CT-ND</t>
  </si>
  <si>
    <t>27 V</t>
  </si>
  <si>
    <t>BZT52C27</t>
  </si>
  <si>
    <t xml:space="preserve">DIODE ZENER 30V 200MW SOD123 </t>
  </si>
  <si>
    <t>30 V</t>
  </si>
  <si>
    <t>BZT52C30-TP</t>
  </si>
  <si>
    <t>353-BZT52C30-TPCT-ND</t>
  </si>
  <si>
    <t>BZT52C30</t>
  </si>
  <si>
    <t xml:space="preserve">DIODE ZENER 33V 200MW SOD123 </t>
  </si>
  <si>
    <t>33 V</t>
  </si>
  <si>
    <t>BZT52C33-TP</t>
  </si>
  <si>
    <t>BZT52C33-TPMSCT-ND</t>
  </si>
  <si>
    <t>BZT52C33</t>
  </si>
  <si>
    <t>BZT52C36T</t>
  </si>
  <si>
    <t>36 V</t>
  </si>
  <si>
    <t>BZT52C36T-TP</t>
  </si>
  <si>
    <t>353-BZT52C36T-TPCT-ND</t>
  </si>
  <si>
    <t>BZT52C39T</t>
  </si>
  <si>
    <t>39 V</t>
  </si>
  <si>
    <t>BZT52C39T-TP</t>
  </si>
  <si>
    <t>BZT52C39T-TPMSCT-ND</t>
  </si>
  <si>
    <t>BZT52C2V4</t>
  </si>
  <si>
    <t>BZT52C2V4-7-F</t>
  </si>
  <si>
    <t>BZT52C2V4-FDICT-ND</t>
  </si>
  <si>
    <t>BZT52C2V7</t>
  </si>
  <si>
    <t>BZT52C3V0</t>
  </si>
  <si>
    <t>BZT52C3V0-7-F</t>
  </si>
  <si>
    <t>BZT52C3V0-FDICT-ND</t>
  </si>
  <si>
    <t>BZT52C3V3</t>
  </si>
  <si>
    <t xml:space="preserve">SOD-123, ZENER </t>
  </si>
  <si>
    <t>Panjit International Inc.</t>
  </si>
  <si>
    <t>https://www.panjit.com.tw/upload/datasheet/BZT52-C2V4_SERIES.pdf</t>
  </si>
  <si>
    <t>BZT52-C3V3_R1_00001</t>
  </si>
  <si>
    <t>3757-BZT52-C3V3_R1_00001CT-ND</t>
  </si>
  <si>
    <t>BZT52-C3V3X</t>
  </si>
  <si>
    <t>1727-7693-1-ND</t>
  </si>
  <si>
    <t>BZT52C3V6</t>
  </si>
  <si>
    <t xml:space="preserve">DIODE ZENER 3.6V 350MW SOD123 </t>
  </si>
  <si>
    <t>https://assets.nexperia.com/documents/data-sheet/BZT52_SER.pdf</t>
  </si>
  <si>
    <t>BZT52-C3V6J</t>
  </si>
  <si>
    <t>1727-8137-1-ND</t>
  </si>
  <si>
    <t>BZT52C3V6-7-F</t>
  </si>
  <si>
    <t>BZT52C3V6-FDICT-ND</t>
  </si>
  <si>
    <t>BZT52C3V9-7-F</t>
  </si>
  <si>
    <t>BZT52C3V9-FDICT-ND</t>
  </si>
  <si>
    <t>BZT52C4V3</t>
  </si>
  <si>
    <t>https://www.diodes.com/assets/Datasheets/ds18004.pdf</t>
  </si>
  <si>
    <t>BZT52C4V7</t>
  </si>
  <si>
    <t>BZT52C4V7-13-F</t>
  </si>
  <si>
    <t>BZT52C4V7-13FDICT-ND</t>
  </si>
  <si>
    <t>BZT52C5V1</t>
  </si>
  <si>
    <t>BZT52C5V6-13-F</t>
  </si>
  <si>
    <t>BZT52C5V6-13-FDICT-ND</t>
  </si>
  <si>
    <t>BZT52C6V2</t>
  </si>
  <si>
    <t>BZT52-C6V2_R1_00001</t>
  </si>
  <si>
    <t>3757-BZT52-C6V2_R1_00001CT-ND</t>
  </si>
  <si>
    <t>BZT52C6V8</t>
  </si>
  <si>
    <t>BZT52C6V8-7-F</t>
  </si>
  <si>
    <t>BZT52C6V8-FDICT-ND</t>
  </si>
  <si>
    <t>BZT52C6V8T-7</t>
  </si>
  <si>
    <t>BZT52C6V8T-7DICT-ND</t>
  </si>
  <si>
    <t>BZT52C7V5</t>
  </si>
  <si>
    <t>BZT52C7V5-7-F</t>
  </si>
  <si>
    <t>BZT52C7V5-FDICT-ND</t>
  </si>
  <si>
    <t>BZT52C8V2</t>
  </si>
  <si>
    <t>BZT52C8V2-7-F</t>
  </si>
  <si>
    <t>BZT52C8V2-FDICT-ND</t>
  </si>
  <si>
    <t>BZT52C9V1</t>
  </si>
  <si>
    <t>BZT52C9V1-7-F</t>
  </si>
  <si>
    <t>BZT52C9V1-FDICT-ND</t>
  </si>
  <si>
    <t>BZT52C10</t>
  </si>
  <si>
    <t>BZT52-C10_R1_00001</t>
  </si>
  <si>
    <t>3757-BZT52-C10_R1_00001CT-ND</t>
  </si>
  <si>
    <t>BZT52C11</t>
  </si>
  <si>
    <t xml:space="preserve">DIODE ZENER 11V 500MW SOD123 </t>
  </si>
  <si>
    <t>BZT52C11-7-F</t>
  </si>
  <si>
    <t>BZT52C11-FDICT-ND</t>
  </si>
  <si>
    <t>BZT52-C11_R1_00001</t>
  </si>
  <si>
    <t>3757-BZT52-C11_R1_00001CT-ND</t>
  </si>
  <si>
    <t>BZT52C12</t>
  </si>
  <si>
    <t>BZT52C13</t>
  </si>
  <si>
    <t>BZT52C13T-7</t>
  </si>
  <si>
    <t>BZT52C13TDICT-ND</t>
  </si>
  <si>
    <t>BZT52C15-7-F</t>
  </si>
  <si>
    <t>BZT52C15-FDICT-ND</t>
  </si>
  <si>
    <t>BZT52C16</t>
  </si>
  <si>
    <t xml:space="preserve">DIODE ZENER 16V 500MW SOD123 </t>
  </si>
  <si>
    <t>BZT52C16-13-F</t>
  </si>
  <si>
    <t>BZT52C16-13-FDICT-ND</t>
  </si>
  <si>
    <t>BZT52C18</t>
  </si>
  <si>
    <t>BZT52C18-7-F</t>
  </si>
  <si>
    <t>BZT52C18-FDICT-ND</t>
  </si>
  <si>
    <t>BZT52C20</t>
  </si>
  <si>
    <t xml:space="preserve">DIODE ZENER 20V 350MW SOD123 </t>
  </si>
  <si>
    <t>BZT52-C20J</t>
  </si>
  <si>
    <t>1727-8128-1-ND</t>
  </si>
  <si>
    <t>BZT52C20-7-F</t>
  </si>
  <si>
    <t>BZT52C20-FDICT-ND</t>
  </si>
  <si>
    <t>BZT52C22</t>
  </si>
  <si>
    <t>BZT52C22T-7</t>
  </si>
  <si>
    <t>BZT52C22T-7DICT-ND</t>
  </si>
  <si>
    <t>BZT52C24</t>
  </si>
  <si>
    <t>BZT52C24-7-F</t>
  </si>
  <si>
    <t>BZT52C24-FDICT-ND</t>
  </si>
  <si>
    <t>BZT52C27-7-F</t>
  </si>
  <si>
    <t>BZT52C27-FDICT-ND</t>
  </si>
  <si>
    <t>BZT52-C33J</t>
  </si>
  <si>
    <t>1727-7752-1-ND</t>
  </si>
  <si>
    <t>BZT52C36</t>
  </si>
  <si>
    <t xml:space="preserve">SURFACE MOUNT SILICON ZENER DIOD </t>
  </si>
  <si>
    <t>BZT52-C36_R1_00001</t>
  </si>
  <si>
    <t>3757-BZT52-C36_R1_00001CT-ND</t>
  </si>
  <si>
    <t>BZT52C39</t>
  </si>
  <si>
    <t>BZT52-C39J</t>
  </si>
  <si>
    <t>1727-7753-1-ND</t>
  </si>
  <si>
    <t>BZT52C43</t>
  </si>
  <si>
    <t>43 V</t>
  </si>
  <si>
    <t>https://www.panjit.com.tw/upload/datasheet/BZT52-C2V4-AU_SERIES.pdf</t>
  </si>
  <si>
    <t>BZT52-C43-AU_R1_000A1</t>
  </si>
  <si>
    <t>3757-BZT52-C43-AU_R1_000A1CT-ND</t>
  </si>
  <si>
    <t>BZT52C43-7-F</t>
  </si>
  <si>
    <t>BZT52C43-FDICT-ND</t>
  </si>
  <si>
    <t>BZT52C47</t>
  </si>
  <si>
    <t xml:space="preserve">DIODE ZENER 47V 350MW SOD123 </t>
  </si>
  <si>
    <t>47 V</t>
  </si>
  <si>
    <t>BZT52-C47J</t>
  </si>
  <si>
    <t>1727-8139-1-ND</t>
  </si>
  <si>
    <t>BZT52C51</t>
  </si>
  <si>
    <t>51 V</t>
  </si>
  <si>
    <t>BZT52-C51_R1_00001</t>
  </si>
  <si>
    <t>3757-BZT52-C51_R1_00001CT-ND</t>
  </si>
  <si>
    <t>BZT52C56</t>
  </si>
  <si>
    <t>56 V</t>
  </si>
  <si>
    <t>BZT52-C56_R1_00001</t>
  </si>
  <si>
    <t>3757-BZT52-C56_R1_00001CT-ND</t>
  </si>
  <si>
    <t>BZT52C62</t>
  </si>
  <si>
    <t>62 V</t>
  </si>
  <si>
    <t>BZT52-C62_R1_00001</t>
  </si>
  <si>
    <t>3757-BZT52-C62_R1_00001CT-ND</t>
  </si>
  <si>
    <t>BZT52C68</t>
  </si>
  <si>
    <t>68 V</t>
  </si>
  <si>
    <t>BZT52-C68_R1_00001</t>
  </si>
  <si>
    <t>3757-BZT52-C68_R1_00001CT-ND</t>
  </si>
  <si>
    <t>BZT52C75</t>
  </si>
  <si>
    <t xml:space="preserve">DIODE ZENER 74.5V 350MW SOD123 </t>
  </si>
  <si>
    <t>74.5 V</t>
  </si>
  <si>
    <t>BZT52-C75J</t>
  </si>
  <si>
    <t>1727-8146-1-ND</t>
  </si>
  <si>
    <t>BZT52-C75-AU_R1_000A1</t>
  </si>
  <si>
    <t>3757-BZT52-C75-AU_R1_000A1CT-ND</t>
  </si>
  <si>
    <t xml:space="preserve">DIODE ZENER 2.7V 300MW SOD523 </t>
  </si>
  <si>
    <t>BZT52C2V7T-TP</t>
  </si>
  <si>
    <t>BZT52C2V7T-TPMSCT-ND</t>
  </si>
  <si>
    <t xml:space="preserve">DIODE ZENER 3V 250MW SOD523 </t>
  </si>
  <si>
    <t>BZT52C3V0T-TP</t>
  </si>
  <si>
    <t>BZT52C3V0T-TPMSCT-ND</t>
  </si>
  <si>
    <t xml:space="preserve">DIODE ZENER 3.3V 300MW SOD523 </t>
  </si>
  <si>
    <t>BZT52C3V3T-TP</t>
  </si>
  <si>
    <t>BZT52C3V3T-TPMSCT-ND</t>
  </si>
  <si>
    <t xml:space="preserve">DIODE ZENER 3.6V 100MW SOD523 </t>
  </si>
  <si>
    <t>BZT52C3V6T-7</t>
  </si>
  <si>
    <t>BZT52C3V6T-7DICT-ND</t>
  </si>
  <si>
    <t xml:space="preserve">DIODE ZENER 3.9V 100MW SOD523 </t>
  </si>
  <si>
    <t>BZT52C3V9T-TP</t>
  </si>
  <si>
    <t>353-BZT52C3V9T-TPCT-ND</t>
  </si>
  <si>
    <t>BZT52C3V9T-7</t>
  </si>
  <si>
    <t>BZT52C3V9T-7DICT-ND</t>
  </si>
  <si>
    <t xml:space="preserve">DIODE ZENER 4.3V 300MW SOD523 </t>
  </si>
  <si>
    <t>BZT52C4V3T-TP</t>
  </si>
  <si>
    <t>BZT52C4V3T-TPMSCT-ND</t>
  </si>
  <si>
    <t xml:space="preserve">DIODE ZENER 4.7V 100MW SOD523 </t>
  </si>
  <si>
    <t>BZT52C4V7T-7</t>
  </si>
  <si>
    <t>BZT52C4V7T-7DICT-ND</t>
  </si>
  <si>
    <t xml:space="preserve">DIODE ZENER 5.1V 200MW SOD523 </t>
  </si>
  <si>
    <t>BZT52C5V1T-7</t>
  </si>
  <si>
    <t>BZT52C5V1T-7DICT-ND</t>
  </si>
  <si>
    <t xml:space="preserve">DIODE ZENER 5.6V 100MW SOD523 </t>
  </si>
  <si>
    <t>BZT52C5V6T-TP</t>
  </si>
  <si>
    <t>BZT52C5V6T-TPMSCT-ND</t>
  </si>
  <si>
    <t>BZT52C5V6T-7</t>
  </si>
  <si>
    <t>BZT52C5V6TDICT-ND</t>
  </si>
  <si>
    <t xml:space="preserve">DIODE ZENER 6.2V 100MW SOD523 </t>
  </si>
  <si>
    <t>BZT52C6V2T-7</t>
  </si>
  <si>
    <t>BZT52C6V2T-7DICT-ND</t>
  </si>
  <si>
    <t xml:space="preserve">DIODE ZENER 6.8V 100MW SOD523 </t>
  </si>
  <si>
    <t xml:space="preserve">DIODE ZENER 8.2V 100MW SOD523 </t>
  </si>
  <si>
    <t>BZT52C8V2T-TP</t>
  </si>
  <si>
    <t>BZT52C8V2T-TPMSCT-ND</t>
  </si>
  <si>
    <t xml:space="preserve">DIODE ZENER 9.1V 300MW SOD523 </t>
  </si>
  <si>
    <t>BZT52C9V1T-TP</t>
  </si>
  <si>
    <t>BZT52C9V1T-TPMSCT-ND</t>
  </si>
  <si>
    <t xml:space="preserve">DIODE ZENER 10V 100MW SOD523 </t>
  </si>
  <si>
    <t>BZT52C10T-7</t>
  </si>
  <si>
    <t>BZT52C10T-7DICT-ND</t>
  </si>
  <si>
    <t xml:space="preserve">DIODE ZENER 12V 100MW SOD523 </t>
  </si>
  <si>
    <t>BZT52C12T-7</t>
  </si>
  <si>
    <t>BZT52C12T-7DICT-ND</t>
  </si>
  <si>
    <t xml:space="preserve">DIODE ZENER 13V 100MW SOD523 </t>
  </si>
  <si>
    <t>BZT52C15T-7</t>
  </si>
  <si>
    <t>BZT52C15T-7DICT-ND</t>
  </si>
  <si>
    <t xml:space="preserve">DIODE ZENER 18V 100MW SOD523 </t>
  </si>
  <si>
    <t>BZT52C18T-7</t>
  </si>
  <si>
    <t>BZT52C18T-7DICT-ND</t>
  </si>
  <si>
    <t xml:space="preserve">DIODE ZENER 20V 100MW SOD523 </t>
  </si>
  <si>
    <t>BZT52C20T-7</t>
  </si>
  <si>
    <t>BZT52C20T-7DICT-ND</t>
  </si>
  <si>
    <t xml:space="preserve">DIODE ZENER 22V 100MW SOD523 </t>
  </si>
  <si>
    <t xml:space="preserve">DIODE ZENER 24V 300MW SOD523 </t>
  </si>
  <si>
    <t>BZT52C24TQ-7-F</t>
  </si>
  <si>
    <t>31-BZT52C24TQ-7-FCT-ND</t>
  </si>
  <si>
    <t xml:space="preserve">DIODE ZENER 36V 100MW SOD523 </t>
  </si>
  <si>
    <t>BZT52C36TQ-7-F</t>
  </si>
  <si>
    <t>31-BZT52C36TQ-7-FCT-ND</t>
  </si>
  <si>
    <t xml:space="preserve">DIODE ZENER 39V 100MW SOD523 </t>
  </si>
  <si>
    <t>BZT52-C2V4_R1_00001</t>
  </si>
  <si>
    <t>3757-BZT52-C2V4_R1_00001CT-ND</t>
  </si>
  <si>
    <t>BZT52C2V7-13-F</t>
  </si>
  <si>
    <t>BZT52C2V7-13-FDICT-ND</t>
  </si>
  <si>
    <t>BZT52-C4V3J</t>
  </si>
  <si>
    <t>1727-8140-1-ND</t>
  </si>
  <si>
    <t>BZT52-C5V1_R1_00001</t>
  </si>
  <si>
    <t>3757-BZT52-C5V1_R1_00001CT-ND</t>
  </si>
  <si>
    <t>BZT52-C7V5_R1_00001</t>
  </si>
  <si>
    <t>3757-BZT52-C7V5_R1_00001CT-ND</t>
  </si>
  <si>
    <t>BZT52-C8V2_R1_00001</t>
  </si>
  <si>
    <t>3757-BZT52-C8V2_R1_00001CT-ND</t>
  </si>
  <si>
    <t>BZT52-C12_R1_00001</t>
  </si>
  <si>
    <t>3757-BZT52-C12_R1_00001CT-ND</t>
  </si>
  <si>
    <t>BZT52-C13_R1_00001</t>
  </si>
  <si>
    <t>3757-BZT52-C13_R1_00001CT-ND</t>
  </si>
  <si>
    <t xml:space="preserve">DIODE ZENER 15V 500MW SOD123 </t>
  </si>
  <si>
    <t>BZT52C15-13-F</t>
  </si>
  <si>
    <t>BZT52C15-13-FDICT-ND</t>
  </si>
  <si>
    <t>BZT52-C16J</t>
  </si>
  <si>
    <t>1727-7750-1-ND</t>
  </si>
  <si>
    <t>BZT52-C22_R1_00001</t>
  </si>
  <si>
    <t>3757-BZT52-C22_R1_00001CT-ND</t>
  </si>
  <si>
    <t>BZT52-C22J</t>
  </si>
  <si>
    <t>1727-8129-1-ND</t>
  </si>
  <si>
    <t>BZT52-C27_R1_00001</t>
  </si>
  <si>
    <t>3757-BZT52-C27_R1_00001CT-ND</t>
  </si>
  <si>
    <t>BZT52-C30_R1_00001</t>
  </si>
  <si>
    <t>3757-BZT52-C30_R1_00001CT-ND</t>
  </si>
  <si>
    <t>BZT52-C36J</t>
  </si>
  <si>
    <t>1727-8135-1-ND</t>
  </si>
  <si>
    <t>BZT52-C39_R1_00001</t>
  </si>
  <si>
    <t>3757-BZT52-C39_R1_00001CT-ND</t>
  </si>
  <si>
    <t>BZT52C47-7-F</t>
  </si>
  <si>
    <t>BZT52C47-FDICT-ND</t>
  </si>
  <si>
    <t>BZT52-C51-AU_R1_000A1</t>
  </si>
  <si>
    <t>3757-BZT52-C51-AU_R1_000A1CT-ND</t>
  </si>
  <si>
    <t>BZT52-C56-AU_R1_000A1</t>
  </si>
  <si>
    <t>3757-BZT52-C56-AU_R1_000A1CT-ND</t>
  </si>
  <si>
    <t>BZT52-C62J</t>
  </si>
  <si>
    <t>1727-8143-1-ND</t>
  </si>
  <si>
    <t xml:space="preserve">DIODE ZENER 68V 350MW SOD123 </t>
  </si>
  <si>
    <t>BZT52-C68J</t>
  </si>
  <si>
    <t>1727-8144-1-ND</t>
  </si>
  <si>
    <t>MCG35P04-TP</t>
  </si>
  <si>
    <t>353-MCG35P04-TPCT-ND</t>
  </si>
  <si>
    <t>https://www.mccsemi.com/pdf/Products/MCG35P04(DFN3333).pdf</t>
  </si>
  <si>
    <t>GT095N04D3</t>
  </si>
  <si>
    <t>PXN012-60QLJ</t>
  </si>
  <si>
    <t>http://www.gofordsemi.com/u_file/product/834/GOFORD-GT095N04D3.pdf</t>
  </si>
  <si>
    <t>Goford Semiconductor</t>
  </si>
  <si>
    <t>3141-GT095N04D3CT-ND</t>
  </si>
  <si>
    <t>1727-PXN012-60QLJCT-ND</t>
  </si>
  <si>
    <t>https://assets.nexperia.com/documents/data-sheet/PXN012-60QL.pdf</t>
  </si>
  <si>
    <t>40V 35A P-Channel MOSFET</t>
  </si>
  <si>
    <t>40V 47A N-Channel MOSFET</t>
  </si>
  <si>
    <t>N-channel 60 V, 11.5 mOhm, logic level Trench MOSFET in MLPAK33</t>
  </si>
  <si>
    <t>SON065P330X330X075-5-TH245X175</t>
  </si>
  <si>
    <t>0R005/2512</t>
  </si>
  <si>
    <t>RES SM 2512 0R005</t>
  </si>
  <si>
    <t>2512</t>
  </si>
  <si>
    <t>0R005</t>
  </si>
  <si>
    <t>R2512-0.65-WW</t>
  </si>
  <si>
    <t>MCS3264R005FERCT-ND</t>
  </si>
  <si>
    <t>Ohmite</t>
  </si>
  <si>
    <t>MCS3264R005FER</t>
  </si>
  <si>
    <t>https://www.ohmite.com/assets/docs/res_mcs.pdf?r=false</t>
  </si>
  <si>
    <t>MCS3264R025FER</t>
  </si>
  <si>
    <t>MCS3264R025FERCT-ND</t>
  </si>
  <si>
    <t>0R025</t>
  </si>
  <si>
    <t>0R025/2512</t>
  </si>
  <si>
    <t>RES SM 2512 0R025</t>
  </si>
  <si>
    <t>100K/0603/NTC/4700K</t>
  </si>
  <si>
    <t>RES NTC SM 0603 100k 4700K</t>
  </si>
  <si>
    <t>https://industrial.panasonic.com/cdbs/www-data/pdf/AUA0000/AUA0000C8.pdf</t>
  </si>
  <si>
    <t>P124047CT-ND</t>
  </si>
  <si>
    <t>ERT-J1VV104F</t>
  </si>
  <si>
    <t>HEAD_254_2X20</t>
  </si>
  <si>
    <t>CON40</t>
  </si>
  <si>
    <t>Header_2x20</t>
  </si>
  <si>
    <t>SMD110PL-TP</t>
  </si>
  <si>
    <t>SMD110PL-TPMSCT-ND</t>
  </si>
  <si>
    <t>https://www.mccsemi.com/pdf/Products/SMD110PL-SMD1200PL(SOD-123FL).pdf</t>
  </si>
  <si>
    <t>Schottky 100 V 1A Oberflächenmontage SOD-123FL</t>
  </si>
  <si>
    <t>25R/THT/NTC</t>
  </si>
  <si>
    <t>RES NTC THT 5 25R</t>
  </si>
  <si>
    <t>5mm</t>
  </si>
  <si>
    <t>25R</t>
  </si>
  <si>
    <t>PCB/R_THT.PcbLib</t>
  </si>
  <si>
    <t>RESD500W60D115</t>
  </si>
  <si>
    <t>https://product.tdk.com/system/files/dam/doc/product/protection/current/ntc-limiter/data_sheet/50/db/icl_16/s236.pdf</t>
  </si>
  <si>
    <t>EPCOS - TDK Electronics</t>
  </si>
  <si>
    <t>495-3048-ND</t>
  </si>
  <si>
    <t>B57236S0250M000</t>
  </si>
  <si>
    <t>ERZ-V14D391</t>
  </si>
  <si>
    <t>VARISTOR 391V 6kA</t>
  </si>
  <si>
    <t>391V</t>
  </si>
  <si>
    <t>R_VAR</t>
  </si>
  <si>
    <t>RESD750W80D155</t>
  </si>
  <si>
    <t>7.5mm</t>
  </si>
  <si>
    <t>https://industrial.panasonic.com/cdbs/www-data/pdf/AWA0000/AWA0000C1.pdf</t>
  </si>
  <si>
    <t>P7266-ND</t>
  </si>
  <si>
    <t>1MH/THT/CMC</t>
  </si>
  <si>
    <t>SCHURTER</t>
  </si>
  <si>
    <t>CMC 1mH 2A THT Schurter DFKH-14-0003</t>
  </si>
  <si>
    <t>1MH</t>
  </si>
  <si>
    <t>15X10.5mm</t>
  </si>
  <si>
    <t>DFKH-14-0003</t>
  </si>
  <si>
    <t>486-3121-ND</t>
  </si>
  <si>
    <t>SCHURTER Inc.</t>
  </si>
  <si>
    <t>https://www.schurter.com/en/datasheet/typ_DFKH.pdf</t>
  </si>
  <si>
    <t>DFKH-CASE-50-2</t>
  </si>
  <si>
    <t>30R/0603/FERRITE</t>
  </si>
  <si>
    <t>30R@100MHz 5A 0603 Ferrite</t>
  </si>
  <si>
    <t>https://www.laird.com/document/datasheet/hi0603r300r-10-datasheet</t>
  </si>
  <si>
    <t>Laird-Signal Integrity Products</t>
  </si>
  <si>
    <t>HI0603R300R-10</t>
  </si>
  <si>
    <t>240-HI0603R300R-10CT-ND</t>
  </si>
  <si>
    <t>80mA/UMT250/FUSE</t>
  </si>
  <si>
    <t>100mA/UMT250/FUSE</t>
  </si>
  <si>
    <t>125mA/UMT250/FUSE</t>
  </si>
  <si>
    <t>160mA/UMT250/FUSE</t>
  </si>
  <si>
    <t>200mA/UMT250/FUSE</t>
  </si>
  <si>
    <t>250mA/UMT250/FUSE</t>
  </si>
  <si>
    <t>315mA/UMT250/FUSE</t>
  </si>
  <si>
    <t>400mA/UMT250/FUSE</t>
  </si>
  <si>
    <t>500mA/UMT250/FUSE</t>
  </si>
  <si>
    <t>630mA/UMT250/FUSE</t>
  </si>
  <si>
    <t>1A/UMT250/FUSE</t>
  </si>
  <si>
    <t>1.25A/UMT250/FUSE</t>
  </si>
  <si>
    <t>1.6A/UMT250/FUSE</t>
  </si>
  <si>
    <t>2A/UMT250/FUSE</t>
  </si>
  <si>
    <t>2.5A/UMT250/FUSE</t>
  </si>
  <si>
    <t>3.15A/UMT250/FUSE</t>
  </si>
  <si>
    <t>4A/UMT250/FUSE</t>
  </si>
  <si>
    <t>5A/UMT250/FUSE</t>
  </si>
  <si>
    <t>6.3A/UMT250/FUSE</t>
  </si>
  <si>
    <t>8A/UMT250/FUSE</t>
  </si>
  <si>
    <t>10A/UMT250/FUSE</t>
  </si>
  <si>
    <t>Fuse 250VAC 80mA  UMT250</t>
  </si>
  <si>
    <t>Fuse 250VAC 100mA UMT250</t>
  </si>
  <si>
    <t>Fuse 250VAC 125mA UMT250</t>
  </si>
  <si>
    <t>Fuse 250VAC 160mA UMT250</t>
  </si>
  <si>
    <t>Fuse 250VAC 200mA UMT250</t>
  </si>
  <si>
    <t>Fuse 250VAC 250mA UMT250</t>
  </si>
  <si>
    <t>Fuse 250VAC 315mA UMT250</t>
  </si>
  <si>
    <t>Fuse 250VAC 400mA UMT250</t>
  </si>
  <si>
    <t>Fuse 250VAC 500mA UMT250</t>
  </si>
  <si>
    <t>Fuse 250VAC 630mA UMT250</t>
  </si>
  <si>
    <t>Fuse 250VAC 1A</t>
  </si>
  <si>
    <t>Fuse 250VAC 1.25A UMT250</t>
  </si>
  <si>
    <t>Fuse 250VAC 1.6A UMT250</t>
  </si>
  <si>
    <t>Fuse 250VAC 2A</t>
  </si>
  <si>
    <t>Fuse 250VAC 2.5A UMT250</t>
  </si>
  <si>
    <t>Fuse 250VAC 3.15A UMT250</t>
  </si>
  <si>
    <t>Fuse 250VAC 4A</t>
  </si>
  <si>
    <t>Fuse 250VAC 5A</t>
  </si>
  <si>
    <t>Fuse 250VAC 6.3A UMT250</t>
  </si>
  <si>
    <t>Fuse 250VAC 8A</t>
  </si>
  <si>
    <t>Fuse 250VAC 10A UMT250</t>
  </si>
  <si>
    <t>UMT250</t>
  </si>
  <si>
    <t>0.08A</t>
  </si>
  <si>
    <t>0.1A</t>
  </si>
  <si>
    <t>0.125A</t>
  </si>
  <si>
    <t>0.16A</t>
  </si>
  <si>
    <t>0.2A</t>
  </si>
  <si>
    <t>0.25A</t>
  </si>
  <si>
    <t>0.315A</t>
  </si>
  <si>
    <t>0.4A</t>
  </si>
  <si>
    <t>0.5A</t>
  </si>
  <si>
    <t>0.63A</t>
  </si>
  <si>
    <t>1A</t>
  </si>
  <si>
    <t>1.25A</t>
  </si>
  <si>
    <t>1.6A</t>
  </si>
  <si>
    <t>2A</t>
  </si>
  <si>
    <t>2.5A</t>
  </si>
  <si>
    <t>3.15A</t>
  </si>
  <si>
    <t>4A</t>
  </si>
  <si>
    <t>5A</t>
  </si>
  <si>
    <t>6.3A</t>
  </si>
  <si>
    <t>8A</t>
  </si>
  <si>
    <t>10A</t>
  </si>
  <si>
    <t>3403.0155.24</t>
  </si>
  <si>
    <t>3403.0156.24</t>
  </si>
  <si>
    <t>3403.0157.24</t>
  </si>
  <si>
    <t>3403.0158.24</t>
  </si>
  <si>
    <t>3403.0159.24</t>
  </si>
  <si>
    <t>3403.0160.24</t>
  </si>
  <si>
    <t>3403.0161.24</t>
  </si>
  <si>
    <t>3403.0162.24</t>
  </si>
  <si>
    <t>3403.0163.24</t>
  </si>
  <si>
    <t>3403.0164.24</t>
  </si>
  <si>
    <t>3403.0165.24</t>
  </si>
  <si>
    <t>3403.0166.24</t>
  </si>
  <si>
    <t>3403.0167.24</t>
  </si>
  <si>
    <t>3403.0168.24</t>
  </si>
  <si>
    <t>3403.0169.24</t>
  </si>
  <si>
    <t>3403.0170.24</t>
  </si>
  <si>
    <t>3403.0171.24</t>
  </si>
  <si>
    <t>3403.0172.24</t>
  </si>
  <si>
    <t>3403.0173.24</t>
  </si>
  <si>
    <t>3403.0174.24</t>
  </si>
  <si>
    <t>3403.0175.24</t>
  </si>
  <si>
    <t>3403.0176.25</t>
  </si>
  <si>
    <t>800mA/UMT250/FUSE</t>
  </si>
  <si>
    <t>Fuse 250VAC 800mA UMT250</t>
  </si>
  <si>
    <t>0.8A</t>
  </si>
  <si>
    <t>https://www.schurter.com/en/datasheet/typ_UMT_250.pdf</t>
  </si>
  <si>
    <t>486-3475-1-ND</t>
  </si>
  <si>
    <t>486-3864-1-ND</t>
  </si>
  <si>
    <t>486-3403.0157.24CT-ND</t>
  </si>
  <si>
    <t>486-3403.0158.24CT-ND</t>
  </si>
  <si>
    <t>486-4658-1-ND</t>
  </si>
  <si>
    <t>486-3476-1-ND</t>
  </si>
  <si>
    <t>486-3477-1-ND</t>
  </si>
  <si>
    <t>486-3386-1-ND</t>
  </si>
  <si>
    <t>486-3478-1-ND</t>
  </si>
  <si>
    <t>486-3878-1-ND</t>
  </si>
  <si>
    <t>486-4571-1-ND</t>
  </si>
  <si>
    <t>486-3387-1-ND</t>
  </si>
  <si>
    <t>486-3479-1-ND</t>
  </si>
  <si>
    <t>486-3480-1-ND</t>
  </si>
  <si>
    <t>486-3481-1-ND</t>
  </si>
  <si>
    <t>486-3879-1-ND</t>
  </si>
  <si>
    <t>486-3482-1-ND</t>
  </si>
  <si>
    <t>486-3483-1-ND</t>
  </si>
  <si>
    <t>486-3865-1-ND</t>
  </si>
  <si>
    <t>486-3484-1-ND</t>
  </si>
  <si>
    <t>486-3866-1-ND</t>
  </si>
  <si>
    <t>486-3485-1-ND</t>
  </si>
  <si>
    <t>Digikey</t>
  </si>
  <si>
    <t>BZT585B2V4T</t>
  </si>
  <si>
    <t xml:space="preserve">DIODE ZENER 2.4V 350MW SOD523 </t>
  </si>
  <si>
    <t>https://www.diodes.com/assets/Datasheets/BZT585BxVxT.pdf</t>
  </si>
  <si>
    <t>BZT585B2V4T-7</t>
  </si>
  <si>
    <t>BZT585B2V4T-7DICT-ND</t>
  </si>
  <si>
    <t>BZT585B2V7T</t>
  </si>
  <si>
    <t xml:space="preserve">DIODE ZENER 2.7V 350MW SOD523 </t>
  </si>
  <si>
    <t>BZT585B2V7T-7</t>
  </si>
  <si>
    <t>BZT585B2V7T-7DICT-ND</t>
  </si>
  <si>
    <t>BZT585B3V3T</t>
  </si>
  <si>
    <t xml:space="preserve">DIODE ZENER 3.3V 350MW SOD523 </t>
  </si>
  <si>
    <t>BZT585B3V3T-7</t>
  </si>
  <si>
    <t>BZT585B3V3T-7DICT-ND</t>
  </si>
  <si>
    <t>BZT585B3V6T</t>
  </si>
  <si>
    <t xml:space="preserve">DIODE ZENER 3.6V 350MW SOD523 </t>
  </si>
  <si>
    <t>BZT585B3V6T-7</t>
  </si>
  <si>
    <t>BZT585B3V6T-7DICT-ND</t>
  </si>
  <si>
    <t>BZT585B3V6TQ-7</t>
  </si>
  <si>
    <t>31-BZT585B3V6TQ-7CT-ND</t>
  </si>
  <si>
    <t>BZT585B3V9T</t>
  </si>
  <si>
    <t xml:space="preserve">DIODE ZENER 3.9V 350MW SOD523 </t>
  </si>
  <si>
    <t>BZT585B3V9T-7</t>
  </si>
  <si>
    <t>BZT585B3V9T-7DICT-ND</t>
  </si>
  <si>
    <t>BZT585B4V3T</t>
  </si>
  <si>
    <t xml:space="preserve">DIODE ZENER 4.3V 350MW SOD523 </t>
  </si>
  <si>
    <t>BZT585B4V3T-7</t>
  </si>
  <si>
    <t>BZT585B4V3T-7DICT-ND</t>
  </si>
  <si>
    <t>BZT585B4V7T</t>
  </si>
  <si>
    <t xml:space="preserve">DIODE ZENER 4.7V 350MW SOD523 </t>
  </si>
  <si>
    <t>BZT585B4V7T-7</t>
  </si>
  <si>
    <t>BZT585B4V7T-7DICT-ND</t>
  </si>
  <si>
    <t>BZT585B5V1T</t>
  </si>
  <si>
    <t xml:space="preserve">DIODE ZENER 5.1V 350MW SOD523 </t>
  </si>
  <si>
    <t>BZT585B5V1T-7</t>
  </si>
  <si>
    <t>BZT585B5V1T-7DICT-ND</t>
  </si>
  <si>
    <t>BZT585B5V1TQ-7</t>
  </si>
  <si>
    <t>BZT585B5V1TQ-7DICT-ND</t>
  </si>
  <si>
    <t>BZT585B5V6T</t>
  </si>
  <si>
    <t xml:space="preserve">DIODE ZENER 5.6V 350MW SOD523 </t>
  </si>
  <si>
    <t>BZT585B5V6T-7</t>
  </si>
  <si>
    <t>BZT585B5V6T-7DICT-ND</t>
  </si>
  <si>
    <t>BZT585B5V6TQ-7</t>
  </si>
  <si>
    <t>31-BZT585B5V6TQ-7CT-ND</t>
  </si>
  <si>
    <t>BZT585B6V2T</t>
  </si>
  <si>
    <t xml:space="preserve">DIODE ZENER 6.2V 350MW SOD523 </t>
  </si>
  <si>
    <t>BZT585B6V2T-7</t>
  </si>
  <si>
    <t>BZT585B6V2T-7DICT-ND</t>
  </si>
  <si>
    <t>BZT585B6V2TQ-7</t>
  </si>
  <si>
    <t>31-BZT585B6V2TQ-7CT-ND</t>
  </si>
  <si>
    <t>BZT585B6V8T</t>
  </si>
  <si>
    <t xml:space="preserve">DIODE ZENER 6.8V 350MW SOD523 </t>
  </si>
  <si>
    <t>BZT585B6V8T-7</t>
  </si>
  <si>
    <t>BZT585B6V8T-7DICT-ND</t>
  </si>
  <si>
    <t>BZT585B6V8TQ-7</t>
  </si>
  <si>
    <t>31-BZT585B6V8TQ-7CT-ND</t>
  </si>
  <si>
    <t>BZT585B7V5T</t>
  </si>
  <si>
    <t xml:space="preserve">DIODE ZENER 7.5V 350MW SOD523 </t>
  </si>
  <si>
    <t>BZT585B7V5T-7</t>
  </si>
  <si>
    <t>31-BZT585B7V5T-7CT-ND</t>
  </si>
  <si>
    <t>BZT585B8V2T</t>
  </si>
  <si>
    <t xml:space="preserve">DIODE ZENER 8.2V 350MW SOD523 </t>
  </si>
  <si>
    <t>BZT585B8V2T-7</t>
  </si>
  <si>
    <t>BZT585B8V2T-7DICT-ND</t>
  </si>
  <si>
    <t>BZT585B8V2TQ-7</t>
  </si>
  <si>
    <t>31-BZT585B8V2TQ-7CT-ND</t>
  </si>
  <si>
    <t>BZT585B9V1T</t>
  </si>
  <si>
    <t xml:space="preserve">DIODE ZENER 9.1V 350MW SOD523 </t>
  </si>
  <si>
    <t>BZT585B9V1T-7</t>
  </si>
  <si>
    <t>BZT585B9V1T-7DICT-ND</t>
  </si>
  <si>
    <t>BZT585B9V1TQ-7</t>
  </si>
  <si>
    <t>31-BZT585B9V1TQ-7CT-ND</t>
  </si>
  <si>
    <t>BZT585B10T</t>
  </si>
  <si>
    <t xml:space="preserve">DIODE ZENER 10V 350MW SOD523 </t>
  </si>
  <si>
    <t>BZT585B10T-7</t>
  </si>
  <si>
    <t>BZT585B10T-7DICT-ND</t>
  </si>
  <si>
    <t>BZT585B11T</t>
  </si>
  <si>
    <t xml:space="preserve">DIODE ZENER 11V 350MW SOD523 </t>
  </si>
  <si>
    <t>BZT585B11T-7</t>
  </si>
  <si>
    <t>BZT585B11T-7DICT-ND</t>
  </si>
  <si>
    <t>BZT585B12T</t>
  </si>
  <si>
    <t xml:space="preserve">DIODE ZENER 12V 350MW SOD523 </t>
  </si>
  <si>
    <t>BZT585B12T-7</t>
  </si>
  <si>
    <t>BZT585B12T-7DICT-ND</t>
  </si>
  <si>
    <t>BZT585B13T</t>
  </si>
  <si>
    <t xml:space="preserve">DIODE ZENER 13V 350MW SOD523 </t>
  </si>
  <si>
    <t>BZT585B13T-7</t>
  </si>
  <si>
    <t>BZT585B13T-7DICT-ND</t>
  </si>
  <si>
    <t>BZT585B13TQ-7</t>
  </si>
  <si>
    <t>31-BZT585B13TQ-7CT-ND</t>
  </si>
  <si>
    <t>BZT585B15T</t>
  </si>
  <si>
    <t xml:space="preserve">DIODE ZENER 15V 350MW SOD523 </t>
  </si>
  <si>
    <t>BZT585B15T-7</t>
  </si>
  <si>
    <t>BZT585B15T-7DICT-ND</t>
  </si>
  <si>
    <t>BZT585B15TQ-13</t>
  </si>
  <si>
    <t>31-BZT585B15TQ-13CT-ND</t>
  </si>
  <si>
    <t>BZT585B16T</t>
  </si>
  <si>
    <t xml:space="preserve">DIODE ZENER 16V 350MW SOD523 </t>
  </si>
  <si>
    <t>BZT585B16T-7</t>
  </si>
  <si>
    <t>BZT585B16T-7DICT-ND</t>
  </si>
  <si>
    <t>BZT585B18T</t>
  </si>
  <si>
    <t xml:space="preserve">DIODE ZENER 18V 350MW SOD523 </t>
  </si>
  <si>
    <t>BZT585B18T-7</t>
  </si>
  <si>
    <t>BZT585B18T-7DICT-ND</t>
  </si>
  <si>
    <t>BZT585B20T</t>
  </si>
  <si>
    <t xml:space="preserve">DIODE ZENER 20V 350MW SOD523 </t>
  </si>
  <si>
    <t>BZT585B20T-7</t>
  </si>
  <si>
    <t>BZT585B20T-7DICT-ND</t>
  </si>
  <si>
    <t>BZT585B22T</t>
  </si>
  <si>
    <t xml:space="preserve">DIODE ZENER 22V 350MW SOD523 </t>
  </si>
  <si>
    <t>BZT585B22T-7</t>
  </si>
  <si>
    <t>31-BZT585B22T-7CT-ND</t>
  </si>
  <si>
    <t>BZT585B24T</t>
  </si>
  <si>
    <t xml:space="preserve">DIODE ZENER 24V 350MW SOD523 </t>
  </si>
  <si>
    <t>BZT585B24T-7</t>
  </si>
  <si>
    <t>BZT585B24T-7DICT-ND</t>
  </si>
  <si>
    <t>BZT585B27T</t>
  </si>
  <si>
    <t xml:space="preserve">DIODE ZENER 27V 350MW SOD523 </t>
  </si>
  <si>
    <t>BZT585B27T-7</t>
  </si>
  <si>
    <t>BZT585B27T-7DICT-ND</t>
  </si>
  <si>
    <t>BZT585B27TQ-7</t>
  </si>
  <si>
    <t>31-BZT585B27TQ-7CT-ND</t>
  </si>
  <si>
    <t>BZT585B30T</t>
  </si>
  <si>
    <t xml:space="preserve">DIODE ZENER 30V 350MW SOD523 </t>
  </si>
  <si>
    <t>BZT585B30T-7</t>
  </si>
  <si>
    <t>BZT585B30T-7DICT-ND</t>
  </si>
  <si>
    <t>BZT585B30TQ-7</t>
  </si>
  <si>
    <t>31-BZT585B30TQ-7CT-ND</t>
  </si>
  <si>
    <t>BZT585B33T</t>
  </si>
  <si>
    <t xml:space="preserve">DIODE ZENER 33V 350MW SOD523 </t>
  </si>
  <si>
    <t>BZT585B33T-7</t>
  </si>
  <si>
    <t>31-BZT585B33T-7CT-ND</t>
  </si>
  <si>
    <t>BZT585B36T</t>
  </si>
  <si>
    <t xml:space="preserve">DIODE ZENER 36V 350MW SOD523 </t>
  </si>
  <si>
    <t>BZT585B36T-7</t>
  </si>
  <si>
    <t>31-BZT585B36T-7CT-ND</t>
  </si>
  <si>
    <t>BZT585B39T</t>
  </si>
  <si>
    <t xml:space="preserve">DIODE ZENER 39V 350MW SOD523 </t>
  </si>
  <si>
    <t>BZT585B39T-7</t>
  </si>
  <si>
    <t>BZT585B39T-7DICT-ND</t>
  </si>
  <si>
    <t>BZT585B43T</t>
  </si>
  <si>
    <t xml:space="preserve">DIODE ZENER 43V 350MW SOD523 </t>
  </si>
  <si>
    <t>BZT585B43T-7</t>
  </si>
  <si>
    <t>31-BZT585B43T-7CT-ND</t>
  </si>
  <si>
    <t>BZT585B43T-7DICT-ND</t>
  </si>
  <si>
    <t>PRTR5V0U4D</t>
  </si>
  <si>
    <t>quadruple rail-to-rail ESD protection 5V</t>
  </si>
  <si>
    <t>SC74 SOT-457</t>
  </si>
  <si>
    <t>D_ESD_QUAD</t>
  </si>
  <si>
    <t>https://assets.nexperia.com/documents/data-sheet/PRTR5V0U4D.pdf</t>
  </si>
  <si>
    <t>1727-3890-1-ND</t>
  </si>
  <si>
    <t>PRTR5V0U4D,125</t>
  </si>
  <si>
    <t>DuraClik Wire-to-Board Header, Single Row, Vertical, 2 Circuits, Tin (Sn) Over Nickel, Natural</t>
  </si>
  <si>
    <t>DuraClick_1x2_VERT_SMD</t>
  </si>
  <si>
    <t>https://www.molex.com/en-us/products/part-detail/5600200220</t>
  </si>
  <si>
    <t>5600200220</t>
  </si>
  <si>
    <t>WM10862CT-ND</t>
  </si>
  <si>
    <t>2N7002NXAKR</t>
  </si>
  <si>
    <t>1727-8643-1-ND</t>
  </si>
  <si>
    <t>https://assets.nexperia.com/documents/data-sheet/2N7002NXAK.pdf</t>
  </si>
  <si>
    <t>TPN19008QM,LQ</t>
  </si>
  <si>
    <t>GSFN1036</t>
  </si>
  <si>
    <t>8-PowerVDFN</t>
  </si>
  <si>
    <t>N-Kanal 80 V 34 A (Tc) 630mW (Ta), 57W (Tc) Oberflächenmontage 8-TSON Advance-Gehäuse (3,1x3,1)</t>
  </si>
  <si>
    <t>264-TPN19008QMLQCT-ND</t>
  </si>
  <si>
    <t>https://toshiba.semicon-storage.com/info/TPN19008QM_datasheet_en_20191021.pdf</t>
  </si>
  <si>
    <t>https://goodarksemi.com/docs/datasheets/mosfets/GSFN1036.pdf</t>
  </si>
  <si>
    <t>4786-GSFN1036CT-ND</t>
  </si>
  <si>
    <t>N-Kanal 100 V 35 A (Tc) 52W (Tc) Oberflächenmontage 8-PPAK (3,1x3,05)</t>
  </si>
  <si>
    <t>RL1206FR-070R25L</t>
  </si>
  <si>
    <t>330K/1206</t>
  </si>
  <si>
    <t>RES SM 1206 330K</t>
  </si>
  <si>
    <t>RC1206FR-07330KL</t>
  </si>
  <si>
    <t>311-330KFRCT-ND</t>
  </si>
  <si>
    <t>10U/1210/63V/X7R</t>
  </si>
  <si>
    <t>Header_2x20_Tray</t>
  </si>
  <si>
    <t>HEAD_254_2X20_Tray</t>
  </si>
  <si>
    <t>On Shore Technology Inc.</t>
  </si>
  <si>
    <t>302-S401</t>
  </si>
  <si>
    <t>ED10529-ND</t>
  </si>
  <si>
    <t>https://mm.digikey.com/Volume0/opasdata/d220001/medias/docus/6025/302-S.pdf</t>
  </si>
  <si>
    <t>https://cdn.amphenol-cs.com/media/wysiwyg/files/drawing/10129381.pdf</t>
  </si>
  <si>
    <t>10129381-940002BLF-ND</t>
  </si>
  <si>
    <t>10129381-940002BLF</t>
  </si>
  <si>
    <t>Amphenol ICC (FCI)</t>
  </si>
  <si>
    <t>MT8691AT</t>
  </si>
  <si>
    <t>Magn Tek</t>
  </si>
  <si>
    <t>https://www.lcsc.com/datasheet/lcsc_datasheet_2304140030_Magn-Tek-MT8691AT_C879625.pdf</t>
  </si>
  <si>
    <t>C879625</t>
  </si>
  <si>
    <t>Harwin</t>
  </si>
  <si>
    <t>S25-512</t>
  </si>
  <si>
    <t>952-2294-ND</t>
  </si>
  <si>
    <t>SPRING-PROBE-SLEEVE-25</t>
  </si>
  <si>
    <t>TP_SPRING_PROBE_S25-512</t>
  </si>
  <si>
    <t>https://cdn.harwin.com/pdfs/S25-XX2.pdf</t>
  </si>
  <si>
    <t>MC1.5/20-G-3.81</t>
  </si>
  <si>
    <t>MC1.5/2-G-3.81</t>
  </si>
  <si>
    <t>Phoenix contact MC 1,5/ 20-G-3,81</t>
  </si>
  <si>
    <t>Phoenix contact MC 1,5/ 2-G-3,81</t>
  </si>
  <si>
    <t>Phoenix</t>
  </si>
  <si>
    <t>PCB/Phoenix.PcbLib</t>
  </si>
  <si>
    <t>277-1206-ND</t>
  </si>
  <si>
    <t>https://www.phoenixcontact.com/en-us/products/pcb-header-mc-15-2-g-381-1803277?type=pdf</t>
  </si>
  <si>
    <t>https://www.phoenixcontact.com/en-us/products/pcb-header-mc-15-3-g-381-1803280?type=pdf</t>
  </si>
  <si>
    <t>MC1.5/3-G-3.81</t>
  </si>
  <si>
    <t>Phoenix contact MC 1,5/ 3-G-3,81</t>
  </si>
  <si>
    <t>CON3</t>
  </si>
  <si>
    <t>MC1.5/5-G-3.81</t>
  </si>
  <si>
    <t>Phoenix contact MC 1,5/ 5-G-3,81</t>
  </si>
  <si>
    <t>MC1.5/4-G-3.81</t>
  </si>
  <si>
    <t>Phoenix contact MC 1,5/ 4-G-3,81</t>
  </si>
  <si>
    <t>MC1.5/6-G-3.81</t>
  </si>
  <si>
    <t>MC1.5/7-G-3.81</t>
  </si>
  <si>
    <t>Phoenix contact MC 1,5/ 7-G-3,81</t>
  </si>
  <si>
    <t>CON7</t>
  </si>
  <si>
    <t>MC1.5/8-G-3.81</t>
  </si>
  <si>
    <t>Phoenix contact MC 1,5/ 8-G-3,81</t>
  </si>
  <si>
    <t>MC1.5/9-G-3.81</t>
  </si>
  <si>
    <t>Phoenix contact MC 1,5/ 9-G-3,81</t>
  </si>
  <si>
    <t>CON9</t>
  </si>
  <si>
    <t>MC1.5/10-G-3.81</t>
  </si>
  <si>
    <t>Phoenix contact MC 1,5/ 10-G-3,81</t>
  </si>
  <si>
    <t>MC1.5/12-G-3.81</t>
  </si>
  <si>
    <t>Phoenix contact MC 1,5/ 12-G-3,81</t>
  </si>
  <si>
    <t>CON12</t>
  </si>
  <si>
    <t>MC1.5/11-G-3.81</t>
  </si>
  <si>
    <t>Phoenix contact MC 1,5/ 11-G-3,81</t>
  </si>
  <si>
    <t>CON11</t>
  </si>
  <si>
    <t>MC1.5/13-G-3.81</t>
  </si>
  <si>
    <t>Phoenix contact MC 1,5/ 13-G-3,81</t>
  </si>
  <si>
    <t>CON13</t>
  </si>
  <si>
    <t>MC1.5/14-G-3.81</t>
  </si>
  <si>
    <t>Phoenix contact MC 1,5/ 14-G-3,81</t>
  </si>
  <si>
    <t>MC1.5/15-G-3.81</t>
  </si>
  <si>
    <t>Phoenix contact MC 1,5/ 15-G-3,81</t>
  </si>
  <si>
    <t>CON15</t>
  </si>
  <si>
    <t>MC1.5/16-G-3.81</t>
  </si>
  <si>
    <t>Phoenix contact MC 1,5/ 16-G-3,81</t>
  </si>
  <si>
    <t>CON16</t>
  </si>
  <si>
    <t>MC1.5/17-G-3.81</t>
  </si>
  <si>
    <t>Phoenix contact MC 1,5/ 17-G-3,81</t>
  </si>
  <si>
    <t>CON17</t>
  </si>
  <si>
    <t>MC1.5/18-G-3.81</t>
  </si>
  <si>
    <t>Phoenix contact MC 1,5/ 18-G-3,81</t>
  </si>
  <si>
    <t>CON18</t>
  </si>
  <si>
    <t>MC1.5/19-G-3.81</t>
  </si>
  <si>
    <t>Phoenix contact MC 1,5/ 19-G-3,81</t>
  </si>
  <si>
    <t>CON19</t>
  </si>
  <si>
    <t>CON20</t>
  </si>
  <si>
    <t>Phoenix contact MC 1,5/ 6-G-3,81</t>
  </si>
  <si>
    <t>https://www.phoenixcontact.com/en-us/products/pcb-header-mc-15-4-g-381-1803293?type=pdf</t>
  </si>
  <si>
    <t>https://www.phoenixcontact.com/en-us/products/pcb-header-mc-15-5-g-381-1803303?type=pdf</t>
  </si>
  <si>
    <t>https://www.phoenixcontact.com/en-us/products/pcb-header-mc-15-6-g-381-1803316?type=pdf</t>
  </si>
  <si>
    <t>https://www.phoenixcontact.com/en-us/products/pcb-header-mc-15-7-g-381-1803329?type=pdf</t>
  </si>
  <si>
    <t>https://www.phoenixcontact.com/en-us/products/pcb-header-mc-15-8-g-381-1803332?type=pdf</t>
  </si>
  <si>
    <t>https://www.phoenixcontact.com/en-us/products/pcb-header-mc-15-9-g-381-1803345?type=pdf</t>
  </si>
  <si>
    <t>https://www.phoenixcontact.com/en-us/products/pcb-header-mc-1510-g-381-1803358?type=pdf</t>
  </si>
  <si>
    <t>https://www.phoenixcontact.com/en-us/products/pcb-header-mc-1511-g-381-1803361?type=pdf</t>
  </si>
  <si>
    <t>https://www.phoenixcontact.com/en-us/products/pcb-header-mc-1512-g-381-1803374?type=pdf</t>
  </si>
  <si>
    <t>https://www.phoenixcontact.com/en-us/products/pcb-header-mc-1513-g-381-1803387?type=pdf</t>
  </si>
  <si>
    <t>https://www.phoenixcontact.com/en-us/products/pcb-header-mc-1514-g-381-1803390?type=pdf</t>
  </si>
  <si>
    <t>https://www.phoenixcontact.com/en-us/products/pcb-header-mc-1515-g-381-1803400?type=pdf</t>
  </si>
  <si>
    <t>https://www.phoenixcontact.com/en-us/products/pcb-header-mc-1516-g-381-1803413?type=pdf</t>
  </si>
  <si>
    <t>https://www.phoenixcontact.com/en-us/products/pcb-header-mc-1517-g-381-1841307?type=pdf</t>
  </si>
  <si>
    <t>https://www.phoenixcontact.com/en-us/products/pcb-header-mc-1518-g-381-1841297?type=pdf</t>
  </si>
  <si>
    <t>https://www.phoenixcontact.com/en-us/products/pcb-header-mc-1519-g-381-1841284?type=pdf</t>
  </si>
  <si>
    <t>https://www.phoenixcontact.com/en-us/products/pcb-header-mc-1520-g-381-1841271?type=pdf</t>
  </si>
  <si>
    <t>277-1207-ND</t>
  </si>
  <si>
    <t>277-1208-ND</t>
  </si>
  <si>
    <t>277-1209-ND</t>
  </si>
  <si>
    <t>277-1210-ND</t>
  </si>
  <si>
    <t>277-1211-ND</t>
  </si>
  <si>
    <t>277-1212-ND</t>
  </si>
  <si>
    <t>277-1213-ND</t>
  </si>
  <si>
    <t>277-1214-ND</t>
  </si>
  <si>
    <t>277-1215-ND</t>
  </si>
  <si>
    <t>277-1216-ND</t>
  </si>
  <si>
    <t>277-1217-ND</t>
  </si>
  <si>
    <t>277-1218-ND</t>
  </si>
  <si>
    <t>277-1219-ND</t>
  </si>
  <si>
    <t>277-1220-ND</t>
  </si>
  <si>
    <t>1841307-ND</t>
  </si>
  <si>
    <t>277-14177-ND</t>
  </si>
  <si>
    <t>1841284-ND</t>
  </si>
  <si>
    <t>277-6649-ND</t>
  </si>
  <si>
    <t>DuraClick_1x8_VERT_SMD</t>
  </si>
  <si>
    <t>DuraClik Wire-to-Board Header, Single Row, Vertical, 8 Circuits, Tin (Sn) Over Nickel, Natural</t>
  </si>
  <si>
    <t>5600200820</t>
  </si>
  <si>
    <t>https://www.molex.com/en-us/products/part-detail/5600200820</t>
  </si>
  <si>
    <t>WM10868CT-ND</t>
  </si>
  <si>
    <t>DuraClick_1x4_VERT_SMD</t>
  </si>
  <si>
    <t>ESDCAN24-2BLY</t>
  </si>
  <si>
    <t>497-13262-1-ND</t>
  </si>
  <si>
    <t>STMicroelectronics</t>
  </si>
  <si>
    <t>https://mm.digikey.com/Volume0/opasdata/d220001/medias/docus/507/ESDCAN%2801%2C24%29-2BLY%2C.pdf</t>
  </si>
  <si>
    <t>Automotive dual-line Transil™, transient voltage suppressor (TVS) for CAN bus</t>
  </si>
  <si>
    <t>FT232H Single Channel Hi-Speed USB to Multipurpose UART/FIFO IC</t>
  </si>
  <si>
    <t>FT232HL</t>
  </si>
  <si>
    <t>FTDI</t>
  </si>
  <si>
    <t>QFP-48</t>
  </si>
  <si>
    <t>FT232HQ</t>
  </si>
  <si>
    <t>QFN-48</t>
  </si>
  <si>
    <t>FT232H</t>
  </si>
  <si>
    <t>FT232H_EP</t>
  </si>
  <si>
    <t>ETH_THT_RA_Schielded_CAT5e</t>
  </si>
  <si>
    <t>855055113</t>
  </si>
  <si>
    <t>CONN MOD JACK 8P8C R/A SHIELDED CAT5e</t>
  </si>
  <si>
    <t>https://www.molex.com/en-us/products/part-detail/855055113?display=pdf&amp;download=true</t>
  </si>
  <si>
    <t>WM4192-ND</t>
  </si>
  <si>
    <t>M12-PCB-THT-2PC-4P-DCOD-M-VERT</t>
  </si>
  <si>
    <t>Harting</t>
  </si>
  <si>
    <t>https://b2b.harting.com/files/download/PRD/PDF_DS/PDF_DS_21033811418_EN.pdf</t>
  </si>
  <si>
    <t>1195-8779-ND</t>
  </si>
  <si>
    <t>FT234XD</t>
  </si>
  <si>
    <t>DFN-12</t>
  </si>
  <si>
    <t>FT234XD USB TO BASIC UART IC</t>
  </si>
  <si>
    <t>https://ftdichip.com/wp-content/uploads/2023/09/DS_FT232H.pdf</t>
  </si>
  <si>
    <t>https://www.ftdichip.com/Support/Documents/DataSheets/ICs/DS_FT234XD.pdf</t>
  </si>
  <si>
    <t>FT232HQ-REEL</t>
  </si>
  <si>
    <t>768-1102-1-ND</t>
  </si>
  <si>
    <t>FT232HL-TRAY</t>
  </si>
  <si>
    <t>768-1348-ND</t>
  </si>
  <si>
    <t>FT232HL-REEL</t>
  </si>
  <si>
    <t>FT232HQ-TRAY</t>
  </si>
  <si>
    <t>FT234XD-R</t>
  </si>
  <si>
    <t>768-1178-1-ND</t>
  </si>
  <si>
    <t>FT234XD-T</t>
  </si>
  <si>
    <t>768-1345-ND</t>
  </si>
  <si>
    <t>PCB/DFN.PcbLib</t>
  </si>
  <si>
    <t>DFN045P300X300X080-12-EP160X250</t>
  </si>
  <si>
    <t>768-1101-1-ND</t>
  </si>
  <si>
    <t>FT232HQ-TRAY-ND</t>
  </si>
  <si>
    <t>USB-B-CUI</t>
  </si>
  <si>
    <t>USB-B CUI UJ2-BH-TH</t>
  </si>
  <si>
    <t>CUI</t>
  </si>
  <si>
    <t>CON4-M_USB</t>
  </si>
  <si>
    <t>PCB/USB.PcbLib</t>
  </si>
  <si>
    <t>USB-B_CUI_UJ2-BH-TH</t>
  </si>
  <si>
    <t>https://www.cuidevices.com/product/resource/uj2-bh-th.pdf</t>
  </si>
  <si>
    <t>CUI Devices</t>
  </si>
  <si>
    <t>UJ2-BH-1-TH</t>
  </si>
  <si>
    <t>102-3999-ND</t>
  </si>
  <si>
    <t>820UH/RCH-110</t>
  </si>
  <si>
    <t>820UH unshielded inductor THT RCH-110</t>
  </si>
  <si>
    <t>Sumida</t>
  </si>
  <si>
    <t>RCH-110</t>
  </si>
  <si>
    <t>820UH</t>
  </si>
  <si>
    <t>PCB/L_THT.PcbLib</t>
  </si>
  <si>
    <t>https://products.sumida.com/products/pdf/RCH-110.pdf</t>
  </si>
  <si>
    <t>RCH110NP-821K</t>
  </si>
  <si>
    <t>Zettler</t>
  </si>
  <si>
    <t>SCH/Relais.SchLib</t>
  </si>
  <si>
    <t>REL_SPST_NO</t>
  </si>
  <si>
    <t>PCB/Relais.PcbLib</t>
  </si>
  <si>
    <t>AZ2150-SPST-NO</t>
  </si>
  <si>
    <t>https://www.azettler.com/pdfs/az2150.pdf</t>
  </si>
  <si>
    <t>American Zettler</t>
  </si>
  <si>
    <t>AZ2150-1A-24DEF</t>
  </si>
  <si>
    <t>3385-AZ2150-1A-24DEF-ND</t>
  </si>
  <si>
    <t>Miniature Power Relay, SPST-NO, 24V Coil, 40A 30VDC 300VAC</t>
  </si>
  <si>
    <t>AZ2150-1A-24</t>
  </si>
  <si>
    <t>AZ2150-1A-15</t>
  </si>
  <si>
    <t>Miniature Power Relay, SPST-NO, 15V Coil, 40A 30VDC 300VAC</t>
  </si>
  <si>
    <t>AZ2150-1A-15DEF</t>
  </si>
  <si>
    <t>3385-AZ2150-1A-15DEF-ND</t>
  </si>
  <si>
    <t>AZ822-2C-24</t>
  </si>
  <si>
    <t>REL_DPDT</t>
  </si>
  <si>
    <t>AZ822</t>
  </si>
  <si>
    <t>https://www.azettler.com/pdfs/az822.pdf</t>
  </si>
  <si>
    <t>AZ822-2C-24DE</t>
  </si>
  <si>
    <t>3385-AZ822-2C-24DE-ND</t>
  </si>
  <si>
    <t>AZ822-2C-24DSE</t>
  </si>
  <si>
    <t>3385-AZ822-2C-24DSE-ND</t>
  </si>
  <si>
    <t>Subminiature DIP Relay, DPDT, 24V 98mW Coil, 2A 220VDC 250VAC</t>
  </si>
  <si>
    <t>Subminiature DIP Relay, DPDT, 24V 74mW Coil, 2A 220VDC 250VAC</t>
  </si>
  <si>
    <t>AZ822-2C-12</t>
  </si>
  <si>
    <t>Subminiature DIP Relay, DPDT, 12V 98mW Coil, 2A 220VDC 250VAC</t>
  </si>
  <si>
    <t>AZ822-2C-12DE</t>
  </si>
  <si>
    <t>3385-AZ822-2C-12DE-ND</t>
  </si>
  <si>
    <t>Subminiature DIP Relay, DPDT, 12V 74mW Coil, 2A 220VDC 250VAC</t>
  </si>
  <si>
    <t>AZ822-2C-12DSE</t>
  </si>
  <si>
    <t>3385-AZ822-2C-12DSE-ND</t>
  </si>
  <si>
    <t>Miniature Power Relay, SPST-NO, 12V Coil, 40A 30VDC 300VAC</t>
  </si>
  <si>
    <t>AZ2150-1A-12</t>
  </si>
  <si>
    <t>AZ2150-1A-12DEF</t>
  </si>
  <si>
    <t>3385-AZ2150-1A-12DEF-ND</t>
  </si>
  <si>
    <t>IRM10-24</t>
  </si>
  <si>
    <t>10W AC-DC PCB-Mount Green Power Module, 24V</t>
  </si>
  <si>
    <t>30W AC-DC PCB-Mount Green Power Module, 15V</t>
  </si>
  <si>
    <t>IRM10</t>
  </si>
  <si>
    <t>https://www.meanwell-web.com/content/files/pdfs/productPdfs/MW/IRM-10/IRM-10-spec.pdf</t>
  </si>
  <si>
    <t>MEAN WELL USA Inc.</t>
  </si>
  <si>
    <t>IRM-10-24</t>
  </si>
  <si>
    <t>1866-3030-ND</t>
  </si>
  <si>
    <t>RCH-110-DUAL-PAR</t>
  </si>
  <si>
    <t>1K/3386F</t>
  </si>
  <si>
    <t>1K/3386P</t>
  </si>
  <si>
    <t>R_POT</t>
  </si>
  <si>
    <t>3386F</t>
  </si>
  <si>
    <t>3386P</t>
  </si>
  <si>
    <t>RES POT 3386F 1K</t>
  </si>
  <si>
    <t>RES POT 3386P 1K</t>
  </si>
  <si>
    <t>PCB/R_POT.PcbLib</t>
  </si>
  <si>
    <t>https://www.bourns.com/docs/Product-Datasheets/3386.pdf</t>
  </si>
  <si>
    <t>3386F-1-102TLF</t>
  </si>
  <si>
    <t>3386F-1-102TLF-ND</t>
  </si>
  <si>
    <t>3386P-1-102TLF</t>
  </si>
  <si>
    <t>3386P-102TLF-ND</t>
  </si>
  <si>
    <t>TP_SPRING_PROBE_S19-501</t>
  </si>
  <si>
    <t>SPRING-PROBE-SLEEVE-19</t>
  </si>
  <si>
    <t>Harwin Inc.</t>
  </si>
  <si>
    <t>S19-501</t>
  </si>
  <si>
    <t>952-2614-ND</t>
  </si>
  <si>
    <t>1U/X2/27.5MM</t>
  </si>
  <si>
    <t>CAP THT 31.5X11X19 1uF 305V X2</t>
  </si>
  <si>
    <t>1UF</t>
  </si>
  <si>
    <t>https://product.tdk.com/en/system/files?file=dam/doc/product/capacitor/film/emi/data_sheet/20/20/db/fc_2009/x2_b32921_928.pdf</t>
  </si>
  <si>
    <t>B32924C3105K000</t>
  </si>
  <si>
    <t>495-4209-ND</t>
  </si>
  <si>
    <t>2N2/Y2/10MM</t>
  </si>
  <si>
    <t>CAP THT 13X4X9 2.2nF 300V Y2</t>
  </si>
  <si>
    <t>https://www.tdk-electronics.tdk.com/inf/20/20/db/fc_2009/Y2_B32021_026.pdf</t>
  </si>
  <si>
    <t>B32021A3222K000</t>
  </si>
  <si>
    <t>495-4788-ND</t>
  </si>
  <si>
    <t>30MH/THT/CMC</t>
  </si>
  <si>
    <t>CMC 30mH 5A Würth CMBNC 7448050530</t>
  </si>
  <si>
    <t>CMBNC</t>
  </si>
  <si>
    <t>30MH</t>
  </si>
  <si>
    <t>https://www.we-online.com/components/products/datasheet/7448050530.pdf</t>
  </si>
  <si>
    <t>732-5596-ND</t>
  </si>
  <si>
    <t>CMC-WE-CMBNC-XL-7448050530</t>
  </si>
  <si>
    <t>CAP1000P130X40X90-BL</t>
  </si>
  <si>
    <t>CAP2750P315X110X190-BL</t>
  </si>
  <si>
    <t>1K2/2512</t>
  </si>
  <si>
    <t xml:space="preserve">RES SM 2512 1K2 </t>
  </si>
  <si>
    <t>RC2512JK-071K2L</t>
  </si>
  <si>
    <t>13-RC2512JK-071K2LCT-ND</t>
  </si>
  <si>
    <t>RC2512FK-071K2L</t>
  </si>
  <si>
    <t>13-RC2512FK-071K2LCT-ND</t>
  </si>
  <si>
    <t>40N02D</t>
  </si>
  <si>
    <t>DFN-8</t>
  </si>
  <si>
    <t>https://www.lcsc.com/datasheet/lcsc_datasheet_2307041438_HL-40N02D_C7437079.pdf</t>
  </si>
  <si>
    <t>C7437079</t>
  </si>
  <si>
    <t>TMG60N04DF</t>
  </si>
  <si>
    <t>Tritech-MOS</t>
  </si>
  <si>
    <t>C7422898</t>
  </si>
  <si>
    <t>40V 60A 10mΩ PDFN3x3-8L MOSFETs</t>
  </si>
  <si>
    <t>https://wmsc.lcsc.com/wmsc/upload/file/pdf/v2/lcsc/2306141511_Tritech-MOS-TMG60N04DF_C7422898.pdf</t>
  </si>
  <si>
    <t>WSP8814</t>
  </si>
  <si>
    <t>Winsok Semicon</t>
  </si>
  <si>
    <t>20V 9A 7.6mΩ@4.5V,9A 1.25W 1.2V@250uA 2 N-Channel TSSOP-8 </t>
  </si>
  <si>
    <t>TSSOP-8</t>
  </si>
  <si>
    <t>https://www.lcsc.com/datasheet/lcsc_datasheet_2211141230_Winsok-Semicon-WSP8814_C148371.pdf</t>
  </si>
  <si>
    <t>SOP065P650X110-8-NW</t>
  </si>
  <si>
    <t>C148371</t>
  </si>
  <si>
    <t>C2061519</t>
  </si>
  <si>
    <t>Dialog Semiconductor/Adesto Adesto Technologies</t>
  </si>
  <si>
    <t>W25X10CLSNIG-ND</t>
  </si>
  <si>
    <t>https://www.winbond.com/resource-files/w25x10cl_revg%20021714.pdf</t>
  </si>
  <si>
    <t>FLASH Speicher IC 1Mb SPI 104 MHz 8-SOIC</t>
  </si>
  <si>
    <t>1265-1126-1-ND</t>
  </si>
  <si>
    <t>51K1</t>
  </si>
  <si>
    <t>RC0603FR-0751R1L</t>
  </si>
  <si>
    <t>311-51.1HRCT-ND</t>
  </si>
  <si>
    <t>51K1/0603</t>
  </si>
  <si>
    <t>51R1/0603</t>
  </si>
  <si>
    <t>RES SM 0603 51R1</t>
  </si>
  <si>
    <t>RES SM 0603 51K1</t>
  </si>
  <si>
    <t>0R/1W/0414</t>
  </si>
  <si>
    <t>1R/1W/0414</t>
  </si>
  <si>
    <t>1R1/1W/0414</t>
  </si>
  <si>
    <t>1R2/1W/0414</t>
  </si>
  <si>
    <t>1R3/1W/0414</t>
  </si>
  <si>
    <t>1R5/1W/0414</t>
  </si>
  <si>
    <t>1R6/1W/0414</t>
  </si>
  <si>
    <t>1R8/1W/0414</t>
  </si>
  <si>
    <t>2R/1W/0414</t>
  </si>
  <si>
    <t>2R2/1W/0414</t>
  </si>
  <si>
    <t>2R4/1W/0414</t>
  </si>
  <si>
    <t>2R7/1W/0414</t>
  </si>
  <si>
    <t>3R/1W/0414</t>
  </si>
  <si>
    <t>3R3/1W/0414</t>
  </si>
  <si>
    <t>3R6/1W/0414</t>
  </si>
  <si>
    <t>3R9/1W/0414</t>
  </si>
  <si>
    <t>4R3/1W/0414</t>
  </si>
  <si>
    <t>4R7/1W/0414</t>
  </si>
  <si>
    <t>5R1/1W/0414</t>
  </si>
  <si>
    <t>5R6/1W/0414</t>
  </si>
  <si>
    <t>6R2/1W/0414</t>
  </si>
  <si>
    <t>6R8/1W/0414</t>
  </si>
  <si>
    <t>7R5/1W/0414</t>
  </si>
  <si>
    <t>8R2/1W/0414</t>
  </si>
  <si>
    <t>9R1/1W/0414</t>
  </si>
  <si>
    <t>10R/1W/0414</t>
  </si>
  <si>
    <t>11R/1W/0414</t>
  </si>
  <si>
    <t>12R/1W/0414</t>
  </si>
  <si>
    <t>13R/1W/0414</t>
  </si>
  <si>
    <t>15R/1W/0414</t>
  </si>
  <si>
    <t>16R/1W/0414</t>
  </si>
  <si>
    <t>18R/1W/0414</t>
  </si>
  <si>
    <t>20R/1W/0414</t>
  </si>
  <si>
    <t>22R/1W/0414</t>
  </si>
  <si>
    <t>24R/1W/0414</t>
  </si>
  <si>
    <t>27R/1W/0414</t>
  </si>
  <si>
    <t>30R/1W/0414</t>
  </si>
  <si>
    <t>33R/1W/0414</t>
  </si>
  <si>
    <t>36R/1W/0414</t>
  </si>
  <si>
    <t>39R/1W/0414</t>
  </si>
  <si>
    <t>43R/1W/0414</t>
  </si>
  <si>
    <t>47R/1W/0414</t>
  </si>
  <si>
    <t>51R/1W/0414</t>
  </si>
  <si>
    <t>56R/1W/0414</t>
  </si>
  <si>
    <t>62R/1W/0414</t>
  </si>
  <si>
    <t>68R/1W/0414</t>
  </si>
  <si>
    <t>75R/1W/0414</t>
  </si>
  <si>
    <t>82R/1W/0414</t>
  </si>
  <si>
    <t>91R/1W/0414</t>
  </si>
  <si>
    <t>100R/1W/0414</t>
  </si>
  <si>
    <t>110R/1W/0414</t>
  </si>
  <si>
    <t>120R/1W/0414</t>
  </si>
  <si>
    <t>130R/1W/0414</t>
  </si>
  <si>
    <t>150R/1W/0414</t>
  </si>
  <si>
    <t>160R/1W/0414</t>
  </si>
  <si>
    <t>180R/1W/0414</t>
  </si>
  <si>
    <t>200R/1W/0414</t>
  </si>
  <si>
    <t>220R/1W/0414</t>
  </si>
  <si>
    <t>240R/1W/0414</t>
  </si>
  <si>
    <t>270R/1W/0414</t>
  </si>
  <si>
    <t>300R/1W/0414</t>
  </si>
  <si>
    <t>330R/1W/0414</t>
  </si>
  <si>
    <t>360R/1W/0414</t>
  </si>
  <si>
    <t>390R/1W/0414</t>
  </si>
  <si>
    <t>430R/1W/0414</t>
  </si>
  <si>
    <t>470R/1W/0414</t>
  </si>
  <si>
    <t>510R/1W/0414</t>
  </si>
  <si>
    <t>560R/1W/0414</t>
  </si>
  <si>
    <t>620R/1W/0414</t>
  </si>
  <si>
    <t>680R/1W/0414</t>
  </si>
  <si>
    <t>750R/1W/0414</t>
  </si>
  <si>
    <t>820R/1W/0414</t>
  </si>
  <si>
    <t>910R/1W/0414</t>
  </si>
  <si>
    <t>1K/1W/0414</t>
  </si>
  <si>
    <t>1K1/1W/0414</t>
  </si>
  <si>
    <t>1K2/1W/0414</t>
  </si>
  <si>
    <t>1K3/1W/0414</t>
  </si>
  <si>
    <t>1K5/1W/0414</t>
  </si>
  <si>
    <t>1K6/1W/0414</t>
  </si>
  <si>
    <t>1K8/1W/0414</t>
  </si>
  <si>
    <t>2K/1W/0414</t>
  </si>
  <si>
    <t>2K2/1W/0414</t>
  </si>
  <si>
    <t>2K4/1W/0414</t>
  </si>
  <si>
    <t>2K7/1W/0414</t>
  </si>
  <si>
    <t>3K/1W/0414</t>
  </si>
  <si>
    <t>3K3/1W/0414</t>
  </si>
  <si>
    <t>3K6/1W/0414</t>
  </si>
  <si>
    <t>3K9/1W/0414</t>
  </si>
  <si>
    <t>4K3/1W/0414</t>
  </si>
  <si>
    <t>4K7/1W/0414</t>
  </si>
  <si>
    <t>5K1/1W/0414</t>
  </si>
  <si>
    <t>5K6/1W/0414</t>
  </si>
  <si>
    <t>6K2/1W/0414</t>
  </si>
  <si>
    <t>6K8/1W/0414</t>
  </si>
  <si>
    <t>7K5/1W/0414</t>
  </si>
  <si>
    <t>8K2/1W/0414</t>
  </si>
  <si>
    <t>9K1/1W/0414</t>
  </si>
  <si>
    <t>10K/1W/0414</t>
  </si>
  <si>
    <t>11K/1W/0414</t>
  </si>
  <si>
    <t>12K/1W/0414</t>
  </si>
  <si>
    <t>13K/1W/0414</t>
  </si>
  <si>
    <t>15K/1W/0414</t>
  </si>
  <si>
    <t>16K/1W/0414</t>
  </si>
  <si>
    <t>18K/1W/0414</t>
  </si>
  <si>
    <t>20K/1W/0414</t>
  </si>
  <si>
    <t>22K/1W/0414</t>
  </si>
  <si>
    <t>24K/1W/0414</t>
  </si>
  <si>
    <t>27K/1W/0414</t>
  </si>
  <si>
    <t>30K/1W/0414</t>
  </si>
  <si>
    <t>33K/1W/0414</t>
  </si>
  <si>
    <t>36K/1W/0414</t>
  </si>
  <si>
    <t>39K/1W/0414</t>
  </si>
  <si>
    <t>43K/1W/0414</t>
  </si>
  <si>
    <t>47K/1W/0414</t>
  </si>
  <si>
    <t>51K/1W/0414</t>
  </si>
  <si>
    <t>56K/1W/0414</t>
  </si>
  <si>
    <t>62K/1W/0414</t>
  </si>
  <si>
    <t>68K/1W/0414</t>
  </si>
  <si>
    <t>75K/1W/0414</t>
  </si>
  <si>
    <t>82K/1W/0414</t>
  </si>
  <si>
    <t>91K/1W/0414</t>
  </si>
  <si>
    <t>100K/1W/0414</t>
  </si>
  <si>
    <t>110K/1W/0414</t>
  </si>
  <si>
    <t>120K/1W/0414</t>
  </si>
  <si>
    <t>130K/1W/0414</t>
  </si>
  <si>
    <t>150K/1W/0414</t>
  </si>
  <si>
    <t>160K/1W/0414</t>
  </si>
  <si>
    <t>180K/1W/0414</t>
  </si>
  <si>
    <t>200K/1W/0414</t>
  </si>
  <si>
    <t>220K/1W/0414</t>
  </si>
  <si>
    <t>240K/1W/0414</t>
  </si>
  <si>
    <t>270K/1W/0414</t>
  </si>
  <si>
    <t>300K/1W/0414</t>
  </si>
  <si>
    <t>330K/1W/0414</t>
  </si>
  <si>
    <t>360K/1W/0414</t>
  </si>
  <si>
    <t>390K/1W/0414</t>
  </si>
  <si>
    <t>430K/1W/0414</t>
  </si>
  <si>
    <t>470K/1W/0414</t>
  </si>
  <si>
    <t>510K/1W/0414</t>
  </si>
  <si>
    <t>560K/1W/0414</t>
  </si>
  <si>
    <t>620K/1W/0414</t>
  </si>
  <si>
    <t>680K/1W/0414</t>
  </si>
  <si>
    <t>750K/1W/0414</t>
  </si>
  <si>
    <t>820K/1W/0414</t>
  </si>
  <si>
    <t>910K/1W/0414</t>
  </si>
  <si>
    <t>1M/1W/0414</t>
  </si>
  <si>
    <t>1M1/1W/0414</t>
  </si>
  <si>
    <t>1M2/1W/0414</t>
  </si>
  <si>
    <t>1M3/1W/0414</t>
  </si>
  <si>
    <t>1M5/1W/0414</t>
  </si>
  <si>
    <t>1M6/1W/0414</t>
  </si>
  <si>
    <t>1M8/1W/0414</t>
  </si>
  <si>
    <t>2M/1W/0414</t>
  </si>
  <si>
    <t>2M2/1W/0414</t>
  </si>
  <si>
    <t>2M4/1W/0414</t>
  </si>
  <si>
    <t>2M7/1W/0414</t>
  </si>
  <si>
    <t>3M/1W/0414</t>
  </si>
  <si>
    <t>3M3/1W/0414</t>
  </si>
  <si>
    <t>3M6/1W/0414</t>
  </si>
  <si>
    <t>3M9/1W/0414</t>
  </si>
  <si>
    <t>4M3/1W/0414</t>
  </si>
  <si>
    <t>4M7/1W/0414</t>
  </si>
  <si>
    <t>5M1/1W/0414</t>
  </si>
  <si>
    <t>5M6/1W/0414</t>
  </si>
  <si>
    <t>6M2/1W/0414</t>
  </si>
  <si>
    <t>6M8/1W/0414</t>
  </si>
  <si>
    <t>7M5/1W/0414</t>
  </si>
  <si>
    <t>8M2/1W/0414</t>
  </si>
  <si>
    <t>9M1/1W/0414</t>
  </si>
  <si>
    <t>10M/1W/0414</t>
  </si>
  <si>
    <t>RESAD1500W80L1200D400B</t>
  </si>
  <si>
    <t xml:space="preserve">RES TH 1W 0414 0R </t>
  </si>
  <si>
    <t xml:space="preserve">RES TH 1W 0414 1R </t>
  </si>
  <si>
    <t xml:space="preserve">RES TH 1W 0414 1R1 </t>
  </si>
  <si>
    <t xml:space="preserve">RES TH 1W 0414 1R2 </t>
  </si>
  <si>
    <t xml:space="preserve">RES TH 1W 0414 1R3 </t>
  </si>
  <si>
    <t xml:space="preserve">RES TH 1W 0414 1R5 </t>
  </si>
  <si>
    <t xml:space="preserve">RES TH 1W 0414 1R6 </t>
  </si>
  <si>
    <t xml:space="preserve">RES TH 1W 0414 1R8 </t>
  </si>
  <si>
    <t xml:space="preserve">RES TH 1W 0414 2R </t>
  </si>
  <si>
    <t xml:space="preserve">RES TH 1W 0414 2R2 </t>
  </si>
  <si>
    <t xml:space="preserve">RES TH 1W 0414 2R4 </t>
  </si>
  <si>
    <t xml:space="preserve">RES TH 1W 0414 2R7 </t>
  </si>
  <si>
    <t xml:space="preserve">RES TH 1W 0414 3R </t>
  </si>
  <si>
    <t xml:space="preserve">RES TH 1W 0414 3R3 </t>
  </si>
  <si>
    <t xml:space="preserve">RES TH 1W 0414 3R6 </t>
  </si>
  <si>
    <t xml:space="preserve">RES TH 1W 0414 3R9 </t>
  </si>
  <si>
    <t xml:space="preserve">RES TH 1W 0414 4R3 </t>
  </si>
  <si>
    <t xml:space="preserve">RES TH 1W 0414 4R7 </t>
  </si>
  <si>
    <t xml:space="preserve">RES TH 1W 0414 5R1 </t>
  </si>
  <si>
    <t xml:space="preserve">RES TH 1W 0414 5R6 </t>
  </si>
  <si>
    <t xml:space="preserve">RES TH 1W 0414 6R2 </t>
  </si>
  <si>
    <t xml:space="preserve">RES TH 1W 0414 6R8 </t>
  </si>
  <si>
    <t xml:space="preserve">RES TH 1W 0414 7R5 </t>
  </si>
  <si>
    <t xml:space="preserve">RES TH 1W 0414 8R2 </t>
  </si>
  <si>
    <t xml:space="preserve">RES TH 1W 0414 9R1 </t>
  </si>
  <si>
    <t xml:space="preserve">RES TH 1W 0414 10R </t>
  </si>
  <si>
    <t xml:space="preserve">RES TH 1W 0414 11R </t>
  </si>
  <si>
    <t xml:space="preserve">RES TH 1W 0414 12R </t>
  </si>
  <si>
    <t xml:space="preserve">RES TH 1W 0414 13R </t>
  </si>
  <si>
    <t xml:space="preserve">RES TH 1W 0414 15R </t>
  </si>
  <si>
    <t xml:space="preserve">RES TH 1W 0414 16R </t>
  </si>
  <si>
    <t xml:space="preserve">RES TH 1W 0414 18R </t>
  </si>
  <si>
    <t xml:space="preserve">RES TH 1W 0414 20R </t>
  </si>
  <si>
    <t xml:space="preserve">RES TH 1W 0414 22R </t>
  </si>
  <si>
    <t xml:space="preserve">RES TH 1W 0414 24R </t>
  </si>
  <si>
    <t xml:space="preserve">RES TH 1W 0414 27R </t>
  </si>
  <si>
    <t xml:space="preserve">RES TH 1W 0414 30R </t>
  </si>
  <si>
    <t xml:space="preserve">RES TH 1W 0414 33R </t>
  </si>
  <si>
    <t xml:space="preserve">RES TH 1W 0414 36R </t>
  </si>
  <si>
    <t xml:space="preserve">RES TH 1W 0414 39R </t>
  </si>
  <si>
    <t xml:space="preserve">RES TH 1W 0414 43R </t>
  </si>
  <si>
    <t xml:space="preserve">RES TH 1W 0414 47R </t>
  </si>
  <si>
    <t xml:space="preserve">RES TH 1W 0414 51R </t>
  </si>
  <si>
    <t xml:space="preserve">RES TH 1W 0414 56R </t>
  </si>
  <si>
    <t xml:space="preserve">RES TH 1W 0414 62R </t>
  </si>
  <si>
    <t xml:space="preserve">RES TH 1W 0414 68R </t>
  </si>
  <si>
    <t xml:space="preserve">RES TH 1W 0414 75R </t>
  </si>
  <si>
    <t xml:space="preserve">RES TH 1W 0414 82R </t>
  </si>
  <si>
    <t xml:space="preserve">RES TH 1W 0414 91R </t>
  </si>
  <si>
    <t xml:space="preserve">RES TH 1W 0414 100R </t>
  </si>
  <si>
    <t xml:space="preserve">RES TH 1W 0414 110R </t>
  </si>
  <si>
    <t xml:space="preserve">RES TH 1W 0414 120R </t>
  </si>
  <si>
    <t xml:space="preserve">RES TH 1W 0414 130R </t>
  </si>
  <si>
    <t xml:space="preserve">RES TH 1W 0414 150R </t>
  </si>
  <si>
    <t xml:space="preserve">RES TH 1W 0414 160R </t>
  </si>
  <si>
    <t xml:space="preserve">RES TH 1W 0414 180R </t>
  </si>
  <si>
    <t xml:space="preserve">RES TH 1W 0414 200R </t>
  </si>
  <si>
    <t xml:space="preserve">RES TH 1W 0414 220R </t>
  </si>
  <si>
    <t xml:space="preserve">RES TH 1W 0414 240R </t>
  </si>
  <si>
    <t xml:space="preserve">RES TH 1W 0414 270R </t>
  </si>
  <si>
    <t xml:space="preserve">RES TH 1W 0414 300R </t>
  </si>
  <si>
    <t xml:space="preserve">RES TH 1W 0414 330R </t>
  </si>
  <si>
    <t xml:space="preserve">RES TH 1W 0414 360R </t>
  </si>
  <si>
    <t xml:space="preserve">RES TH 1W 0414 390R </t>
  </si>
  <si>
    <t xml:space="preserve">RES TH 1W 0414 430R </t>
  </si>
  <si>
    <t xml:space="preserve">RES TH 1W 0414 470R </t>
  </si>
  <si>
    <t xml:space="preserve">RES TH 1W 0414 510R </t>
  </si>
  <si>
    <t xml:space="preserve">RES TH 1W 0414 560R </t>
  </si>
  <si>
    <t xml:space="preserve">RES TH 1W 0414 620R </t>
  </si>
  <si>
    <t xml:space="preserve">RES TH 1W 0414 680R </t>
  </si>
  <si>
    <t xml:space="preserve">RES TH 1W 0414 750R </t>
  </si>
  <si>
    <t xml:space="preserve">RES TH 1W 0414 820R </t>
  </si>
  <si>
    <t xml:space="preserve">RES TH 1W 0414 910R </t>
  </si>
  <si>
    <t xml:space="preserve">RES TH 1W 0414 1K </t>
  </si>
  <si>
    <t xml:space="preserve">RES TH 1W 0414 1K1 </t>
  </si>
  <si>
    <t xml:space="preserve">RES TH 1W 0414 1K2 </t>
  </si>
  <si>
    <t xml:space="preserve">RES TH 1W 0414 1K3 </t>
  </si>
  <si>
    <t xml:space="preserve">RES TH 1W 0414 1K5 </t>
  </si>
  <si>
    <t xml:space="preserve">RES TH 1W 0414 1K6 </t>
  </si>
  <si>
    <t xml:space="preserve">RES TH 1W 0414 1K8 </t>
  </si>
  <si>
    <t xml:space="preserve">RES TH 1W 0414 2K </t>
  </si>
  <si>
    <t xml:space="preserve">RES TH 1W 0414 2K2 </t>
  </si>
  <si>
    <t xml:space="preserve">RES TH 1W 0414 2K4 </t>
  </si>
  <si>
    <t xml:space="preserve">RES TH 1W 0414 2K7 </t>
  </si>
  <si>
    <t xml:space="preserve">RES TH 1W 0414 3K </t>
  </si>
  <si>
    <t xml:space="preserve">RES TH 1W 0414 3K3 </t>
  </si>
  <si>
    <t xml:space="preserve">RES TH 1W 0414 3K6 </t>
  </si>
  <si>
    <t xml:space="preserve">RES TH 1W 0414 3K9 </t>
  </si>
  <si>
    <t xml:space="preserve">RES TH 1W 0414 4K3 </t>
  </si>
  <si>
    <t xml:space="preserve">RES TH 1W 0414 4K7 </t>
  </si>
  <si>
    <t xml:space="preserve">RES TH 1W 0414 5K1 </t>
  </si>
  <si>
    <t xml:space="preserve">RES TH 1W 0414 5K6 </t>
  </si>
  <si>
    <t xml:space="preserve">RES TH 1W 0414 6K2 </t>
  </si>
  <si>
    <t xml:space="preserve">RES TH 1W 0414 6K8 </t>
  </si>
  <si>
    <t xml:space="preserve">RES TH 1W 0414 7K5 </t>
  </si>
  <si>
    <t xml:space="preserve">RES TH 1W 0414 8K2 </t>
  </si>
  <si>
    <t xml:space="preserve">RES TH 1W 0414 9K1 </t>
  </si>
  <si>
    <t xml:space="preserve">RES TH 1W 0414 10K </t>
  </si>
  <si>
    <t xml:space="preserve">RES TH 1W 0414 11K </t>
  </si>
  <si>
    <t xml:space="preserve">RES TH 1W 0414 12K </t>
  </si>
  <si>
    <t xml:space="preserve">RES TH 1W 0414 13K </t>
  </si>
  <si>
    <t xml:space="preserve">RES TH 1W 0414 15K </t>
  </si>
  <si>
    <t xml:space="preserve">RES TH 1W 0414 16K </t>
  </si>
  <si>
    <t xml:space="preserve">RES TH 1W 0414 18K </t>
  </si>
  <si>
    <t xml:space="preserve">RES TH 1W 0414 20K </t>
  </si>
  <si>
    <t xml:space="preserve">RES TH 1W 0414 22K </t>
  </si>
  <si>
    <t xml:space="preserve">RES TH 1W 0414 24K </t>
  </si>
  <si>
    <t xml:space="preserve">RES TH 1W 0414 27K </t>
  </si>
  <si>
    <t xml:space="preserve">RES TH 1W 0414 30K </t>
  </si>
  <si>
    <t xml:space="preserve">RES TH 1W 0414 33K </t>
  </si>
  <si>
    <t xml:space="preserve">RES TH 1W 0414 36K </t>
  </si>
  <si>
    <t xml:space="preserve">RES TH 1W 0414 39K </t>
  </si>
  <si>
    <t xml:space="preserve">RES TH 1W 0414 43K </t>
  </si>
  <si>
    <t xml:space="preserve">RES TH 1W 0414 47K </t>
  </si>
  <si>
    <t xml:space="preserve">RES TH 1W 0414 51K </t>
  </si>
  <si>
    <t xml:space="preserve">RES TH 1W 0414 56K </t>
  </si>
  <si>
    <t xml:space="preserve">RES TH 1W 0414 62K </t>
  </si>
  <si>
    <t xml:space="preserve">RES TH 1W 0414 68K </t>
  </si>
  <si>
    <t xml:space="preserve">RES TH 1W 0414 75K </t>
  </si>
  <si>
    <t xml:space="preserve">RES TH 1W 0414 82K </t>
  </si>
  <si>
    <t xml:space="preserve">RES TH 1W 0414 91K </t>
  </si>
  <si>
    <t xml:space="preserve">RES TH 1W 0414 100K </t>
  </si>
  <si>
    <t xml:space="preserve">RES TH 1W 0414 110K </t>
  </si>
  <si>
    <t xml:space="preserve">RES TH 1W 0414 120K </t>
  </si>
  <si>
    <t xml:space="preserve">RES TH 1W 0414 130K </t>
  </si>
  <si>
    <t xml:space="preserve">RES TH 1W 0414 150K </t>
  </si>
  <si>
    <t xml:space="preserve">RES TH 1W 0414 160K </t>
  </si>
  <si>
    <t xml:space="preserve">RES TH 1W 0414 180K </t>
  </si>
  <si>
    <t xml:space="preserve">RES TH 1W 0414 200K </t>
  </si>
  <si>
    <t xml:space="preserve">RES TH 1W 0414 220K </t>
  </si>
  <si>
    <t xml:space="preserve">RES TH 1W 0414 240K </t>
  </si>
  <si>
    <t xml:space="preserve">RES TH 1W 0414 270K </t>
  </si>
  <si>
    <t xml:space="preserve">RES TH 1W 0414 300K </t>
  </si>
  <si>
    <t xml:space="preserve">RES TH 1W 0414 330K </t>
  </si>
  <si>
    <t xml:space="preserve">RES TH 1W 0414 360K </t>
  </si>
  <si>
    <t xml:space="preserve">RES TH 1W 0414 390K </t>
  </si>
  <si>
    <t xml:space="preserve">RES TH 1W 0414 430K </t>
  </si>
  <si>
    <t xml:space="preserve">RES TH 1W 0414 470K </t>
  </si>
  <si>
    <t xml:space="preserve">RES TH 1W 0414 510K </t>
  </si>
  <si>
    <t xml:space="preserve">RES TH 1W 0414 560K </t>
  </si>
  <si>
    <t xml:space="preserve">RES TH 1W 0414 620K </t>
  </si>
  <si>
    <t xml:space="preserve">RES TH 1W 0414 680K </t>
  </si>
  <si>
    <t xml:space="preserve">RES TH 1W 0414 750K </t>
  </si>
  <si>
    <t xml:space="preserve">RES TH 1W 0414 820K </t>
  </si>
  <si>
    <t xml:space="preserve">RES TH 1W 0414 910K </t>
  </si>
  <si>
    <t xml:space="preserve">RES TH 1W 0414 1M </t>
  </si>
  <si>
    <t xml:space="preserve">RES TH 1W 0414 1M1 </t>
  </si>
  <si>
    <t xml:space="preserve">RES TH 1W 0414 1M2 </t>
  </si>
  <si>
    <t xml:space="preserve">RES TH 1W 0414 1M3 </t>
  </si>
  <si>
    <t xml:space="preserve">RES TH 1W 0414 1M5 </t>
  </si>
  <si>
    <t xml:space="preserve">RES TH 1W 0414 1M6 </t>
  </si>
  <si>
    <t xml:space="preserve">RES TH 1W 0414 1M8 </t>
  </si>
  <si>
    <t xml:space="preserve">RES TH 1W 0414 2M </t>
  </si>
  <si>
    <t xml:space="preserve">RES TH 1W 0414 2M2 </t>
  </si>
  <si>
    <t xml:space="preserve">RES TH 1W 0414 2M4 </t>
  </si>
  <si>
    <t xml:space="preserve">RES TH 1W 0414 2M7 </t>
  </si>
  <si>
    <t xml:space="preserve">RES TH 1W 0414 3M </t>
  </si>
  <si>
    <t xml:space="preserve">RES TH 1W 0414 3M3 </t>
  </si>
  <si>
    <t xml:space="preserve">RES TH 1W 0414 3M6 </t>
  </si>
  <si>
    <t xml:space="preserve">RES TH 1W 0414 3M9 </t>
  </si>
  <si>
    <t xml:space="preserve">RES TH 1W 0414 4M3 </t>
  </si>
  <si>
    <t xml:space="preserve">RES TH 1W 0414 4M7 </t>
  </si>
  <si>
    <t xml:space="preserve">RES TH 1W 0414 5M1 </t>
  </si>
  <si>
    <t xml:space="preserve">RES TH 1W 0414 5M6 </t>
  </si>
  <si>
    <t xml:space="preserve">RES TH 1W 0414 6M2 </t>
  </si>
  <si>
    <t xml:space="preserve">RES TH 1W 0414 6M8 </t>
  </si>
  <si>
    <t xml:space="preserve">RES TH 1W 0414 7M5 </t>
  </si>
  <si>
    <t xml:space="preserve">RES TH 1W 0414 8M2 </t>
  </si>
  <si>
    <t xml:space="preserve">RES TH 1W 0414 9M1 </t>
  </si>
  <si>
    <t xml:space="preserve">RES TH 1W 0414 10M </t>
  </si>
  <si>
    <t>0414</t>
  </si>
  <si>
    <t>MBE04140C1002FC100</t>
  </si>
  <si>
    <t>MBE04140C1003FC100</t>
  </si>
  <si>
    <t>Distrelec</t>
  </si>
  <si>
    <t>160-59-946</t>
  </si>
  <si>
    <t>SW-DPDT</t>
  </si>
  <si>
    <t>SW-DPDT-RND-210-00450</t>
  </si>
  <si>
    <t>Miniature Toggle Switch, ON-ON, DPDT, 2A, IP67</t>
  </si>
  <si>
    <t>RND</t>
  </si>
  <si>
    <t>SCH/Switch.SchLib</t>
  </si>
  <si>
    <t>SW_DPDT</t>
  </si>
  <si>
    <t>PCB/Switch.PcbLib</t>
  </si>
  <si>
    <t>RND_DPDT_12.6mm_210-00450</t>
  </si>
  <si>
    <t>https://media.distrelec.com/Web/Downloads/_t/ds/RND_210-00450_eng_tds.pdf</t>
  </si>
  <si>
    <t>RND 210-00450</t>
  </si>
  <si>
    <t>301-03-435</t>
  </si>
  <si>
    <t>https://www.vishay.com/docs/28766/mbxsma.pdf</t>
  </si>
  <si>
    <t>MBE04140C1001FC100</t>
  </si>
  <si>
    <t>MBE04140C1000FC100</t>
  </si>
  <si>
    <t>Pulse</t>
  </si>
  <si>
    <t>PCB/RJ.PcbLib</t>
  </si>
  <si>
    <t>RJ12-PULSE-E5566-Q0LK22-L</t>
  </si>
  <si>
    <t>https://productfinder.pulseelectronics.com/api/open/part-attachments/datasheet/E5566-Q0LK22-L</t>
  </si>
  <si>
    <t>E5566-Q0LK22-L</t>
  </si>
  <si>
    <t>553-2258-ND</t>
  </si>
  <si>
    <t>RJ12</t>
  </si>
  <si>
    <t>RJ12 Pulse E5566-Q0LK22-L</t>
  </si>
  <si>
    <t>OPT3005DTSR</t>
  </si>
  <si>
    <t>SENSOR OPT AMBIENT SOT 583</t>
  </si>
  <si>
    <t>OPT3005</t>
  </si>
  <si>
    <t>https://www.ti.com/lit/ds/symlink/opt3005.pdf?ts=1698667145212&amp;ref_url=https%253A%252F%252Fwww.ti.com%252Fproduct%252FOPT3005</t>
  </si>
  <si>
    <t>296-OPT3005DTSRCT-ND</t>
  </si>
  <si>
    <t>SHT30-DIS-B10KS</t>
  </si>
  <si>
    <t>SENSOR HUMID/TEMP 5V I2C 2% SMD</t>
  </si>
  <si>
    <t>Sensirion AG</t>
  </si>
  <si>
    <t>SHT3x-DIS</t>
  </si>
  <si>
    <t>DFN050P250X250X090-8-EP110X180_SHT</t>
  </si>
  <si>
    <t>https://mm.digikey.com/Volume0/opasdata/d220001/medias/docus/1067/HT_DS_SHT3x_DIS.pdf</t>
  </si>
  <si>
    <t>1649-SHT30-DIS-B10KSCT-ND</t>
  </si>
  <si>
    <t>MPQ3323BGRE-AEC1-Z</t>
  </si>
  <si>
    <t>MPQ3323B</t>
  </si>
  <si>
    <t>QFN045P400X400X100-24</t>
  </si>
  <si>
    <t>https://www.monolithicpower.com/en/documentview/productdocument/index/version/2/document_type/Datasheet/lang/en/sku/MPQ3323BGRE-AEC1/document_id/11141/</t>
  </si>
  <si>
    <t>1589-MPQ3323BGRE-AEC1-ZCT-ND</t>
  </si>
  <si>
    <t>ATTINY85-20SU</t>
  </si>
  <si>
    <t>IC MCU 8BIT 8KB FLASH 8SOIC</t>
  </si>
  <si>
    <t>ATtiny25/45/85</t>
  </si>
  <si>
    <t>https://ww1.microchip.com/downloads/en/DeviceDoc/Atmel-2586-AVR-8-bit-Microcontroller-ATtiny25-ATtiny45-ATtiny85_Datasheet-Summary.pdf</t>
  </si>
  <si>
    <t>ATTINY85-20SU-ND</t>
  </si>
  <si>
    <t>JB2835BWT-G-U22GA0000-N0000001</t>
  </si>
  <si>
    <t>LED J WARM WHT 2200K 1411</t>
  </si>
  <si>
    <t>CreeLED, Inc.</t>
  </si>
  <si>
    <t>LEDM3528X070-2</t>
  </si>
  <si>
    <t>Warm-White</t>
  </si>
  <si>
    <t>https://downloads.cree-led.com/files/ds/j/JSeries-2835-3V-Consolidated.pdf</t>
  </si>
  <si>
    <t>2138-JB2835BWT-G-U22GA0000-N0000001CT-ND</t>
  </si>
  <si>
    <t>Header_2x3</t>
  </si>
  <si>
    <t>HEAD_254_2X3</t>
  </si>
  <si>
    <t>https://ww1.microchip.com/downloads/en/DeviceDoc/MIC5501-02-03-04-300mA-Single-Output-LDO-in-Small-Packages-DS20006006B.pdf</t>
  </si>
  <si>
    <t>MIC5504-3.3YM5-TR</t>
  </si>
  <si>
    <t>576-4764-1-ND</t>
  </si>
  <si>
    <t>IC REG LINEAR 3.3V 300MA SOT23-5</t>
  </si>
  <si>
    <t>https://ww1.microchip.com/downloads/en/DeviceDoc/mic5365.pdf</t>
  </si>
  <si>
    <t>MIC5365-3.3YC5-TR</t>
  </si>
  <si>
    <t>576-3193-1-ND</t>
  </si>
  <si>
    <t>sc70-5</t>
  </si>
  <si>
    <t>SOT65P210X95-5-NW</t>
  </si>
  <si>
    <t>IC REG LINEAR 3.3V 150MA SC70-5</t>
  </si>
  <si>
    <t>770-803/011-000</t>
  </si>
  <si>
    <t>Wago 770-803/011-000</t>
  </si>
  <si>
    <t>Wago</t>
  </si>
  <si>
    <t>PCB/Wago.PcbLib</t>
  </si>
  <si>
    <t>https://www.wago.com/global/pluggable-connectors/socket-for-pcbs/p/770-803_011-000</t>
  </si>
  <si>
    <t>WAGO Corporation</t>
  </si>
  <si>
    <t>2946-770-803/011-000-ND</t>
  </si>
  <si>
    <t>770-813/011-000</t>
  </si>
  <si>
    <t>Wago 770-813/011-000</t>
  </si>
  <si>
    <t>https://www.wago.com/global/pluggable-connectors/plug-for-pcbs/p/770-813_011-000</t>
  </si>
  <si>
    <t>2946-770-813/011-000-ND</t>
  </si>
  <si>
    <t>0R/1W/0414/30MM</t>
  </si>
  <si>
    <t>1R/1W/0414/30MM</t>
  </si>
  <si>
    <t>1R1/1W/0414/30MM</t>
  </si>
  <si>
    <t>1R2/1W/0414/30MM</t>
  </si>
  <si>
    <t>1R3/1W/0414/30MM</t>
  </si>
  <si>
    <t>1R5/1W/0414/30MM</t>
  </si>
  <si>
    <t>1R6/1W/0414/30MM</t>
  </si>
  <si>
    <t>1R8/1W/0414/30MM</t>
  </si>
  <si>
    <t>2R/1W/0414/30MM</t>
  </si>
  <si>
    <t>2R2/1W/0414/30MM</t>
  </si>
  <si>
    <t>2R4/1W/0414/30MM</t>
  </si>
  <si>
    <t>2R7/1W/0414/30MM</t>
  </si>
  <si>
    <t>3R/1W/0414/30MM</t>
  </si>
  <si>
    <t>3R3/1W/0414/30MM</t>
  </si>
  <si>
    <t>3R6/1W/0414/30MM</t>
  </si>
  <si>
    <t>3R9/1W/0414/30MM</t>
  </si>
  <si>
    <t>4R3/1W/0414/30MM</t>
  </si>
  <si>
    <t>4R7/1W/0414/30MM</t>
  </si>
  <si>
    <t>5R1/1W/0414/30MM</t>
  </si>
  <si>
    <t>5R6/1W/0414/30MM</t>
  </si>
  <si>
    <t>6R2/1W/0414/30MM</t>
  </si>
  <si>
    <t>6R8/1W/0414/30MM</t>
  </si>
  <si>
    <t>7R5/1W/0414/30MM</t>
  </si>
  <si>
    <t>8R2/1W/0414/30MM</t>
  </si>
  <si>
    <t>9R1/1W/0414/30MM</t>
  </si>
  <si>
    <t>10R/1W/0414/30MM</t>
  </si>
  <si>
    <t>11R/1W/0414/30MM</t>
  </si>
  <si>
    <t>12R/1W/0414/30MM</t>
  </si>
  <si>
    <t>13R/1W/0414/30MM</t>
  </si>
  <si>
    <t>15R/1W/0414/30MM</t>
  </si>
  <si>
    <t>16R/1W/0414/30MM</t>
  </si>
  <si>
    <t>18R/1W/0414/30MM</t>
  </si>
  <si>
    <t>20R/1W/0414/30MM</t>
  </si>
  <si>
    <t>22R/1W/0414/30MM</t>
  </si>
  <si>
    <t>24R/1W/0414/30MM</t>
  </si>
  <si>
    <t>27R/1W/0414/30MM</t>
  </si>
  <si>
    <t>30R/1W/0414/30MM</t>
  </si>
  <si>
    <t>33R/1W/0414/30MM</t>
  </si>
  <si>
    <t>36R/1W/0414/30MM</t>
  </si>
  <si>
    <t>39R/1W/0414/30MM</t>
  </si>
  <si>
    <t>43R/1W/0414/30MM</t>
  </si>
  <si>
    <t>47R/1W/0414/30MM</t>
  </si>
  <si>
    <t>51R/1W/0414/30MM</t>
  </si>
  <si>
    <t>56R/1W/0414/30MM</t>
  </si>
  <si>
    <t>62R/1W/0414/30MM</t>
  </si>
  <si>
    <t>68R/1W/0414/30MM</t>
  </si>
  <si>
    <t>75R/1W/0414/30MM</t>
  </si>
  <si>
    <t>82R/1W/0414/30MM</t>
  </si>
  <si>
    <t>91R/1W/0414/30MM</t>
  </si>
  <si>
    <t>100R/1W/0414/30MM</t>
  </si>
  <si>
    <t>110R/1W/0414/30MM</t>
  </si>
  <si>
    <t>120R/1W/0414/30MM</t>
  </si>
  <si>
    <t>130R/1W/0414/30MM</t>
  </si>
  <si>
    <t>150R/1W/0414/30MM</t>
  </si>
  <si>
    <t>160R/1W/0414/30MM</t>
  </si>
  <si>
    <t>180R/1W/0414/30MM</t>
  </si>
  <si>
    <t>200R/1W/0414/30MM</t>
  </si>
  <si>
    <t>220R/1W/0414/30MM</t>
  </si>
  <si>
    <t>240R/1W/0414/30MM</t>
  </si>
  <si>
    <t>270R/1W/0414/30MM</t>
  </si>
  <si>
    <t>300R/1W/0414/30MM</t>
  </si>
  <si>
    <t>330R/1W/0414/30MM</t>
  </si>
  <si>
    <t>360R/1W/0414/30MM</t>
  </si>
  <si>
    <t>390R/1W/0414/30MM</t>
  </si>
  <si>
    <t>430R/1W/0414/30MM</t>
  </si>
  <si>
    <t>470R/1W/0414/30MM</t>
  </si>
  <si>
    <t>510R/1W/0414/30MM</t>
  </si>
  <si>
    <t>560R/1W/0414/30MM</t>
  </si>
  <si>
    <t>620R/1W/0414/30MM</t>
  </si>
  <si>
    <t>680R/1W/0414/30MM</t>
  </si>
  <si>
    <t>750R/1W/0414/30MM</t>
  </si>
  <si>
    <t>820R/1W/0414/30MM</t>
  </si>
  <si>
    <t>910R/1W/0414/30MM</t>
  </si>
  <si>
    <t>1K/1W/0414/30MM</t>
  </si>
  <si>
    <t>1K1/1W/0414/30MM</t>
  </si>
  <si>
    <t>1K2/1W/0414/30MM</t>
  </si>
  <si>
    <t>1K3/1W/0414/30MM</t>
  </si>
  <si>
    <t>1K5/1W/0414/30MM</t>
  </si>
  <si>
    <t>1K6/1W/0414/30MM</t>
  </si>
  <si>
    <t>1K8/1W/0414/30MM</t>
  </si>
  <si>
    <t>2K/1W/0414/30MM</t>
  </si>
  <si>
    <t>2K2/1W/0414/30MM</t>
  </si>
  <si>
    <t>2K4/1W/0414/30MM</t>
  </si>
  <si>
    <t>2K7/1W/0414/30MM</t>
  </si>
  <si>
    <t>3K/1W/0414/30MM</t>
  </si>
  <si>
    <t>3K3/1W/0414/30MM</t>
  </si>
  <si>
    <t>3K6/1W/0414/30MM</t>
  </si>
  <si>
    <t>3K9/1W/0414/30MM</t>
  </si>
  <si>
    <t>4K3/1W/0414/30MM</t>
  </si>
  <si>
    <t>4K7/1W/0414/30MM</t>
  </si>
  <si>
    <t>5K1/1W/0414/30MM</t>
  </si>
  <si>
    <t>5K6/1W/0414/30MM</t>
  </si>
  <si>
    <t>6K2/1W/0414/30MM</t>
  </si>
  <si>
    <t>6K8/1W/0414/30MM</t>
  </si>
  <si>
    <t>7K5/1W/0414/30MM</t>
  </si>
  <si>
    <t>8K2/1W/0414/30MM</t>
  </si>
  <si>
    <t>9K1/1W/0414/30MM</t>
  </si>
  <si>
    <t>10K/1W/0414/30MM</t>
  </si>
  <si>
    <t>11K/1W/0414/30MM</t>
  </si>
  <si>
    <t>12K/1W/0414/30MM</t>
  </si>
  <si>
    <t>13K/1W/0414/30MM</t>
  </si>
  <si>
    <t>15K/1W/0414/30MM</t>
  </si>
  <si>
    <t>16K/1W/0414/30MM</t>
  </si>
  <si>
    <t>18K/1W/0414/30MM</t>
  </si>
  <si>
    <t>20K/1W/0414/30MM</t>
  </si>
  <si>
    <t>22K/1W/0414/30MM</t>
  </si>
  <si>
    <t>24K/1W/0414/30MM</t>
  </si>
  <si>
    <t>27K/1W/0414/30MM</t>
  </si>
  <si>
    <t>30K/1W/0414/30MM</t>
  </si>
  <si>
    <t>33K/1W/0414/30MM</t>
  </si>
  <si>
    <t>36K/1W/0414/30MM</t>
  </si>
  <si>
    <t>39K/1W/0414/30MM</t>
  </si>
  <si>
    <t>43K/1W/0414/30MM</t>
  </si>
  <si>
    <t>47K/1W/0414/30MM</t>
  </si>
  <si>
    <t>51K/1W/0414/30MM</t>
  </si>
  <si>
    <t>56K/1W/0414/30MM</t>
  </si>
  <si>
    <t>62K/1W/0414/30MM</t>
  </si>
  <si>
    <t>68K/1W/0414/30MM</t>
  </si>
  <si>
    <t>75K/1W/0414/30MM</t>
  </si>
  <si>
    <t>82K/1W/0414/30MM</t>
  </si>
  <si>
    <t>91K/1W/0414/30MM</t>
  </si>
  <si>
    <t>100K/1W/0414/30MM</t>
  </si>
  <si>
    <t>110K/1W/0414/30MM</t>
  </si>
  <si>
    <t>120K/1W/0414/30MM</t>
  </si>
  <si>
    <t>130K/1W/0414/30MM</t>
  </si>
  <si>
    <t>150K/1W/0414/30MM</t>
  </si>
  <si>
    <t>160K/1W/0414/30MM</t>
  </si>
  <si>
    <t>180K/1W/0414/30MM</t>
  </si>
  <si>
    <t>200K/1W/0414/30MM</t>
  </si>
  <si>
    <t>220K/1W/0414/30MM</t>
  </si>
  <si>
    <t>240K/1W/0414/30MM</t>
  </si>
  <si>
    <t>270K/1W/0414/30MM</t>
  </si>
  <si>
    <t>300K/1W/0414/30MM</t>
  </si>
  <si>
    <t>330K/1W/0414/30MM</t>
  </si>
  <si>
    <t>360K/1W/0414/30MM</t>
  </si>
  <si>
    <t>390K/1W/0414/30MM</t>
  </si>
  <si>
    <t>430K/1W/0414/30MM</t>
  </si>
  <si>
    <t>470K/1W/0414/30MM</t>
  </si>
  <si>
    <t>510K/1W/0414/30MM</t>
  </si>
  <si>
    <t>560K/1W/0414/30MM</t>
  </si>
  <si>
    <t>620K/1W/0414/30MM</t>
  </si>
  <si>
    <t>680K/1W/0414/30MM</t>
  </si>
  <si>
    <t>750K/1W/0414/30MM</t>
  </si>
  <si>
    <t>820K/1W/0414/30MM</t>
  </si>
  <si>
    <t>910K/1W/0414/30MM</t>
  </si>
  <si>
    <t>1M/1W/0414/30MM</t>
  </si>
  <si>
    <t>1M1/1W/0414/30MM</t>
  </si>
  <si>
    <t>1M2/1W/0414/30MM</t>
  </si>
  <si>
    <t>1M3/1W/0414/30MM</t>
  </si>
  <si>
    <t>1M5/1W/0414/30MM</t>
  </si>
  <si>
    <t>1M6/1W/0414/30MM</t>
  </si>
  <si>
    <t>1M8/1W/0414/30MM</t>
  </si>
  <si>
    <t>2M/1W/0414/30MM</t>
  </si>
  <si>
    <t>2M2/1W/0414/30MM</t>
  </si>
  <si>
    <t>2M4/1W/0414/30MM</t>
  </si>
  <si>
    <t>2M7/1W/0414/30MM</t>
  </si>
  <si>
    <t>3M/1W/0414/30MM</t>
  </si>
  <si>
    <t>3M3/1W/0414/30MM</t>
  </si>
  <si>
    <t>3M6/1W/0414/30MM</t>
  </si>
  <si>
    <t>3M9/1W/0414/30MM</t>
  </si>
  <si>
    <t>4M3/1W/0414/30MM</t>
  </si>
  <si>
    <t>4M7/1W/0414/30MM</t>
  </si>
  <si>
    <t>5M1/1W/0414/30MM</t>
  </si>
  <si>
    <t>5M6/1W/0414/30MM</t>
  </si>
  <si>
    <t>6M2/1W/0414/30MM</t>
  </si>
  <si>
    <t>6M8/1W/0414/30MM</t>
  </si>
  <si>
    <t>7M5/1W/0414/30MM</t>
  </si>
  <si>
    <t>8M2/1W/0414/30MM</t>
  </si>
  <si>
    <t>9M1/1W/0414/30MM</t>
  </si>
  <si>
    <t>10M/1W/0414/30MM</t>
  </si>
  <si>
    <t xml:space="preserve">RES TH 1W 0414 30MM 0R </t>
  </si>
  <si>
    <t xml:space="preserve">RES TH 1W 0414 30MM 1R </t>
  </si>
  <si>
    <t xml:space="preserve">RES TH 1W 0414 30MM 1R1 </t>
  </si>
  <si>
    <t xml:space="preserve">RES TH 1W 0414 30MM 1R2 </t>
  </si>
  <si>
    <t xml:space="preserve">RES TH 1W 0414 30MM 1R3 </t>
  </si>
  <si>
    <t xml:space="preserve">RES TH 1W 0414 30MM 1R5 </t>
  </si>
  <si>
    <t xml:space="preserve">RES TH 1W 0414 30MM 1R6 </t>
  </si>
  <si>
    <t xml:space="preserve">RES TH 1W 0414 30MM 1R8 </t>
  </si>
  <si>
    <t xml:space="preserve">RES TH 1W 0414 30MM 2R </t>
  </si>
  <si>
    <t xml:space="preserve">RES TH 1W 0414 30MM 2R2 </t>
  </si>
  <si>
    <t xml:space="preserve">RES TH 1W 0414 30MM 2R4 </t>
  </si>
  <si>
    <t xml:space="preserve">RES TH 1W 0414 30MM 2R7 </t>
  </si>
  <si>
    <t xml:space="preserve">RES TH 1W 0414 30MM 3R </t>
  </si>
  <si>
    <t xml:space="preserve">RES TH 1W 0414 30MM 3R3 </t>
  </si>
  <si>
    <t xml:space="preserve">RES TH 1W 0414 30MM 3R6 </t>
  </si>
  <si>
    <t xml:space="preserve">RES TH 1W 0414 30MM 3R9 </t>
  </si>
  <si>
    <t xml:space="preserve">RES TH 1W 0414 30MM 4R3 </t>
  </si>
  <si>
    <t xml:space="preserve">RES TH 1W 0414 30MM 4R7 </t>
  </si>
  <si>
    <t xml:space="preserve">RES TH 1W 0414 30MM 5R1 </t>
  </si>
  <si>
    <t xml:space="preserve">RES TH 1W 0414 30MM 5R6 </t>
  </si>
  <si>
    <t xml:space="preserve">RES TH 1W 0414 30MM 6R2 </t>
  </si>
  <si>
    <t xml:space="preserve">RES TH 1W 0414 30MM 6R8 </t>
  </si>
  <si>
    <t xml:space="preserve">RES TH 1W 0414 30MM 7R5 </t>
  </si>
  <si>
    <t xml:space="preserve">RES TH 1W 0414 30MM 8R2 </t>
  </si>
  <si>
    <t xml:space="preserve">RES TH 1W 0414 30MM 9R1 </t>
  </si>
  <si>
    <t xml:space="preserve">RES TH 1W 0414 30MM 10R </t>
  </si>
  <si>
    <t xml:space="preserve">RES TH 1W 0414 30MM 11R </t>
  </si>
  <si>
    <t xml:space="preserve">RES TH 1W 0414 30MM 12R </t>
  </si>
  <si>
    <t xml:space="preserve">RES TH 1W 0414 30MM 13R </t>
  </si>
  <si>
    <t xml:space="preserve">RES TH 1W 0414 30MM 15R </t>
  </si>
  <si>
    <t xml:space="preserve">RES TH 1W 0414 30MM 16R </t>
  </si>
  <si>
    <t xml:space="preserve">RES TH 1W 0414 30MM 18R </t>
  </si>
  <si>
    <t xml:space="preserve">RES TH 1W 0414 30MM 20R </t>
  </si>
  <si>
    <t xml:space="preserve">RES TH 1W 0414 30MM 22R </t>
  </si>
  <si>
    <t xml:space="preserve">RES TH 1W 0414 30MM 24R </t>
  </si>
  <si>
    <t xml:space="preserve">RES TH 1W 0414 30MM 27R </t>
  </si>
  <si>
    <t xml:space="preserve">RES TH 1W 0414 30MM 30R </t>
  </si>
  <si>
    <t xml:space="preserve">RES TH 1W 0414 30MM 33R </t>
  </si>
  <si>
    <t xml:space="preserve">RES TH 1W 0414 30MM 36R </t>
  </si>
  <si>
    <t xml:space="preserve">RES TH 1W 0414 30MM 39R </t>
  </si>
  <si>
    <t xml:space="preserve">RES TH 1W 0414 30MM 43R </t>
  </si>
  <si>
    <t xml:space="preserve">RES TH 1W 0414 30MM 47R </t>
  </si>
  <si>
    <t xml:space="preserve">RES TH 1W 0414 30MM 51R </t>
  </si>
  <si>
    <t xml:space="preserve">RES TH 1W 0414 30MM 56R </t>
  </si>
  <si>
    <t xml:space="preserve">RES TH 1W 0414 30MM 62R </t>
  </si>
  <si>
    <t xml:space="preserve">RES TH 1W 0414 30MM 68R </t>
  </si>
  <si>
    <t xml:space="preserve">RES TH 1W 0414 30MM 75R </t>
  </si>
  <si>
    <t xml:space="preserve">RES TH 1W 0414 30MM 82R </t>
  </si>
  <si>
    <t xml:space="preserve">RES TH 1W 0414 30MM 91R </t>
  </si>
  <si>
    <t xml:space="preserve">RES TH 1W 0414 30MM 100R </t>
  </si>
  <si>
    <t xml:space="preserve">RES TH 1W 0414 30MM 110R </t>
  </si>
  <si>
    <t xml:space="preserve">RES TH 1W 0414 30MM 120R </t>
  </si>
  <si>
    <t xml:space="preserve">RES TH 1W 0414 30MM 130R </t>
  </si>
  <si>
    <t xml:space="preserve">RES TH 1W 0414 30MM 150R </t>
  </si>
  <si>
    <t xml:space="preserve">RES TH 1W 0414 30MM 160R </t>
  </si>
  <si>
    <t xml:space="preserve">RES TH 1W 0414 30MM 180R </t>
  </si>
  <si>
    <t xml:space="preserve">RES TH 1W 0414 30MM 200R </t>
  </si>
  <si>
    <t xml:space="preserve">RES TH 1W 0414 30MM 220R </t>
  </si>
  <si>
    <t xml:space="preserve">RES TH 1W 0414 30MM 240R </t>
  </si>
  <si>
    <t xml:space="preserve">RES TH 1W 0414 30MM 270R </t>
  </si>
  <si>
    <t xml:space="preserve">RES TH 1W 0414 30MM 300R </t>
  </si>
  <si>
    <t xml:space="preserve">RES TH 1W 0414 30MM 330R </t>
  </si>
  <si>
    <t xml:space="preserve">RES TH 1W 0414 30MM 360R </t>
  </si>
  <si>
    <t xml:space="preserve">RES TH 1W 0414 30MM 390R </t>
  </si>
  <si>
    <t xml:space="preserve">RES TH 1W 0414 30MM 430R </t>
  </si>
  <si>
    <t xml:space="preserve">RES TH 1W 0414 30MM 470R </t>
  </si>
  <si>
    <t xml:space="preserve">RES TH 1W 0414 30MM 510R </t>
  </si>
  <si>
    <t xml:space="preserve">RES TH 1W 0414 30MM 560R </t>
  </si>
  <si>
    <t xml:space="preserve">RES TH 1W 0414 30MM 620R </t>
  </si>
  <si>
    <t xml:space="preserve">RES TH 1W 0414 30MM 680R </t>
  </si>
  <si>
    <t xml:space="preserve">RES TH 1W 0414 30MM 750R </t>
  </si>
  <si>
    <t xml:space="preserve">RES TH 1W 0414 30MM 820R </t>
  </si>
  <si>
    <t xml:space="preserve">RES TH 1W 0414 30MM 910R </t>
  </si>
  <si>
    <t xml:space="preserve">RES TH 1W 0414 30MM 1K </t>
  </si>
  <si>
    <t xml:space="preserve">RES TH 1W 0414 30MM 1K1 </t>
  </si>
  <si>
    <t xml:space="preserve">RES TH 1W 0414 30MM 1K2 </t>
  </si>
  <si>
    <t xml:space="preserve">RES TH 1W 0414 30MM 1K3 </t>
  </si>
  <si>
    <t xml:space="preserve">RES TH 1W 0414 30MM 1K5 </t>
  </si>
  <si>
    <t xml:space="preserve">RES TH 1W 0414 30MM 1K6 </t>
  </si>
  <si>
    <t xml:space="preserve">RES TH 1W 0414 30MM 1K8 </t>
  </si>
  <si>
    <t xml:space="preserve">RES TH 1W 0414 30MM 2K </t>
  </si>
  <si>
    <t xml:space="preserve">RES TH 1W 0414 30MM 2K2 </t>
  </si>
  <si>
    <t xml:space="preserve">RES TH 1W 0414 30MM 2K4 </t>
  </si>
  <si>
    <t xml:space="preserve">RES TH 1W 0414 30MM 2K7 </t>
  </si>
  <si>
    <t xml:space="preserve">RES TH 1W 0414 30MM 3K </t>
  </si>
  <si>
    <t xml:space="preserve">RES TH 1W 0414 30MM 3K3 </t>
  </si>
  <si>
    <t xml:space="preserve">RES TH 1W 0414 30MM 3K6 </t>
  </si>
  <si>
    <t xml:space="preserve">RES TH 1W 0414 30MM 3K9 </t>
  </si>
  <si>
    <t xml:space="preserve">RES TH 1W 0414 30MM 4K3 </t>
  </si>
  <si>
    <t xml:space="preserve">RES TH 1W 0414 30MM 4K7 </t>
  </si>
  <si>
    <t xml:space="preserve">RES TH 1W 0414 30MM 5K1 </t>
  </si>
  <si>
    <t xml:space="preserve">RES TH 1W 0414 30MM 5K6 </t>
  </si>
  <si>
    <t xml:space="preserve">RES TH 1W 0414 30MM 6K2 </t>
  </si>
  <si>
    <t xml:space="preserve">RES TH 1W 0414 30MM 6K8 </t>
  </si>
  <si>
    <t xml:space="preserve">RES TH 1W 0414 30MM 7K5 </t>
  </si>
  <si>
    <t xml:space="preserve">RES TH 1W 0414 30MM 8K2 </t>
  </si>
  <si>
    <t xml:space="preserve">RES TH 1W 0414 30MM 9K1 </t>
  </si>
  <si>
    <t xml:space="preserve">RES TH 1W 0414 30MM 10K </t>
  </si>
  <si>
    <t xml:space="preserve">RES TH 1W 0414 30MM 11K </t>
  </si>
  <si>
    <t xml:space="preserve">RES TH 1W 0414 30MM 12K </t>
  </si>
  <si>
    <t xml:space="preserve">RES TH 1W 0414 30MM 13K </t>
  </si>
  <si>
    <t xml:space="preserve">RES TH 1W 0414 30MM 15K </t>
  </si>
  <si>
    <t xml:space="preserve">RES TH 1W 0414 30MM 16K </t>
  </si>
  <si>
    <t xml:space="preserve">RES TH 1W 0414 30MM 18K </t>
  </si>
  <si>
    <t xml:space="preserve">RES TH 1W 0414 30MM 20K </t>
  </si>
  <si>
    <t xml:space="preserve">RES TH 1W 0414 30MM 22K </t>
  </si>
  <si>
    <t xml:space="preserve">RES TH 1W 0414 30MM 24K </t>
  </si>
  <si>
    <t xml:space="preserve">RES TH 1W 0414 30MM 27K </t>
  </si>
  <si>
    <t xml:space="preserve">RES TH 1W 0414 30MM 30K </t>
  </si>
  <si>
    <t xml:space="preserve">RES TH 1W 0414 30MM 33K </t>
  </si>
  <si>
    <t xml:space="preserve">RES TH 1W 0414 30MM 36K </t>
  </si>
  <si>
    <t xml:space="preserve">RES TH 1W 0414 30MM 39K </t>
  </si>
  <si>
    <t xml:space="preserve">RES TH 1W 0414 30MM 43K </t>
  </si>
  <si>
    <t xml:space="preserve">RES TH 1W 0414 30MM 47K </t>
  </si>
  <si>
    <t xml:space="preserve">RES TH 1W 0414 30MM 51K </t>
  </si>
  <si>
    <t xml:space="preserve">RES TH 1W 0414 30MM 56K </t>
  </si>
  <si>
    <t xml:space="preserve">RES TH 1W 0414 30MM 62K </t>
  </si>
  <si>
    <t xml:space="preserve">RES TH 1W 0414 30MM 68K </t>
  </si>
  <si>
    <t xml:space="preserve">RES TH 1W 0414 30MM 75K </t>
  </si>
  <si>
    <t xml:space="preserve">RES TH 1W 0414 30MM 82K </t>
  </si>
  <si>
    <t xml:space="preserve">RES TH 1W 0414 30MM 91K </t>
  </si>
  <si>
    <t xml:space="preserve">RES TH 1W 0414 30MM 100K </t>
  </si>
  <si>
    <t xml:space="preserve">RES TH 1W 0414 30MM 110K </t>
  </si>
  <si>
    <t xml:space="preserve">RES TH 1W 0414 30MM 120K </t>
  </si>
  <si>
    <t xml:space="preserve">RES TH 1W 0414 30MM 130K </t>
  </si>
  <si>
    <t xml:space="preserve">RES TH 1W 0414 30MM 150K </t>
  </si>
  <si>
    <t xml:space="preserve">RES TH 1W 0414 30MM 160K </t>
  </si>
  <si>
    <t xml:space="preserve">RES TH 1W 0414 30MM 180K </t>
  </si>
  <si>
    <t xml:space="preserve">RES TH 1W 0414 30MM 200K </t>
  </si>
  <si>
    <t xml:space="preserve">RES TH 1W 0414 30MM 220K </t>
  </si>
  <si>
    <t xml:space="preserve">RES TH 1W 0414 30MM 240K </t>
  </si>
  <si>
    <t xml:space="preserve">RES TH 1W 0414 30MM 270K </t>
  </si>
  <si>
    <t xml:space="preserve">RES TH 1W 0414 30MM 300K </t>
  </si>
  <si>
    <t xml:space="preserve">RES TH 1W 0414 30MM 330K </t>
  </si>
  <si>
    <t xml:space="preserve">RES TH 1W 0414 30MM 360K </t>
  </si>
  <si>
    <t xml:space="preserve">RES TH 1W 0414 30MM 390K </t>
  </si>
  <si>
    <t xml:space="preserve">RES TH 1W 0414 30MM 430K </t>
  </si>
  <si>
    <t xml:space="preserve">RES TH 1W 0414 30MM 470K </t>
  </si>
  <si>
    <t xml:space="preserve">RES TH 1W 0414 30MM 510K </t>
  </si>
  <si>
    <t xml:space="preserve">RES TH 1W 0414 30MM 560K </t>
  </si>
  <si>
    <t xml:space="preserve">RES TH 1W 0414 30MM 620K </t>
  </si>
  <si>
    <t xml:space="preserve">RES TH 1W 0414 30MM 680K </t>
  </si>
  <si>
    <t xml:space="preserve">RES TH 1W 0414 30MM 750K </t>
  </si>
  <si>
    <t xml:space="preserve">RES TH 1W 0414 30MM 820K </t>
  </si>
  <si>
    <t xml:space="preserve">RES TH 1W 0414 30MM 910K </t>
  </si>
  <si>
    <t xml:space="preserve">RES TH 1W 0414 30MM 1M </t>
  </si>
  <si>
    <t xml:space="preserve">RES TH 1W 0414 30MM 1M1 </t>
  </si>
  <si>
    <t xml:space="preserve">RES TH 1W 0414 30MM 1M2 </t>
  </si>
  <si>
    <t xml:space="preserve">RES TH 1W 0414 30MM 1M3 </t>
  </si>
  <si>
    <t xml:space="preserve">RES TH 1W 0414 30MM 1M5 </t>
  </si>
  <si>
    <t xml:space="preserve">RES TH 1W 0414 30MM 1M6 </t>
  </si>
  <si>
    <t xml:space="preserve">RES TH 1W 0414 30MM 1M8 </t>
  </si>
  <si>
    <t xml:space="preserve">RES TH 1W 0414 30MM 2M </t>
  </si>
  <si>
    <t xml:space="preserve">RES TH 1W 0414 30MM 2M2 </t>
  </si>
  <si>
    <t xml:space="preserve">RES TH 1W 0414 30MM 2M4 </t>
  </si>
  <si>
    <t xml:space="preserve">RES TH 1W 0414 30MM 2M7 </t>
  </si>
  <si>
    <t xml:space="preserve">RES TH 1W 0414 30MM 3M </t>
  </si>
  <si>
    <t xml:space="preserve">RES TH 1W 0414 30MM 3M3 </t>
  </si>
  <si>
    <t xml:space="preserve">RES TH 1W 0414 30MM 3M6 </t>
  </si>
  <si>
    <t xml:space="preserve">RES TH 1W 0414 30MM 3M9 </t>
  </si>
  <si>
    <t xml:space="preserve">RES TH 1W 0414 30MM 4M3 </t>
  </si>
  <si>
    <t xml:space="preserve">RES TH 1W 0414 30MM 4M7 </t>
  </si>
  <si>
    <t xml:space="preserve">RES TH 1W 0414 30MM 5M1 </t>
  </si>
  <si>
    <t xml:space="preserve">RES TH 1W 0414 30MM 5M6 </t>
  </si>
  <si>
    <t xml:space="preserve">RES TH 1W 0414 30MM 6M2 </t>
  </si>
  <si>
    <t xml:space="preserve">RES TH 1W 0414 30MM 6M8 </t>
  </si>
  <si>
    <t xml:space="preserve">RES TH 1W 0414 30MM 7M5 </t>
  </si>
  <si>
    <t xml:space="preserve">RES TH 1W 0414 30MM 8M2 </t>
  </si>
  <si>
    <t xml:space="preserve">RES TH 1W 0414 30MM 9M1 </t>
  </si>
  <si>
    <t xml:space="preserve">RES TH 1W 0414 30MM 10M </t>
  </si>
  <si>
    <t>RESAD3000W80L1200D400B</t>
  </si>
  <si>
    <t>ESP32 T-SIM7000G</t>
  </si>
  <si>
    <t>ESP32 T-SIM7000G ESP32 SIM Card T-SIM7000G module</t>
  </si>
  <si>
    <t>Xinyuan LilyGO</t>
  </si>
  <si>
    <t>PCB/ESP32.PcbLib</t>
  </si>
  <si>
    <t>ESP32-T-SIM7000G</t>
  </si>
  <si>
    <t>https://github.com/Xinyuan-LilyGO/LilyGO-T-SIM7000G</t>
  </si>
  <si>
    <t>SCH/Module.SchLib</t>
  </si>
  <si>
    <t>74HCT1G04GV</t>
  </si>
  <si>
    <t>Single inverter, SOT23-5</t>
  </si>
  <si>
    <t>https://assets.nexperia.com/documents/data-sheet/74HC_HCT1G04.pdf</t>
  </si>
  <si>
    <t>74HCT1G04GV,125</t>
  </si>
  <si>
    <t>1727-6925-1-ND</t>
  </si>
  <si>
    <t>C12503</t>
  </si>
  <si>
    <t>SOT2395P280X125-5-NW</t>
  </si>
  <si>
    <t>SCH/Con_Circ.SchLib</t>
  </si>
  <si>
    <t>0R/0402</t>
  </si>
  <si>
    <t>RES SM 0402 0R</t>
  </si>
  <si>
    <t>RC0402FR-070RL</t>
  </si>
  <si>
    <t>0R/1206</t>
  </si>
  <si>
    <t>RES SM 1206 0R</t>
  </si>
  <si>
    <t>1R/1206</t>
  </si>
  <si>
    <t xml:space="preserve">RES SM 1206 1R </t>
  </si>
  <si>
    <t>1R1/1206</t>
  </si>
  <si>
    <t xml:space="preserve">RES SM 1206 1R1 </t>
  </si>
  <si>
    <t>1R2/1206</t>
  </si>
  <si>
    <t xml:space="preserve">RES SM 1206 1R2 </t>
  </si>
  <si>
    <t>1R3/1206</t>
  </si>
  <si>
    <t xml:space="preserve">RES SM 1206 1R3 </t>
  </si>
  <si>
    <t>1R5/1206</t>
  </si>
  <si>
    <t xml:space="preserve">RES SM 1206 1R5 </t>
  </si>
  <si>
    <t>1R6/1206</t>
  </si>
  <si>
    <t xml:space="preserve">RES SM 1206 1R6 </t>
  </si>
  <si>
    <t>1R8/1206</t>
  </si>
  <si>
    <t xml:space="preserve">RES SM 1206 1R8 </t>
  </si>
  <si>
    <t>2R/1206</t>
  </si>
  <si>
    <t xml:space="preserve">RES SM 1206 2R </t>
  </si>
  <si>
    <t>2R2/1206</t>
  </si>
  <si>
    <t xml:space="preserve">RES SM 1206 2R2 </t>
  </si>
  <si>
    <t>2R4/1206</t>
  </si>
  <si>
    <t xml:space="preserve">RES SM 1206 2R4 </t>
  </si>
  <si>
    <t>2R7/1206</t>
  </si>
  <si>
    <t xml:space="preserve">RES SM 1206 2R7 </t>
  </si>
  <si>
    <t>3R/1206</t>
  </si>
  <si>
    <t xml:space="preserve">RES SM 1206 3R </t>
  </si>
  <si>
    <t>3R3/1206</t>
  </si>
  <si>
    <t xml:space="preserve">RES SM 1206 3R3 </t>
  </si>
  <si>
    <t>3R6/1206</t>
  </si>
  <si>
    <t xml:space="preserve">RES SM 1206 3R6 </t>
  </si>
  <si>
    <t>3R9/1206</t>
  </si>
  <si>
    <t xml:space="preserve">RES SM 1206 3R9 </t>
  </si>
  <si>
    <t>4R3/1206</t>
  </si>
  <si>
    <t xml:space="preserve">RES SM 1206 4R3 </t>
  </si>
  <si>
    <t>4R7/1206</t>
  </si>
  <si>
    <t xml:space="preserve">RES SM 1206 4R7 </t>
  </si>
  <si>
    <t>5R1/1206</t>
  </si>
  <si>
    <t xml:space="preserve">RES SM 1206 5R1 </t>
  </si>
  <si>
    <t>5R6/1206</t>
  </si>
  <si>
    <t xml:space="preserve">RES SM 1206 5R6 </t>
  </si>
  <si>
    <t>6R2/1206</t>
  </si>
  <si>
    <t xml:space="preserve">RES SM 1206 6R2 </t>
  </si>
  <si>
    <t>6R8/1206</t>
  </si>
  <si>
    <t xml:space="preserve">RES SM 1206 6R8 </t>
  </si>
  <si>
    <t>7R5/1206</t>
  </si>
  <si>
    <t xml:space="preserve">RES SM 1206 7R5 </t>
  </si>
  <si>
    <t>8R2/1206</t>
  </si>
  <si>
    <t xml:space="preserve">RES SM 1206 8R2 </t>
  </si>
  <si>
    <t>9R1/1206</t>
  </si>
  <si>
    <t xml:space="preserve">RES SM 1206 9R1 </t>
  </si>
  <si>
    <t>10R/1206</t>
  </si>
  <si>
    <t xml:space="preserve">RES SM 1206 10R </t>
  </si>
  <si>
    <t>11R/1206</t>
  </si>
  <si>
    <t xml:space="preserve">RES SM 1206 11R </t>
  </si>
  <si>
    <t>12R/1206</t>
  </si>
  <si>
    <t xml:space="preserve">RES SM 1206 12R </t>
  </si>
  <si>
    <t>13R/1206</t>
  </si>
  <si>
    <t xml:space="preserve">RES SM 1206 13R </t>
  </si>
  <si>
    <t xml:space="preserve">RES SM 1206 15R </t>
  </si>
  <si>
    <t>16R/1206</t>
  </si>
  <si>
    <t xml:space="preserve">RES SM 1206 16R </t>
  </si>
  <si>
    <t>18R/1206</t>
  </si>
  <si>
    <t xml:space="preserve">RES SM 1206 18R </t>
  </si>
  <si>
    <t>20R/1206</t>
  </si>
  <si>
    <t xml:space="preserve">RES SM 1206 20R </t>
  </si>
  <si>
    <t>22R/1206</t>
  </si>
  <si>
    <t xml:space="preserve">RES SM 1206 22R </t>
  </si>
  <si>
    <t>24R/1206</t>
  </si>
  <si>
    <t xml:space="preserve">RES SM 1206 24R </t>
  </si>
  <si>
    <t>27R/1206</t>
  </si>
  <si>
    <t xml:space="preserve">RES SM 1206 27R </t>
  </si>
  <si>
    <t>30R/1206</t>
  </si>
  <si>
    <t xml:space="preserve">RES SM 1206 30R </t>
  </si>
  <si>
    <t>33R/1206</t>
  </si>
  <si>
    <t xml:space="preserve">RES SM 1206 33R </t>
  </si>
  <si>
    <t>36R/1206</t>
  </si>
  <si>
    <t xml:space="preserve">RES SM 1206 36R </t>
  </si>
  <si>
    <t>39R/1206</t>
  </si>
  <si>
    <t xml:space="preserve">RES SM 1206 39R </t>
  </si>
  <si>
    <t>43R/1206</t>
  </si>
  <si>
    <t xml:space="preserve">RES SM 1206 43R </t>
  </si>
  <si>
    <t>47R/1206</t>
  </si>
  <si>
    <t xml:space="preserve">RES SM 1206 47R </t>
  </si>
  <si>
    <t>51R/1206</t>
  </si>
  <si>
    <t xml:space="preserve">RES SM 1206 51R </t>
  </si>
  <si>
    <t>56R/1206</t>
  </si>
  <si>
    <t xml:space="preserve">RES SM 1206 56R </t>
  </si>
  <si>
    <t>62R/1206</t>
  </si>
  <si>
    <t xml:space="preserve">RES SM 1206 62R </t>
  </si>
  <si>
    <t>68R/1206</t>
  </si>
  <si>
    <t xml:space="preserve">RES SM 1206 68R </t>
  </si>
  <si>
    <t>75R/1206</t>
  </si>
  <si>
    <t xml:space="preserve">RES SM 1206 75R </t>
  </si>
  <si>
    <t>82R/1206</t>
  </si>
  <si>
    <t xml:space="preserve">RES SM 1206 82R </t>
  </si>
  <si>
    <t>91R/1206</t>
  </si>
  <si>
    <t xml:space="preserve">RES SM 1206 91R </t>
  </si>
  <si>
    <t>100R/1206</t>
  </si>
  <si>
    <t xml:space="preserve">RES SM 1206 100R </t>
  </si>
  <si>
    <t>110R/1206</t>
  </si>
  <si>
    <t xml:space="preserve">RES SM 1206 110R </t>
  </si>
  <si>
    <t>120R/1206</t>
  </si>
  <si>
    <t xml:space="preserve">RES SM 1206 120R </t>
  </si>
  <si>
    <t>130R/1206</t>
  </si>
  <si>
    <t xml:space="preserve">RES SM 1206 130R </t>
  </si>
  <si>
    <t>150R/1206</t>
  </si>
  <si>
    <t xml:space="preserve">RES SM 1206 150R </t>
  </si>
  <si>
    <t>160R/1206</t>
  </si>
  <si>
    <t xml:space="preserve">RES SM 1206 160R </t>
  </si>
  <si>
    <t>180R/1206</t>
  </si>
  <si>
    <t xml:space="preserve">RES SM 1206 180R </t>
  </si>
  <si>
    <t>200R/1206</t>
  </si>
  <si>
    <t xml:space="preserve">RES SM 1206 200R </t>
  </si>
  <si>
    <t>220R/1206</t>
  </si>
  <si>
    <t xml:space="preserve">RES SM 1206 220R </t>
  </si>
  <si>
    <t>240R/1206</t>
  </si>
  <si>
    <t xml:space="preserve">RES SM 1206 240R </t>
  </si>
  <si>
    <t>270R/1206</t>
  </si>
  <si>
    <t xml:space="preserve">RES SM 1206 270R </t>
  </si>
  <si>
    <t>300R/1206</t>
  </si>
  <si>
    <t xml:space="preserve">RES SM 1206 300R </t>
  </si>
  <si>
    <t>330R/1206</t>
  </si>
  <si>
    <t xml:space="preserve">RES SM 1206 330R </t>
  </si>
  <si>
    <t>360R/1206</t>
  </si>
  <si>
    <t xml:space="preserve">RES SM 1206 360R </t>
  </si>
  <si>
    <t>390R/1206</t>
  </si>
  <si>
    <t xml:space="preserve">RES SM 1206 390R </t>
  </si>
  <si>
    <t>430R/1206</t>
  </si>
  <si>
    <t xml:space="preserve">RES SM 1206 430R </t>
  </si>
  <si>
    <t>470R/1206</t>
  </si>
  <si>
    <t xml:space="preserve">RES SM 1206 470R </t>
  </si>
  <si>
    <t>510R/1206</t>
  </si>
  <si>
    <t xml:space="preserve">RES SM 1206 510R </t>
  </si>
  <si>
    <t>560R/1206</t>
  </si>
  <si>
    <t xml:space="preserve">RES SM 1206 560R </t>
  </si>
  <si>
    <t>620R/1206</t>
  </si>
  <si>
    <t xml:space="preserve">RES SM 1206 620R </t>
  </si>
  <si>
    <t>680R/1206</t>
  </si>
  <si>
    <t xml:space="preserve">RES SM 1206 680R </t>
  </si>
  <si>
    <t>750R/1206</t>
  </si>
  <si>
    <t xml:space="preserve">RES SM 1206 750R </t>
  </si>
  <si>
    <t>820R/1206</t>
  </si>
  <si>
    <t xml:space="preserve">RES SM 1206 820R </t>
  </si>
  <si>
    <t>910R/1206</t>
  </si>
  <si>
    <t xml:space="preserve">RES SM 1206 910R </t>
  </si>
  <si>
    <t>1K/1206</t>
  </si>
  <si>
    <t xml:space="preserve">RES SM 1206 1K </t>
  </si>
  <si>
    <t>1K1/1206</t>
  </si>
  <si>
    <t xml:space="preserve">RES SM 1206 1K1 </t>
  </si>
  <si>
    <t>1K2/1206</t>
  </si>
  <si>
    <t xml:space="preserve">RES SM 1206 1K2 </t>
  </si>
  <si>
    <t>1K3/1206</t>
  </si>
  <si>
    <t xml:space="preserve">RES SM 1206 1K3 </t>
  </si>
  <si>
    <t>1K5/1206</t>
  </si>
  <si>
    <t xml:space="preserve">RES SM 1206 1K5 </t>
  </si>
  <si>
    <t>1K6/1206</t>
  </si>
  <si>
    <t xml:space="preserve">RES SM 1206 1K6 </t>
  </si>
  <si>
    <t>1K8/1206</t>
  </si>
  <si>
    <t xml:space="preserve">RES SM 1206 1K8 </t>
  </si>
  <si>
    <t>2K/1206</t>
  </si>
  <si>
    <t xml:space="preserve">RES SM 1206 2K </t>
  </si>
  <si>
    <t>2K2/1206</t>
  </si>
  <si>
    <t xml:space="preserve">RES SM 1206 2K2 </t>
  </si>
  <si>
    <t>2K4/1206</t>
  </si>
  <si>
    <t xml:space="preserve">RES SM 1206 2K4 </t>
  </si>
  <si>
    <t>2K7/1206</t>
  </si>
  <si>
    <t xml:space="preserve">RES SM 1206 2K7 </t>
  </si>
  <si>
    <t>3K/1206</t>
  </si>
  <si>
    <t xml:space="preserve">RES SM 1206 3K </t>
  </si>
  <si>
    <t>3K3/1206</t>
  </si>
  <si>
    <t xml:space="preserve">RES SM 1206 3K3 </t>
  </si>
  <si>
    <t>3K6/1206</t>
  </si>
  <si>
    <t xml:space="preserve">RES SM 1206 3K6 </t>
  </si>
  <si>
    <t>3K9/1206</t>
  </si>
  <si>
    <t xml:space="preserve">RES SM 1206 3K9 </t>
  </si>
  <si>
    <t>4K3/1206</t>
  </si>
  <si>
    <t xml:space="preserve">RES SM 1206 4K3 </t>
  </si>
  <si>
    <t>4K7/1206</t>
  </si>
  <si>
    <t xml:space="preserve">RES SM 1206 4K7 </t>
  </si>
  <si>
    <t>5K1/1206</t>
  </si>
  <si>
    <t xml:space="preserve">RES SM 1206 5K1 </t>
  </si>
  <si>
    <t>5K6/1206</t>
  </si>
  <si>
    <t xml:space="preserve">RES SM 1206 5K6 </t>
  </si>
  <si>
    <t>6K2/1206</t>
  </si>
  <si>
    <t xml:space="preserve">RES SM 1206 6K2 </t>
  </si>
  <si>
    <t>6K8/1206</t>
  </si>
  <si>
    <t xml:space="preserve">RES SM 1206 6K8 </t>
  </si>
  <si>
    <t>7K5/1206</t>
  </si>
  <si>
    <t xml:space="preserve">RES SM 1206 7K5 </t>
  </si>
  <si>
    <t>8K2/1206</t>
  </si>
  <si>
    <t xml:space="preserve">RES SM 1206 8K2 </t>
  </si>
  <si>
    <t>9K1/1206</t>
  </si>
  <si>
    <t xml:space="preserve">RES SM 1206 9K1 </t>
  </si>
  <si>
    <t>10K/1206</t>
  </si>
  <si>
    <t xml:space="preserve">RES SM 1206 10K </t>
  </si>
  <si>
    <t>11K/1206</t>
  </si>
  <si>
    <t xml:space="preserve">RES SM 1206 11K </t>
  </si>
  <si>
    <t>12K/1206</t>
  </si>
  <si>
    <t xml:space="preserve">RES SM 1206 12K </t>
  </si>
  <si>
    <t>13K/1206</t>
  </si>
  <si>
    <t xml:space="preserve">RES SM 1206 13K </t>
  </si>
  <si>
    <t>15K/1206</t>
  </si>
  <si>
    <t xml:space="preserve">RES SM 1206 15K </t>
  </si>
  <si>
    <t>16K/1206</t>
  </si>
  <si>
    <t xml:space="preserve">RES SM 1206 16K </t>
  </si>
  <si>
    <t>18K/1206</t>
  </si>
  <si>
    <t xml:space="preserve">RES SM 1206 18K </t>
  </si>
  <si>
    <t>20K/1206</t>
  </si>
  <si>
    <t xml:space="preserve">RES SM 1206 20K </t>
  </si>
  <si>
    <t>22K/1206</t>
  </si>
  <si>
    <t xml:space="preserve">RES SM 1206 22K </t>
  </si>
  <si>
    <t>24K/1206</t>
  </si>
  <si>
    <t xml:space="preserve">RES SM 1206 24K </t>
  </si>
  <si>
    <t>27K/1206</t>
  </si>
  <si>
    <t xml:space="preserve">RES SM 1206 27K </t>
  </si>
  <si>
    <t>30K/1206</t>
  </si>
  <si>
    <t xml:space="preserve">RES SM 1206 30K </t>
  </si>
  <si>
    <t>33K/1206</t>
  </si>
  <si>
    <t xml:space="preserve">RES SM 1206 33K </t>
  </si>
  <si>
    <t>36K/1206</t>
  </si>
  <si>
    <t xml:space="preserve">RES SM 1206 36K </t>
  </si>
  <si>
    <t>39K/1206</t>
  </si>
  <si>
    <t xml:space="preserve">RES SM 1206 39K </t>
  </si>
  <si>
    <t>43K/1206</t>
  </si>
  <si>
    <t xml:space="preserve">RES SM 1206 43K </t>
  </si>
  <si>
    <t>47K/1206</t>
  </si>
  <si>
    <t xml:space="preserve">RES SM 1206 47K </t>
  </si>
  <si>
    <t>51K/1206</t>
  </si>
  <si>
    <t xml:space="preserve">RES SM 1206 51K </t>
  </si>
  <si>
    <t>56K/1206</t>
  </si>
  <si>
    <t xml:space="preserve">RES SM 1206 56K </t>
  </si>
  <si>
    <t>62K/1206</t>
  </si>
  <si>
    <t xml:space="preserve">RES SM 1206 62K </t>
  </si>
  <si>
    <t>68K/1206</t>
  </si>
  <si>
    <t xml:space="preserve">RES SM 1206 68K </t>
  </si>
  <si>
    <t>75K/1206</t>
  </si>
  <si>
    <t xml:space="preserve">RES SM 1206 75K </t>
  </si>
  <si>
    <t>82K/1206</t>
  </si>
  <si>
    <t xml:space="preserve">RES SM 1206 82K </t>
  </si>
  <si>
    <t>91K/1206</t>
  </si>
  <si>
    <t xml:space="preserve">RES SM 1206 91K </t>
  </si>
  <si>
    <t>100K/1206</t>
  </si>
  <si>
    <t xml:space="preserve">RES SM 1206 100K </t>
  </si>
  <si>
    <t>110K/1206</t>
  </si>
  <si>
    <t xml:space="preserve">RES SM 1206 110K </t>
  </si>
  <si>
    <t>120K/1206</t>
  </si>
  <si>
    <t xml:space="preserve">RES SM 1206 120K </t>
  </si>
  <si>
    <t>130K/1206</t>
  </si>
  <si>
    <t xml:space="preserve">RES SM 1206 130K </t>
  </si>
  <si>
    <t>150K/1206</t>
  </si>
  <si>
    <t xml:space="preserve">RES SM 1206 150K </t>
  </si>
  <si>
    <t>160K/1206</t>
  </si>
  <si>
    <t xml:space="preserve">RES SM 1206 160K </t>
  </si>
  <si>
    <t>180K/1206</t>
  </si>
  <si>
    <t xml:space="preserve">RES SM 1206 180K </t>
  </si>
  <si>
    <t>200K/1206</t>
  </si>
  <si>
    <t xml:space="preserve">RES SM 1206 200K </t>
  </si>
  <si>
    <t>220K/1206</t>
  </si>
  <si>
    <t xml:space="preserve">RES SM 1206 220K </t>
  </si>
  <si>
    <t>240K/1206</t>
  </si>
  <si>
    <t xml:space="preserve">RES SM 1206 240K </t>
  </si>
  <si>
    <t>270K/1206</t>
  </si>
  <si>
    <t xml:space="preserve">RES SM 1206 270K </t>
  </si>
  <si>
    <t>300K/1206</t>
  </si>
  <si>
    <t xml:space="preserve">RES SM 1206 300K </t>
  </si>
  <si>
    <t>360K/1206</t>
  </si>
  <si>
    <t xml:space="preserve">RES SM 1206 360K </t>
  </si>
  <si>
    <t>390K/1206</t>
  </si>
  <si>
    <t xml:space="preserve">RES SM 1206 390K </t>
  </si>
  <si>
    <t>430K/1206</t>
  </si>
  <si>
    <t xml:space="preserve">RES SM 1206 430K </t>
  </si>
  <si>
    <t>470K/1206</t>
  </si>
  <si>
    <t xml:space="preserve">RES SM 1206 470K </t>
  </si>
  <si>
    <t>510K/1206</t>
  </si>
  <si>
    <t xml:space="preserve">RES SM 1206 510K </t>
  </si>
  <si>
    <t>560K/1206</t>
  </si>
  <si>
    <t xml:space="preserve">RES SM 1206 560K </t>
  </si>
  <si>
    <t>620K/1206</t>
  </si>
  <si>
    <t xml:space="preserve">RES SM 1206 620K </t>
  </si>
  <si>
    <t>680K/1206</t>
  </si>
  <si>
    <t xml:space="preserve">RES SM 1206 680K </t>
  </si>
  <si>
    <t>750K/1206</t>
  </si>
  <si>
    <t xml:space="preserve">RES SM 1206 750K </t>
  </si>
  <si>
    <t>820K/1206</t>
  </si>
  <si>
    <t xml:space="preserve">RES SM 1206 820K </t>
  </si>
  <si>
    <t>910K/1206</t>
  </si>
  <si>
    <t xml:space="preserve">RES SM 1206 910K </t>
  </si>
  <si>
    <t>1M/1206</t>
  </si>
  <si>
    <t xml:space="preserve">RES SM 1206 1M </t>
  </si>
  <si>
    <t>1M1/1206</t>
  </si>
  <si>
    <t xml:space="preserve">RES SM 1206 1M1 </t>
  </si>
  <si>
    <t>1M2/1206</t>
  </si>
  <si>
    <t xml:space="preserve">RES SM 1206 1M2 </t>
  </si>
  <si>
    <t>1M3/1206</t>
  </si>
  <si>
    <t xml:space="preserve">RES SM 1206 1M3 </t>
  </si>
  <si>
    <t>1M5/1206</t>
  </si>
  <si>
    <t xml:space="preserve">RES SM 1206 1M5 </t>
  </si>
  <si>
    <t>1M6/1206</t>
  </si>
  <si>
    <t xml:space="preserve">RES SM 1206 1M6 </t>
  </si>
  <si>
    <t>1M8/1206</t>
  </si>
  <si>
    <t xml:space="preserve">RES SM 1206 1M8 </t>
  </si>
  <si>
    <t>2M/1206</t>
  </si>
  <si>
    <t xml:space="preserve">RES SM 1206 2M </t>
  </si>
  <si>
    <t>2M2/1206</t>
  </si>
  <si>
    <t xml:space="preserve">RES SM 1206 2M2 </t>
  </si>
  <si>
    <t>2M4/1206</t>
  </si>
  <si>
    <t xml:space="preserve">RES SM 1206 2M4 </t>
  </si>
  <si>
    <t>2M7/1206</t>
  </si>
  <si>
    <t xml:space="preserve">RES SM 1206 2M7 </t>
  </si>
  <si>
    <t>3M/1206</t>
  </si>
  <si>
    <t xml:space="preserve">RES SM 1206 3M </t>
  </si>
  <si>
    <t>3M3/1206</t>
  </si>
  <si>
    <t xml:space="preserve">RES SM 1206 3M3 </t>
  </si>
  <si>
    <t>3M6/1206</t>
  </si>
  <si>
    <t xml:space="preserve">RES SM 1206 3M6 </t>
  </si>
  <si>
    <t>3M9/1206</t>
  </si>
  <si>
    <t xml:space="preserve">RES SM 1206 3M9 </t>
  </si>
  <si>
    <t>4M3/1206</t>
  </si>
  <si>
    <t xml:space="preserve">RES SM 1206 4M3 </t>
  </si>
  <si>
    <t>4M7/1206</t>
  </si>
  <si>
    <t xml:space="preserve">RES SM 1206 4M7 </t>
  </si>
  <si>
    <t>5M1/1206</t>
  </si>
  <si>
    <t xml:space="preserve">RES SM 1206 5M1 </t>
  </si>
  <si>
    <t>5M6/1206</t>
  </si>
  <si>
    <t xml:space="preserve">RES SM 1206 5M6 </t>
  </si>
  <si>
    <t>6M2/1206</t>
  </si>
  <si>
    <t xml:space="preserve">RES SM 1206 6M2 </t>
  </si>
  <si>
    <t>6M8/1206</t>
  </si>
  <si>
    <t xml:space="preserve">RES SM 1206 6M8 </t>
  </si>
  <si>
    <t>7M5/1206</t>
  </si>
  <si>
    <t xml:space="preserve">RES SM 1206 7M5 </t>
  </si>
  <si>
    <t>8M2/1206</t>
  </si>
  <si>
    <t xml:space="preserve">RES SM 1206 8M2 </t>
  </si>
  <si>
    <t>9M1/1206</t>
  </si>
  <si>
    <t xml:space="preserve">RES SM 1206 9M1 </t>
  </si>
  <si>
    <t>10M/1206</t>
  </si>
  <si>
    <t xml:space="preserve">RES SM 1206 10M </t>
  </si>
  <si>
    <t>0R/1210</t>
  </si>
  <si>
    <t>RES SM 1210 0R</t>
  </si>
  <si>
    <t>1R/1210</t>
  </si>
  <si>
    <t xml:space="preserve">RES SM 1210 1R </t>
  </si>
  <si>
    <t>1R1/1210</t>
  </si>
  <si>
    <t xml:space="preserve">RES SM 1210 1R1 </t>
  </si>
  <si>
    <t>1R2/1210</t>
  </si>
  <si>
    <t xml:space="preserve">RES SM 1210 1R2 </t>
  </si>
  <si>
    <t>1R3/1210</t>
  </si>
  <si>
    <t xml:space="preserve">RES SM 1210 1R3 </t>
  </si>
  <si>
    <t>1R5/1210</t>
  </si>
  <si>
    <t xml:space="preserve">RES SM 1210 1R5 </t>
  </si>
  <si>
    <t>1R6/1210</t>
  </si>
  <si>
    <t xml:space="preserve">RES SM 1210 1R6 </t>
  </si>
  <si>
    <t>1R8/1210</t>
  </si>
  <si>
    <t xml:space="preserve">RES SM 1210 1R8 </t>
  </si>
  <si>
    <t>2R/1210</t>
  </si>
  <si>
    <t xml:space="preserve">RES SM 1210 2R </t>
  </si>
  <si>
    <t>2R2/1210</t>
  </si>
  <si>
    <t xml:space="preserve">RES SM 1210 2R2 </t>
  </si>
  <si>
    <t>2R4/1210</t>
  </si>
  <si>
    <t xml:space="preserve">RES SM 1210 2R4 </t>
  </si>
  <si>
    <t>2R7/1210</t>
  </si>
  <si>
    <t xml:space="preserve">RES SM 1210 2R7 </t>
  </si>
  <si>
    <t>3R/1210</t>
  </si>
  <si>
    <t xml:space="preserve">RES SM 1210 3R </t>
  </si>
  <si>
    <t>3R3/1210</t>
  </si>
  <si>
    <t xml:space="preserve">RES SM 1210 3R3 </t>
  </si>
  <si>
    <t>3R6/1210</t>
  </si>
  <si>
    <t xml:space="preserve">RES SM 1210 3R6 </t>
  </si>
  <si>
    <t>3R9/1210</t>
  </si>
  <si>
    <t xml:space="preserve">RES SM 1210 3R9 </t>
  </si>
  <si>
    <t>4R3/1210</t>
  </si>
  <si>
    <t xml:space="preserve">RES SM 1210 4R3 </t>
  </si>
  <si>
    <t>4R7/1210</t>
  </si>
  <si>
    <t xml:space="preserve">RES SM 1210 4R7 </t>
  </si>
  <si>
    <t>5R1/1210</t>
  </si>
  <si>
    <t xml:space="preserve">RES SM 1210 5R1 </t>
  </si>
  <si>
    <t>5R6/1210</t>
  </si>
  <si>
    <t xml:space="preserve">RES SM 1210 5R6 </t>
  </si>
  <si>
    <t>6R2/1210</t>
  </si>
  <si>
    <t xml:space="preserve">RES SM 1210 6R2 </t>
  </si>
  <si>
    <t>6R8/1210</t>
  </si>
  <si>
    <t xml:space="preserve">RES SM 1210 6R8 </t>
  </si>
  <si>
    <t>7R5/1210</t>
  </si>
  <si>
    <t xml:space="preserve">RES SM 1210 7R5 </t>
  </si>
  <si>
    <t>8R2/1210</t>
  </si>
  <si>
    <t xml:space="preserve">RES SM 1210 8R2 </t>
  </si>
  <si>
    <t>9R1/1210</t>
  </si>
  <si>
    <t xml:space="preserve">RES SM 1210 9R1 </t>
  </si>
  <si>
    <t>10R/1210</t>
  </si>
  <si>
    <t xml:space="preserve">RES SM 1210 10R </t>
  </si>
  <si>
    <t>11R/1210</t>
  </si>
  <si>
    <t xml:space="preserve">RES SM 1210 11R </t>
  </si>
  <si>
    <t>12R/1210</t>
  </si>
  <si>
    <t xml:space="preserve">RES SM 1210 12R </t>
  </si>
  <si>
    <t>13R/1210</t>
  </si>
  <si>
    <t xml:space="preserve">RES SM 1210 13R </t>
  </si>
  <si>
    <t>15R/1210</t>
  </si>
  <si>
    <t xml:space="preserve">RES SM 1210 15R </t>
  </si>
  <si>
    <t>16R/1210</t>
  </si>
  <si>
    <t xml:space="preserve">RES SM 1210 16R </t>
  </si>
  <si>
    <t>18R/1210</t>
  </si>
  <si>
    <t xml:space="preserve">RES SM 1210 18R </t>
  </si>
  <si>
    <t>20R/1210</t>
  </si>
  <si>
    <t xml:space="preserve">RES SM 1210 20R </t>
  </si>
  <si>
    <t>22R/1210</t>
  </si>
  <si>
    <t xml:space="preserve">RES SM 1210 22R </t>
  </si>
  <si>
    <t>24R/1210</t>
  </si>
  <si>
    <t xml:space="preserve">RES SM 1210 24R </t>
  </si>
  <si>
    <t>27R/1210</t>
  </si>
  <si>
    <t xml:space="preserve">RES SM 1210 27R </t>
  </si>
  <si>
    <t>30R/1210</t>
  </si>
  <si>
    <t xml:space="preserve">RES SM 1210 30R </t>
  </si>
  <si>
    <t>33R/1210</t>
  </si>
  <si>
    <t xml:space="preserve">RES SM 1210 33R </t>
  </si>
  <si>
    <t>36R/1210</t>
  </si>
  <si>
    <t xml:space="preserve">RES SM 1210 36R </t>
  </si>
  <si>
    <t>39R/1210</t>
  </si>
  <si>
    <t xml:space="preserve">RES SM 1210 39R </t>
  </si>
  <si>
    <t>43R/1210</t>
  </si>
  <si>
    <t xml:space="preserve">RES SM 1210 43R </t>
  </si>
  <si>
    <t>47R/1210</t>
  </si>
  <si>
    <t xml:space="preserve">RES SM 1210 47R </t>
  </si>
  <si>
    <t>51R/1210</t>
  </si>
  <si>
    <t xml:space="preserve">RES SM 1210 51R </t>
  </si>
  <si>
    <t>56R/1210</t>
  </si>
  <si>
    <t xml:space="preserve">RES SM 1210 56R </t>
  </si>
  <si>
    <t>62R/1210</t>
  </si>
  <si>
    <t xml:space="preserve">RES SM 1210 62R </t>
  </si>
  <si>
    <t>68R/1210</t>
  </si>
  <si>
    <t xml:space="preserve">RES SM 1210 68R </t>
  </si>
  <si>
    <t>75R/1210</t>
  </si>
  <si>
    <t xml:space="preserve">RES SM 1210 75R </t>
  </si>
  <si>
    <t>82R/1210</t>
  </si>
  <si>
    <t xml:space="preserve">RES SM 1210 82R </t>
  </si>
  <si>
    <t>91R/1210</t>
  </si>
  <si>
    <t xml:space="preserve">RES SM 1210 91R </t>
  </si>
  <si>
    <t>100R/1210</t>
  </si>
  <si>
    <t xml:space="preserve">RES SM 1210 100R </t>
  </si>
  <si>
    <t>110R/1210</t>
  </si>
  <si>
    <t xml:space="preserve">RES SM 1210 110R </t>
  </si>
  <si>
    <t>120R/1210</t>
  </si>
  <si>
    <t xml:space="preserve">RES SM 1210 120R </t>
  </si>
  <si>
    <t>130R/1210</t>
  </si>
  <si>
    <t xml:space="preserve">RES SM 1210 130R </t>
  </si>
  <si>
    <t>150R/1210</t>
  </si>
  <si>
    <t xml:space="preserve">RES SM 1210 150R </t>
  </si>
  <si>
    <t>160R/1210</t>
  </si>
  <si>
    <t xml:space="preserve">RES SM 1210 160R </t>
  </si>
  <si>
    <t>180R/1210</t>
  </si>
  <si>
    <t xml:space="preserve">RES SM 1210 180R </t>
  </si>
  <si>
    <t>200R/1210</t>
  </si>
  <si>
    <t xml:space="preserve">RES SM 1210 200R </t>
  </si>
  <si>
    <t>220R/1210</t>
  </si>
  <si>
    <t xml:space="preserve">RES SM 1210 220R </t>
  </si>
  <si>
    <t>240R/1210</t>
  </si>
  <si>
    <t xml:space="preserve">RES SM 1210 240R </t>
  </si>
  <si>
    <t>270R/1210</t>
  </si>
  <si>
    <t xml:space="preserve">RES SM 1210 270R </t>
  </si>
  <si>
    <t>300R/1210</t>
  </si>
  <si>
    <t xml:space="preserve">RES SM 1210 300R </t>
  </si>
  <si>
    <t>330R/1210</t>
  </si>
  <si>
    <t xml:space="preserve">RES SM 1210 330R </t>
  </si>
  <si>
    <t>360R/1210</t>
  </si>
  <si>
    <t xml:space="preserve">RES SM 1210 360R </t>
  </si>
  <si>
    <t>390R/1210</t>
  </si>
  <si>
    <t xml:space="preserve">RES SM 1210 390R </t>
  </si>
  <si>
    <t>430R/1210</t>
  </si>
  <si>
    <t xml:space="preserve">RES SM 1210 430R </t>
  </si>
  <si>
    <t>470R/1210</t>
  </si>
  <si>
    <t xml:space="preserve">RES SM 1210 470R </t>
  </si>
  <si>
    <t>510R/1210</t>
  </si>
  <si>
    <t xml:space="preserve">RES SM 1210 510R </t>
  </si>
  <si>
    <t>560R/1210</t>
  </si>
  <si>
    <t xml:space="preserve">RES SM 1210 560R </t>
  </si>
  <si>
    <t>620R/1210</t>
  </si>
  <si>
    <t xml:space="preserve">RES SM 1210 620R </t>
  </si>
  <si>
    <t>680R/1210</t>
  </si>
  <si>
    <t xml:space="preserve">RES SM 1210 680R </t>
  </si>
  <si>
    <t>750R/1210</t>
  </si>
  <si>
    <t xml:space="preserve">RES SM 1210 750R </t>
  </si>
  <si>
    <t>820R/1210</t>
  </si>
  <si>
    <t xml:space="preserve">RES SM 1210 820R </t>
  </si>
  <si>
    <t>910R/1210</t>
  </si>
  <si>
    <t xml:space="preserve">RES SM 1210 910R </t>
  </si>
  <si>
    <t>1K/1210</t>
  </si>
  <si>
    <t xml:space="preserve">RES SM 1210 1K </t>
  </si>
  <si>
    <t>1K1/1210</t>
  </si>
  <si>
    <t xml:space="preserve">RES SM 1210 1K1 </t>
  </si>
  <si>
    <t>1K2/1210</t>
  </si>
  <si>
    <t xml:space="preserve">RES SM 1210 1K2 </t>
  </si>
  <si>
    <t>1K3/1210</t>
  </si>
  <si>
    <t xml:space="preserve">RES SM 1210 1K3 </t>
  </si>
  <si>
    <t>1K5/1210</t>
  </si>
  <si>
    <t xml:space="preserve">RES SM 1210 1K5 </t>
  </si>
  <si>
    <t>1K6/1210</t>
  </si>
  <si>
    <t xml:space="preserve">RES SM 1210 1K6 </t>
  </si>
  <si>
    <t>1K8/1210</t>
  </si>
  <si>
    <t xml:space="preserve">RES SM 1210 1K8 </t>
  </si>
  <si>
    <t>2K/1210</t>
  </si>
  <si>
    <t xml:space="preserve">RES SM 1210 2K </t>
  </si>
  <si>
    <t>2K2/1210</t>
  </si>
  <si>
    <t xml:space="preserve">RES SM 1210 2K2 </t>
  </si>
  <si>
    <t>2K4/1210</t>
  </si>
  <si>
    <t xml:space="preserve">RES SM 1210 2K4 </t>
  </si>
  <si>
    <t>2K7/1210</t>
  </si>
  <si>
    <t xml:space="preserve">RES SM 1210 2K7 </t>
  </si>
  <si>
    <t>3K/1210</t>
  </si>
  <si>
    <t xml:space="preserve">RES SM 1210 3K </t>
  </si>
  <si>
    <t>3K3/1210</t>
  </si>
  <si>
    <t xml:space="preserve">RES SM 1210 3K3 </t>
  </si>
  <si>
    <t>3K6/1210</t>
  </si>
  <si>
    <t xml:space="preserve">RES SM 1210 3K6 </t>
  </si>
  <si>
    <t>3K9/1210</t>
  </si>
  <si>
    <t xml:space="preserve">RES SM 1210 3K9 </t>
  </si>
  <si>
    <t>4K3/1210</t>
  </si>
  <si>
    <t xml:space="preserve">RES SM 1210 4K3 </t>
  </si>
  <si>
    <t>4K7/1210</t>
  </si>
  <si>
    <t xml:space="preserve">RES SM 1210 4K7 </t>
  </si>
  <si>
    <t>5K1/1210</t>
  </si>
  <si>
    <t xml:space="preserve">RES SM 1210 5K1 </t>
  </si>
  <si>
    <t>5K6/1210</t>
  </si>
  <si>
    <t xml:space="preserve">RES SM 1210 5K6 </t>
  </si>
  <si>
    <t>6K2/1210</t>
  </si>
  <si>
    <t xml:space="preserve">RES SM 1210 6K2 </t>
  </si>
  <si>
    <t>6K8/1210</t>
  </si>
  <si>
    <t xml:space="preserve">RES SM 1210 6K8 </t>
  </si>
  <si>
    <t>7K5/1210</t>
  </si>
  <si>
    <t xml:space="preserve">RES SM 1210 7K5 </t>
  </si>
  <si>
    <t>8K2/1210</t>
  </si>
  <si>
    <t xml:space="preserve">RES SM 1210 8K2 </t>
  </si>
  <si>
    <t>9K1/1210</t>
  </si>
  <si>
    <t xml:space="preserve">RES SM 1210 9K1 </t>
  </si>
  <si>
    <t>10K/1210</t>
  </si>
  <si>
    <t xml:space="preserve">RES SM 1210 10K </t>
  </si>
  <si>
    <t>11K/1210</t>
  </si>
  <si>
    <t xml:space="preserve">RES SM 1210 11K </t>
  </si>
  <si>
    <t>12K/1210</t>
  </si>
  <si>
    <t xml:space="preserve">RES SM 1210 12K </t>
  </si>
  <si>
    <t>13K/1210</t>
  </si>
  <si>
    <t xml:space="preserve">RES SM 1210 13K </t>
  </si>
  <si>
    <t>15K/1210</t>
  </si>
  <si>
    <t xml:space="preserve">RES SM 1210 15K </t>
  </si>
  <si>
    <t>16K/1210</t>
  </si>
  <si>
    <t xml:space="preserve">RES SM 1210 16K </t>
  </si>
  <si>
    <t>18K/1210</t>
  </si>
  <si>
    <t xml:space="preserve">RES SM 1210 18K </t>
  </si>
  <si>
    <t>20K/1210</t>
  </si>
  <si>
    <t xml:space="preserve">RES SM 1210 20K </t>
  </si>
  <si>
    <t>22K/1210</t>
  </si>
  <si>
    <t xml:space="preserve">RES SM 1210 22K </t>
  </si>
  <si>
    <t>24K/1210</t>
  </si>
  <si>
    <t xml:space="preserve">RES SM 1210 24K </t>
  </si>
  <si>
    <t>27K/1210</t>
  </si>
  <si>
    <t xml:space="preserve">RES SM 1210 27K </t>
  </si>
  <si>
    <t>30K/1210</t>
  </si>
  <si>
    <t xml:space="preserve">RES SM 1210 30K </t>
  </si>
  <si>
    <t>33K/1210</t>
  </si>
  <si>
    <t xml:space="preserve">RES SM 1210 33K </t>
  </si>
  <si>
    <t>36K/1210</t>
  </si>
  <si>
    <t xml:space="preserve">RES SM 1210 36K </t>
  </si>
  <si>
    <t>39K/1210</t>
  </si>
  <si>
    <t xml:space="preserve">RES SM 1210 39K </t>
  </si>
  <si>
    <t>43K/1210</t>
  </si>
  <si>
    <t xml:space="preserve">RES SM 1210 43K </t>
  </si>
  <si>
    <t>47K/1210</t>
  </si>
  <si>
    <t xml:space="preserve">RES SM 1210 47K </t>
  </si>
  <si>
    <t>51K/1210</t>
  </si>
  <si>
    <t xml:space="preserve">RES SM 1210 51K </t>
  </si>
  <si>
    <t>56K/1210</t>
  </si>
  <si>
    <t xml:space="preserve">RES SM 1210 56K </t>
  </si>
  <si>
    <t>62K/1210</t>
  </si>
  <si>
    <t xml:space="preserve">RES SM 1210 62K </t>
  </si>
  <si>
    <t>68K/1210</t>
  </si>
  <si>
    <t xml:space="preserve">RES SM 1210 68K </t>
  </si>
  <si>
    <t>75K/1210</t>
  </si>
  <si>
    <t xml:space="preserve">RES SM 1210 75K </t>
  </si>
  <si>
    <t>82K/1210</t>
  </si>
  <si>
    <t xml:space="preserve">RES SM 1210 82K </t>
  </si>
  <si>
    <t>91K/1210</t>
  </si>
  <si>
    <t xml:space="preserve">RES SM 1210 91K </t>
  </si>
  <si>
    <t>100K/1210</t>
  </si>
  <si>
    <t xml:space="preserve">RES SM 1210 100K </t>
  </si>
  <si>
    <t>110K/1210</t>
  </si>
  <si>
    <t xml:space="preserve">RES SM 1210 110K </t>
  </si>
  <si>
    <t>120K/1210</t>
  </si>
  <si>
    <t xml:space="preserve">RES SM 1210 120K </t>
  </si>
  <si>
    <t>130K/1210</t>
  </si>
  <si>
    <t xml:space="preserve">RES SM 1210 130K </t>
  </si>
  <si>
    <t>150K/1210</t>
  </si>
  <si>
    <t xml:space="preserve">RES SM 1210 150K </t>
  </si>
  <si>
    <t>160K/1210</t>
  </si>
  <si>
    <t xml:space="preserve">RES SM 1210 160K </t>
  </si>
  <si>
    <t>180K/1210</t>
  </si>
  <si>
    <t xml:space="preserve">RES SM 1210 180K </t>
  </si>
  <si>
    <t>200K/1210</t>
  </si>
  <si>
    <t xml:space="preserve">RES SM 1210 200K </t>
  </si>
  <si>
    <t>220K/1210</t>
  </si>
  <si>
    <t xml:space="preserve">RES SM 1210 220K </t>
  </si>
  <si>
    <t>240K/1210</t>
  </si>
  <si>
    <t xml:space="preserve">RES SM 1210 240K </t>
  </si>
  <si>
    <t>270K/1210</t>
  </si>
  <si>
    <t xml:space="preserve">RES SM 1210 270K </t>
  </si>
  <si>
    <t>300K/1210</t>
  </si>
  <si>
    <t xml:space="preserve">RES SM 1210 300K </t>
  </si>
  <si>
    <t>330K/1210</t>
  </si>
  <si>
    <t>RES SM 1210 330K</t>
  </si>
  <si>
    <t>360K/1210</t>
  </si>
  <si>
    <t xml:space="preserve">RES SM 1210 360K </t>
  </si>
  <si>
    <t>390K/1210</t>
  </si>
  <si>
    <t xml:space="preserve">RES SM 1210 390K </t>
  </si>
  <si>
    <t>430K/1210</t>
  </si>
  <si>
    <t xml:space="preserve">RES SM 1210 430K </t>
  </si>
  <si>
    <t>470K/1210</t>
  </si>
  <si>
    <t xml:space="preserve">RES SM 1210 470K </t>
  </si>
  <si>
    <t>510K/1210</t>
  </si>
  <si>
    <t xml:space="preserve">RES SM 1210 510K </t>
  </si>
  <si>
    <t>560K/1210</t>
  </si>
  <si>
    <t xml:space="preserve">RES SM 1210 560K </t>
  </si>
  <si>
    <t>620K/1210</t>
  </si>
  <si>
    <t xml:space="preserve">RES SM 1210 620K </t>
  </si>
  <si>
    <t>680K/1210</t>
  </si>
  <si>
    <t xml:space="preserve">RES SM 1210 680K </t>
  </si>
  <si>
    <t>750K/1210</t>
  </si>
  <si>
    <t xml:space="preserve">RES SM 1210 750K </t>
  </si>
  <si>
    <t>820K/1210</t>
  </si>
  <si>
    <t xml:space="preserve">RES SM 1210 820K </t>
  </si>
  <si>
    <t>910K/1210</t>
  </si>
  <si>
    <t xml:space="preserve">RES SM 1210 910K </t>
  </si>
  <si>
    <t>1M/1210</t>
  </si>
  <si>
    <t xml:space="preserve">RES SM 1210 1M </t>
  </si>
  <si>
    <t>1M1/1210</t>
  </si>
  <si>
    <t xml:space="preserve">RES SM 1210 1M1 </t>
  </si>
  <si>
    <t>1M2/1210</t>
  </si>
  <si>
    <t xml:space="preserve">RES SM 1210 1M2 </t>
  </si>
  <si>
    <t>1M3/1210</t>
  </si>
  <si>
    <t xml:space="preserve">RES SM 1210 1M3 </t>
  </si>
  <si>
    <t>1M5/1210</t>
  </si>
  <si>
    <t xml:space="preserve">RES SM 1210 1M5 </t>
  </si>
  <si>
    <t>1M6/1210</t>
  </si>
  <si>
    <t xml:space="preserve">RES SM 1210 1M6 </t>
  </si>
  <si>
    <t>1M8/1210</t>
  </si>
  <si>
    <t xml:space="preserve">RES SM 1210 1M8 </t>
  </si>
  <si>
    <t>2M/1210</t>
  </si>
  <si>
    <t xml:space="preserve">RES SM 1210 2M </t>
  </si>
  <si>
    <t>2M2/1210</t>
  </si>
  <si>
    <t xml:space="preserve">RES SM 1210 2M2 </t>
  </si>
  <si>
    <t>2M4/1210</t>
  </si>
  <si>
    <t xml:space="preserve">RES SM 1210 2M4 </t>
  </si>
  <si>
    <t>2M7/1210</t>
  </si>
  <si>
    <t xml:space="preserve">RES SM 1210 2M7 </t>
  </si>
  <si>
    <t>3M/1210</t>
  </si>
  <si>
    <t xml:space="preserve">RES SM 1210 3M </t>
  </si>
  <si>
    <t>3M3/1210</t>
  </si>
  <si>
    <t xml:space="preserve">RES SM 1210 3M3 </t>
  </si>
  <si>
    <t>3M6/1210</t>
  </si>
  <si>
    <t xml:space="preserve">RES SM 1210 3M6 </t>
  </si>
  <si>
    <t>3M9/1210</t>
  </si>
  <si>
    <t xml:space="preserve">RES SM 1210 3M9 </t>
  </si>
  <si>
    <t>4M3/1210</t>
  </si>
  <si>
    <t xml:space="preserve">RES SM 1210 4M3 </t>
  </si>
  <si>
    <t>4M7/1210</t>
  </si>
  <si>
    <t xml:space="preserve">RES SM 1210 4M7 </t>
  </si>
  <si>
    <t>5M1/1210</t>
  </si>
  <si>
    <t xml:space="preserve">RES SM 1210 5M1 </t>
  </si>
  <si>
    <t>5M6/1210</t>
  </si>
  <si>
    <t xml:space="preserve">RES SM 1210 5M6 </t>
  </si>
  <si>
    <t>6M2/1210</t>
  </si>
  <si>
    <t xml:space="preserve">RES SM 1210 6M2 </t>
  </si>
  <si>
    <t>6M8/1210</t>
  </si>
  <si>
    <t xml:space="preserve">RES SM 1210 6M8 </t>
  </si>
  <si>
    <t>7M5/1210</t>
  </si>
  <si>
    <t xml:space="preserve">RES SM 1210 7M5 </t>
  </si>
  <si>
    <t>8M2/1210</t>
  </si>
  <si>
    <t xml:space="preserve">RES SM 1210 8M2 </t>
  </si>
  <si>
    <t>9M1/1210</t>
  </si>
  <si>
    <t xml:space="preserve">RES SM 1210 9M1 </t>
  </si>
  <si>
    <t>10M/1210</t>
  </si>
  <si>
    <t xml:space="preserve">RES SM 1210 10M </t>
  </si>
  <si>
    <t>0R/2512</t>
  </si>
  <si>
    <t>RES SM 2512 0R</t>
  </si>
  <si>
    <t>1R/2512</t>
  </si>
  <si>
    <t xml:space="preserve">RES SM 2512 1R </t>
  </si>
  <si>
    <t>1R1/2512</t>
  </si>
  <si>
    <t xml:space="preserve">RES SM 2512 1R1 </t>
  </si>
  <si>
    <t>1R2/2512</t>
  </si>
  <si>
    <t xml:space="preserve">RES SM 2512 1R2 </t>
  </si>
  <si>
    <t>1R3/2512</t>
  </si>
  <si>
    <t xml:space="preserve">RES SM 2512 1R3 </t>
  </si>
  <si>
    <t>1R5/2512</t>
  </si>
  <si>
    <t xml:space="preserve">RES SM 2512 1R5 </t>
  </si>
  <si>
    <t>1R6/2512</t>
  </si>
  <si>
    <t xml:space="preserve">RES SM 2512 1R6 </t>
  </si>
  <si>
    <t>1R8/2512</t>
  </si>
  <si>
    <t xml:space="preserve">RES SM 2512 1R8 </t>
  </si>
  <si>
    <t>2R/2512</t>
  </si>
  <si>
    <t xml:space="preserve">RES SM 2512 2R </t>
  </si>
  <si>
    <t>2R2/2512</t>
  </si>
  <si>
    <t xml:space="preserve">RES SM 2512 2R2 </t>
  </si>
  <si>
    <t>2R4/2512</t>
  </si>
  <si>
    <t xml:space="preserve">RES SM 2512 2R4 </t>
  </si>
  <si>
    <t>2R7/2512</t>
  </si>
  <si>
    <t xml:space="preserve">RES SM 2512 2R7 </t>
  </si>
  <si>
    <t>3R/2512</t>
  </si>
  <si>
    <t xml:space="preserve">RES SM 2512 3R </t>
  </si>
  <si>
    <t>3R3/2512</t>
  </si>
  <si>
    <t xml:space="preserve">RES SM 2512 3R3 </t>
  </si>
  <si>
    <t>3R6/2512</t>
  </si>
  <si>
    <t xml:space="preserve">RES SM 2512 3R6 </t>
  </si>
  <si>
    <t>3R9/2512</t>
  </si>
  <si>
    <t xml:space="preserve">RES SM 2512 3R9 </t>
  </si>
  <si>
    <t>4R3/2512</t>
  </si>
  <si>
    <t xml:space="preserve">RES SM 2512 4R3 </t>
  </si>
  <si>
    <t>4R7/2512</t>
  </si>
  <si>
    <t xml:space="preserve">RES SM 2512 4R7 </t>
  </si>
  <si>
    <t>5R1/2512</t>
  </si>
  <si>
    <t xml:space="preserve">RES SM 2512 5R1 </t>
  </si>
  <si>
    <t>5R6/2512</t>
  </si>
  <si>
    <t xml:space="preserve">RES SM 2512 5R6 </t>
  </si>
  <si>
    <t>6R2/2512</t>
  </si>
  <si>
    <t xml:space="preserve">RES SM 2512 6R2 </t>
  </si>
  <si>
    <t>6R8/2512</t>
  </si>
  <si>
    <t xml:space="preserve">RES SM 2512 6R8 </t>
  </si>
  <si>
    <t>7R5/2512</t>
  </si>
  <si>
    <t xml:space="preserve">RES SM 2512 7R5 </t>
  </si>
  <si>
    <t>8R2/2512</t>
  </si>
  <si>
    <t xml:space="preserve">RES SM 2512 8R2 </t>
  </si>
  <si>
    <t>9R1/2512</t>
  </si>
  <si>
    <t xml:space="preserve">RES SM 2512 9R1 </t>
  </si>
  <si>
    <t>10R/2512</t>
  </si>
  <si>
    <t xml:space="preserve">RES SM 2512 10R </t>
  </si>
  <si>
    <t>11R/2512</t>
  </si>
  <si>
    <t xml:space="preserve">RES SM 2512 11R </t>
  </si>
  <si>
    <t>12R/2512</t>
  </si>
  <si>
    <t xml:space="preserve">RES SM 2512 12R </t>
  </si>
  <si>
    <t>13R/2512</t>
  </si>
  <si>
    <t xml:space="preserve">RES SM 2512 13R </t>
  </si>
  <si>
    <t>15R/2512</t>
  </si>
  <si>
    <t xml:space="preserve">RES SM 2512 15R </t>
  </si>
  <si>
    <t>16R/2512</t>
  </si>
  <si>
    <t xml:space="preserve">RES SM 2512 16R </t>
  </si>
  <si>
    <t>18R/2512</t>
  </si>
  <si>
    <t xml:space="preserve">RES SM 2512 18R </t>
  </si>
  <si>
    <t>20R/2512</t>
  </si>
  <si>
    <t xml:space="preserve">RES SM 2512 20R </t>
  </si>
  <si>
    <t>22R/2512</t>
  </si>
  <si>
    <t xml:space="preserve">RES SM 2512 22R </t>
  </si>
  <si>
    <t>24R/2512</t>
  </si>
  <si>
    <t xml:space="preserve">RES SM 2512 24R </t>
  </si>
  <si>
    <t>27R/2512</t>
  </si>
  <si>
    <t xml:space="preserve">RES SM 2512 27R </t>
  </si>
  <si>
    <t>30R/2512</t>
  </si>
  <si>
    <t xml:space="preserve">RES SM 2512 30R </t>
  </si>
  <si>
    <t>33R/2512</t>
  </si>
  <si>
    <t xml:space="preserve">RES SM 2512 33R </t>
  </si>
  <si>
    <t>36R/2512</t>
  </si>
  <si>
    <t xml:space="preserve">RES SM 2512 36R </t>
  </si>
  <si>
    <t>39R/2512</t>
  </si>
  <si>
    <t xml:space="preserve">RES SM 2512 39R </t>
  </si>
  <si>
    <t>43R/2512</t>
  </si>
  <si>
    <t xml:space="preserve">RES SM 2512 43R </t>
  </si>
  <si>
    <t>47R/2512</t>
  </si>
  <si>
    <t xml:space="preserve">RES SM 2512 47R </t>
  </si>
  <si>
    <t>51R/2512</t>
  </si>
  <si>
    <t xml:space="preserve">RES SM 2512 51R </t>
  </si>
  <si>
    <t>56R/2512</t>
  </si>
  <si>
    <t xml:space="preserve">RES SM 2512 56R </t>
  </si>
  <si>
    <t>62R/2512</t>
  </si>
  <si>
    <t xml:space="preserve">RES SM 2512 62R </t>
  </si>
  <si>
    <t>68R/2512</t>
  </si>
  <si>
    <t xml:space="preserve">RES SM 2512 68R </t>
  </si>
  <si>
    <t>75R/2512</t>
  </si>
  <si>
    <t xml:space="preserve">RES SM 2512 75R </t>
  </si>
  <si>
    <t>82R/2512</t>
  </si>
  <si>
    <t xml:space="preserve">RES SM 2512 82R </t>
  </si>
  <si>
    <t>91R/2512</t>
  </si>
  <si>
    <t xml:space="preserve">RES SM 2512 91R </t>
  </si>
  <si>
    <t>100R/2512</t>
  </si>
  <si>
    <t xml:space="preserve">RES SM 2512 100R </t>
  </si>
  <si>
    <t>110R/2512</t>
  </si>
  <si>
    <t xml:space="preserve">RES SM 2512 110R </t>
  </si>
  <si>
    <t>120R/2512</t>
  </si>
  <si>
    <t xml:space="preserve">RES SM 2512 120R </t>
  </si>
  <si>
    <t>130R/2512</t>
  </si>
  <si>
    <t xml:space="preserve">RES SM 2512 130R </t>
  </si>
  <si>
    <t>150R/2512</t>
  </si>
  <si>
    <t xml:space="preserve">RES SM 2512 150R </t>
  </si>
  <si>
    <t>160R/2512</t>
  </si>
  <si>
    <t xml:space="preserve">RES SM 2512 160R </t>
  </si>
  <si>
    <t>180R/2512</t>
  </si>
  <si>
    <t xml:space="preserve">RES SM 2512 180R </t>
  </si>
  <si>
    <t>200R/2512</t>
  </si>
  <si>
    <t xml:space="preserve">RES SM 2512 200R </t>
  </si>
  <si>
    <t>220R/2512</t>
  </si>
  <si>
    <t xml:space="preserve">RES SM 2512 220R </t>
  </si>
  <si>
    <t>240R/2512</t>
  </si>
  <si>
    <t xml:space="preserve">RES SM 2512 240R </t>
  </si>
  <si>
    <t>270R/2512</t>
  </si>
  <si>
    <t xml:space="preserve">RES SM 2512 270R </t>
  </si>
  <si>
    <t>300R/2512</t>
  </si>
  <si>
    <t xml:space="preserve">RES SM 2512 300R </t>
  </si>
  <si>
    <t>330R/2512</t>
  </si>
  <si>
    <t xml:space="preserve">RES SM 2512 330R </t>
  </si>
  <si>
    <t>360R/2512</t>
  </si>
  <si>
    <t xml:space="preserve">RES SM 2512 360R </t>
  </si>
  <si>
    <t>390R/2512</t>
  </si>
  <si>
    <t xml:space="preserve">RES SM 2512 390R </t>
  </si>
  <si>
    <t>430R/2512</t>
  </si>
  <si>
    <t xml:space="preserve">RES SM 2512 430R </t>
  </si>
  <si>
    <t>470R/2512</t>
  </si>
  <si>
    <t xml:space="preserve">RES SM 2512 470R </t>
  </si>
  <si>
    <t>510R/2512</t>
  </si>
  <si>
    <t xml:space="preserve">RES SM 2512 510R </t>
  </si>
  <si>
    <t>560R/2512</t>
  </si>
  <si>
    <t xml:space="preserve">RES SM 2512 560R </t>
  </si>
  <si>
    <t>620R/2512</t>
  </si>
  <si>
    <t xml:space="preserve">RES SM 2512 620R </t>
  </si>
  <si>
    <t>680R/2512</t>
  </si>
  <si>
    <t xml:space="preserve">RES SM 2512 680R </t>
  </si>
  <si>
    <t>750R/2512</t>
  </si>
  <si>
    <t xml:space="preserve">RES SM 2512 750R </t>
  </si>
  <si>
    <t>820R/2512</t>
  </si>
  <si>
    <t xml:space="preserve">RES SM 2512 820R </t>
  </si>
  <si>
    <t>910R/2512</t>
  </si>
  <si>
    <t xml:space="preserve">RES SM 2512 910R </t>
  </si>
  <si>
    <t>1K/2512</t>
  </si>
  <si>
    <t xml:space="preserve">RES SM 2512 1K </t>
  </si>
  <si>
    <t>1K1/2512</t>
  </si>
  <si>
    <t xml:space="preserve">RES SM 2512 1K1 </t>
  </si>
  <si>
    <t>1K3/2512</t>
  </si>
  <si>
    <t xml:space="preserve">RES SM 2512 1K3 </t>
  </si>
  <si>
    <t>1K5/2512</t>
  </si>
  <si>
    <t xml:space="preserve">RES SM 2512 1K5 </t>
  </si>
  <si>
    <t>1K6/2512</t>
  </si>
  <si>
    <t xml:space="preserve">RES SM 2512 1K6 </t>
  </si>
  <si>
    <t>1K8/2512</t>
  </si>
  <si>
    <t xml:space="preserve">RES SM 2512 1K8 </t>
  </si>
  <si>
    <t>2K/2512</t>
  </si>
  <si>
    <t xml:space="preserve">RES SM 2512 2K </t>
  </si>
  <si>
    <t>2K2/2512</t>
  </si>
  <si>
    <t xml:space="preserve">RES SM 2512 2K2 </t>
  </si>
  <si>
    <t>2K4/2512</t>
  </si>
  <si>
    <t xml:space="preserve">RES SM 2512 2K4 </t>
  </si>
  <si>
    <t>2K7/2512</t>
  </si>
  <si>
    <t xml:space="preserve">RES SM 2512 2K7 </t>
  </si>
  <si>
    <t>3K/2512</t>
  </si>
  <si>
    <t xml:space="preserve">RES SM 2512 3K </t>
  </si>
  <si>
    <t>3K3/2512</t>
  </si>
  <si>
    <t xml:space="preserve">RES SM 2512 3K3 </t>
  </si>
  <si>
    <t>3K6/2512</t>
  </si>
  <si>
    <t xml:space="preserve">RES SM 2512 3K6 </t>
  </si>
  <si>
    <t>3K9/2512</t>
  </si>
  <si>
    <t xml:space="preserve">RES SM 2512 3K9 </t>
  </si>
  <si>
    <t>4K3/2512</t>
  </si>
  <si>
    <t xml:space="preserve">RES SM 2512 4K3 </t>
  </si>
  <si>
    <t>4K7/2512</t>
  </si>
  <si>
    <t xml:space="preserve">RES SM 2512 4K7 </t>
  </si>
  <si>
    <t>5K1/2512</t>
  </si>
  <si>
    <t xml:space="preserve">RES SM 2512 5K1 </t>
  </si>
  <si>
    <t>5K6/2512</t>
  </si>
  <si>
    <t xml:space="preserve">RES SM 2512 5K6 </t>
  </si>
  <si>
    <t>6K2/2512</t>
  </si>
  <si>
    <t xml:space="preserve">RES SM 2512 6K2 </t>
  </si>
  <si>
    <t>6K8/2512</t>
  </si>
  <si>
    <t xml:space="preserve">RES SM 2512 6K8 </t>
  </si>
  <si>
    <t>7K5/2512</t>
  </si>
  <si>
    <t xml:space="preserve">RES SM 2512 7K5 </t>
  </si>
  <si>
    <t>8K2/2512</t>
  </si>
  <si>
    <t xml:space="preserve">RES SM 2512 8K2 </t>
  </si>
  <si>
    <t>9K1/2512</t>
  </si>
  <si>
    <t xml:space="preserve">RES SM 2512 9K1 </t>
  </si>
  <si>
    <t>10K/2512</t>
  </si>
  <si>
    <t xml:space="preserve">RES SM 2512 10K </t>
  </si>
  <si>
    <t>11K/2512</t>
  </si>
  <si>
    <t xml:space="preserve">RES SM 2512 11K </t>
  </si>
  <si>
    <t>12K/2512</t>
  </si>
  <si>
    <t xml:space="preserve">RES SM 2512 12K </t>
  </si>
  <si>
    <t>13K/2512</t>
  </si>
  <si>
    <t xml:space="preserve">RES SM 2512 13K </t>
  </si>
  <si>
    <t>15K/2512</t>
  </si>
  <si>
    <t xml:space="preserve">RES SM 2512 15K </t>
  </si>
  <si>
    <t>16K/2512</t>
  </si>
  <si>
    <t xml:space="preserve">RES SM 2512 16K </t>
  </si>
  <si>
    <t>18K/2512</t>
  </si>
  <si>
    <t xml:space="preserve">RES SM 2512 18K </t>
  </si>
  <si>
    <t>20K/2512</t>
  </si>
  <si>
    <t xml:space="preserve">RES SM 2512 20K </t>
  </si>
  <si>
    <t>22K/2512</t>
  </si>
  <si>
    <t xml:space="preserve">RES SM 2512 22K </t>
  </si>
  <si>
    <t>24K/2512</t>
  </si>
  <si>
    <t xml:space="preserve">RES SM 2512 24K </t>
  </si>
  <si>
    <t>27K/2512</t>
  </si>
  <si>
    <t xml:space="preserve">RES SM 2512 27K </t>
  </si>
  <si>
    <t>30K/2512</t>
  </si>
  <si>
    <t xml:space="preserve">RES SM 2512 30K </t>
  </si>
  <si>
    <t>33K/2512</t>
  </si>
  <si>
    <t xml:space="preserve">RES SM 2512 33K </t>
  </si>
  <si>
    <t>36K/2512</t>
  </si>
  <si>
    <t xml:space="preserve">RES SM 2512 36K </t>
  </si>
  <si>
    <t>39K/2512</t>
  </si>
  <si>
    <t xml:space="preserve">RES SM 2512 39K </t>
  </si>
  <si>
    <t>43K/2512</t>
  </si>
  <si>
    <t xml:space="preserve">RES SM 2512 43K </t>
  </si>
  <si>
    <t>47K/2512</t>
  </si>
  <si>
    <t xml:space="preserve">RES SM 2512 47K </t>
  </si>
  <si>
    <t>51K/2512</t>
  </si>
  <si>
    <t xml:space="preserve">RES SM 2512 51K </t>
  </si>
  <si>
    <t>56K/2512</t>
  </si>
  <si>
    <t xml:space="preserve">RES SM 2512 56K </t>
  </si>
  <si>
    <t>62K/2512</t>
  </si>
  <si>
    <t xml:space="preserve">RES SM 2512 62K </t>
  </si>
  <si>
    <t>68K/2512</t>
  </si>
  <si>
    <t xml:space="preserve">RES SM 2512 68K </t>
  </si>
  <si>
    <t>75K/2512</t>
  </si>
  <si>
    <t xml:space="preserve">RES SM 2512 75K </t>
  </si>
  <si>
    <t>82K/2512</t>
  </si>
  <si>
    <t xml:space="preserve">RES SM 2512 82K </t>
  </si>
  <si>
    <t>91K/2512</t>
  </si>
  <si>
    <t xml:space="preserve">RES SM 2512 91K </t>
  </si>
  <si>
    <t>100K/2512</t>
  </si>
  <si>
    <t xml:space="preserve">RES SM 2512 100K </t>
  </si>
  <si>
    <t>110K/2512</t>
  </si>
  <si>
    <t xml:space="preserve">RES SM 2512 110K </t>
  </si>
  <si>
    <t>120K/2512</t>
  </si>
  <si>
    <t xml:space="preserve">RES SM 2512 120K </t>
  </si>
  <si>
    <t>130K/2512</t>
  </si>
  <si>
    <t xml:space="preserve">RES SM 2512 130K </t>
  </si>
  <si>
    <t>150K/2512</t>
  </si>
  <si>
    <t xml:space="preserve">RES SM 2512 150K </t>
  </si>
  <si>
    <t>160K/2512</t>
  </si>
  <si>
    <t xml:space="preserve">RES SM 2512 160K </t>
  </si>
  <si>
    <t>180K/2512</t>
  </si>
  <si>
    <t xml:space="preserve">RES SM 2512 180K </t>
  </si>
  <si>
    <t>200K/2512</t>
  </si>
  <si>
    <t xml:space="preserve">RES SM 2512 200K </t>
  </si>
  <si>
    <t>220K/2512</t>
  </si>
  <si>
    <t xml:space="preserve">RES SM 2512 220K </t>
  </si>
  <si>
    <t>240K/2512</t>
  </si>
  <si>
    <t xml:space="preserve">RES SM 2512 240K </t>
  </si>
  <si>
    <t>270K/2512</t>
  </si>
  <si>
    <t xml:space="preserve">RES SM 2512 270K </t>
  </si>
  <si>
    <t>300K/2512</t>
  </si>
  <si>
    <t xml:space="preserve">RES SM 2512 300K </t>
  </si>
  <si>
    <t>330K/2512</t>
  </si>
  <si>
    <t>RES SM 2512 330K</t>
  </si>
  <si>
    <t>360K/2512</t>
  </si>
  <si>
    <t xml:space="preserve">RES SM 2512 360K </t>
  </si>
  <si>
    <t>390K/2512</t>
  </si>
  <si>
    <t xml:space="preserve">RES SM 2512 390K </t>
  </si>
  <si>
    <t>430K/2512</t>
  </si>
  <si>
    <t xml:space="preserve">RES SM 2512 430K </t>
  </si>
  <si>
    <t>470K/2512</t>
  </si>
  <si>
    <t xml:space="preserve">RES SM 2512 470K </t>
  </si>
  <si>
    <t>510K/2512</t>
  </si>
  <si>
    <t xml:space="preserve">RES SM 2512 510K </t>
  </si>
  <si>
    <t>560K/2512</t>
  </si>
  <si>
    <t xml:space="preserve">RES SM 2512 560K </t>
  </si>
  <si>
    <t>620K/2512</t>
  </si>
  <si>
    <t xml:space="preserve">RES SM 2512 620K </t>
  </si>
  <si>
    <t>680K/2512</t>
  </si>
  <si>
    <t xml:space="preserve">RES SM 2512 680K </t>
  </si>
  <si>
    <t>750K/2512</t>
  </si>
  <si>
    <t xml:space="preserve">RES SM 2512 750K </t>
  </si>
  <si>
    <t>820K/2512</t>
  </si>
  <si>
    <t xml:space="preserve">RES SM 2512 820K </t>
  </si>
  <si>
    <t>910K/2512</t>
  </si>
  <si>
    <t xml:space="preserve">RES SM 2512 910K </t>
  </si>
  <si>
    <t>1M/2512</t>
  </si>
  <si>
    <t xml:space="preserve">RES SM 2512 1M </t>
  </si>
  <si>
    <t>1M1/2512</t>
  </si>
  <si>
    <t xml:space="preserve">RES SM 2512 1M1 </t>
  </si>
  <si>
    <t>1M2/2512</t>
  </si>
  <si>
    <t xml:space="preserve">RES SM 2512 1M2 </t>
  </si>
  <si>
    <t>1M3/2512</t>
  </si>
  <si>
    <t xml:space="preserve">RES SM 2512 1M3 </t>
  </si>
  <si>
    <t>1M5/2512</t>
  </si>
  <si>
    <t xml:space="preserve">RES SM 2512 1M5 </t>
  </si>
  <si>
    <t>1M6/2512</t>
  </si>
  <si>
    <t xml:space="preserve">RES SM 2512 1M6 </t>
  </si>
  <si>
    <t>1M8/2512</t>
  </si>
  <si>
    <t xml:space="preserve">RES SM 2512 1M8 </t>
  </si>
  <si>
    <t>2M/2512</t>
  </si>
  <si>
    <t xml:space="preserve">RES SM 2512 2M </t>
  </si>
  <si>
    <t>2M2/2512</t>
  </si>
  <si>
    <t xml:space="preserve">RES SM 2512 2M2 </t>
  </si>
  <si>
    <t>2M4/2512</t>
  </si>
  <si>
    <t xml:space="preserve">RES SM 2512 2M4 </t>
  </si>
  <si>
    <t>2M7/2512</t>
  </si>
  <si>
    <t xml:space="preserve">RES SM 2512 2M7 </t>
  </si>
  <si>
    <t>3M/2512</t>
  </si>
  <si>
    <t xml:space="preserve">RES SM 2512 3M </t>
  </si>
  <si>
    <t>3M3/2512</t>
  </si>
  <si>
    <t xml:space="preserve">RES SM 2512 3M3 </t>
  </si>
  <si>
    <t>3M6/2512</t>
  </si>
  <si>
    <t xml:space="preserve">RES SM 2512 3M6 </t>
  </si>
  <si>
    <t>3M9/2512</t>
  </si>
  <si>
    <t xml:space="preserve">RES SM 2512 3M9 </t>
  </si>
  <si>
    <t>4M3/2512</t>
  </si>
  <si>
    <t xml:space="preserve">RES SM 2512 4M3 </t>
  </si>
  <si>
    <t>4M7/2512</t>
  </si>
  <si>
    <t xml:space="preserve">RES SM 2512 4M7 </t>
  </si>
  <si>
    <t>5M1/2512</t>
  </si>
  <si>
    <t xml:space="preserve">RES SM 2512 5M1 </t>
  </si>
  <si>
    <t>5M6/2512</t>
  </si>
  <si>
    <t xml:space="preserve">RES SM 2512 5M6 </t>
  </si>
  <si>
    <t>6M2/2512</t>
  </si>
  <si>
    <t xml:space="preserve">RES SM 2512 6M2 </t>
  </si>
  <si>
    <t>6M8/2512</t>
  </si>
  <si>
    <t xml:space="preserve">RES SM 2512 6M8 </t>
  </si>
  <si>
    <t>7M5/2512</t>
  </si>
  <si>
    <t xml:space="preserve">RES SM 2512 7M5 </t>
  </si>
  <si>
    <t>8M2/2512</t>
  </si>
  <si>
    <t xml:space="preserve">RES SM 2512 8M2 </t>
  </si>
  <si>
    <t>9M1/2512</t>
  </si>
  <si>
    <t xml:space="preserve">RES SM 2512 9M1 </t>
  </si>
  <si>
    <t>10M/2512</t>
  </si>
  <si>
    <t xml:space="preserve">RES SM 2512 10M </t>
  </si>
  <si>
    <t>0R/2010</t>
  </si>
  <si>
    <t>RES SM 2010 0R</t>
  </si>
  <si>
    <t>1R/2010</t>
  </si>
  <si>
    <t xml:space="preserve">RES SM 2010 1R </t>
  </si>
  <si>
    <t>1R1/2010</t>
  </si>
  <si>
    <t xml:space="preserve">RES SM 2010 1R1 </t>
  </si>
  <si>
    <t>1R2/2010</t>
  </si>
  <si>
    <t xml:space="preserve">RES SM 2010 1R2 </t>
  </si>
  <si>
    <t>1R3/2010</t>
  </si>
  <si>
    <t xml:space="preserve">RES SM 2010 1R3 </t>
  </si>
  <si>
    <t>1R5/2010</t>
  </si>
  <si>
    <t xml:space="preserve">RES SM 2010 1R5 </t>
  </si>
  <si>
    <t>1R6/2010</t>
  </si>
  <si>
    <t xml:space="preserve">RES SM 2010 1R6 </t>
  </si>
  <si>
    <t>1R8/2010</t>
  </si>
  <si>
    <t xml:space="preserve">RES SM 2010 1R8 </t>
  </si>
  <si>
    <t>2R/2010</t>
  </si>
  <si>
    <t xml:space="preserve">RES SM 2010 2R </t>
  </si>
  <si>
    <t>2R2/2010</t>
  </si>
  <si>
    <t xml:space="preserve">RES SM 2010 2R2 </t>
  </si>
  <si>
    <t>2R4/2010</t>
  </si>
  <si>
    <t xml:space="preserve">RES SM 2010 2R4 </t>
  </si>
  <si>
    <t>2R7/2010</t>
  </si>
  <si>
    <t xml:space="preserve">RES SM 2010 2R7 </t>
  </si>
  <si>
    <t>3R/2010</t>
  </si>
  <si>
    <t xml:space="preserve">RES SM 2010 3R </t>
  </si>
  <si>
    <t>3R3/2010</t>
  </si>
  <si>
    <t xml:space="preserve">RES SM 2010 3R3 </t>
  </si>
  <si>
    <t>3R6/2010</t>
  </si>
  <si>
    <t xml:space="preserve">RES SM 2010 3R6 </t>
  </si>
  <si>
    <t>3R9/2010</t>
  </si>
  <si>
    <t xml:space="preserve">RES SM 2010 3R9 </t>
  </si>
  <si>
    <t>4R3/2010</t>
  </si>
  <si>
    <t xml:space="preserve">RES SM 2010 4R3 </t>
  </si>
  <si>
    <t>4R7/2010</t>
  </si>
  <si>
    <t xml:space="preserve">RES SM 2010 4R7 </t>
  </si>
  <si>
    <t>5R1/2010</t>
  </si>
  <si>
    <t xml:space="preserve">RES SM 2010 5R1 </t>
  </si>
  <si>
    <t>5R6/2010</t>
  </si>
  <si>
    <t xml:space="preserve">RES SM 2010 5R6 </t>
  </si>
  <si>
    <t>6R2/2010</t>
  </si>
  <si>
    <t xml:space="preserve">RES SM 2010 6R2 </t>
  </si>
  <si>
    <t>6R8/2010</t>
  </si>
  <si>
    <t xml:space="preserve">RES SM 2010 6R8 </t>
  </si>
  <si>
    <t>7R5/2010</t>
  </si>
  <si>
    <t xml:space="preserve">RES SM 2010 7R5 </t>
  </si>
  <si>
    <t>8R2/2010</t>
  </si>
  <si>
    <t xml:space="preserve">RES SM 2010 8R2 </t>
  </si>
  <si>
    <t>9R1/2010</t>
  </si>
  <si>
    <t xml:space="preserve">RES SM 2010 9R1 </t>
  </si>
  <si>
    <t>10R/2010</t>
  </si>
  <si>
    <t xml:space="preserve">RES SM 2010 10R </t>
  </si>
  <si>
    <t>11R/2010</t>
  </si>
  <si>
    <t xml:space="preserve">RES SM 2010 11R </t>
  </si>
  <si>
    <t>12R/2010</t>
  </si>
  <si>
    <t xml:space="preserve">RES SM 2010 12R </t>
  </si>
  <si>
    <t>13R/2010</t>
  </si>
  <si>
    <t xml:space="preserve">RES SM 2010 13R </t>
  </si>
  <si>
    <t>15R/2010</t>
  </si>
  <si>
    <t xml:space="preserve">RES SM 2010 15R </t>
  </si>
  <si>
    <t>16R/2010</t>
  </si>
  <si>
    <t xml:space="preserve">RES SM 2010 16R </t>
  </si>
  <si>
    <t>18R/2010</t>
  </si>
  <si>
    <t xml:space="preserve">RES SM 2010 18R </t>
  </si>
  <si>
    <t>20R/2010</t>
  </si>
  <si>
    <t xml:space="preserve">RES SM 2010 20R </t>
  </si>
  <si>
    <t>22R/2010</t>
  </si>
  <si>
    <t xml:space="preserve">RES SM 2010 22R </t>
  </si>
  <si>
    <t>24R/2010</t>
  </si>
  <si>
    <t xml:space="preserve">RES SM 2010 24R </t>
  </si>
  <si>
    <t>27R/2010</t>
  </si>
  <si>
    <t xml:space="preserve">RES SM 2010 27R </t>
  </si>
  <si>
    <t>30R/2010</t>
  </si>
  <si>
    <t xml:space="preserve">RES SM 2010 30R </t>
  </si>
  <si>
    <t>33R/2010</t>
  </si>
  <si>
    <t xml:space="preserve">RES SM 2010 33R </t>
  </si>
  <si>
    <t>36R/2010</t>
  </si>
  <si>
    <t xml:space="preserve">RES SM 2010 36R </t>
  </si>
  <si>
    <t>39R/2010</t>
  </si>
  <si>
    <t xml:space="preserve">RES SM 2010 39R </t>
  </si>
  <si>
    <t>43R/2010</t>
  </si>
  <si>
    <t xml:space="preserve">RES SM 2010 43R </t>
  </si>
  <si>
    <t>47R/2010</t>
  </si>
  <si>
    <t xml:space="preserve">RES SM 2010 47R </t>
  </si>
  <si>
    <t>51R/2010</t>
  </si>
  <si>
    <t xml:space="preserve">RES SM 2010 51R </t>
  </si>
  <si>
    <t>56R/2010</t>
  </si>
  <si>
    <t xml:space="preserve">RES SM 2010 56R </t>
  </si>
  <si>
    <t>62R/2010</t>
  </si>
  <si>
    <t xml:space="preserve">RES SM 2010 62R </t>
  </si>
  <si>
    <t>68R/2010</t>
  </si>
  <si>
    <t xml:space="preserve">RES SM 2010 68R </t>
  </si>
  <si>
    <t>75R/2010</t>
  </si>
  <si>
    <t xml:space="preserve">RES SM 2010 75R </t>
  </si>
  <si>
    <t>82R/2010</t>
  </si>
  <si>
    <t xml:space="preserve">RES SM 2010 82R </t>
  </si>
  <si>
    <t>91R/2010</t>
  </si>
  <si>
    <t xml:space="preserve">RES SM 2010 91R </t>
  </si>
  <si>
    <t>100R/2010</t>
  </si>
  <si>
    <t xml:space="preserve">RES SM 2010 100R </t>
  </si>
  <si>
    <t>110R/2010</t>
  </si>
  <si>
    <t xml:space="preserve">RES SM 2010 110R </t>
  </si>
  <si>
    <t>120R/2010</t>
  </si>
  <si>
    <t xml:space="preserve">RES SM 2010 120R </t>
  </si>
  <si>
    <t>130R/2010</t>
  </si>
  <si>
    <t xml:space="preserve">RES SM 2010 130R </t>
  </si>
  <si>
    <t>150R/2010</t>
  </si>
  <si>
    <t xml:space="preserve">RES SM 2010 150R </t>
  </si>
  <si>
    <t>160R/2010</t>
  </si>
  <si>
    <t xml:space="preserve">RES SM 2010 160R </t>
  </si>
  <si>
    <t>180R/2010</t>
  </si>
  <si>
    <t xml:space="preserve">RES SM 2010 180R </t>
  </si>
  <si>
    <t>200R/2010</t>
  </si>
  <si>
    <t xml:space="preserve">RES SM 2010 200R </t>
  </si>
  <si>
    <t>220R/2010</t>
  </si>
  <si>
    <t xml:space="preserve">RES SM 2010 220R </t>
  </si>
  <si>
    <t>240R/2010</t>
  </si>
  <si>
    <t xml:space="preserve">RES SM 2010 240R </t>
  </si>
  <si>
    <t>270R/2010</t>
  </si>
  <si>
    <t xml:space="preserve">RES SM 2010 270R </t>
  </si>
  <si>
    <t>300R/2010</t>
  </si>
  <si>
    <t xml:space="preserve">RES SM 2010 300R </t>
  </si>
  <si>
    <t>330R/2010</t>
  </si>
  <si>
    <t xml:space="preserve">RES SM 2010 330R </t>
  </si>
  <si>
    <t>360R/2010</t>
  </si>
  <si>
    <t xml:space="preserve">RES SM 2010 360R </t>
  </si>
  <si>
    <t>390R/2010</t>
  </si>
  <si>
    <t xml:space="preserve">RES SM 2010 390R </t>
  </si>
  <si>
    <t>430R/2010</t>
  </si>
  <si>
    <t xml:space="preserve">RES SM 2010 430R </t>
  </si>
  <si>
    <t>470R/2010</t>
  </si>
  <si>
    <t xml:space="preserve">RES SM 2010 470R </t>
  </si>
  <si>
    <t>510R/2010</t>
  </si>
  <si>
    <t xml:space="preserve">RES SM 2010 510R </t>
  </si>
  <si>
    <t>560R/2010</t>
  </si>
  <si>
    <t xml:space="preserve">RES SM 2010 560R </t>
  </si>
  <si>
    <t>620R/2010</t>
  </si>
  <si>
    <t xml:space="preserve">RES SM 2010 620R </t>
  </si>
  <si>
    <t>680R/2010</t>
  </si>
  <si>
    <t xml:space="preserve">RES SM 2010 680R </t>
  </si>
  <si>
    <t>750R/2010</t>
  </si>
  <si>
    <t xml:space="preserve">RES SM 2010 750R </t>
  </si>
  <si>
    <t>820R/2010</t>
  </si>
  <si>
    <t xml:space="preserve">RES SM 2010 820R </t>
  </si>
  <si>
    <t>910R/2010</t>
  </si>
  <si>
    <t xml:space="preserve">RES SM 2010 910R </t>
  </si>
  <si>
    <t>1K/2010</t>
  </si>
  <si>
    <t xml:space="preserve">RES SM 2010 1K </t>
  </si>
  <si>
    <t>1K1/2010</t>
  </si>
  <si>
    <t xml:space="preserve">RES SM 2010 1K1 </t>
  </si>
  <si>
    <t>1K2/2010</t>
  </si>
  <si>
    <t xml:space="preserve">RES SM 2010 1K2 </t>
  </si>
  <si>
    <t>1K3/2010</t>
  </si>
  <si>
    <t xml:space="preserve">RES SM 2010 1K3 </t>
  </si>
  <si>
    <t>1K5/2010</t>
  </si>
  <si>
    <t xml:space="preserve">RES SM 2010 1K5 </t>
  </si>
  <si>
    <t>1K6/2010</t>
  </si>
  <si>
    <t xml:space="preserve">RES SM 2010 1K6 </t>
  </si>
  <si>
    <t>1K8/2010</t>
  </si>
  <si>
    <t xml:space="preserve">RES SM 2010 1K8 </t>
  </si>
  <si>
    <t>2K/2010</t>
  </si>
  <si>
    <t xml:space="preserve">RES SM 2010 2K </t>
  </si>
  <si>
    <t>2K2/2010</t>
  </si>
  <si>
    <t xml:space="preserve">RES SM 2010 2K2 </t>
  </si>
  <si>
    <t>2K4/2010</t>
  </si>
  <si>
    <t xml:space="preserve">RES SM 2010 2K4 </t>
  </si>
  <si>
    <t>2K7/2010</t>
  </si>
  <si>
    <t xml:space="preserve">RES SM 2010 2K7 </t>
  </si>
  <si>
    <t>3K/2010</t>
  </si>
  <si>
    <t xml:space="preserve">RES SM 2010 3K </t>
  </si>
  <si>
    <t>3K3/2010</t>
  </si>
  <si>
    <t xml:space="preserve">RES SM 2010 3K3 </t>
  </si>
  <si>
    <t>3K6/2010</t>
  </si>
  <si>
    <t xml:space="preserve">RES SM 2010 3K6 </t>
  </si>
  <si>
    <t>3K9/2010</t>
  </si>
  <si>
    <t xml:space="preserve">RES SM 2010 3K9 </t>
  </si>
  <si>
    <t>4K3/2010</t>
  </si>
  <si>
    <t xml:space="preserve">RES SM 2010 4K3 </t>
  </si>
  <si>
    <t>4K7/2010</t>
  </si>
  <si>
    <t xml:space="preserve">RES SM 2010 4K7 </t>
  </si>
  <si>
    <t>5K1/2010</t>
  </si>
  <si>
    <t xml:space="preserve">RES SM 2010 5K1 </t>
  </si>
  <si>
    <t>5K6/2010</t>
  </si>
  <si>
    <t xml:space="preserve">RES SM 2010 5K6 </t>
  </si>
  <si>
    <t>6K2/2010</t>
  </si>
  <si>
    <t xml:space="preserve">RES SM 2010 6K2 </t>
  </si>
  <si>
    <t>6K8/2010</t>
  </si>
  <si>
    <t xml:space="preserve">RES SM 2010 6K8 </t>
  </si>
  <si>
    <t>7K5/2010</t>
  </si>
  <si>
    <t xml:space="preserve">RES SM 2010 7K5 </t>
  </si>
  <si>
    <t>8K2/2010</t>
  </si>
  <si>
    <t xml:space="preserve">RES SM 2010 8K2 </t>
  </si>
  <si>
    <t>9K1/2010</t>
  </si>
  <si>
    <t xml:space="preserve">RES SM 2010 9K1 </t>
  </si>
  <si>
    <t>10K/2010</t>
  </si>
  <si>
    <t xml:space="preserve">RES SM 2010 10K </t>
  </si>
  <si>
    <t>11K/2010</t>
  </si>
  <si>
    <t xml:space="preserve">RES SM 2010 11K </t>
  </si>
  <si>
    <t>12K/2010</t>
  </si>
  <si>
    <t xml:space="preserve">RES SM 2010 12K </t>
  </si>
  <si>
    <t>13K/2010</t>
  </si>
  <si>
    <t xml:space="preserve">RES SM 2010 13K </t>
  </si>
  <si>
    <t>15K/2010</t>
  </si>
  <si>
    <t xml:space="preserve">RES SM 2010 15K </t>
  </si>
  <si>
    <t>16K/2010</t>
  </si>
  <si>
    <t xml:space="preserve">RES SM 2010 16K </t>
  </si>
  <si>
    <t>18K/2010</t>
  </si>
  <si>
    <t xml:space="preserve">RES SM 2010 18K </t>
  </si>
  <si>
    <t>20K/2010</t>
  </si>
  <si>
    <t xml:space="preserve">RES SM 2010 20K </t>
  </si>
  <si>
    <t>22K/2010</t>
  </si>
  <si>
    <t xml:space="preserve">RES SM 2010 22K </t>
  </si>
  <si>
    <t>24K/2010</t>
  </si>
  <si>
    <t xml:space="preserve">RES SM 2010 24K </t>
  </si>
  <si>
    <t>27K/2010</t>
  </si>
  <si>
    <t xml:space="preserve">RES SM 2010 27K </t>
  </si>
  <si>
    <t>30K/2010</t>
  </si>
  <si>
    <t xml:space="preserve">RES SM 2010 30K </t>
  </si>
  <si>
    <t>33K/2010</t>
  </si>
  <si>
    <t xml:space="preserve">RES SM 2010 33K </t>
  </si>
  <si>
    <t>36K/2010</t>
  </si>
  <si>
    <t xml:space="preserve">RES SM 2010 36K </t>
  </si>
  <si>
    <t>39K/2010</t>
  </si>
  <si>
    <t xml:space="preserve">RES SM 2010 39K </t>
  </si>
  <si>
    <t>43K/2010</t>
  </si>
  <si>
    <t xml:space="preserve">RES SM 2010 43K </t>
  </si>
  <si>
    <t>47K/2010</t>
  </si>
  <si>
    <t xml:space="preserve">RES SM 2010 47K </t>
  </si>
  <si>
    <t>51K/2010</t>
  </si>
  <si>
    <t xml:space="preserve">RES SM 2010 51K </t>
  </si>
  <si>
    <t>56K/2010</t>
  </si>
  <si>
    <t xml:space="preserve">RES SM 2010 56K </t>
  </si>
  <si>
    <t>62K/2010</t>
  </si>
  <si>
    <t xml:space="preserve">RES SM 2010 62K </t>
  </si>
  <si>
    <t>68K/2010</t>
  </si>
  <si>
    <t xml:space="preserve">RES SM 2010 68K </t>
  </si>
  <si>
    <t>75K/2010</t>
  </si>
  <si>
    <t xml:space="preserve">RES SM 2010 75K </t>
  </si>
  <si>
    <t>82K/2010</t>
  </si>
  <si>
    <t xml:space="preserve">RES SM 2010 82K </t>
  </si>
  <si>
    <t>91K/2010</t>
  </si>
  <si>
    <t xml:space="preserve">RES SM 2010 91K </t>
  </si>
  <si>
    <t>100K/2010</t>
  </si>
  <si>
    <t xml:space="preserve">RES SM 2010 100K </t>
  </si>
  <si>
    <t>110K/2010</t>
  </si>
  <si>
    <t xml:space="preserve">RES SM 2010 110K </t>
  </si>
  <si>
    <t>120K/2010</t>
  </si>
  <si>
    <t xml:space="preserve">RES SM 2010 120K </t>
  </si>
  <si>
    <t>130K/2010</t>
  </si>
  <si>
    <t xml:space="preserve">RES SM 2010 130K </t>
  </si>
  <si>
    <t>150K/2010</t>
  </si>
  <si>
    <t xml:space="preserve">RES SM 2010 150K </t>
  </si>
  <si>
    <t>160K/2010</t>
  </si>
  <si>
    <t xml:space="preserve">RES SM 2010 160K </t>
  </si>
  <si>
    <t>180K/2010</t>
  </si>
  <si>
    <t xml:space="preserve">RES SM 2010 180K </t>
  </si>
  <si>
    <t>200K/2010</t>
  </si>
  <si>
    <t xml:space="preserve">RES SM 2010 200K </t>
  </si>
  <si>
    <t>220K/2010</t>
  </si>
  <si>
    <t xml:space="preserve">RES SM 2010 220K </t>
  </si>
  <si>
    <t>240K/2010</t>
  </si>
  <si>
    <t xml:space="preserve">RES SM 2010 240K </t>
  </si>
  <si>
    <t>270K/2010</t>
  </si>
  <si>
    <t xml:space="preserve">RES SM 2010 270K </t>
  </si>
  <si>
    <t>300K/2010</t>
  </si>
  <si>
    <t xml:space="preserve">RES SM 2010 300K </t>
  </si>
  <si>
    <t>330K/2010</t>
  </si>
  <si>
    <t>RES SM 2010 330K</t>
  </si>
  <si>
    <t>360K/2010</t>
  </si>
  <si>
    <t xml:space="preserve">RES SM 2010 360K </t>
  </si>
  <si>
    <t>390K/2010</t>
  </si>
  <si>
    <t xml:space="preserve">RES SM 2010 390K </t>
  </si>
  <si>
    <t>430K/2010</t>
  </si>
  <si>
    <t xml:space="preserve">RES SM 2010 430K </t>
  </si>
  <si>
    <t>470K/2010</t>
  </si>
  <si>
    <t xml:space="preserve">RES SM 2010 470K </t>
  </si>
  <si>
    <t>510K/2010</t>
  </si>
  <si>
    <t xml:space="preserve">RES SM 2010 510K </t>
  </si>
  <si>
    <t>560K/2010</t>
  </si>
  <si>
    <t xml:space="preserve">RES SM 2010 560K </t>
  </si>
  <si>
    <t>620K/2010</t>
  </si>
  <si>
    <t xml:space="preserve">RES SM 2010 620K </t>
  </si>
  <si>
    <t>680K/2010</t>
  </si>
  <si>
    <t xml:space="preserve">RES SM 2010 680K </t>
  </si>
  <si>
    <t>750K/2010</t>
  </si>
  <si>
    <t xml:space="preserve">RES SM 2010 750K </t>
  </si>
  <si>
    <t>820K/2010</t>
  </si>
  <si>
    <t xml:space="preserve">RES SM 2010 820K </t>
  </si>
  <si>
    <t>910K/2010</t>
  </si>
  <si>
    <t xml:space="preserve">RES SM 2010 910K </t>
  </si>
  <si>
    <t>1M/2010</t>
  </si>
  <si>
    <t xml:space="preserve">RES SM 2010 1M </t>
  </si>
  <si>
    <t>1M1/2010</t>
  </si>
  <si>
    <t xml:space="preserve">RES SM 2010 1M1 </t>
  </si>
  <si>
    <t>1M2/2010</t>
  </si>
  <si>
    <t xml:space="preserve">RES SM 2010 1M2 </t>
  </si>
  <si>
    <t>1M3/2010</t>
  </si>
  <si>
    <t xml:space="preserve">RES SM 2010 1M3 </t>
  </si>
  <si>
    <t>1M5/2010</t>
  </si>
  <si>
    <t xml:space="preserve">RES SM 2010 1M5 </t>
  </si>
  <si>
    <t>1M6/2010</t>
  </si>
  <si>
    <t xml:space="preserve">RES SM 2010 1M6 </t>
  </si>
  <si>
    <t>1M8/2010</t>
  </si>
  <si>
    <t xml:space="preserve">RES SM 2010 1M8 </t>
  </si>
  <si>
    <t>2M/2010</t>
  </si>
  <si>
    <t xml:space="preserve">RES SM 2010 2M </t>
  </si>
  <si>
    <t>2M2/2010</t>
  </si>
  <si>
    <t xml:space="preserve">RES SM 2010 2M2 </t>
  </si>
  <si>
    <t>2M4/2010</t>
  </si>
  <si>
    <t xml:space="preserve">RES SM 2010 2M4 </t>
  </si>
  <si>
    <t>2M7/2010</t>
  </si>
  <si>
    <t xml:space="preserve">RES SM 2010 2M7 </t>
  </si>
  <si>
    <t>3M/2010</t>
  </si>
  <si>
    <t xml:space="preserve">RES SM 2010 3M </t>
  </si>
  <si>
    <t>3M3/2010</t>
  </si>
  <si>
    <t xml:space="preserve">RES SM 2010 3M3 </t>
  </si>
  <si>
    <t>3M6/2010</t>
  </si>
  <si>
    <t xml:space="preserve">RES SM 2010 3M6 </t>
  </si>
  <si>
    <t>3M9/2010</t>
  </si>
  <si>
    <t xml:space="preserve">RES SM 2010 3M9 </t>
  </si>
  <si>
    <t>4M3/2010</t>
  </si>
  <si>
    <t xml:space="preserve">RES SM 2010 4M3 </t>
  </si>
  <si>
    <t>4M7/2010</t>
  </si>
  <si>
    <t xml:space="preserve">RES SM 2010 4M7 </t>
  </si>
  <si>
    <t>5M1/2010</t>
  </si>
  <si>
    <t xml:space="preserve">RES SM 2010 5M1 </t>
  </si>
  <si>
    <t>5M6/2010</t>
  </si>
  <si>
    <t xml:space="preserve">RES SM 2010 5M6 </t>
  </si>
  <si>
    <t>6M2/2010</t>
  </si>
  <si>
    <t xml:space="preserve">RES SM 2010 6M2 </t>
  </si>
  <si>
    <t>6M8/2010</t>
  </si>
  <si>
    <t xml:space="preserve">RES SM 2010 6M8 </t>
  </si>
  <si>
    <t>7M5/2010</t>
  </si>
  <si>
    <t xml:space="preserve">RES SM 2010 7M5 </t>
  </si>
  <si>
    <t>8M2/2010</t>
  </si>
  <si>
    <t xml:space="preserve">RES SM 2010 8M2 </t>
  </si>
  <si>
    <t>9M1/2010</t>
  </si>
  <si>
    <t xml:space="preserve">RES SM 2010 9M1 </t>
  </si>
  <si>
    <t>10M/2010</t>
  </si>
  <si>
    <t xml:space="preserve">RES SM 2010 10M </t>
  </si>
  <si>
    <t>0R/1218</t>
  </si>
  <si>
    <t>RES SM 1218 0R</t>
  </si>
  <si>
    <t>1R/1218</t>
  </si>
  <si>
    <t xml:space="preserve">RES SM 1218 1R </t>
  </si>
  <si>
    <t>1R1/1218</t>
  </si>
  <si>
    <t xml:space="preserve">RES SM 1218 1R1 </t>
  </si>
  <si>
    <t>1R2/1218</t>
  </si>
  <si>
    <t xml:space="preserve">RES SM 1218 1R2 </t>
  </si>
  <si>
    <t>1R3/1218</t>
  </si>
  <si>
    <t xml:space="preserve">RES SM 1218 1R3 </t>
  </si>
  <si>
    <t>1R5/1218</t>
  </si>
  <si>
    <t xml:space="preserve">RES SM 1218 1R5 </t>
  </si>
  <si>
    <t>1R6/1218</t>
  </si>
  <si>
    <t xml:space="preserve">RES SM 1218 1R6 </t>
  </si>
  <si>
    <t>1R8/1218</t>
  </si>
  <si>
    <t xml:space="preserve">RES SM 1218 1R8 </t>
  </si>
  <si>
    <t>2R/1218</t>
  </si>
  <si>
    <t xml:space="preserve">RES SM 1218 2R </t>
  </si>
  <si>
    <t>2R2/1218</t>
  </si>
  <si>
    <t xml:space="preserve">RES SM 1218 2R2 </t>
  </si>
  <si>
    <t>2R4/1218</t>
  </si>
  <si>
    <t xml:space="preserve">RES SM 1218 2R4 </t>
  </si>
  <si>
    <t>2R7/1218</t>
  </si>
  <si>
    <t xml:space="preserve">RES SM 1218 2R7 </t>
  </si>
  <si>
    <t>3R/1218</t>
  </si>
  <si>
    <t xml:space="preserve">RES SM 1218 3R </t>
  </si>
  <si>
    <t>3R3/1218</t>
  </si>
  <si>
    <t xml:space="preserve">RES SM 1218 3R3 </t>
  </si>
  <si>
    <t>3R6/1218</t>
  </si>
  <si>
    <t xml:space="preserve">RES SM 1218 3R6 </t>
  </si>
  <si>
    <t>3R9/1218</t>
  </si>
  <si>
    <t xml:space="preserve">RES SM 1218 3R9 </t>
  </si>
  <si>
    <t>4R3/1218</t>
  </si>
  <si>
    <t xml:space="preserve">RES SM 1218 4R3 </t>
  </si>
  <si>
    <t>4R7/1218</t>
  </si>
  <si>
    <t xml:space="preserve">RES SM 1218 4R7 </t>
  </si>
  <si>
    <t>5R1/1218</t>
  </si>
  <si>
    <t xml:space="preserve">RES SM 1218 5R1 </t>
  </si>
  <si>
    <t>5R6/1218</t>
  </si>
  <si>
    <t xml:space="preserve">RES SM 1218 5R6 </t>
  </si>
  <si>
    <t>6R2/1218</t>
  </si>
  <si>
    <t xml:space="preserve">RES SM 1218 6R2 </t>
  </si>
  <si>
    <t>6R8/1218</t>
  </si>
  <si>
    <t xml:space="preserve">RES SM 1218 6R8 </t>
  </si>
  <si>
    <t>7R5/1218</t>
  </si>
  <si>
    <t xml:space="preserve">RES SM 1218 7R5 </t>
  </si>
  <si>
    <t>8R2/1218</t>
  </si>
  <si>
    <t xml:space="preserve">RES SM 1218 8R2 </t>
  </si>
  <si>
    <t>9R1/1218</t>
  </si>
  <si>
    <t xml:space="preserve">RES SM 1218 9R1 </t>
  </si>
  <si>
    <t>10R/1218</t>
  </si>
  <si>
    <t xml:space="preserve">RES SM 1218 10R </t>
  </si>
  <si>
    <t>11R/1218</t>
  </si>
  <si>
    <t xml:space="preserve">RES SM 1218 11R </t>
  </si>
  <si>
    <t>12R/1218</t>
  </si>
  <si>
    <t xml:space="preserve">RES SM 1218 12R </t>
  </si>
  <si>
    <t>13R/1218</t>
  </si>
  <si>
    <t xml:space="preserve">RES SM 1218 13R </t>
  </si>
  <si>
    <t>15R/1218</t>
  </si>
  <si>
    <t xml:space="preserve">RES SM 1218 15R </t>
  </si>
  <si>
    <t>16R/1218</t>
  </si>
  <si>
    <t xml:space="preserve">RES SM 1218 16R </t>
  </si>
  <si>
    <t>18R/1218</t>
  </si>
  <si>
    <t xml:space="preserve">RES SM 1218 18R </t>
  </si>
  <si>
    <t>20R/1218</t>
  </si>
  <si>
    <t xml:space="preserve">RES SM 1218 20R </t>
  </si>
  <si>
    <t>22R/1218</t>
  </si>
  <si>
    <t xml:space="preserve">RES SM 1218 22R </t>
  </si>
  <si>
    <t>24R/1218</t>
  </si>
  <si>
    <t xml:space="preserve">RES SM 1218 24R </t>
  </si>
  <si>
    <t>27R/1218</t>
  </si>
  <si>
    <t xml:space="preserve">RES SM 1218 27R </t>
  </si>
  <si>
    <t>30R/1218</t>
  </si>
  <si>
    <t xml:space="preserve">RES SM 1218 30R </t>
  </si>
  <si>
    <t>33R/1218</t>
  </si>
  <si>
    <t xml:space="preserve">RES SM 1218 33R </t>
  </si>
  <si>
    <t>36R/1218</t>
  </si>
  <si>
    <t xml:space="preserve">RES SM 1218 36R </t>
  </si>
  <si>
    <t>39R/1218</t>
  </si>
  <si>
    <t xml:space="preserve">RES SM 1218 39R </t>
  </si>
  <si>
    <t>43R/1218</t>
  </si>
  <si>
    <t xml:space="preserve">RES SM 1218 43R </t>
  </si>
  <si>
    <t>47R/1218</t>
  </si>
  <si>
    <t xml:space="preserve">RES SM 1218 47R </t>
  </si>
  <si>
    <t>51R/1218</t>
  </si>
  <si>
    <t xml:space="preserve">RES SM 1218 51R </t>
  </si>
  <si>
    <t>56R/1218</t>
  </si>
  <si>
    <t xml:space="preserve">RES SM 1218 56R </t>
  </si>
  <si>
    <t>62R/1218</t>
  </si>
  <si>
    <t xml:space="preserve">RES SM 1218 62R </t>
  </si>
  <si>
    <t>68R/1218</t>
  </si>
  <si>
    <t xml:space="preserve">RES SM 1218 68R </t>
  </si>
  <si>
    <t>75R/1218</t>
  </si>
  <si>
    <t xml:space="preserve">RES SM 1218 75R </t>
  </si>
  <si>
    <t>82R/1218</t>
  </si>
  <si>
    <t xml:space="preserve">RES SM 1218 82R </t>
  </si>
  <si>
    <t>91R/1218</t>
  </si>
  <si>
    <t xml:space="preserve">RES SM 1218 91R </t>
  </si>
  <si>
    <t>100R/1218</t>
  </si>
  <si>
    <t xml:space="preserve">RES SM 1218 100R </t>
  </si>
  <si>
    <t>110R/1218</t>
  </si>
  <si>
    <t xml:space="preserve">RES SM 1218 110R </t>
  </si>
  <si>
    <t>120R/1218</t>
  </si>
  <si>
    <t xml:space="preserve">RES SM 1218 120R </t>
  </si>
  <si>
    <t>130R/1218</t>
  </si>
  <si>
    <t xml:space="preserve">RES SM 1218 130R </t>
  </si>
  <si>
    <t>150R/1218</t>
  </si>
  <si>
    <t xml:space="preserve">RES SM 1218 150R </t>
  </si>
  <si>
    <t>160R/1218</t>
  </si>
  <si>
    <t xml:space="preserve">RES SM 1218 160R </t>
  </si>
  <si>
    <t>180R/1218</t>
  </si>
  <si>
    <t xml:space="preserve">RES SM 1218 180R </t>
  </si>
  <si>
    <t>200R/1218</t>
  </si>
  <si>
    <t xml:space="preserve">RES SM 1218 200R </t>
  </si>
  <si>
    <t>220R/1218</t>
  </si>
  <si>
    <t xml:space="preserve">RES SM 1218 220R </t>
  </si>
  <si>
    <t>240R/1218</t>
  </si>
  <si>
    <t xml:space="preserve">RES SM 1218 240R </t>
  </si>
  <si>
    <t>270R/1218</t>
  </si>
  <si>
    <t xml:space="preserve">RES SM 1218 270R </t>
  </si>
  <si>
    <t>300R/1218</t>
  </si>
  <si>
    <t xml:space="preserve">RES SM 1218 300R </t>
  </si>
  <si>
    <t>330R/1218</t>
  </si>
  <si>
    <t xml:space="preserve">RES SM 1218 330R </t>
  </si>
  <si>
    <t>360R/1218</t>
  </si>
  <si>
    <t xml:space="preserve">RES SM 1218 360R </t>
  </si>
  <si>
    <t>390R/1218</t>
  </si>
  <si>
    <t xml:space="preserve">RES SM 1218 390R </t>
  </si>
  <si>
    <t>430R/1218</t>
  </si>
  <si>
    <t xml:space="preserve">RES SM 1218 430R </t>
  </si>
  <si>
    <t>470R/1218</t>
  </si>
  <si>
    <t xml:space="preserve">RES SM 1218 470R </t>
  </si>
  <si>
    <t>510R/1218</t>
  </si>
  <si>
    <t xml:space="preserve">RES SM 1218 510R </t>
  </si>
  <si>
    <t>560R/1218</t>
  </si>
  <si>
    <t xml:space="preserve">RES SM 1218 560R </t>
  </si>
  <si>
    <t>620R/1218</t>
  </si>
  <si>
    <t xml:space="preserve">RES SM 1218 620R </t>
  </si>
  <si>
    <t>680R/1218</t>
  </si>
  <si>
    <t xml:space="preserve">RES SM 1218 680R </t>
  </si>
  <si>
    <t>750R/1218</t>
  </si>
  <si>
    <t xml:space="preserve">RES SM 1218 750R </t>
  </si>
  <si>
    <t>820R/1218</t>
  </si>
  <si>
    <t xml:space="preserve">RES SM 1218 820R </t>
  </si>
  <si>
    <t>910R/1218</t>
  </si>
  <si>
    <t xml:space="preserve">RES SM 1218 910R </t>
  </si>
  <si>
    <t>1K/1218</t>
  </si>
  <si>
    <t xml:space="preserve">RES SM 1218 1K </t>
  </si>
  <si>
    <t>1K1/1218</t>
  </si>
  <si>
    <t xml:space="preserve">RES SM 1218 1K1 </t>
  </si>
  <si>
    <t>1K2/1218</t>
  </si>
  <si>
    <t xml:space="preserve">RES SM 1218 1K2 </t>
  </si>
  <si>
    <t>1K3/1218</t>
  </si>
  <si>
    <t xml:space="preserve">RES SM 1218 1K3 </t>
  </si>
  <si>
    <t>1K5/1218</t>
  </si>
  <si>
    <t xml:space="preserve">RES SM 1218 1K5 </t>
  </si>
  <si>
    <t>1K6/1218</t>
  </si>
  <si>
    <t xml:space="preserve">RES SM 1218 1K6 </t>
  </si>
  <si>
    <t>1K8/1218</t>
  </si>
  <si>
    <t xml:space="preserve">RES SM 1218 1K8 </t>
  </si>
  <si>
    <t>2K/1218</t>
  </si>
  <si>
    <t xml:space="preserve">RES SM 1218 2K </t>
  </si>
  <si>
    <t>2K2/1218</t>
  </si>
  <si>
    <t xml:space="preserve">RES SM 1218 2K2 </t>
  </si>
  <si>
    <t>2K4/1218</t>
  </si>
  <si>
    <t xml:space="preserve">RES SM 1218 2K4 </t>
  </si>
  <si>
    <t>2K7/1218</t>
  </si>
  <si>
    <t xml:space="preserve">RES SM 1218 2K7 </t>
  </si>
  <si>
    <t>3K/1218</t>
  </si>
  <si>
    <t xml:space="preserve">RES SM 1218 3K </t>
  </si>
  <si>
    <t>3K3/1218</t>
  </si>
  <si>
    <t xml:space="preserve">RES SM 1218 3K3 </t>
  </si>
  <si>
    <t>3K6/1218</t>
  </si>
  <si>
    <t xml:space="preserve">RES SM 1218 3K6 </t>
  </si>
  <si>
    <t>3K9/1218</t>
  </si>
  <si>
    <t xml:space="preserve">RES SM 1218 3K9 </t>
  </si>
  <si>
    <t>4K3/1218</t>
  </si>
  <si>
    <t xml:space="preserve">RES SM 1218 4K3 </t>
  </si>
  <si>
    <t>4K7/1218</t>
  </si>
  <si>
    <t xml:space="preserve">RES SM 1218 4K7 </t>
  </si>
  <si>
    <t>5K1/1218</t>
  </si>
  <si>
    <t xml:space="preserve">RES SM 1218 5K1 </t>
  </si>
  <si>
    <t>5K6/1218</t>
  </si>
  <si>
    <t xml:space="preserve">RES SM 1218 5K6 </t>
  </si>
  <si>
    <t>6K2/1218</t>
  </si>
  <si>
    <t xml:space="preserve">RES SM 1218 6K2 </t>
  </si>
  <si>
    <t>6K8/1218</t>
  </si>
  <si>
    <t xml:space="preserve">RES SM 1218 6K8 </t>
  </si>
  <si>
    <t>7K5/1218</t>
  </si>
  <si>
    <t xml:space="preserve">RES SM 1218 7K5 </t>
  </si>
  <si>
    <t>8K2/1218</t>
  </si>
  <si>
    <t xml:space="preserve">RES SM 1218 8K2 </t>
  </si>
  <si>
    <t>9K1/1218</t>
  </si>
  <si>
    <t xml:space="preserve">RES SM 1218 9K1 </t>
  </si>
  <si>
    <t>10K/1218</t>
  </si>
  <si>
    <t xml:space="preserve">RES SM 1218 10K </t>
  </si>
  <si>
    <t>11K/1218</t>
  </si>
  <si>
    <t xml:space="preserve">RES SM 1218 11K </t>
  </si>
  <si>
    <t>12K/1218</t>
  </si>
  <si>
    <t xml:space="preserve">RES SM 1218 12K </t>
  </si>
  <si>
    <t>13K/1218</t>
  </si>
  <si>
    <t xml:space="preserve">RES SM 1218 13K </t>
  </si>
  <si>
    <t>15K/1218</t>
  </si>
  <si>
    <t xml:space="preserve">RES SM 1218 15K </t>
  </si>
  <si>
    <t>16K/1218</t>
  </si>
  <si>
    <t xml:space="preserve">RES SM 1218 16K </t>
  </si>
  <si>
    <t>18K/1218</t>
  </si>
  <si>
    <t xml:space="preserve">RES SM 1218 18K </t>
  </si>
  <si>
    <t>20K/1218</t>
  </si>
  <si>
    <t xml:space="preserve">RES SM 1218 20K </t>
  </si>
  <si>
    <t>22K/1218</t>
  </si>
  <si>
    <t xml:space="preserve">RES SM 1218 22K </t>
  </si>
  <si>
    <t>24K/1218</t>
  </si>
  <si>
    <t xml:space="preserve">RES SM 1218 24K </t>
  </si>
  <si>
    <t>27K/1218</t>
  </si>
  <si>
    <t xml:space="preserve">RES SM 1218 27K </t>
  </si>
  <si>
    <t>30K/1218</t>
  </si>
  <si>
    <t xml:space="preserve">RES SM 1218 30K </t>
  </si>
  <si>
    <t>33K/1218</t>
  </si>
  <si>
    <t xml:space="preserve">RES SM 1218 33K </t>
  </si>
  <si>
    <t>36K/1218</t>
  </si>
  <si>
    <t xml:space="preserve">RES SM 1218 36K </t>
  </si>
  <si>
    <t>39K/1218</t>
  </si>
  <si>
    <t xml:space="preserve">RES SM 1218 39K </t>
  </si>
  <si>
    <t>43K/1218</t>
  </si>
  <si>
    <t xml:space="preserve">RES SM 1218 43K </t>
  </si>
  <si>
    <t>47K/1218</t>
  </si>
  <si>
    <t xml:space="preserve">RES SM 1218 47K </t>
  </si>
  <si>
    <t>51K/1218</t>
  </si>
  <si>
    <t xml:space="preserve">RES SM 1218 51K </t>
  </si>
  <si>
    <t>56K/1218</t>
  </si>
  <si>
    <t xml:space="preserve">RES SM 1218 56K </t>
  </si>
  <si>
    <t>62K/1218</t>
  </si>
  <si>
    <t xml:space="preserve">RES SM 1218 62K </t>
  </si>
  <si>
    <t>68K/1218</t>
  </si>
  <si>
    <t xml:space="preserve">RES SM 1218 68K </t>
  </si>
  <si>
    <t>75K/1218</t>
  </si>
  <si>
    <t xml:space="preserve">RES SM 1218 75K </t>
  </si>
  <si>
    <t>82K/1218</t>
  </si>
  <si>
    <t xml:space="preserve">RES SM 1218 82K </t>
  </si>
  <si>
    <t>91K/1218</t>
  </si>
  <si>
    <t xml:space="preserve">RES SM 1218 91K </t>
  </si>
  <si>
    <t>100K/1218</t>
  </si>
  <si>
    <t xml:space="preserve">RES SM 1218 100K </t>
  </si>
  <si>
    <t>110K/1218</t>
  </si>
  <si>
    <t xml:space="preserve">RES SM 1218 110K </t>
  </si>
  <si>
    <t>120K/1218</t>
  </si>
  <si>
    <t xml:space="preserve">RES SM 1218 120K </t>
  </si>
  <si>
    <t>130K/1218</t>
  </si>
  <si>
    <t xml:space="preserve">RES SM 1218 130K </t>
  </si>
  <si>
    <t>150K/1218</t>
  </si>
  <si>
    <t xml:space="preserve">RES SM 1218 150K </t>
  </si>
  <si>
    <t>160K/1218</t>
  </si>
  <si>
    <t xml:space="preserve">RES SM 1218 160K </t>
  </si>
  <si>
    <t>180K/1218</t>
  </si>
  <si>
    <t xml:space="preserve">RES SM 1218 180K </t>
  </si>
  <si>
    <t>200K/1218</t>
  </si>
  <si>
    <t xml:space="preserve">RES SM 1218 200K </t>
  </si>
  <si>
    <t>220K/1218</t>
  </si>
  <si>
    <t xml:space="preserve">RES SM 1218 220K </t>
  </si>
  <si>
    <t>240K/1218</t>
  </si>
  <si>
    <t xml:space="preserve">RES SM 1218 240K </t>
  </si>
  <si>
    <t>270K/1218</t>
  </si>
  <si>
    <t xml:space="preserve">RES SM 1218 270K </t>
  </si>
  <si>
    <t>300K/1218</t>
  </si>
  <si>
    <t xml:space="preserve">RES SM 1218 300K </t>
  </si>
  <si>
    <t>330K/1218</t>
  </si>
  <si>
    <t>RES SM 1218 330K</t>
  </si>
  <si>
    <t>360K/1218</t>
  </si>
  <si>
    <t xml:space="preserve">RES SM 1218 360K </t>
  </si>
  <si>
    <t>390K/1218</t>
  </si>
  <si>
    <t xml:space="preserve">RES SM 1218 390K </t>
  </si>
  <si>
    <t>430K/1218</t>
  </si>
  <si>
    <t xml:space="preserve">RES SM 1218 430K </t>
  </si>
  <si>
    <t>470K/1218</t>
  </si>
  <si>
    <t xml:space="preserve">RES SM 1218 470K </t>
  </si>
  <si>
    <t>510K/1218</t>
  </si>
  <si>
    <t xml:space="preserve">RES SM 1218 510K </t>
  </si>
  <si>
    <t>560K/1218</t>
  </si>
  <si>
    <t xml:space="preserve">RES SM 1218 560K </t>
  </si>
  <si>
    <t>620K/1218</t>
  </si>
  <si>
    <t xml:space="preserve">RES SM 1218 620K </t>
  </si>
  <si>
    <t>680K/1218</t>
  </si>
  <si>
    <t xml:space="preserve">RES SM 1218 680K </t>
  </si>
  <si>
    <t>750K/1218</t>
  </si>
  <si>
    <t xml:space="preserve">RES SM 1218 750K </t>
  </si>
  <si>
    <t>820K/1218</t>
  </si>
  <si>
    <t xml:space="preserve">RES SM 1218 820K </t>
  </si>
  <si>
    <t>910K/1218</t>
  </si>
  <si>
    <t xml:space="preserve">RES SM 1218 910K </t>
  </si>
  <si>
    <t>1M/1218</t>
  </si>
  <si>
    <t xml:space="preserve">RES SM 1218 1M </t>
  </si>
  <si>
    <t>1M1/1218</t>
  </si>
  <si>
    <t xml:space="preserve">RES SM 1218 1M1 </t>
  </si>
  <si>
    <t>1M2/1218</t>
  </si>
  <si>
    <t xml:space="preserve">RES SM 1218 1M2 </t>
  </si>
  <si>
    <t>1M3/1218</t>
  </si>
  <si>
    <t xml:space="preserve">RES SM 1218 1M3 </t>
  </si>
  <si>
    <t>1M5/1218</t>
  </si>
  <si>
    <t xml:space="preserve">RES SM 1218 1M5 </t>
  </si>
  <si>
    <t>1M6/1218</t>
  </si>
  <si>
    <t xml:space="preserve">RES SM 1218 1M6 </t>
  </si>
  <si>
    <t>1M8/1218</t>
  </si>
  <si>
    <t xml:space="preserve">RES SM 1218 1M8 </t>
  </si>
  <si>
    <t>2M/1218</t>
  </si>
  <si>
    <t xml:space="preserve">RES SM 1218 2M </t>
  </si>
  <si>
    <t>2M2/1218</t>
  </si>
  <si>
    <t xml:space="preserve">RES SM 1218 2M2 </t>
  </si>
  <si>
    <t>2M4/1218</t>
  </si>
  <si>
    <t xml:space="preserve">RES SM 1218 2M4 </t>
  </si>
  <si>
    <t>2M7/1218</t>
  </si>
  <si>
    <t xml:space="preserve">RES SM 1218 2M7 </t>
  </si>
  <si>
    <t>3M/1218</t>
  </si>
  <si>
    <t xml:space="preserve">RES SM 1218 3M </t>
  </si>
  <si>
    <t>3M3/1218</t>
  </si>
  <si>
    <t xml:space="preserve">RES SM 1218 3M3 </t>
  </si>
  <si>
    <t>3M6/1218</t>
  </si>
  <si>
    <t xml:space="preserve">RES SM 1218 3M6 </t>
  </si>
  <si>
    <t>3M9/1218</t>
  </si>
  <si>
    <t xml:space="preserve">RES SM 1218 3M9 </t>
  </si>
  <si>
    <t>4M3/1218</t>
  </si>
  <si>
    <t xml:space="preserve">RES SM 1218 4M3 </t>
  </si>
  <si>
    <t>4M7/1218</t>
  </si>
  <si>
    <t xml:space="preserve">RES SM 1218 4M7 </t>
  </si>
  <si>
    <t>5M1/1218</t>
  </si>
  <si>
    <t xml:space="preserve">RES SM 1218 5M1 </t>
  </si>
  <si>
    <t>5M6/1218</t>
  </si>
  <si>
    <t xml:space="preserve">RES SM 1218 5M6 </t>
  </si>
  <si>
    <t>6M2/1218</t>
  </si>
  <si>
    <t xml:space="preserve">RES SM 1218 6M2 </t>
  </si>
  <si>
    <t>6M8/1218</t>
  </si>
  <si>
    <t xml:space="preserve">RES SM 1218 6M8 </t>
  </si>
  <si>
    <t>7M5/1218</t>
  </si>
  <si>
    <t xml:space="preserve">RES SM 1218 7M5 </t>
  </si>
  <si>
    <t>8M2/1218</t>
  </si>
  <si>
    <t xml:space="preserve">RES SM 1218 8M2 </t>
  </si>
  <si>
    <t>9M1/1218</t>
  </si>
  <si>
    <t xml:space="preserve">RES SM 1218 9M1 </t>
  </si>
  <si>
    <t>10M/1218</t>
  </si>
  <si>
    <t xml:space="preserve">RES SM 1218 10M </t>
  </si>
  <si>
    <t>311-0.0LRCT-ND</t>
  </si>
  <si>
    <t>BC4517CT-ND</t>
  </si>
  <si>
    <t>BC4518CT-ND</t>
  </si>
  <si>
    <t>BC4519CT-ND</t>
  </si>
  <si>
    <t>BC4520CT-ND</t>
  </si>
  <si>
    <t>1P2/0603/50V/C0G</t>
  </si>
  <si>
    <t>1P5/0603/50V/C0G</t>
  </si>
  <si>
    <t>1P8/0603/50V/C0G</t>
  </si>
  <si>
    <t>2P2/0603/50V/C0G</t>
  </si>
  <si>
    <t>2P7/0603/50V/C0G</t>
  </si>
  <si>
    <t>3P3/0603/50V/C0G</t>
  </si>
  <si>
    <t>3P9/0603/50V/C0G</t>
  </si>
  <si>
    <t>4P7/0603/50V/C0G</t>
  </si>
  <si>
    <t>5P6/0603/50V/C0G</t>
  </si>
  <si>
    <t>6P8/0603/50V/C0G</t>
  </si>
  <si>
    <t>8P2/0603/50V/C0G</t>
  </si>
  <si>
    <t>1P/0603/50V/C0G</t>
  </si>
  <si>
    <t>1N2/0603/50V/C0G</t>
  </si>
  <si>
    <t>1N5/0603/50V/C0G</t>
  </si>
  <si>
    <t>1N8/0603/50V/C0G</t>
  </si>
  <si>
    <t>2N2/0603/50V/C0G</t>
  </si>
  <si>
    <t>2N7/0603/50V/C0G</t>
  </si>
  <si>
    <t>3N3/0603/50V/C0G</t>
  </si>
  <si>
    <t>3N9/0603/50V/C0G</t>
  </si>
  <si>
    <t>4N7/0603/50V/C0G</t>
  </si>
  <si>
    <t>6N8/0603/50V/C0G</t>
  </si>
  <si>
    <t>1N/0603/50V/C0G</t>
  </si>
  <si>
    <t>1N2/0603/50V/X7R</t>
  </si>
  <si>
    <t>1N5/0603/50V/X7R</t>
  </si>
  <si>
    <t>1N8/0603/50V/X7R</t>
  </si>
  <si>
    <t>2N2/0603/50V/X7R</t>
  </si>
  <si>
    <t>2N7/0603/50V/X7R</t>
  </si>
  <si>
    <t>3N3/0603/50V/X7R</t>
  </si>
  <si>
    <t>3N9/0603/50V/X7R</t>
  </si>
  <si>
    <t>4N7/0603/50V/X7R</t>
  </si>
  <si>
    <t>5N6/0603/50V/X7R</t>
  </si>
  <si>
    <t>6N8/0603/50V/X7R</t>
  </si>
  <si>
    <t>8N2/0603/50V/X7R</t>
  </si>
  <si>
    <t>1N/0603/50V/X7R</t>
  </si>
  <si>
    <t>1P2/0402/50V/C0G</t>
  </si>
  <si>
    <t>1P5/0402/50V/C0G</t>
  </si>
  <si>
    <t>1P8/0402/50V/C0G</t>
  </si>
  <si>
    <t>2P2/0402/50V/C0G</t>
  </si>
  <si>
    <t>2P7/0402/50V/C0G</t>
  </si>
  <si>
    <t>3P3/0402/50V/C0G</t>
  </si>
  <si>
    <t>3P9/0402/50V/C0G</t>
  </si>
  <si>
    <t>4P7/0402/50V/C0G</t>
  </si>
  <si>
    <t>5P6/0402/50V/C0G</t>
  </si>
  <si>
    <t>6P8/0402/50V/C0G</t>
  </si>
  <si>
    <t>8P2/0402/50V/C0G</t>
  </si>
  <si>
    <t>1P/0402/50V/C0G</t>
  </si>
  <si>
    <t>1N/0402/50V/C0G</t>
  </si>
  <si>
    <t>1N2/0402/50V/X7R</t>
  </si>
  <si>
    <t>1N5/0402/50V/X7R</t>
  </si>
  <si>
    <t>1N8/0402/50V/X7R</t>
  </si>
  <si>
    <t>2N2/0402/50V/X7R</t>
  </si>
  <si>
    <t>2N7/0402/50V/X7R</t>
  </si>
  <si>
    <t>3N3/0402/50V/X7R</t>
  </si>
  <si>
    <t>3N9/0402/50V/X7R</t>
  </si>
  <si>
    <t>4N7/0402/50V/X7R</t>
  </si>
  <si>
    <t>5N6/0402/50V/X7R</t>
  </si>
  <si>
    <t>6N8/0402/50V/X7R</t>
  </si>
  <si>
    <t>8N2/0402/50V/X7R</t>
  </si>
  <si>
    <t>1N/0402/50V/X7R</t>
  </si>
  <si>
    <t>4U7/0805/16V/X7R</t>
  </si>
  <si>
    <t>4U7/1210/100V/X7S</t>
  </si>
  <si>
    <t>1UH5/2520</t>
  </si>
  <si>
    <t>2UH2/2520</t>
  </si>
  <si>
    <t>4UH7/2520</t>
  </si>
  <si>
    <t>1UH5/2016</t>
  </si>
  <si>
    <t>2UH2/2016</t>
  </si>
  <si>
    <t>2UH2/SRP5015TA</t>
  </si>
  <si>
    <t>1UH5/6630</t>
  </si>
  <si>
    <t>2UH2/6630</t>
  </si>
  <si>
    <t>3UH3/6630</t>
  </si>
  <si>
    <t>4UH7/6630</t>
  </si>
  <si>
    <t>1UH5/1245</t>
  </si>
  <si>
    <t>2UH2/1245</t>
  </si>
  <si>
    <t>3UH3/1245</t>
  </si>
  <si>
    <t>4UH7/1245</t>
  </si>
  <si>
    <t>6UH8/1245</t>
  </si>
  <si>
    <t>8UH2/1245</t>
  </si>
  <si>
    <t>GATE INV 1X1</t>
  </si>
  <si>
    <t>1U/0603/50V/X7R</t>
  </si>
  <si>
    <t>1U/0603/10V/X7R</t>
  </si>
  <si>
    <t>1U/0603/50V/X5R</t>
  </si>
  <si>
    <t>STM32F334C8T</t>
  </si>
  <si>
    <t>ST Microelectronics</t>
  </si>
  <si>
    <t>SCH/STM32.SchLib</t>
  </si>
  <si>
    <t>https://www.st.com/resource/en/datasheet/stm32f334c8.pdf</t>
  </si>
  <si>
    <t>STM32F334C6T</t>
  </si>
  <si>
    <t>STM32F334C4T</t>
  </si>
  <si>
    <t>QFP-64</t>
  </si>
  <si>
    <t>STM32F334R6T</t>
  </si>
  <si>
    <t>STM32F334R8T</t>
  </si>
  <si>
    <t>QFP-32</t>
  </si>
  <si>
    <t>STM32F334K4T</t>
  </si>
  <si>
    <t>STM32F334K6T</t>
  </si>
  <si>
    <t>STM32F334K8T</t>
  </si>
  <si>
    <t>STM32F334K4U</t>
  </si>
  <si>
    <t>STM32F334K6U</t>
  </si>
  <si>
    <t>STM32F334K8U</t>
  </si>
  <si>
    <t>STM32F334C4Y</t>
  </si>
  <si>
    <t>STM32F334C6Y</t>
  </si>
  <si>
    <t>STM32F334C8Y</t>
  </si>
  <si>
    <t>BGA-49</t>
  </si>
  <si>
    <t>STM32F334 QFP-32</t>
  </si>
  <si>
    <t>STM32F334 QFN-32</t>
  </si>
  <si>
    <t>STM32F334 QFP-48</t>
  </si>
  <si>
    <t>STM32F334 BGA-49</t>
  </si>
  <si>
    <t>STM32F334 QFP-64</t>
  </si>
  <si>
    <t>PCB/QFP.PcbLib</t>
  </si>
  <si>
    <t>PCB/BGA.PcbLib</t>
  </si>
  <si>
    <t>https://www.st.com/resource/en/datasheet/stm32f334k4.pdf</t>
  </si>
  <si>
    <t>https://www.st.com/resource/en/datasheet/stm32f334k6.pdf</t>
  </si>
  <si>
    <t>https://www.st.com/resource/en/datasheet/stm32f334k8.pdf</t>
  </si>
  <si>
    <t>https://www.st.com/resource/en/datasheet/stm32f334c4.pdf</t>
  </si>
  <si>
    <t>https://www.st.com/resource/en/datasheet/stm32f334c6.pdf</t>
  </si>
  <si>
    <t>https://www.st.com/resource/en/datasheet/stm32f334r6.pdf</t>
  </si>
  <si>
    <t>https://www.st.com/resource/en/datasheet/stm32f334r8.pdf</t>
  </si>
  <si>
    <t>STM32F334K4T6</t>
  </si>
  <si>
    <t>497-14951-5-ND</t>
  </si>
  <si>
    <t>STM32F334C6T6TR</t>
  </si>
  <si>
    <t>497-STM32F334C6T6TRCT-ND</t>
  </si>
  <si>
    <t>STM32F334K6T6</t>
  </si>
  <si>
    <t>497-14952-5-ND</t>
  </si>
  <si>
    <t>STM32F334K6T7</t>
  </si>
  <si>
    <t>497-STM32F334K6T7-ND</t>
  </si>
  <si>
    <t>STM32F334K8T6</t>
  </si>
  <si>
    <t>497-14953-5-ND</t>
  </si>
  <si>
    <t>STM32F334K8T6TR</t>
  </si>
  <si>
    <t>497-STM32F334K8T6CT-ND</t>
  </si>
  <si>
    <t>STM32F334K8U6</t>
  </si>
  <si>
    <t>497-STM32F334K8U6-ND</t>
  </si>
  <si>
    <t>STM32F334K8U6TR</t>
  </si>
  <si>
    <t>STM32F334K8U6TR-ND</t>
  </si>
  <si>
    <t>STM32F334C4T6</t>
  </si>
  <si>
    <t>497-14948-5-ND</t>
  </si>
  <si>
    <t>STM32F334C6T6</t>
  </si>
  <si>
    <t>497-14949-5-ND</t>
  </si>
  <si>
    <t>STM32F334C8T6</t>
  </si>
  <si>
    <t>497-14950-5-ND</t>
  </si>
  <si>
    <t>STM32F334C8T7</t>
  </si>
  <si>
    <t>497-18539-ND</t>
  </si>
  <si>
    <t>STM32F334C8Y7TR</t>
  </si>
  <si>
    <t>497-STM32F334C8Y7TRCT-ND</t>
  </si>
  <si>
    <t>STM32F334C8Y6TR-ND</t>
  </si>
  <si>
    <t>STM32F334R6T6</t>
  </si>
  <si>
    <t>497-14954-5-ND</t>
  </si>
  <si>
    <t>STM32F334R8T6TR</t>
  </si>
  <si>
    <t>497-STM32F334R8T6TRCT-ND</t>
  </si>
  <si>
    <t>STM32F334R8T6</t>
  </si>
  <si>
    <t>497-14955-ND</t>
  </si>
  <si>
    <t>STM32F334C8Y6TR</t>
  </si>
  <si>
    <t>C106756</t>
  </si>
  <si>
    <t>C106757</t>
  </si>
  <si>
    <t>C106758</t>
  </si>
  <si>
    <t>C1341602</t>
  </si>
  <si>
    <t>C133362</t>
  </si>
  <si>
    <t>C133364</t>
  </si>
  <si>
    <t>C99450</t>
  </si>
  <si>
    <t>C2055101</t>
  </si>
  <si>
    <t>C133363</t>
  </si>
  <si>
    <t>C80577</t>
  </si>
  <si>
    <t>QFN050P500X500X060-32</t>
  </si>
  <si>
    <t>QFP080P900X900X160-32</t>
  </si>
  <si>
    <t>BGA049C050P7X7_389X374X062</t>
  </si>
  <si>
    <t>QFP050P900X900X160-48</t>
  </si>
  <si>
    <t>QFP050P1200X1200X160-64</t>
  </si>
  <si>
    <t>STTH112A</t>
  </si>
  <si>
    <t>High voltage ultrafast rectifier</t>
  </si>
  <si>
    <t>STTH112U</t>
  </si>
  <si>
    <t>1200V</t>
  </si>
  <si>
    <t>https://www.st.com/content/ccc/resource/technical/document/datasheet/34/db/51/35/8d/0b/48/54/CD00003260.pdf/files/CD00003260.pdf/jcr:content/translations/en.CD00003260.pdf</t>
  </si>
  <si>
    <t>497-8048-1-ND</t>
  </si>
  <si>
    <t>C131297</t>
  </si>
  <si>
    <t>497-2460-1-ND</t>
  </si>
  <si>
    <t>C56792</t>
  </si>
  <si>
    <t>10A/3AB,3AG/FUSE</t>
  </si>
  <si>
    <t>Fuse 600V AC/DC 3AB, 3AG</t>
  </si>
  <si>
    <t>Belfuse</t>
  </si>
  <si>
    <t>3AB,3AG</t>
  </si>
  <si>
    <t>Fuseholder/3AB,3AG</t>
  </si>
  <si>
    <t>Fuseholder/3AB,3AG/Half</t>
  </si>
  <si>
    <t>Fuse_Holder</t>
  </si>
  <si>
    <t>Fuse_Holder_Half</t>
  </si>
  <si>
    <t>TYN30-600</t>
  </si>
  <si>
    <t>Planar passivated Silicon Controlled Rectifier (SCR) in a TO220 plastic package, 600V, 30A</t>
  </si>
  <si>
    <t>WeEn Semiconductors</t>
  </si>
  <si>
    <t>TO-220</t>
  </si>
  <si>
    <t>TYN30-600TFQ</t>
  </si>
  <si>
    <t>SCR_1k_2A_3G</t>
  </si>
  <si>
    <t>1740-TYN30-600TFQ-ND</t>
  </si>
  <si>
    <t>Fuse_Nolead</t>
  </si>
  <si>
    <t>ADS131M02 QFN</t>
  </si>
  <si>
    <t>ADS131M02 TSSOP</t>
  </si>
  <si>
    <t>ADS131M03 QFN</t>
  </si>
  <si>
    <t>ADS131M03 TSSOP</t>
  </si>
  <si>
    <t>ADS131M04 QFN</t>
  </si>
  <si>
    <t>ADS131M04 TSSOP</t>
  </si>
  <si>
    <t>QFN-20</t>
  </si>
  <si>
    <t>TSSOP-20</t>
  </si>
  <si>
    <t>https://www.ti.com/lit/ds/symlink/ads131m02.pdf</t>
  </si>
  <si>
    <t>https://www.ti.com/lit/ds/symlink/ads131m03.pdf</t>
  </si>
  <si>
    <t>https://www.ti.com/lit/ds/symlink/ads131m04.pdf</t>
  </si>
  <si>
    <t>1EDN7511B</t>
  </si>
  <si>
    <t>1EDN8511B</t>
  </si>
  <si>
    <t>1EDN7512B</t>
  </si>
  <si>
    <t>1EDN7512G</t>
  </si>
  <si>
    <t>1EDN7511B Single-channel low-side gate driver IC with 4 A source/8 A sink output stage</t>
  </si>
  <si>
    <t>1EDN8511B Single-channel low-side gate driver IC with 4 A source/8 A sink output stage</t>
  </si>
  <si>
    <t>1EDN7512B Single-channel low-side gate driver IC with 4 A source/8 A sink output stage</t>
  </si>
  <si>
    <t>1EDN7512G Single-channel low-side gate driver IC with 4 A source/8 A sink output stage</t>
  </si>
  <si>
    <t>SON-6</t>
  </si>
  <si>
    <t>1EDNx511 SOT23-6</t>
  </si>
  <si>
    <t>1EDNx512 SOT23-5</t>
  </si>
  <si>
    <t>1EDNx512 SON-6</t>
  </si>
  <si>
    <t>https://www.infineon.com/dgdl/Infineon-1DN751x_1EDN851x_Rev+2.0-DS-v02_00-EN.pdf</t>
  </si>
  <si>
    <t>1EDN7512BXTSA1</t>
  </si>
  <si>
    <t>1EDN7512BXTSA1CT-ND</t>
  </si>
  <si>
    <t>1EDN7512GXTMA1</t>
  </si>
  <si>
    <t>1EDN7512GXTMA1CT-ND</t>
  </si>
  <si>
    <t>1EDN7511BXUSA1</t>
  </si>
  <si>
    <t>1EDN7511BXUSA1CT-ND</t>
  </si>
  <si>
    <t>1EDN7511BXTSA1</t>
  </si>
  <si>
    <t>1EDN7511BXTSA1-ND</t>
  </si>
  <si>
    <t>SON095P300X300X080-6-EP190X120</t>
  </si>
  <si>
    <t>22N/1210/1.5kV</t>
  </si>
  <si>
    <t>CAP SM 1210 22nF 1.5kV</t>
  </si>
  <si>
    <t>33N/1210/1.5kV</t>
  </si>
  <si>
    <t>CAP SM 1210 33nF 1.5kV</t>
  </si>
  <si>
    <t>https://content.kemet.com/datasheets/KEM_C1076_X7R_HV_AUTO_SMD.pdf</t>
  </si>
  <si>
    <t>C1210C223KFRACAUTO</t>
  </si>
  <si>
    <t>399-C1210C223KFRACAUTOCT-ND</t>
  </si>
  <si>
    <t>https://88ce57.p3cdn1.secureserver.net/wp-content/uploads/2023/01/chv_series-1.pdf</t>
  </si>
  <si>
    <t>CHV1210N1K5333KXT</t>
  </si>
  <si>
    <t>4713-CHV1210N1K5333KXTCT-ND</t>
  </si>
  <si>
    <t>CAP THT 8x12 15uF ELKO 100V</t>
  </si>
  <si>
    <t>15uF</t>
  </si>
  <si>
    <t>https://datasheets.kyocera-avx.com/rpf-series.pdf</t>
  </si>
  <si>
    <t>KYOCERA AVX</t>
  </si>
  <si>
    <t>RPF0811150M100K</t>
  </si>
  <si>
    <t>478-RPF0811150M100KCT-ND</t>
  </si>
  <si>
    <t>1EDN8511BXUSA1</t>
  </si>
  <si>
    <t>1EDN8511BXUSA1CT-ND</t>
  </si>
  <si>
    <t>1EDN8511BXTSA1</t>
  </si>
  <si>
    <t>1EDN8511BXTSA1-ND</t>
  </si>
  <si>
    <t>C533027</t>
  </si>
  <si>
    <t>C3655509</t>
  </si>
  <si>
    <t>C153236</t>
  </si>
  <si>
    <t>C533028</t>
  </si>
  <si>
    <t>https://mm.digikey.com/Volume0/opasdata/d220001/medias/docus/41/CL31B105KCHNNNE_Spec.pdf</t>
  </si>
  <si>
    <t>CL31B105KCHNNNE</t>
  </si>
  <si>
    <t>1276-1838-1-ND</t>
  </si>
  <si>
    <t>CAP THT 6.3x9 680uF 6.3V</t>
  </si>
  <si>
    <t>680uF</t>
  </si>
  <si>
    <t>https://search.kemet.com/download/datasheet/A750EK687M0JAAE008</t>
  </si>
  <si>
    <t>A750EK687M0JAAE008</t>
  </si>
  <si>
    <t>399-A750EK687M0JAAE008-ND</t>
  </si>
  <si>
    <t>47U/0805/6.3V</t>
  </si>
  <si>
    <t>680U/RADIAL/6.3V</t>
  </si>
  <si>
    <t>15U/RADIAL/100V</t>
  </si>
  <si>
    <t>CAP SM 0805 47uF 6.3V</t>
  </si>
  <si>
    <t>47uF</t>
  </si>
  <si>
    <t>https://mm.digikey.com/Volume0/opasdata/d220001/medias/docus/658/CL21A476MQYNNNE_Spec.pdf</t>
  </si>
  <si>
    <t>CL21A476MQYNNNE</t>
  </si>
  <si>
    <t>1276-1852-1-ND</t>
  </si>
  <si>
    <t>PAM2808</t>
  </si>
  <si>
    <t>PAM2808 5W High Power HBLED Driver</t>
  </si>
  <si>
    <t>htps://www.diodes.com/assets/Datasheets/PAM2808.pdf</t>
  </si>
  <si>
    <t>PAM2808BLBR</t>
  </si>
  <si>
    <t>PAM2808BLBRDICT-ND</t>
  </si>
  <si>
    <t>C780872</t>
  </si>
  <si>
    <t>SOP127P600X155-8-EP330x240-NW</t>
  </si>
  <si>
    <t>SOP-8-EP</t>
  </si>
  <si>
    <t>SOP065P500X110-8-EP205x175-NW</t>
  </si>
  <si>
    <t>QFN040P300X300X080-20-TH170X170</t>
  </si>
  <si>
    <t>SOP065P640X120-20NW</t>
  </si>
  <si>
    <t>ELP22/6/16</t>
  </si>
  <si>
    <t>L_POL</t>
  </si>
  <si>
    <t>ELP22/6/16 2WDG</t>
  </si>
  <si>
    <t>ELP22/6/16 1WDG</t>
  </si>
  <si>
    <t>ELP22/6/16 8WDG 4L</t>
  </si>
  <si>
    <t>ELP22/6/16 24WDG 2L</t>
  </si>
  <si>
    <t>ELP22/6/16 2WDG 2L</t>
  </si>
  <si>
    <t>ELP22/6/16 1WDG 2L</t>
  </si>
  <si>
    <t>ELP22/6/16 N87</t>
  </si>
  <si>
    <t>ELP22/6/16 PC200</t>
  </si>
  <si>
    <t>ELP22/6/16 8WDG PCB 1.6MM</t>
  </si>
  <si>
    <t>ELP22/6/16 N49</t>
  </si>
  <si>
    <t>ELP22/6/16 N92</t>
  </si>
  <si>
    <t>ELP22/6/16 N97</t>
  </si>
  <si>
    <t>ELP22/6/16 N95</t>
  </si>
  <si>
    <t>ELP22/6/16 N87 0.1MM</t>
  </si>
  <si>
    <t>ELP22/6/16 N87 0.05MM</t>
  </si>
  <si>
    <t>ELP22/6/16 N87 0.3MM</t>
  </si>
  <si>
    <t>ELP22/6/16 N87 0.5MM</t>
  </si>
  <si>
    <t>ELP22/6/16 N87 1.0MM</t>
  </si>
  <si>
    <t>ELP22/6/16 ferrite core, PC200, AL=2100, ungapped</t>
  </si>
  <si>
    <t>ELP22/6/16 ferrite core, N49, AL=3100, ungapped</t>
  </si>
  <si>
    <t>ELP22/6/16 ferrite core, N92, AL=3400, ungapped</t>
  </si>
  <si>
    <t>ELP22/6/16 ferrite core, N87, AL=4500, ungapped</t>
  </si>
  <si>
    <t>ELP22/6/16 ferrite core, N97, AL=4600, ungapped</t>
  </si>
  <si>
    <t>ELP22/6/16 ferrite core, N95, AL=5500, ungapped</t>
  </si>
  <si>
    <t>ELP22/6/16 ferrite core, N87, AL=1520, gapped 0.05mm</t>
  </si>
  <si>
    <t>ELP22/6/16 ferrite core, N87, AL=820, gapped 0.1mm</t>
  </si>
  <si>
    <t>ELP22/6/16 ferrite core, N87, AL=330, gapped 0.3mm</t>
  </si>
  <si>
    <t>ELP22/6/16 ferrite core, N87, AL=220, gapped 0.5mm</t>
  </si>
  <si>
    <t>ELP22/6/16 ferrite core, N87, AL=125, gapped 1.0mm</t>
  </si>
  <si>
    <t>AL=2100nH</t>
  </si>
  <si>
    <t>AL=3100nH</t>
  </si>
  <si>
    <t>AL=3400nH</t>
  </si>
  <si>
    <t>AL=4500nH</t>
  </si>
  <si>
    <t>AL=4600nH</t>
  </si>
  <si>
    <t>AL=5500nH</t>
  </si>
  <si>
    <t>AL=1520nH</t>
  </si>
  <si>
    <t>AL=820nH</t>
  </si>
  <si>
    <t>AL=330nH</t>
  </si>
  <si>
    <t>AL=220nH</t>
  </si>
  <si>
    <t>AL=125nH</t>
  </si>
  <si>
    <t>B66285G0000X608</t>
  </si>
  <si>
    <t>B66285G0000X149</t>
  </si>
  <si>
    <t>B66285G0000X192</t>
  </si>
  <si>
    <t>B66285G0000X187</t>
  </si>
  <si>
    <t>B66285G0000X197</t>
  </si>
  <si>
    <t>B66285G0000X195</t>
  </si>
  <si>
    <t>B66285G0050X187</t>
  </si>
  <si>
    <t>B66285G0100X187</t>
  </si>
  <si>
    <t>B66285G0300X187</t>
  </si>
  <si>
    <t>B66285G0500X187</t>
  </si>
  <si>
    <t>B66285G1000X187</t>
  </si>
  <si>
    <t>CORE_HALF</t>
  </si>
  <si>
    <t>ELP22/6/16 coil, 1 winding, 2 layers</t>
  </si>
  <si>
    <t>ELP22/6/16 coil, 2 windings, 2 layers</t>
  </si>
  <si>
    <t>ELP22/6/16 coil, 24 windings, 2 layers</t>
  </si>
  <si>
    <t>ELP22/6/16 coil, 8 windings, 4 layers</t>
  </si>
  <si>
    <t>ELP22/6/16 coil, 8 windings, PCB 1.6mm</t>
  </si>
  <si>
    <t>1 Wdg</t>
  </si>
  <si>
    <t>2 Wdg</t>
  </si>
  <si>
    <t>8 Wdg</t>
  </si>
  <si>
    <t>24 Wdg</t>
  </si>
  <si>
    <t>https://www.tdk-electronics.tdk.com/inf/80/db/fer/elp_22_6_16.pdf</t>
  </si>
  <si>
    <t>ELP22/6/16 8WDG</t>
  </si>
  <si>
    <t>ELP22/6/16 24WDG</t>
  </si>
  <si>
    <t>EELP22</t>
  </si>
  <si>
    <t>B66286A2000X000</t>
  </si>
  <si>
    <t>EELP22 clamp</t>
  </si>
  <si>
    <t>EILP22</t>
  </si>
  <si>
    <t>EILP22 clamp</t>
  </si>
  <si>
    <t>B65804P2204X000</t>
  </si>
  <si>
    <t>CORE_CLAMP</t>
  </si>
  <si>
    <t>ELP22/6/16_1_WDG_2L</t>
  </si>
  <si>
    <t>ELP22/6/16_2_WDG_2L_CCW</t>
  </si>
  <si>
    <t>ELP22/6/16_8_WDG_4L_CCW</t>
  </si>
  <si>
    <t>ELP22/6/16_24_WDG_2L_CCW</t>
  </si>
  <si>
    <t>Battery</t>
  </si>
  <si>
    <t>BAT_LFP-26700-4.5AH</t>
  </si>
  <si>
    <t>BAT_LFP-26700-4.5AH-2NEG</t>
  </si>
  <si>
    <t>Battery LiFePO4 26700 4.5Ah</t>
  </si>
  <si>
    <t>Battery LiFePO4 26700 4.5Ah, two negative terminals</t>
  </si>
  <si>
    <t>Tenpower</t>
  </si>
  <si>
    <t>Battery_2NEG</t>
  </si>
  <si>
    <t>BAT-26700-PS</t>
  </si>
  <si>
    <t>BAT-26700-PS-2NEG</t>
  </si>
  <si>
    <t>https://www.tenpowercell.com/wp-content/uploads/2023/08/TP-IFR26700-45HE-Product-Datasheet-v1.4.pdf</t>
  </si>
  <si>
    <t>NKON</t>
  </si>
  <si>
    <t>IFR26700-45HE</t>
  </si>
  <si>
    <t>6097321571573</t>
  </si>
  <si>
    <t>BQ76905</t>
  </si>
  <si>
    <t>QFN050P350X350X100-20-EP200X200</t>
  </si>
  <si>
    <t>https://www.ti.com/lit/ds/symlink/bq76905.pdf</t>
  </si>
  <si>
    <t>BQ76907</t>
  </si>
  <si>
    <t>QFN050P350X350X100-20-EP200X201</t>
  </si>
  <si>
    <t>https://www.ti.com/lit/ds/symlink/bq76907.pdf</t>
  </si>
  <si>
    <t>BQ76905RGRR</t>
  </si>
  <si>
    <t>296-BQ76905RGRRCT-ND</t>
  </si>
  <si>
    <t>BQ76907RGRR</t>
  </si>
  <si>
    <t>296-BQ76907RGRRCT-ND</t>
  </si>
  <si>
    <t>C22394458</t>
  </si>
  <si>
    <t>C22458649</t>
  </si>
  <si>
    <t>MCP6N11-001</t>
  </si>
  <si>
    <t>MCP6N11-002</t>
  </si>
  <si>
    <t>MCP6N11-005</t>
  </si>
  <si>
    <t>MCP6N11-010</t>
  </si>
  <si>
    <t>MCP6N11-100</t>
  </si>
  <si>
    <t>MCP6N11-001 SO-8</t>
  </si>
  <si>
    <t>MCP6N11-002 SO-8</t>
  </si>
  <si>
    <t>MCP6N11-005 SO-8</t>
  </si>
  <si>
    <t>MCP6N11-010 SO-8</t>
  </si>
  <si>
    <t>MCP6N11-100 SO-8</t>
  </si>
  <si>
    <t>MCP6N11-001 DFN</t>
  </si>
  <si>
    <t>MCP6N11-002 DFN</t>
  </si>
  <si>
    <t>MCP6N11-005 DFN</t>
  </si>
  <si>
    <t>MCP6N11-010 DFN</t>
  </si>
  <si>
    <t>MCP6N11-100 DFN</t>
  </si>
  <si>
    <t>SO-8</t>
  </si>
  <si>
    <t>MCP6N11</t>
  </si>
  <si>
    <t>MCP6N11_EP</t>
  </si>
  <si>
    <t>https://ww1.microchip.com/downloads/en/DeviceDoc/25073A.pdf</t>
  </si>
  <si>
    <t>MCP6N11-001E/SN</t>
  </si>
  <si>
    <t>MCP6N11-001E/SN-ND</t>
  </si>
  <si>
    <t>MCP6N11T-001E/SN</t>
  </si>
  <si>
    <t>MCP6N11T-001E/SN-ND</t>
  </si>
  <si>
    <t>MCP6N11T-001E/MNY</t>
  </si>
  <si>
    <t>MCP6N11T-001E/MNYCT-ND</t>
  </si>
  <si>
    <t>Microchip Tech</t>
  </si>
  <si>
    <t>C623787</t>
  </si>
  <si>
    <t>C144213</t>
  </si>
  <si>
    <t>MCP6N11-002E/SN</t>
  </si>
  <si>
    <t>MCP6N11-002E/SN-ND</t>
  </si>
  <si>
    <t>MCP6N11T-002E/SN</t>
  </si>
  <si>
    <t>MCP6N11T-002E/SN-ND</t>
  </si>
  <si>
    <t>C636375</t>
  </si>
  <si>
    <t>MCP6N11T-002E/MNY</t>
  </si>
  <si>
    <t>C623788</t>
  </si>
  <si>
    <t>MCP6N11T-002E/MNYCT-ND</t>
  </si>
  <si>
    <t>MCP6N11-005E/SN</t>
  </si>
  <si>
    <t>MCP6N11-005E/SN-ND</t>
  </si>
  <si>
    <t>MCP6N11T-005E/SN</t>
  </si>
  <si>
    <t>MCP6N11T-005E/SN-ND</t>
  </si>
  <si>
    <t>C623791</t>
  </si>
  <si>
    <t>MCP6N11T-005E/MNY</t>
  </si>
  <si>
    <t>MCP6N11T-005E/MNYCT-ND</t>
  </si>
  <si>
    <t>C623790</t>
  </si>
  <si>
    <t>MCP6N11T-010E/MNY</t>
  </si>
  <si>
    <t>C623792</t>
  </si>
  <si>
    <t>MCP6N11T-100E/MNY</t>
  </si>
  <si>
    <t>C623794</t>
  </si>
  <si>
    <t>MCP6N11T-010E/MNYCT-ND</t>
  </si>
  <si>
    <t>MCP6N11T-100E/MNYCT-ND</t>
  </si>
  <si>
    <t>MCP6N11-010E/SN</t>
  </si>
  <si>
    <t>C636377</t>
  </si>
  <si>
    <t>MCP6N11-100E/SN</t>
  </si>
  <si>
    <t>C636378</t>
  </si>
  <si>
    <t>MCP6N11-010E/SN-ND</t>
  </si>
  <si>
    <t>MCP6N11T-010E/SN</t>
  </si>
  <si>
    <t>MCP6N11T-010E/SNCT-ND</t>
  </si>
  <si>
    <t>MCP6N11-100E/SN-ND</t>
  </si>
  <si>
    <t>MCP6N11T-100E/SN</t>
  </si>
  <si>
    <t>MCP6N11T-100E/SN-ND</t>
  </si>
  <si>
    <t>TLV314IDBVR</t>
  </si>
  <si>
    <t>TLV314IDBVT</t>
  </si>
  <si>
    <t>TLV314IDCKT</t>
  </si>
  <si>
    <t>TLV2314IDGKR</t>
  </si>
  <si>
    <t>TLV314IDCK</t>
  </si>
  <si>
    <t>TLV314IDBV</t>
  </si>
  <si>
    <t>TLV2314IDGK</t>
  </si>
  <si>
    <t>TLV4314IPW</t>
  </si>
  <si>
    <t>SOP065P640X120-14NW</t>
  </si>
  <si>
    <t>TLV2314IDR</t>
  </si>
  <si>
    <t>TLV2314ID</t>
  </si>
  <si>
    <t>TSSOP-14</t>
  </si>
  <si>
    <t>SC-70</t>
  </si>
  <si>
    <t>SOP065P500X110-8NW</t>
  </si>
  <si>
    <t>https://www.ti.com/lit/ds/symlink/tlv4314.pdf</t>
  </si>
  <si>
    <t>DFN050P300X200X075-8-EP140X140</t>
  </si>
  <si>
    <t>296-46275-1-ND</t>
  </si>
  <si>
    <t>296-44110-2-ND</t>
  </si>
  <si>
    <t>TLV314IDCKR</t>
  </si>
  <si>
    <t>TLV2314IDGKT</t>
  </si>
  <si>
    <t>296-46276-1-ND</t>
  </si>
  <si>
    <t>296-TLV314IDCKTCT-ND</t>
  </si>
  <si>
    <t>296-TLV2314IDGKRCT-ND</t>
  </si>
  <si>
    <t>296-44079-1-ND</t>
  </si>
  <si>
    <t>296-47284-1-ND</t>
  </si>
  <si>
    <t>TLV4314IPWR</t>
  </si>
  <si>
    <t>296-47289-1-ND</t>
  </si>
  <si>
    <t>C133032</t>
  </si>
  <si>
    <t>C128878</t>
  </si>
  <si>
    <t>C2860304</t>
  </si>
  <si>
    <t>C2057605</t>
  </si>
  <si>
    <t>C106874</t>
  </si>
  <si>
    <t>TLV1701AIDBV</t>
  </si>
  <si>
    <t>TLV1701AIDCK</t>
  </si>
  <si>
    <t>TLV1701AIDRL</t>
  </si>
  <si>
    <t>TLV1702AIDGK</t>
  </si>
  <si>
    <t>TLV1702AIRUG</t>
  </si>
  <si>
    <t>TLV1704AIPW</t>
  </si>
  <si>
    <t>TLV1701AIDBVR</t>
  </si>
  <si>
    <t>TLV1701AIDCKR</t>
  </si>
  <si>
    <t>TLV1701AIDRLR</t>
  </si>
  <si>
    <t>TLV1702AIDGKR</t>
  </si>
  <si>
    <t>TLV1702AIRUGR</t>
  </si>
  <si>
    <t>TLV1704AIPWR</t>
  </si>
  <si>
    <t>SOT553-5</t>
  </si>
  <si>
    <t>X2QFN-8</t>
  </si>
  <si>
    <t>https://www.ti.com/lit/ds/symlink/tlv1701.pdf</t>
  </si>
  <si>
    <t>SOT50P160X60-5-NW</t>
  </si>
  <si>
    <t>QFN050P150X150X040-8</t>
  </si>
  <si>
    <t>296-40599-1-ND</t>
  </si>
  <si>
    <t>296-47458-1-ND</t>
  </si>
  <si>
    <t>TLV1701QDBVRQ1</t>
  </si>
  <si>
    <t>296-40600-1-ND</t>
  </si>
  <si>
    <t>296-TLV1701AIDRLRCT-ND</t>
  </si>
  <si>
    <t>296-37236-1-ND</t>
  </si>
  <si>
    <t>296-42619-1-ND</t>
  </si>
  <si>
    <t>296-38432-1-ND</t>
  </si>
  <si>
    <t>C181596</t>
  </si>
  <si>
    <t>C132010</t>
  </si>
  <si>
    <t>C2870937</t>
  </si>
  <si>
    <t>C702101</t>
  </si>
  <si>
    <t>C2870416</t>
  </si>
  <si>
    <t>C130035</t>
  </si>
  <si>
    <t>PXN028-100QLJ</t>
  </si>
  <si>
    <t>N-channel 100 V, 28 mOhm, logic level Trench MOSFET in MLPAK33</t>
  </si>
  <si>
    <t>https://assets.nexperia.com/documents/data-sheet/PXN028-100QL.pdf</t>
  </si>
  <si>
    <t>1727-PXN028-100QLJCT-ND</t>
  </si>
  <si>
    <t>SUM90220E-GE3</t>
  </si>
  <si>
    <t>SUM90220E-GE3CT-ND</t>
  </si>
  <si>
    <t>Vishay Siliconix</t>
  </si>
  <si>
    <t>https://www.vishay.com/docs/75153/sum90220e.pdf</t>
  </si>
  <si>
    <t>N-Channel 200 V (D-S) 175 °C MOSFE</t>
  </si>
  <si>
    <t>TO-263</t>
  </si>
  <si>
    <t>TO254P1530X1035-3</t>
  </si>
  <si>
    <t>C3291093</t>
  </si>
  <si>
    <t>Private Library Path</t>
  </si>
  <si>
    <t>../altium_lib_private/</t>
  </si>
  <si>
    <t>OPA_O1_P3_N4_VCC5_VEE2</t>
  </si>
  <si>
    <t>OPA_O4_P1_N3_VCC5_VEE2</t>
  </si>
  <si>
    <t>TLV314 SOT23</t>
  </si>
  <si>
    <t>OPA2_O1-7_P3-5_N2-6_VCC8_VEE4</t>
  </si>
  <si>
    <t>OPA4_O1-7-8-14_P3-5-10-12_N2-6-9-13_VCC4_VEE11</t>
  </si>
  <si>
    <t>OPA4_O2-1-14-13_P5-7-9-11_N4-6-8-10_VCC3_VEE12</t>
  </si>
  <si>
    <t>TLV2314 VSSOP</t>
  </si>
  <si>
    <t>TLV2314 SOIC</t>
  </si>
  <si>
    <t>TLV4314 TSSOP</t>
  </si>
  <si>
    <t>TLV1701 SOT23</t>
  </si>
  <si>
    <t>TLV1701 SC-70</t>
  </si>
  <si>
    <t>TLV314 SC-70</t>
  </si>
  <si>
    <t>TLV1701 SOT553</t>
  </si>
  <si>
    <t>TLV1702 VSSOP</t>
  </si>
  <si>
    <t>TLV1702 QFN</t>
  </si>
  <si>
    <t>TLV1704 TSSOP</t>
  </si>
  <si>
    <t>OPA_O4_P3_N1_VCC5_VEE2</t>
  </si>
  <si>
    <t>BAV199E6433HTMA1</t>
  </si>
  <si>
    <t>Silicon Low Leakage Diode 85V</t>
  </si>
  <si>
    <t>BAV199E6433HTMA1CT-ND</t>
  </si>
  <si>
    <t>https://www.infineon.com/dgdl/bav199series.pdf?folderId=db3a30431400ef6801141c748874044e&amp;fileId=db3a30431400ef6801141cba733104e5</t>
  </si>
  <si>
    <t>LBAV199LT1G</t>
  </si>
  <si>
    <t>LRC</t>
  </si>
  <si>
    <t>C12740</t>
  </si>
  <si>
    <t>LM5168P</t>
  </si>
  <si>
    <t>LM5168</t>
  </si>
  <si>
    <t>LM5168F</t>
  </si>
  <si>
    <t>LM5169P</t>
  </si>
  <si>
    <t>LM5169F</t>
  </si>
  <si>
    <t>296-LM5168PDDARCT-ND</t>
  </si>
  <si>
    <t>SO8-EP</t>
  </si>
  <si>
    <t>https://www.ti.com/lit/ds/symlink/lm5168.pdf</t>
  </si>
  <si>
    <t>LM5168PDDAR</t>
  </si>
  <si>
    <t>296-LM5168FDDARCT-ND</t>
  </si>
  <si>
    <t>LM5168FDDAR</t>
  </si>
  <si>
    <t>296-LM5169FDDARCT-ND</t>
  </si>
  <si>
    <t>LM5169FDDAR</t>
  </si>
  <si>
    <t>296-LM5169PDDARCT-ND</t>
  </si>
  <si>
    <t>LM5169PDDAR</t>
  </si>
  <si>
    <t>C5751958</t>
  </si>
  <si>
    <t>C3192338</t>
  </si>
  <si>
    <t>C5439798</t>
  </si>
  <si>
    <t>C6286804</t>
  </si>
  <si>
    <t>AZ743</t>
  </si>
  <si>
    <t>AZ743-2CB-115AEF</t>
  </si>
  <si>
    <t>AZ743-2C-110DE</t>
  </si>
  <si>
    <t>3385-AZ743-2CB-115AEF-ND</t>
  </si>
  <si>
    <t>3385-AZ743-2C-110DE-ND</t>
  </si>
  <si>
    <t>https://www.azettler.com/pdfs/az743.pdf</t>
  </si>
  <si>
    <t>RELAY GEN PURPOSE DPDT 10A 115V</t>
  </si>
  <si>
    <t>RELAY GEN PURPOSE DPDT 10A 110V</t>
  </si>
  <si>
    <t>AZ733-2CE-24DE</t>
  </si>
  <si>
    <t>AZ733-2AE-12DE</t>
  </si>
  <si>
    <t>AZ733-2AE-5DE</t>
  </si>
  <si>
    <t>AZ733-2AE-24DE</t>
  </si>
  <si>
    <t>AZ733-2CE-12DE</t>
  </si>
  <si>
    <t>AZ733-2CE-5DE</t>
  </si>
  <si>
    <t>AZ733-2AE-9DE</t>
  </si>
  <si>
    <t>AZ733-2CE-9DE</t>
  </si>
  <si>
    <t>RELAY GEN PURPOSE DPDT 12A 24V</t>
  </si>
  <si>
    <t>RELAY GEN PURPOSE DPST 12A 12V</t>
  </si>
  <si>
    <t>RELAY GEN PURPOSE DPST 12A 5V</t>
  </si>
  <si>
    <t>RELAY GEN PURPOSE DPST 12A 24V</t>
  </si>
  <si>
    <t>RELAY GEN PURPOSE DPDT 12A 12V</t>
  </si>
  <si>
    <t>RELAY GEN PURPOSE DPDT 12A 5V</t>
  </si>
  <si>
    <t>RELAY GEN PURPOSE DPST 12A 9V</t>
  </si>
  <si>
    <t>RELAY GEN PURPOSE DPDT 12A 9V</t>
  </si>
  <si>
    <t>https://www.azettler.com/pdfs/az733.pdf</t>
  </si>
  <si>
    <t>AZ733</t>
  </si>
  <si>
    <t>3385-AZ733-2CE-24DE-ND</t>
  </si>
  <si>
    <t>3385-AZ733-2AE-12DE-ND</t>
  </si>
  <si>
    <t>3385-AZ733-2AE-5DE-ND</t>
  </si>
  <si>
    <t>3385-AZ733-2AE-24DE-ND</t>
  </si>
  <si>
    <t>3385-AZ733-2CE-12DE-ND</t>
  </si>
  <si>
    <t>3385-AZ733-2CE-5DE-ND</t>
  </si>
  <si>
    <t>3385-AZ733-2AE-9DE-ND</t>
  </si>
  <si>
    <t>3385-AZ733-2CE-9DE-ND</t>
  </si>
  <si>
    <t>https://mm.digikey.com/Volume0/opasdata/d220001/medias/docus/5334/PAC18R_Series_DS.pdf</t>
  </si>
  <si>
    <t>118-PAC18R1-43D19F-ND</t>
  </si>
  <si>
    <t>118-PAC18R1-41D28F-ND</t>
  </si>
  <si>
    <t>118-PAC18R1-43D28F-ND</t>
  </si>
  <si>
    <t>118-PAC18R1-41D19F-ND</t>
  </si>
  <si>
    <t>PAC18R1-43D19F</t>
  </si>
  <si>
    <t>PAC18R1-41D28F</t>
  </si>
  <si>
    <t>PAC18R1-43D28F</t>
  </si>
  <si>
    <t>PAC18R1-41D19F</t>
  </si>
  <si>
    <t>PAC18R1-4XX19F</t>
  </si>
  <si>
    <t>PAC18R1-4XX28F</t>
  </si>
  <si>
    <t>ENC_ABS_PAC18R</t>
  </si>
  <si>
    <t>ENCODER</t>
  </si>
  <si>
    <t>https://www.ti.com/lit/ds/symlink/lv3842.pdf</t>
  </si>
  <si>
    <t>LV3842XFDBVR</t>
  </si>
  <si>
    <t>LV3842XDBVR</t>
  </si>
  <si>
    <t>LV3842XF</t>
  </si>
  <si>
    <t>LV3842X</t>
  </si>
  <si>
    <t>296-LV3842XFDBVR-ND</t>
  </si>
  <si>
    <t>296-LV3842XDBVR-ND</t>
  </si>
  <si>
    <t>C22428295</t>
  </si>
  <si>
    <t>C3345129</t>
  </si>
  <si>
    <t>RS-Components</t>
  </si>
  <si>
    <t>CSACTT004</t>
  </si>
  <si>
    <t>127-1065</t>
  </si>
  <si>
    <t>CAMDENBOSS</t>
  </si>
  <si>
    <t>https://www.camdenboss.com/products/datasheet/1100%20series%20recessed%20electronics%20enclosure_D.pdf</t>
  </si>
  <si>
    <t>Case</t>
  </si>
  <si>
    <t>SCH/Mech.SchLib</t>
  </si>
  <si>
    <t>CSACTT004 Stylish Case</t>
  </si>
  <si>
    <t>DR73-100-R</t>
  </si>
  <si>
    <t>DR73-101-R</t>
  </si>
  <si>
    <t>DR73-102-R</t>
  </si>
  <si>
    <t>DR73-150-R</t>
  </si>
  <si>
    <t>DR73-151-R</t>
  </si>
  <si>
    <t>DR73-1R0-R</t>
  </si>
  <si>
    <t>DR73-1R5-R</t>
  </si>
  <si>
    <t>DR73-220-R</t>
  </si>
  <si>
    <t>DR73-221-R</t>
  </si>
  <si>
    <t>DR73-2R2-R</t>
  </si>
  <si>
    <t>DR73-330-R</t>
  </si>
  <si>
    <t>DR73-331-R</t>
  </si>
  <si>
    <t>DR73-3R3-R</t>
  </si>
  <si>
    <t>DR73-470-R</t>
  </si>
  <si>
    <t>DR73-471-R</t>
  </si>
  <si>
    <t>DR73-4R7-R</t>
  </si>
  <si>
    <t>DR73-680-R</t>
  </si>
  <si>
    <t>DR73-681-R</t>
  </si>
  <si>
    <t>DR73-6R8-R</t>
  </si>
  <si>
    <t>DR73-820-R</t>
  </si>
  <si>
    <t>DR73-821-R</t>
  </si>
  <si>
    <t>DR73-8R2-R</t>
  </si>
  <si>
    <t>DR73-R33-R</t>
  </si>
  <si>
    <t>DR74-100-R</t>
  </si>
  <si>
    <t>DR74-101</t>
  </si>
  <si>
    <t>DR74-101-R</t>
  </si>
  <si>
    <t>DR74-102-R</t>
  </si>
  <si>
    <t>DR74-150-R</t>
  </si>
  <si>
    <t>DR74-151-R</t>
  </si>
  <si>
    <t>DR74-1R0-R</t>
  </si>
  <si>
    <t>DR74-1R5-R</t>
  </si>
  <si>
    <t>DR74-220-R</t>
  </si>
  <si>
    <t>DR74-221-R</t>
  </si>
  <si>
    <t>DR74-2R2-R</t>
  </si>
  <si>
    <t>DR74-330-R</t>
  </si>
  <si>
    <t>DR74-331-R</t>
  </si>
  <si>
    <t>DR74-3R3-R</t>
  </si>
  <si>
    <t>DR74-470-R</t>
  </si>
  <si>
    <t>DR74-471-R</t>
  </si>
  <si>
    <t>DR74-4R7-R</t>
  </si>
  <si>
    <t>DR74-680-R</t>
  </si>
  <si>
    <t>DR74-681-R</t>
  </si>
  <si>
    <t>DR74-6R8-R</t>
  </si>
  <si>
    <t>DR74-820-R</t>
  </si>
  <si>
    <t>DR74-821-R</t>
  </si>
  <si>
    <t>DR74-8R2-R</t>
  </si>
  <si>
    <t>DR74-R33-R</t>
  </si>
  <si>
    <t>10UH\7635</t>
  </si>
  <si>
    <t>100UH\7635</t>
  </si>
  <si>
    <t>1MH\7635</t>
  </si>
  <si>
    <t>15UH\7635</t>
  </si>
  <si>
    <t>150UH\7635</t>
  </si>
  <si>
    <t>1UH\7635</t>
  </si>
  <si>
    <t>1.5UH\7635</t>
  </si>
  <si>
    <t>22UH\7635</t>
  </si>
  <si>
    <t>220UH\7635</t>
  </si>
  <si>
    <t>2.2UH\7635</t>
  </si>
  <si>
    <t>33UH\7635</t>
  </si>
  <si>
    <t>330UH\7635</t>
  </si>
  <si>
    <t>3.3UH\7635</t>
  </si>
  <si>
    <t>47UH\7635</t>
  </si>
  <si>
    <t>470UH\7635</t>
  </si>
  <si>
    <t>4.7UH\7635</t>
  </si>
  <si>
    <t>68UH\7635</t>
  </si>
  <si>
    <t>680UH\7635</t>
  </si>
  <si>
    <t>6.8UH\7635</t>
  </si>
  <si>
    <t>82UH\7635</t>
  </si>
  <si>
    <t>820UH\7635</t>
  </si>
  <si>
    <t>8.2UH\7635</t>
  </si>
  <si>
    <t>330NH\7635</t>
  </si>
  <si>
    <t>10UH\7643</t>
  </si>
  <si>
    <t>100UH\7643</t>
  </si>
  <si>
    <t>1MH\7643</t>
  </si>
  <si>
    <t>15UH\7643</t>
  </si>
  <si>
    <t>150UH\7643</t>
  </si>
  <si>
    <t>1UH\7643</t>
  </si>
  <si>
    <t>1.5UH\7643</t>
  </si>
  <si>
    <t>22UH\7643</t>
  </si>
  <si>
    <t>220UH\7643</t>
  </si>
  <si>
    <t>2.2UH\7643</t>
  </si>
  <si>
    <t>33UH\7643</t>
  </si>
  <si>
    <t>330UH\7643</t>
  </si>
  <si>
    <t>3.3UH\7643</t>
  </si>
  <si>
    <t>47UH\7643</t>
  </si>
  <si>
    <t>470UH\7643</t>
  </si>
  <si>
    <t>4.7UH\7643</t>
  </si>
  <si>
    <t>68UH\7643</t>
  </si>
  <si>
    <t>680UH\7643</t>
  </si>
  <si>
    <t>6.8UH\7643</t>
  </si>
  <si>
    <t>82UH\7643</t>
  </si>
  <si>
    <t>820UH\7643</t>
  </si>
  <si>
    <t>8.2UH\7643</t>
  </si>
  <si>
    <t>330NH\7643</t>
  </si>
  <si>
    <t>FIXED IND 10UH 2.08A 65.6MOHM SM</t>
  </si>
  <si>
    <t>FIXED IND 100UH 730MA 527MOHM SM</t>
  </si>
  <si>
    <t>FIXED IND 1MH 260MA 4.34 OHM SMD</t>
  </si>
  <si>
    <t>FIXED IND 15UH 1.83A 84.4MOHM SM</t>
  </si>
  <si>
    <t>FIXED IND 150UH 580MA 851MOHM SM</t>
  </si>
  <si>
    <t>FIXED IND 1UH 5.28A 10.2MOHM SMD</t>
  </si>
  <si>
    <t>FIXED IND 1.5UH 4.67A 13MOHM SMD</t>
  </si>
  <si>
    <t>FIXED IND 22UH 1.62A 107MOHM SMD</t>
  </si>
  <si>
    <t>FIXED IND 220UH 520MA 1.05OHM SM</t>
  </si>
  <si>
    <t>FIXED IND 2.2UH 4.15A 16.5 MOHM</t>
  </si>
  <si>
    <t>FIXED IND 33UH 1.31A 166MOHM SMD</t>
  </si>
  <si>
    <t>FIXED IND 330UH 420MA 1.59OHM SM</t>
  </si>
  <si>
    <t>FIXED IND 3.3UH 3.31A 25.9 MOHM</t>
  </si>
  <si>
    <t>FIXED IND 47UH 1.08A 241MOHM SMD</t>
  </si>
  <si>
    <t>FIXED IND 470UH 350MA 2.36OHM SM</t>
  </si>
  <si>
    <t>FIXED IND 4.7UH 3.09A 29.7 MOHM</t>
  </si>
  <si>
    <t>FIXED IND 68UH 890MA 358MOHM SMD</t>
  </si>
  <si>
    <t>FIXED IND 680UH 290MA 3.47OHM SM</t>
  </si>
  <si>
    <t>FIXED IND 6.8UH 2.55A 43.5 MOHM</t>
  </si>
  <si>
    <t>FIXED IND 82UH 860MA 384MOHM SMD</t>
  </si>
  <si>
    <t>FIXED IND 820UH 270MA 3.93OHM SM</t>
  </si>
  <si>
    <t>FIXED IND 8.2UH 2.19A 59.2 MOHM</t>
  </si>
  <si>
    <t>FIXED IND 330NH 6.21A 7.3MOHM SM</t>
  </si>
  <si>
    <t>FIXED IND 10UH 2.41A 48.9MOHM SM</t>
  </si>
  <si>
    <t>FIXED IND 100UH 860MA 383MOHM SM</t>
  </si>
  <si>
    <t>FIXED IND 1MH 270MA 3.89 OHM SMD</t>
  </si>
  <si>
    <t>FIXED IND 15UH 2.11A 63.7MOHM SM</t>
  </si>
  <si>
    <t>FIXED IND 150UH 690MA 591MOHM SM</t>
  </si>
  <si>
    <t>FIXED IND 1UH 5.39A 9.9 MOHM SMD</t>
  </si>
  <si>
    <t>FIXED IND 1.5UH 4.94A 11.8 MOHM</t>
  </si>
  <si>
    <t>FIXED IND 22UH 1.75A 92.5MOHM SM</t>
  </si>
  <si>
    <t>FIXED IND 220UH 560MA 907MOHM SM</t>
  </si>
  <si>
    <t>FIXED IND 2.2UH 4.76A 12.6 MOHM</t>
  </si>
  <si>
    <t>FIXED IND 33UH 1.41A 143MOHM SMD</t>
  </si>
  <si>
    <t>FIXED IND 330UH 450MA 1.41OHM SM</t>
  </si>
  <si>
    <t>FIXED IND 3.3UH 3.94A 18.3 MOHM</t>
  </si>
  <si>
    <t>FIXED IND 47UH 1.15A 216MOHM SMD</t>
  </si>
  <si>
    <t>FIXED IND 470UH 400MA 1.74OHM SM</t>
  </si>
  <si>
    <t>FIXED IND 4.7UH 3.34A 25.4 MOHM</t>
  </si>
  <si>
    <t>FIXED IND 68UH 1.03A 265MOHM SMD</t>
  </si>
  <si>
    <t>FIXED IND 680UH 330MA 2.58OHM SM</t>
  </si>
  <si>
    <t>FIXED IND 6.8UH 2.6A 41.8MOHM SM</t>
  </si>
  <si>
    <t>FIXED IND 82UH 910MA 345MOHM SMD</t>
  </si>
  <si>
    <t>FIXED IND 820UH 310MA 2.93OHM SM</t>
  </si>
  <si>
    <t>FIXED IND 8.2UH 2.53A 44.1 MOHM</t>
  </si>
  <si>
    <t>FIXED IND 330NH 6.26A 7.4MOHM SM</t>
  </si>
  <si>
    <t>Eaton - Electronics Division</t>
  </si>
  <si>
    <t>100UH</t>
  </si>
  <si>
    <t>150UH</t>
  </si>
  <si>
    <t>330UH</t>
  </si>
  <si>
    <t>47UH</t>
  </si>
  <si>
    <t>470UH</t>
  </si>
  <si>
    <t>68UH</t>
  </si>
  <si>
    <t>680UH</t>
  </si>
  <si>
    <t>82UH</t>
  </si>
  <si>
    <t>https://www.eaton.com/content/dam/eaton/products/electronic-components/resources/data-sheet/eaton-dr-high-power-density-high-efficiency-shielded-drum-core-power-inductors-data-sheet.pdf</t>
  </si>
  <si>
    <t>INDM7676X35</t>
  </si>
  <si>
    <t>INDM7676X43</t>
  </si>
  <si>
    <t>https://www.te.com/usa-en/product-2-2176412-5.datasheet.pdf</t>
  </si>
  <si>
    <t>https://www.te.com/usa-en/product-8-2176412-6.datasheet.pdf</t>
  </si>
  <si>
    <t>https://www.te.com/usa-en/product-2-2176412-7.datasheet.pdf</t>
  </si>
  <si>
    <t>https://www.te.com/usa-en/product-4-2176412-1.datasheet.pdf</t>
  </si>
  <si>
    <t>https://www.te.com/usa-en/product-9-2176412-6.datasheet.pdf</t>
  </si>
  <si>
    <t>https://www.te.com/usa-en/product-3-2176412-2.datasheet.pdf</t>
  </si>
  <si>
    <t>https://www.te.com/usa-en/product-1-2176412-2.datasheet.pdf</t>
  </si>
  <si>
    <t>https://www.te.com/usa-en/product-4-2176412-0.datasheet.pdf</t>
  </si>
  <si>
    <t>https://www.te.com/usa-en/product-1-2176412-8.datasheet.pdf</t>
  </si>
  <si>
    <t>https://www.te.com/usa-en/product-2-2176412-6.datasheet.pdf</t>
  </si>
  <si>
    <t>https://www.te.com/usa-en/product-9-2176412-4.datasheet.pdf</t>
  </si>
  <si>
    <t>https://www.te.com/usa-en/product-4-2176412-8.datasheet.pdf</t>
  </si>
  <si>
    <t>https://www.te.com/usa-en/product-4-2176412-2.datasheet.pdf</t>
  </si>
  <si>
    <t>https://www.te.com/usa-en/product-7-2176412-8.datasheet.pdf</t>
  </si>
  <si>
    <t>https://www.te.com/usa-en/product-7-2176412-0.datasheet.pdf</t>
  </si>
  <si>
    <t>https://www.te.com/usa-en/product-7-2176412-4.datasheet.pdf</t>
  </si>
  <si>
    <t>https://www.te.com/usa-en/product-2176413-5.datasheet.pdf</t>
  </si>
  <si>
    <t>https://www.te.com/usa-en/product-1-2176412-3.datasheet.pdf</t>
  </si>
  <si>
    <t>https://www.te.com/usa-en/product-9-2176412-2.datasheet.pdf</t>
  </si>
  <si>
    <t>https://www.te.com/usa-en/product-5-2176412-7.datasheet.pdf</t>
  </si>
  <si>
    <t>https://www.te.com/usa-en/product-3-2176412-3.datasheet.pdf</t>
  </si>
  <si>
    <t>https://www.te.com/usa-en/product-3-2176412-9.datasheet.pdf</t>
  </si>
  <si>
    <t>https://www.te.com/usa-en/product-4-2176412-4.datasheet.pdf</t>
  </si>
  <si>
    <t>https://www.te.com/usa-en/product-5-2176412-1.datasheet.pdf</t>
  </si>
  <si>
    <t>https://www.te.com/usa-en/product-3-2176412-4.datasheet.pdf</t>
  </si>
  <si>
    <t>https://www.te.com/usa-en/product-1-2176412-4.datasheet.pdf</t>
  </si>
  <si>
    <t>https://www.te.com/usa-en/product-5-2176412-6.datasheet.pdf</t>
  </si>
  <si>
    <t>https://www.te.com/usa-en/product-6-2176412-3.datasheet.pdf</t>
  </si>
  <si>
    <t>https://www.te.com/usa-en/product-7-2176412-6.datasheet.pdf</t>
  </si>
  <si>
    <t>https://www.te.com/usa-en/product-2-2176412-4.datasheet.pdf</t>
  </si>
  <si>
    <t>https://www.te.com/usa-en/product-2-2176412-9.datasheet.pdf</t>
  </si>
  <si>
    <t>https://www.te.com/usa-en/product-7-2176412-2.datasheet.pdf</t>
  </si>
  <si>
    <t>https://www.te.com/usa-en/product-8-2176412-2.datasheet.pdf</t>
  </si>
  <si>
    <t>https://www.te.com/usa-en/product-3-2176412-5.datasheet.pdf</t>
  </si>
  <si>
    <t>https://www.te.com/usa-en/product-3-2176412-7.datasheet.pdf</t>
  </si>
  <si>
    <t>https://www.te.com/usa-en/product-2176413-1.datasheet.pdf</t>
  </si>
  <si>
    <t>https://www.te.com/usa-en/product-1-2176412-5.datasheet.pdf</t>
  </si>
  <si>
    <t>https://www.te.com/usa-en/product-8-2176412-4.datasheet.pdf</t>
  </si>
  <si>
    <t>https://www.te.com/usa-en/product-4-2176412-6.datasheet.pdf</t>
  </si>
  <si>
    <t>https://www.te.com/usa-en/product-6-2176412-4.datasheet.pdf</t>
  </si>
  <si>
    <t>https://www.te.com/usa-en/product-8-2176412-7.datasheet.pdf</t>
  </si>
  <si>
    <t>https://www.te.com/usa-en/product-3-2176412-8.datasheet.pdf</t>
  </si>
  <si>
    <t>https://www.te.com/usa-en/product-4-2176412-5.datasheet.pdf</t>
  </si>
  <si>
    <t>https://www.te.com/usa-en/product-7-2176412-3.datasheet.pdf</t>
  </si>
  <si>
    <t>https://www.te.com/usa-en/product-2-2176412-3.datasheet.pdf</t>
  </si>
  <si>
    <t>https://www.te.com/usa-en/product-4-2176412-9.datasheet.pdf</t>
  </si>
  <si>
    <t>https://www.te.com/usa-en/product-9-2176412-1.datasheet.pdf</t>
  </si>
  <si>
    <t>https://www.te.com/usa-en/product-9-2176412-8.datasheet.pdf</t>
  </si>
  <si>
    <t>https://www.te.com/usa-en/product-8-2176412-0.datasheet.pdf</t>
  </si>
  <si>
    <t>https://www.te.com/usa-en/product-2176412-1.datasheet.pdf</t>
  </si>
  <si>
    <t>https://www.te.com/usa-en/product-2176412-3.datasheet.pdf</t>
  </si>
  <si>
    <t>https://www.te.com/usa-en/product-2176412-5.datasheet.pdf</t>
  </si>
  <si>
    <t>https://www.te.com/usa-en/product-9-2176412-0.datasheet.pdf</t>
  </si>
  <si>
    <t>https://www.te.com/usa-en/product-2176412-6.datasheet.pdf</t>
  </si>
  <si>
    <t>https://www.te.com/usa-en/product-1-2176412-9.datasheet.pdf</t>
  </si>
  <si>
    <t>https://www.te.com/usa-en/product-2176412-8.datasheet.pdf</t>
  </si>
  <si>
    <t>https://www.te.com/usa-en/product-2176412-2.datasheet.pdf</t>
  </si>
  <si>
    <t>https://www.te.com/usa-en/product-9-2176412-7.datasheet.pdf</t>
  </si>
  <si>
    <t>https://www.te.com/usa-en/product-5-2176412-0.datasheet.pdf</t>
  </si>
  <si>
    <t>https://www.te.com/usa-en/product-8-2176412-9.datasheet.pdf</t>
  </si>
  <si>
    <t>https://www.te.com/usa-en/product-2-2176412-0.datasheet.pdf</t>
  </si>
  <si>
    <t>https://www.te.com/usa-en/product-6-2176412-9.datasheet.pdf</t>
  </si>
  <si>
    <t>https://www.te.com/usa-en/product-7-2176412-5.datasheet.pdf</t>
  </si>
  <si>
    <t>https://www.te.com/usa-en/product-5-2176412-9.datasheet.pdf</t>
  </si>
  <si>
    <t>https://www.te.com/usa-en/product-5-2176412-5.datasheet.pdf</t>
  </si>
  <si>
    <t>https://www.te.com/usa-en/product-9-2176412-9.datasheet.pdf</t>
  </si>
  <si>
    <t>https://www.te.com/usa-en/product-6-2176412-5.datasheet.pdf</t>
  </si>
  <si>
    <t>https://www.te.com/usa-en/product-8-2176412-3.datasheet.pdf</t>
  </si>
  <si>
    <t>https://www.te.com/usa-en/product-8-2176412-1.datasheet.pdf</t>
  </si>
  <si>
    <t>https://www.te.com/usa-en/product-7-2176412-1.datasheet.pdf</t>
  </si>
  <si>
    <t>https://www.te.com/usa-en/product-7-2176412-9.datasheet.pdf</t>
  </si>
  <si>
    <t>https://www.te.com/usa-en/product-8-2176412-8.datasheet.pdf</t>
  </si>
  <si>
    <t>https://www.te.com/usa-en/product-6-2176412-0.datasheet.pdf</t>
  </si>
  <si>
    <t>https://www.te.com/usa-en/product-5-2176412-3.datasheet.pdf</t>
  </si>
  <si>
    <t>https://www.te.com/usa-en/product-7-2176412-7.datasheet.pdf</t>
  </si>
  <si>
    <t>https://www.te.com/usa-en/product-4-2176412-3.datasheet.pdf</t>
  </si>
  <si>
    <t>https://www.te.com/usa-en/product-1-2176412-6.datasheet.pdf</t>
  </si>
  <si>
    <t>https://www.te.com/usa-en/product-3-2176412-0.datasheet.pdf</t>
  </si>
  <si>
    <t>https://www.te.com/usa-en/product-5-2176412-8.datasheet.pdf</t>
  </si>
  <si>
    <t>https://www.te.com/usa-en/product-3-2176412-6.datasheet.pdf</t>
  </si>
  <si>
    <t>https://www.te.com/usa-en/product-5-2176412-4.datasheet.pdf</t>
  </si>
  <si>
    <t>https://www.te.com/usa-en/product-2176413-2.datasheet.pdf</t>
  </si>
  <si>
    <t>https://www.te.com/usa-en/product-2176412-4.datasheet.pdf</t>
  </si>
  <si>
    <t>https://www.te.com/usa-en/product-5-2176412-2.datasheet.pdf</t>
  </si>
  <si>
    <t>https://www.te.com/usa-en/product-9-2176412-5.datasheet.pdf</t>
  </si>
  <si>
    <t>https://www.te.com/usa-en/product-6-2176412-6.datasheet.pdf</t>
  </si>
  <si>
    <t>https://www.te.com/usa-en/product-1-2176412-0.datasheet.pdf</t>
  </si>
  <si>
    <t>https://www.te.com/usa-en/product-3-2176412-1.datasheet.pdf</t>
  </si>
  <si>
    <t>https://www.te.com/usa-en/product-2-2176412-8.datasheet.pdf</t>
  </si>
  <si>
    <t>https://www.te.com/usa-en/product-2-2176412-2.datasheet.pdf</t>
  </si>
  <si>
    <t>https://www.te.com/usa-en/product-1-2176412-7.datasheet.pdf</t>
  </si>
  <si>
    <t>https://www.te.com/usa-en/product-8-2176412-5.datasheet.pdf</t>
  </si>
  <si>
    <t>https://www.te.com/usa-en/product-6-2176412-2.datasheet.pdf</t>
  </si>
  <si>
    <t>https://www.te.com/usa-en/product-2176413-4.datasheet.pdf</t>
  </si>
  <si>
    <t>https://www.te.com/usa-en/product-2176412-7.datasheet.pdf</t>
  </si>
  <si>
    <t>https://www.te.com/usa-en/product-1-2176412-1.datasheet.pdf</t>
  </si>
  <si>
    <t>https://www.te.com/usa-en/product-6-2176412-8.datasheet.pdf</t>
  </si>
  <si>
    <t>https://www.te.com/usa-en/product-2176413-3.datasheet.pdf</t>
  </si>
  <si>
    <t>https://www.te.com/usa-en/product-2176412-9.datasheet.pdf</t>
  </si>
  <si>
    <t>https://www.te.com/usa-en/product-2-2176412-1.datasheet.pdf</t>
  </si>
  <si>
    <t>https://www.te.com/usa-en/product-9-2176412-3.datasheet.pdf</t>
  </si>
  <si>
    <t>https://www.te.com/usa-en/product-6-2176412-1.datasheet.pdf</t>
  </si>
  <si>
    <t>https://www.te.com/usa-en/product-6-2176412-7.datasheet.pdf</t>
  </si>
  <si>
    <t>https://www.te.com/usa-en/product-4-2176412-7.datasheet.pdf</t>
  </si>
  <si>
    <t>TE Connectivity Passive Product</t>
  </si>
  <si>
    <t>ROX5SSJ51R</t>
  </si>
  <si>
    <t>ROX5SSJ18K</t>
  </si>
  <si>
    <t>ROX5SSJ62R</t>
  </si>
  <si>
    <t>ROX5SSJ240R</t>
  </si>
  <si>
    <t>ROX5SSJ47K</t>
  </si>
  <si>
    <t>ROX5SSJ100R</t>
  </si>
  <si>
    <t>ROX5SSJ15R</t>
  </si>
  <si>
    <t>ROX5SSJ220R</t>
  </si>
  <si>
    <t>ROX5SSJ27R</t>
  </si>
  <si>
    <t>ROX5SSJ56R</t>
  </si>
  <si>
    <t>ROX5SSJ39K</t>
  </si>
  <si>
    <t>ROX5SSJ470R</t>
  </si>
  <si>
    <t>ROX5SSJ270R</t>
  </si>
  <si>
    <t>ROX5SSJ8K2</t>
  </si>
  <si>
    <t>ROX5SSJ3K9</t>
  </si>
  <si>
    <t>ROX5SSJ5K6</t>
  </si>
  <si>
    <t>ROX5SSJ100K</t>
  </si>
  <si>
    <t>ROX5SSJ16R</t>
  </si>
  <si>
    <t>ROX5SSJ33K</t>
  </si>
  <si>
    <t>ROX5SSJ1K1</t>
  </si>
  <si>
    <t>ROX5SSJ110R</t>
  </si>
  <si>
    <t>ROX5SSJ200R</t>
  </si>
  <si>
    <t>ROX5SSJ330R</t>
  </si>
  <si>
    <t>ROX5SSJ620R</t>
  </si>
  <si>
    <t>ROX5SSJ120R</t>
  </si>
  <si>
    <t>ROX5SSJ18R</t>
  </si>
  <si>
    <t>ROX5SSJ1K0</t>
  </si>
  <si>
    <t>ROX5SSJ2K0</t>
  </si>
  <si>
    <t>ROX5SSJ6K8</t>
  </si>
  <si>
    <t>ROX5SSJ47R</t>
  </si>
  <si>
    <t>ROX5SSJ75R</t>
  </si>
  <si>
    <t>ROX5SSJ4K7</t>
  </si>
  <si>
    <t>ROX5SSJ12K</t>
  </si>
  <si>
    <t>ROX5SSJ130R</t>
  </si>
  <si>
    <t>ROX5SSJ160R</t>
  </si>
  <si>
    <t>ROX5SSJ68K</t>
  </si>
  <si>
    <t>ROX5SSJ20R</t>
  </si>
  <si>
    <t>ROX5SSJ15K</t>
  </si>
  <si>
    <t>ROX5SSJ390R</t>
  </si>
  <si>
    <t>ROX5SSJ2K2</t>
  </si>
  <si>
    <t>ROX5SSJ20K</t>
  </si>
  <si>
    <t>ROX5SSJ180R</t>
  </si>
  <si>
    <t>ROX5SSJ360R</t>
  </si>
  <si>
    <t>ROX5SSJ5K1</t>
  </si>
  <si>
    <t>ROX5SSJ43R</t>
  </si>
  <si>
    <t>ROX5SSJ510R</t>
  </si>
  <si>
    <t>ROX5SSJ30K</t>
  </si>
  <si>
    <t>ROX5SSJ56K</t>
  </si>
  <si>
    <t>ROX5SSJ10K</t>
  </si>
  <si>
    <t>ROX5SSJ5R1</t>
  </si>
  <si>
    <t>ROX5SSJ6R2</t>
  </si>
  <si>
    <t>ROX5SSJ7R5</t>
  </si>
  <si>
    <t>ROX5SSJ27K</t>
  </si>
  <si>
    <t>ROX5SSJ8R2</t>
  </si>
  <si>
    <t>ROX5SSJ30R</t>
  </si>
  <si>
    <t>ROX5SSJ10R</t>
  </si>
  <si>
    <t>ROX5SSJ5R6</t>
  </si>
  <si>
    <t>ROX5SSJ51K</t>
  </si>
  <si>
    <t>ROX5SSJ560R</t>
  </si>
  <si>
    <t>ROX5SSJ24K</t>
  </si>
  <si>
    <t>ROX5SSJ33R</t>
  </si>
  <si>
    <t>ROX5SSJ3K6</t>
  </si>
  <si>
    <t>ROX5SSJ6K2</t>
  </si>
  <si>
    <t>ROX5SSJ1K3</t>
  </si>
  <si>
    <t>ROX5SSJ910R</t>
  </si>
  <si>
    <t>ROX5SSJ62K</t>
  </si>
  <si>
    <t>ROX5SSJ2K4</t>
  </si>
  <si>
    <t>ROX5SSJ13K</t>
  </si>
  <si>
    <t>ROX5SSJ11K</t>
  </si>
  <si>
    <t>ROX5SSJ4K3</t>
  </si>
  <si>
    <t>ROX5SSJ9K1</t>
  </si>
  <si>
    <t>ROX5SSJ22K</t>
  </si>
  <si>
    <t>ROX5SSJ1K5</t>
  </si>
  <si>
    <t>ROX5SSJ750R</t>
  </si>
  <si>
    <t>ROX5SSJ7K5</t>
  </si>
  <si>
    <t>ROX5SSJ300R</t>
  </si>
  <si>
    <t>ROX5SSJ22R</t>
  </si>
  <si>
    <t>ROX5SSJ82R</t>
  </si>
  <si>
    <t>ROX5SSJ1K2</t>
  </si>
  <si>
    <t>ROX5SSJ150R</t>
  </si>
  <si>
    <t>ROX5SSJ820R</t>
  </si>
  <si>
    <t>ROX5SSJ75K</t>
  </si>
  <si>
    <t>ROX5SSJ6R8</t>
  </si>
  <si>
    <t>ROX5SSJ680R</t>
  </si>
  <si>
    <t>ROX5SSJ43K</t>
  </si>
  <si>
    <t>ROX5SSJ2K7</t>
  </si>
  <si>
    <t>ROX5SSJ12R</t>
  </si>
  <si>
    <t>ROX5SSJ91R</t>
  </si>
  <si>
    <t>ROX5SSJ68R</t>
  </si>
  <si>
    <t>ROX5SSJ39R</t>
  </si>
  <si>
    <t>ROX5SSJ24R</t>
  </si>
  <si>
    <t>ROX5SSJ16K</t>
  </si>
  <si>
    <t>ROX5SSJ1K8</t>
  </si>
  <si>
    <t>ROX5SSJ91K</t>
  </si>
  <si>
    <t>ROX5SSJ9R1</t>
  </si>
  <si>
    <t>ROX5SSJ13R</t>
  </si>
  <si>
    <t>ROX5SSJ3K3</t>
  </si>
  <si>
    <t>ROX5SSJ82K</t>
  </si>
  <si>
    <t>ROX5SSJ11R</t>
  </si>
  <si>
    <t>ROX5SSJ36R</t>
  </si>
  <si>
    <t>ROX5SSJ36K</t>
  </si>
  <si>
    <t>ROX5SSJ1K6</t>
  </si>
  <si>
    <t>ROX5SSJ3K0</t>
  </si>
  <si>
    <t>ROX5SSJ430R</t>
  </si>
  <si>
    <t>Axial</t>
  </si>
  <si>
    <t>RESAD2000W75L1750D650B</t>
  </si>
  <si>
    <t>18K/5W/0617</t>
  </si>
  <si>
    <t>47K/5W/0617</t>
  </si>
  <si>
    <t>39K/5W/0617</t>
  </si>
  <si>
    <t>8K2/5W/0617</t>
  </si>
  <si>
    <t>3K9/5W/0617</t>
  </si>
  <si>
    <t>5K6/5W/0617</t>
  </si>
  <si>
    <t>100K/5W/0617</t>
  </si>
  <si>
    <t>33K/5W/0617</t>
  </si>
  <si>
    <t>1K1/5W/0617</t>
  </si>
  <si>
    <t>1K/5W/0617</t>
  </si>
  <si>
    <t>2K/5W/0617</t>
  </si>
  <si>
    <t>6K8/5W/0617</t>
  </si>
  <si>
    <t>4K7/5W/0617</t>
  </si>
  <si>
    <t>12K/5W/0617</t>
  </si>
  <si>
    <t>68K/5W/0617</t>
  </si>
  <si>
    <t>15K/5W/0617</t>
  </si>
  <si>
    <t>2K2/5W/0617</t>
  </si>
  <si>
    <t>20K/5W/0617</t>
  </si>
  <si>
    <t>5K1/5W/0617</t>
  </si>
  <si>
    <t>30K/5W/0617</t>
  </si>
  <si>
    <t>56K/5W/0617</t>
  </si>
  <si>
    <t>10K/5W/0617</t>
  </si>
  <si>
    <t>5R1/5W/0617</t>
  </si>
  <si>
    <t>6R2/5W/0617</t>
  </si>
  <si>
    <t>7R5/5W/0617</t>
  </si>
  <si>
    <t>27K/5W/0617</t>
  </si>
  <si>
    <t>8R2/5W/0617</t>
  </si>
  <si>
    <t>5R6/5W/0617</t>
  </si>
  <si>
    <t>51K/5W/0617</t>
  </si>
  <si>
    <t>24K/5W/0617</t>
  </si>
  <si>
    <t>3K6/5W/0617</t>
  </si>
  <si>
    <t>6K2/5W/0617</t>
  </si>
  <si>
    <t>1K3/5W/0617</t>
  </si>
  <si>
    <t>62K/5W/0617</t>
  </si>
  <si>
    <t>2K4/5W/0617</t>
  </si>
  <si>
    <t>13K/5W/0617</t>
  </si>
  <si>
    <t>11K/5W/0617</t>
  </si>
  <si>
    <t>4K3/5W/0617</t>
  </si>
  <si>
    <t>9K1/5W/0617</t>
  </si>
  <si>
    <t>22K/5W/0617</t>
  </si>
  <si>
    <t>1K5/5W/0617</t>
  </si>
  <si>
    <t>7K5/5W/0617</t>
  </si>
  <si>
    <t>1K2/5W/0617</t>
  </si>
  <si>
    <t>75K/5W/0617</t>
  </si>
  <si>
    <t>6R8/5W/0617</t>
  </si>
  <si>
    <t>43K/5W/0617</t>
  </si>
  <si>
    <t>2K7/5W/0617</t>
  </si>
  <si>
    <t>16K/5W/0617</t>
  </si>
  <si>
    <t>1K8/5W/0617</t>
  </si>
  <si>
    <t>91K/5W/0617</t>
  </si>
  <si>
    <t>9R1/5W/0617</t>
  </si>
  <si>
    <t>3K3/5W/0617</t>
  </si>
  <si>
    <t>82K/5W/0617</t>
  </si>
  <si>
    <t>36K/5W/0617</t>
  </si>
  <si>
    <t>1K6/5W/0617</t>
  </si>
  <si>
    <t>3K/5W/0617</t>
  </si>
  <si>
    <t>18K/5W/0617/28MM</t>
  </si>
  <si>
    <t>47K/5W/0617/28MM</t>
  </si>
  <si>
    <t>39K/5W/0617/28MM</t>
  </si>
  <si>
    <t>8K2/5W/0617/28MM</t>
  </si>
  <si>
    <t>3K9/5W/0617/28MM</t>
  </si>
  <si>
    <t>5K6/5W/0617/28MM</t>
  </si>
  <si>
    <t>100K/5W/0617/28MM</t>
  </si>
  <si>
    <t>33K/5W/0617/28MM</t>
  </si>
  <si>
    <t>1K1/5W/0617/28MM</t>
  </si>
  <si>
    <t>1K/5W/0617/28MM</t>
  </si>
  <si>
    <t>2K/5W/0617/28MM</t>
  </si>
  <si>
    <t>6K8/5W/0617/28MM</t>
  </si>
  <si>
    <t>4K7/5W/0617/28MM</t>
  </si>
  <si>
    <t>12K/5W/0617/28MM</t>
  </si>
  <si>
    <t>68K/5W/0617/28MM</t>
  </si>
  <si>
    <t>15K/5W/0617/28MM</t>
  </si>
  <si>
    <t>2K2/5W/0617/28MM</t>
  </si>
  <si>
    <t>20K/5W/0617/28MM</t>
  </si>
  <si>
    <t>5K1/5W/0617/28MM</t>
  </si>
  <si>
    <t>30K/5W/0617/28MM</t>
  </si>
  <si>
    <t>56K/5W/0617/28MM</t>
  </si>
  <si>
    <t>10K/5W/0617/28MM</t>
  </si>
  <si>
    <t>5R1/5W/0617/28MM</t>
  </si>
  <si>
    <t>6R2/5W/0617/28MM</t>
  </si>
  <si>
    <t>7R5/5W/0617/28MM</t>
  </si>
  <si>
    <t>27K/5W/0617/28MM</t>
  </si>
  <si>
    <t>8R2/5W/0617/28MM</t>
  </si>
  <si>
    <t>5R6/5W/0617/28MM</t>
  </si>
  <si>
    <t>51K/5W/0617/28MM</t>
  </si>
  <si>
    <t>24K/5W/0617/28MM</t>
  </si>
  <si>
    <t>3K6/5W/0617/28MM</t>
  </si>
  <si>
    <t>6K2/5W/0617/28MM</t>
  </si>
  <si>
    <t>1K3/5W/0617/28MM</t>
  </si>
  <si>
    <t>62K/5W/0617/28MM</t>
  </si>
  <si>
    <t>2K4/5W/0617/28MM</t>
  </si>
  <si>
    <t>13K/5W/0617/28MM</t>
  </si>
  <si>
    <t>11K/5W/0617/28MM</t>
  </si>
  <si>
    <t>4K3/5W/0617/28MM</t>
  </si>
  <si>
    <t>9K1/5W/0617/28MM</t>
  </si>
  <si>
    <t>22K/5W/0617/28MM</t>
  </si>
  <si>
    <t>1K5/5W/0617/28MM</t>
  </si>
  <si>
    <t>7K5/5W/0617/28MM</t>
  </si>
  <si>
    <t>1K2/5W/0617/28MM</t>
  </si>
  <si>
    <t>75K/5W/0617/28MM</t>
  </si>
  <si>
    <t>6R8/5W/0617/28MM</t>
  </si>
  <si>
    <t>43K/5W/0617/28MM</t>
  </si>
  <si>
    <t>2K7/5W/0617/28MM</t>
  </si>
  <si>
    <t>16K/5W/0617/28MM</t>
  </si>
  <si>
    <t>1K8/5W/0617/28MM</t>
  </si>
  <si>
    <t>91K/5W/0617/28MM</t>
  </si>
  <si>
    <t>9R1/5W/0617/28MM</t>
  </si>
  <si>
    <t>3K3/5W/0617/28MM</t>
  </si>
  <si>
    <t>82K/5W/0617/28MM</t>
  </si>
  <si>
    <t>36K/5W/0617/28MM</t>
  </si>
  <si>
    <t>1K6/5W/0617/28MM</t>
  </si>
  <si>
    <t>3K/5W/0617/28MM</t>
  </si>
  <si>
    <t>RES TH 5W 0617 28MM 18K</t>
  </si>
  <si>
    <t>RES TH 5W 0617 28MM 47K</t>
  </si>
  <si>
    <t>RES TH 5W 0617 28MM 39K</t>
  </si>
  <si>
    <t>RES TH 5W 0617 28MM 8K2</t>
  </si>
  <si>
    <t>RES TH 5W 0617 28MM 3K9</t>
  </si>
  <si>
    <t>RES TH 5W 0617 28MM 5K6</t>
  </si>
  <si>
    <t>RES TH 5W 0617 28MM 100K</t>
  </si>
  <si>
    <t>RES TH 5W 0617 28MM 33K</t>
  </si>
  <si>
    <t>RES TH 5W 0617 28MM 1K1</t>
  </si>
  <si>
    <t>RES TH 5W 0617 28MM 1K</t>
  </si>
  <si>
    <t>RES TH 5W 0617 28MM 2K</t>
  </si>
  <si>
    <t>RES TH 5W 0617 28MM 6K8</t>
  </si>
  <si>
    <t>RES TH 5W 0617 28MM 4K7</t>
  </si>
  <si>
    <t>RES TH 5W 0617 28MM 12K</t>
  </si>
  <si>
    <t>RES TH 5W 0617 28MM 68K</t>
  </si>
  <si>
    <t>RES TH 5W 0617 28MM 15K</t>
  </si>
  <si>
    <t>RES TH 5W 0617 28MM 2K2</t>
  </si>
  <si>
    <t>RES TH 5W 0617 28MM 20K</t>
  </si>
  <si>
    <t>RES TH 5W 0617 28MM 5K1</t>
  </si>
  <si>
    <t>RES TH 5W 0617 28MM 30K</t>
  </si>
  <si>
    <t>RES TH 5W 0617 28MM 56K</t>
  </si>
  <si>
    <t>RES TH 5W 0617 28MM 10K</t>
  </si>
  <si>
    <t>RES TH 5W 0617 28MM 5R1</t>
  </si>
  <si>
    <t>RES TH 5W 0617 28MM 6R2</t>
  </si>
  <si>
    <t>RES TH 5W 0617 28MM 7R5</t>
  </si>
  <si>
    <t>RES TH 5W 0617 28MM 27K</t>
  </si>
  <si>
    <t>RES TH 5W 0617 28MM 8R2</t>
  </si>
  <si>
    <t>RES TH 5W 0617 28MM 5R6</t>
  </si>
  <si>
    <t>RES TH 5W 0617 28MM 51K</t>
  </si>
  <si>
    <t>RES TH 5W 0617 28MM 24K</t>
  </si>
  <si>
    <t>RES TH 5W 0617 28MM 3K6</t>
  </si>
  <si>
    <t>RES TH 5W 0617 28MM 6K2</t>
  </si>
  <si>
    <t>RES TH 5W 0617 28MM 1K3</t>
  </si>
  <si>
    <t>RES TH 5W 0617 28MM 62K</t>
  </si>
  <si>
    <t>RES TH 5W 0617 28MM 2K4</t>
  </si>
  <si>
    <t>RES TH 5W 0617 28MM 13K</t>
  </si>
  <si>
    <t>RES TH 5W 0617 28MM 11K</t>
  </si>
  <si>
    <t>RES TH 5W 0617 28MM 4K3</t>
  </si>
  <si>
    <t>RES TH 5W 0617 28MM 9K1</t>
  </si>
  <si>
    <t>RES TH 5W 0617 28MM 22K</t>
  </si>
  <si>
    <t>RES TH 5W 0617 28MM 1K5</t>
  </si>
  <si>
    <t>RES TH 5W 0617 28MM 7K5</t>
  </si>
  <si>
    <t>RES TH 5W 0617 28MM 1K2</t>
  </si>
  <si>
    <t>RES TH 5W 0617 28MM 75K</t>
  </si>
  <si>
    <t>RES TH 5W 0617 28MM 6R8</t>
  </si>
  <si>
    <t>RES TH 5W 0617 28MM 43K</t>
  </si>
  <si>
    <t>RES TH 5W 0617 28MM 2K7</t>
  </si>
  <si>
    <t>RES TH 5W 0617 28MM 16K</t>
  </si>
  <si>
    <t>RES TH 5W 0617 28MM 1K8</t>
  </si>
  <si>
    <t>RES TH 5W 0617 28MM 91K</t>
  </si>
  <si>
    <t>RES TH 5W 0617 28MM 9R1</t>
  </si>
  <si>
    <t>RES TH 5W 0617 28MM 3K3</t>
  </si>
  <si>
    <t>RES TH 5W 0617 28MM 82K</t>
  </si>
  <si>
    <t>RES TH 5W 0617 28MM 36K</t>
  </si>
  <si>
    <t>RES TH 5W 0617 28MM 1K6</t>
  </si>
  <si>
    <t>RES TH 5W 0617 28MM 3K</t>
  </si>
  <si>
    <t>51R/5W/0617/28MM</t>
  </si>
  <si>
    <t>62R/5W/0617/28MM</t>
  </si>
  <si>
    <t>240R/5W/0617/28MM</t>
  </si>
  <si>
    <t>100R/5W/0617/28MM</t>
  </si>
  <si>
    <t>15R/5W/0617/28MM</t>
  </si>
  <si>
    <t>220R/5W/0617/28MM</t>
  </si>
  <si>
    <t>27R/5W/0617/28MM</t>
  </si>
  <si>
    <t>470R/5W/0617/28MM</t>
  </si>
  <si>
    <t>270R/5W/0617/28MM</t>
  </si>
  <si>
    <t>16R/5W/0617/28MM</t>
  </si>
  <si>
    <t>110R/5W/0617/28MM</t>
  </si>
  <si>
    <t>200R/5W/0617/28MM</t>
  </si>
  <si>
    <t>330R/5W/0617/28MM</t>
  </si>
  <si>
    <t>620R/5W/0617/28MM</t>
  </si>
  <si>
    <t>120R/5W/0617/28MM</t>
  </si>
  <si>
    <t>18R/5W/0617/28MM</t>
  </si>
  <si>
    <t>130R/5W/0617/28MM</t>
  </si>
  <si>
    <t>160R/5W/0617/28MM</t>
  </si>
  <si>
    <t>20R/5W/0617/28MM</t>
  </si>
  <si>
    <t>390R/5W/0617/28MM</t>
  </si>
  <si>
    <t>180R/5W/0617/28MM</t>
  </si>
  <si>
    <t>360R/5W/0617/28MM</t>
  </si>
  <si>
    <t>43R/5W/0617/28MM</t>
  </si>
  <si>
    <t>510R/5W/0617/28MM</t>
  </si>
  <si>
    <t>30R/5W/0617/28MM</t>
  </si>
  <si>
    <t>10R/5W/0617/28MM</t>
  </si>
  <si>
    <t>560R/5W/0617/28MM</t>
  </si>
  <si>
    <t>33R/5W/0617/28MM</t>
  </si>
  <si>
    <t>910R/5W/0617/28MM</t>
  </si>
  <si>
    <t>750R/5W/0617/28MM</t>
  </si>
  <si>
    <t>300R/5W/0617/28MM</t>
  </si>
  <si>
    <t>22R/5W/0617/28MM</t>
  </si>
  <si>
    <t>82R/5W/0617/28MM</t>
  </si>
  <si>
    <t>150R/5W/0617/28MM</t>
  </si>
  <si>
    <t>820R/5W/0617/28MM</t>
  </si>
  <si>
    <t>680R/5W/0617/28MM</t>
  </si>
  <si>
    <t>12R/5W/0617/28MM</t>
  </si>
  <si>
    <t>91R/5W/0617/28MM</t>
  </si>
  <si>
    <t>68R/5W/0617/28MM</t>
  </si>
  <si>
    <t>39R/5W/0617/28MM</t>
  </si>
  <si>
    <t>24R/5W/0617/28MM</t>
  </si>
  <si>
    <t>13R/5W/0617/28MM</t>
  </si>
  <si>
    <t>11R/5W/0617/28MM</t>
  </si>
  <si>
    <t>36R/5W/0617/28MM</t>
  </si>
  <si>
    <t>430R/5W/0617/28MM</t>
  </si>
  <si>
    <t>51R/5W/0617</t>
  </si>
  <si>
    <t>62R/5W/0617</t>
  </si>
  <si>
    <t>240R/5W/0617</t>
  </si>
  <si>
    <t>100R/5W/0617</t>
  </si>
  <si>
    <t>15R/5W/0617</t>
  </si>
  <si>
    <t>220R/5W/0617</t>
  </si>
  <si>
    <t>27R/5W/0617</t>
  </si>
  <si>
    <t>470R/5W/0617</t>
  </si>
  <si>
    <t>270R/5W/0617</t>
  </si>
  <si>
    <t>16R/5W/0617</t>
  </si>
  <si>
    <t>110R/5W/0617</t>
  </si>
  <si>
    <t>200R/5W/0617</t>
  </si>
  <si>
    <t>330R/5W/0617</t>
  </si>
  <si>
    <t>620R/5W/0617</t>
  </si>
  <si>
    <t>120R/5W/0617</t>
  </si>
  <si>
    <t>18R/5W/0617</t>
  </si>
  <si>
    <t>130R/5W/0617</t>
  </si>
  <si>
    <t>160R/5W/0617</t>
  </si>
  <si>
    <t>20R/5W/0617</t>
  </si>
  <si>
    <t>390R/5W/0617</t>
  </si>
  <si>
    <t>180R/5W/0617</t>
  </si>
  <si>
    <t>360R/5W/0617</t>
  </si>
  <si>
    <t>43R/5W/0617</t>
  </si>
  <si>
    <t>510R/5W/0617</t>
  </si>
  <si>
    <t>30R/5W/0617</t>
  </si>
  <si>
    <t>10R/5W/0617</t>
  </si>
  <si>
    <t>560R/5W/0617</t>
  </si>
  <si>
    <t>33R/5W/0617</t>
  </si>
  <si>
    <t>910R/5W/0617</t>
  </si>
  <si>
    <t>750R/5W/0617</t>
  </si>
  <si>
    <t>300R/5W/0617</t>
  </si>
  <si>
    <t>22R/5W/0617</t>
  </si>
  <si>
    <t>82R/5W/0617</t>
  </si>
  <si>
    <t>150R/5W/0617</t>
  </si>
  <si>
    <t>820R/5W/0617</t>
  </si>
  <si>
    <t>680R/5W/0617</t>
  </si>
  <si>
    <t>12R/5W/0617</t>
  </si>
  <si>
    <t>91R/5W/0617</t>
  </si>
  <si>
    <t>68R/5W/0617</t>
  </si>
  <si>
    <t>39R/5W/0617</t>
  </si>
  <si>
    <t>24R/5W/0617</t>
  </si>
  <si>
    <t>13R/5W/0617</t>
  </si>
  <si>
    <t>11R/5W/0617</t>
  </si>
  <si>
    <t>36R/5W/0617</t>
  </si>
  <si>
    <t>430R/5W/0617</t>
  </si>
  <si>
    <t>RES TH 5W 0617 28MM 51R</t>
  </si>
  <si>
    <t>RES TH 5W 0617 28MM 62R</t>
  </si>
  <si>
    <t>RES TH 5W 0617 28MM 240R</t>
  </si>
  <si>
    <t>RES TH 5W 0617 28MM 100R</t>
  </si>
  <si>
    <t>RES TH 5W 0617 28MM 15R</t>
  </si>
  <si>
    <t>RES TH 5W 0617 28MM 220R</t>
  </si>
  <si>
    <t>RES TH 5W 0617 28MM 27R</t>
  </si>
  <si>
    <t>RES TH 5W 0617 28MM 470R</t>
  </si>
  <si>
    <t>RES TH 5W 0617 28MM 270R</t>
  </si>
  <si>
    <t>RES TH 5W 0617 28MM 16R</t>
  </si>
  <si>
    <t>RES TH 5W 0617 28MM 110R</t>
  </si>
  <si>
    <t>RES TH 5W 0617 28MM 200R</t>
  </si>
  <si>
    <t>RES TH 5W 0617 28MM 330R</t>
  </si>
  <si>
    <t>RES TH 5W 0617 28MM 620R</t>
  </si>
  <si>
    <t>RES TH 5W 0617 28MM 120R</t>
  </si>
  <si>
    <t>RES TH 5W 0617 28MM 18R</t>
  </si>
  <si>
    <t>RES TH 5W 0617 28MM 130R</t>
  </si>
  <si>
    <t>RES TH 5W 0617 28MM 160R</t>
  </si>
  <si>
    <t>RES TH 5W 0617 28MM 20R</t>
  </si>
  <si>
    <t>RES TH 5W 0617 28MM 390R</t>
  </si>
  <si>
    <t>RES TH 5W 0617 28MM 180R</t>
  </si>
  <si>
    <t>RES TH 5W 0617 28MM 360R</t>
  </si>
  <si>
    <t>RES TH 5W 0617 28MM 43R</t>
  </si>
  <si>
    <t>RES TH 5W 0617 28MM 510R</t>
  </si>
  <si>
    <t>RES TH 5W 0617 28MM 30R</t>
  </si>
  <si>
    <t>RES TH 5W 0617 28MM 10R</t>
  </si>
  <si>
    <t>RES TH 5W 0617 28MM 560R</t>
  </si>
  <si>
    <t>RES TH 5W 0617 28MM 33R</t>
  </si>
  <si>
    <t>RES TH 5W 0617 28MM 910R</t>
  </si>
  <si>
    <t>RES TH 5W 0617 28MM 750R</t>
  </si>
  <si>
    <t>RES TH 5W 0617 28MM 300R</t>
  </si>
  <si>
    <t>RES TH 5W 0617 28MM 22R</t>
  </si>
  <si>
    <t>RES TH 5W 0617 28MM 82R</t>
  </si>
  <si>
    <t>RES TH 5W 0617 28MM 150R</t>
  </si>
  <si>
    <t>RES TH 5W 0617 28MM 820R</t>
  </si>
  <si>
    <t>RES TH 5W 0617 28MM 680R</t>
  </si>
  <si>
    <t>RES TH 5W 0617 28MM 12R</t>
  </si>
  <si>
    <t>RES TH 5W 0617 28MM 91R</t>
  </si>
  <si>
    <t>RES TH 5W 0617 28MM 68R</t>
  </si>
  <si>
    <t>RES TH 5W 0617 28MM 39R</t>
  </si>
  <si>
    <t>RES TH 5W 0617 28MM 24R</t>
  </si>
  <si>
    <t>RES TH 5W 0617 28MM 13R</t>
  </si>
  <si>
    <t>RES TH 5W 0617 28MM 11R</t>
  </si>
  <si>
    <t>RES TH 5W 0617 28MM 36R</t>
  </si>
  <si>
    <t>RES TH 5W 0617 28MM 430R</t>
  </si>
  <si>
    <t>A142769CT-ND</t>
  </si>
  <si>
    <t>A142830CT-ND</t>
  </si>
  <si>
    <t>A142771CT-ND</t>
  </si>
  <si>
    <t>A142785CT-ND</t>
  </si>
  <si>
    <t>A142840CT-ND</t>
  </si>
  <si>
    <t>A142776CT-ND</t>
  </si>
  <si>
    <t>A142756CT-ND</t>
  </si>
  <si>
    <t>A142784CT-ND</t>
  </si>
  <si>
    <t>A142762CT-ND</t>
  </si>
  <si>
    <t>A142770CT-ND</t>
  </si>
  <si>
    <t>A142838CT-ND</t>
  </si>
  <si>
    <t>A142792CT-ND</t>
  </si>
  <si>
    <t>A142786CT-ND</t>
  </si>
  <si>
    <t>A142822CT-ND</t>
  </si>
  <si>
    <t>A142814CT-ND</t>
  </si>
  <si>
    <t>A142818CT-ND</t>
  </si>
  <si>
    <t>A142848CT-ND</t>
  </si>
  <si>
    <t>A142757CT-ND</t>
  </si>
  <si>
    <t>A142836CT-ND</t>
  </si>
  <si>
    <t>A142801CT-ND</t>
  </si>
  <si>
    <t>A142777CT-ND</t>
  </si>
  <si>
    <t>A142783CT-ND</t>
  </si>
  <si>
    <t>A142788CT-ND</t>
  </si>
  <si>
    <t>A142795CT-ND</t>
  </si>
  <si>
    <t>A142778CT-ND</t>
  </si>
  <si>
    <t>A142758CT-ND</t>
  </si>
  <si>
    <t>A142800CT-ND</t>
  </si>
  <si>
    <t>A142807CT-ND</t>
  </si>
  <si>
    <t>A142820CT-ND</t>
  </si>
  <si>
    <t>A142768CT-ND</t>
  </si>
  <si>
    <t>A142773CT-ND</t>
  </si>
  <si>
    <t>A142816CT-ND</t>
  </si>
  <si>
    <t>A142826CT-ND</t>
  </si>
  <si>
    <t>A142779CT-ND</t>
  </si>
  <si>
    <t>A142781CT-ND</t>
  </si>
  <si>
    <t>A142844CT-ND</t>
  </si>
  <si>
    <t>A142759CT-ND</t>
  </si>
  <si>
    <t>A142828CT-ND</t>
  </si>
  <si>
    <t>A142790CT-ND</t>
  </si>
  <si>
    <t>A142808CT-ND</t>
  </si>
  <si>
    <t>A142831CT-ND</t>
  </si>
  <si>
    <t>A142782CT-ND</t>
  </si>
  <si>
    <t>A142789CT-ND</t>
  </si>
  <si>
    <t>A142817CT-ND</t>
  </si>
  <si>
    <t>A142767CT-ND</t>
  </si>
  <si>
    <t>A142793CT-ND</t>
  </si>
  <si>
    <t>A142835CT-ND</t>
  </si>
  <si>
    <t>A142842CT-ND</t>
  </si>
  <si>
    <t>A142824CT-ND</t>
  </si>
  <si>
    <t>A142745CT-ND</t>
  </si>
  <si>
    <t>A142747CT-ND</t>
  </si>
  <si>
    <t>A142749CT-ND</t>
  </si>
  <si>
    <t>A142834CT-ND</t>
  </si>
  <si>
    <t>A142750CT-ND</t>
  </si>
  <si>
    <t>A142763CT-ND</t>
  </si>
  <si>
    <t>A142752CT-ND</t>
  </si>
  <si>
    <t>A142746CT-ND</t>
  </si>
  <si>
    <t>A142841CT-ND</t>
  </si>
  <si>
    <t>A142794CT-ND</t>
  </si>
  <si>
    <t>A142833CT-ND</t>
  </si>
  <si>
    <t>A142764CT-ND</t>
  </si>
  <si>
    <t>A142813CT-ND</t>
  </si>
  <si>
    <t>A142819CT-ND</t>
  </si>
  <si>
    <t>A142803CT-ND</t>
  </si>
  <si>
    <t>A142799CT-ND</t>
  </si>
  <si>
    <t>A142843CT-ND</t>
  </si>
  <si>
    <t>A142809CT-ND</t>
  </si>
  <si>
    <t>A142827CT-ND</t>
  </si>
  <si>
    <t>A142825CT-ND</t>
  </si>
  <si>
    <t>A142815CT-ND</t>
  </si>
  <si>
    <t>A142823CT-ND</t>
  </si>
  <si>
    <t>A142832CT-ND</t>
  </si>
  <si>
    <t>A142804CT-ND</t>
  </si>
  <si>
    <t>A142797CT-ND</t>
  </si>
  <si>
    <t>A142821CT-ND</t>
  </si>
  <si>
    <t>A142787CT-ND</t>
  </si>
  <si>
    <t>A142760CT-ND</t>
  </si>
  <si>
    <t>A142774CT-ND</t>
  </si>
  <si>
    <t>A142802CT-ND</t>
  </si>
  <si>
    <t>A142780CT-ND</t>
  </si>
  <si>
    <t>A142798CT-ND</t>
  </si>
  <si>
    <t>A142845CT-ND</t>
  </si>
  <si>
    <t>A142748CT-ND</t>
  </si>
  <si>
    <t>A142796CT-ND</t>
  </si>
  <si>
    <t>A142839CT-ND</t>
  </si>
  <si>
    <t>A142810CT-ND</t>
  </si>
  <si>
    <t>A142754CT-ND</t>
  </si>
  <si>
    <t>A142775CT-ND</t>
  </si>
  <si>
    <t>A142772CT-ND</t>
  </si>
  <si>
    <t>A142766CT-ND</t>
  </si>
  <si>
    <t>A142761CT-ND</t>
  </si>
  <si>
    <t>A142829CT-ND</t>
  </si>
  <si>
    <t>A142806CT-ND</t>
  </si>
  <si>
    <t>A142847CT-ND</t>
  </si>
  <si>
    <t>A142751CT-ND</t>
  </si>
  <si>
    <t>A142755CT-ND</t>
  </si>
  <si>
    <t>A142812CT-ND</t>
  </si>
  <si>
    <t>A142846CT-ND</t>
  </si>
  <si>
    <t>A142753CT-ND</t>
  </si>
  <si>
    <t>A142765CT-ND</t>
  </si>
  <si>
    <t>A142837CT-ND</t>
  </si>
  <si>
    <t>A142805CT-ND</t>
  </si>
  <si>
    <t>A142811CT-ND</t>
  </si>
  <si>
    <t>A142791CT-ND</t>
  </si>
  <si>
    <t>47R/5W/0617/28MM</t>
  </si>
  <si>
    <t>47R/5W/0617</t>
  </si>
  <si>
    <t>RES TH 5W 0617 28MM 47R</t>
  </si>
  <si>
    <t>56R/5W/0617/28MM</t>
  </si>
  <si>
    <t>56R/5W/0617</t>
  </si>
  <si>
    <t>RES TH 5W 0617 28MM 56R</t>
  </si>
  <si>
    <t>75R/5W/0617/28MM</t>
  </si>
  <si>
    <t>75R/5W/0617</t>
  </si>
  <si>
    <t>RES TH 5W 0617 28MM 75R</t>
  </si>
  <si>
    <t>PCA9554 SO16</t>
  </si>
  <si>
    <t>PCA9554 SSOP16</t>
  </si>
  <si>
    <t>PCA9554 TSSOP16</t>
  </si>
  <si>
    <t>PCA9554 SSOP20</t>
  </si>
  <si>
    <t>PCA9554 QFN_3</t>
  </si>
  <si>
    <t>PCA9554 QFN_4</t>
  </si>
  <si>
    <t>PCA9554A SO16</t>
  </si>
  <si>
    <t>PCA9554A SSOP16</t>
  </si>
  <si>
    <t>PCA9554A TSSOP16</t>
  </si>
  <si>
    <t>PCA9554A SSOP20</t>
  </si>
  <si>
    <t>PCA9554A QFN_4</t>
  </si>
  <si>
    <t>PCA9554A QFN_3</t>
  </si>
  <si>
    <t>PCA9554 SOP16</t>
  </si>
  <si>
    <t>PCA9554 SOP20</t>
  </si>
  <si>
    <t>PCA9554 QFN</t>
  </si>
  <si>
    <t>QFN065P400X400X100-16-EP210X210</t>
  </si>
  <si>
    <t>https://www.nxp.com/docs/en/data-sheet/PCA9554_9554A.pdf</t>
  </si>
  <si>
    <t>QFN050P300X300X100-16-EP160X160</t>
  </si>
  <si>
    <t>SOP065P640X110-16NW</t>
  </si>
  <si>
    <t>SOP065P780X200-16NW</t>
  </si>
  <si>
    <t>568-11911-1-ND</t>
  </si>
  <si>
    <t>568-11910-1-ND</t>
  </si>
  <si>
    <t>PCA9554ADWR</t>
  </si>
  <si>
    <t>296-21779-1-ND</t>
  </si>
  <si>
    <t>568-13509-1-ND</t>
  </si>
  <si>
    <t>PCA9554DBR</t>
  </si>
  <si>
    <t>296-21781-1-ND</t>
  </si>
  <si>
    <t>568-4516-1-ND</t>
  </si>
  <si>
    <t>568-1055-1-ND</t>
  </si>
  <si>
    <t>PCA9554PWR</t>
  </si>
  <si>
    <t>296-PCA9554PWRCT-ND</t>
  </si>
  <si>
    <t>568-11905-1-ND</t>
  </si>
  <si>
    <t>PCA9554B TSSOP16</t>
  </si>
  <si>
    <t>PCA9554C TSSOP16</t>
  </si>
  <si>
    <t>PCA9554B TSSOP17</t>
  </si>
  <si>
    <t>PCA9554C TSSOP17</t>
  </si>
  <si>
    <t>https://www.nxp.com/docs/en/data-sheet/PCA9554B_PCA9554C.pdf</t>
  </si>
  <si>
    <t>PCA9554B QFN_3</t>
  </si>
  <si>
    <t>PCA9554C QFN_3</t>
  </si>
  <si>
    <t>PCA9554B QFN_4</t>
  </si>
  <si>
    <t>PCA9554C QFN_4</t>
  </si>
  <si>
    <t>PCA9554BPWJ</t>
  </si>
  <si>
    <t>568-9917-1-ND</t>
  </si>
  <si>
    <t>PCA9554CPWJ</t>
  </si>
  <si>
    <t>568-9918-1-ND</t>
  </si>
  <si>
    <t>PCA9554 8-bit I2C-bus and SMBus I/O port with interrupt</t>
  </si>
  <si>
    <t>PCA9554A 8-bit I2C-bus and SMBus I/O port with interrupt</t>
  </si>
  <si>
    <t>PCA9554B Low-voltage 8-bit I 2 C-bus/SMBus low power I/O port</t>
  </si>
  <si>
    <t>PCA9554C Low-voltage 8-bit I 2 C-bus/SMBus low power I/O port</t>
  </si>
  <si>
    <t>NXP / Texas Instruments</t>
  </si>
  <si>
    <t>NXP</t>
  </si>
  <si>
    <t>SO-16</t>
  </si>
  <si>
    <t>SSOP-16</t>
  </si>
  <si>
    <t>TSSOP-16</t>
  </si>
  <si>
    <t>SSOP-20</t>
  </si>
  <si>
    <t>QFN-16 (3x3mm)</t>
  </si>
  <si>
    <t>QFN-16 (4x4mm)</t>
  </si>
  <si>
    <t>568-3397-1-ND</t>
  </si>
  <si>
    <t>568-3394-1-ND</t>
  </si>
  <si>
    <t>PCA9554ARGVR</t>
  </si>
  <si>
    <t>296-22709-1-ND</t>
  </si>
  <si>
    <t>568-5928-1-ND</t>
  </si>
  <si>
    <t>PCA9554ARGTR</t>
  </si>
  <si>
    <t>296-24733-1-ND</t>
  </si>
  <si>
    <t>568-9940-1-ND</t>
  </si>
  <si>
    <t>PCA9554CBSHP</t>
  </si>
  <si>
    <t>568-9941-1-ND</t>
  </si>
  <si>
    <t>PMV280ENEA</t>
  </si>
  <si>
    <t>PMV280</t>
  </si>
  <si>
    <t>100V, N-channel Trench MOSFET</t>
  </si>
  <si>
    <t>PMV280ENEAR</t>
  </si>
  <si>
    <t>1727-8341-1-ND</t>
  </si>
  <si>
    <t>C553089</t>
  </si>
  <si>
    <t>https://www.belfuse.com/resources/datasheets/circuitprotection/ds-cp-0adex-series.pdf</t>
  </si>
  <si>
    <t>Bel Fuse Inc.</t>
  </si>
  <si>
    <t>0ADEC9100-BE</t>
  </si>
  <si>
    <t>5923-0ADEC9100-BE-ND</t>
  </si>
  <si>
    <t>03540101ZXGY</t>
  </si>
  <si>
    <t>F1498-ND</t>
  </si>
  <si>
    <t>ADS131M02IRUKR</t>
  </si>
  <si>
    <t>296-ADS131M02IRUKRCT-ND</t>
  </si>
  <si>
    <t>ADS131M02IRUKT</t>
  </si>
  <si>
    <t>296-ADS131M02IRUKTCT-ND</t>
  </si>
  <si>
    <t>ADS131M02IPWR</t>
  </si>
  <si>
    <t>296-ADS131M02IPWRCT-ND</t>
  </si>
  <si>
    <t>ADS131M02IPWT</t>
  </si>
  <si>
    <t>296-ADS131M02IPWTCT-ND</t>
  </si>
  <si>
    <t>ADS131M03IRUKR</t>
  </si>
  <si>
    <t>296-ADS131M03IRUKRCT-ND</t>
  </si>
  <si>
    <t>ADS131M03IRUKT</t>
  </si>
  <si>
    <t>296-ADS131M03IRUKTCT-ND</t>
  </si>
  <si>
    <t>ADS131M03IPWR</t>
  </si>
  <si>
    <t>296-ADS131M03IPWRCT-ND</t>
  </si>
  <si>
    <t>ADS131M03QPWRQ1</t>
  </si>
  <si>
    <t>296-ADS131M03QPWRQ1CT-ND</t>
  </si>
  <si>
    <t>ADS131M04IRUKR</t>
  </si>
  <si>
    <t>296-ADS131M04IRUKRCT-ND</t>
  </si>
  <si>
    <t>ADS131M04IRUKT</t>
  </si>
  <si>
    <t>296-ADS131M04IRUKTCT-ND</t>
  </si>
  <si>
    <t>ADS131M04IPWR</t>
  </si>
  <si>
    <t>296-ADS131M04IPWRCT-ND</t>
  </si>
  <si>
    <t>ADS131M04IPWT</t>
  </si>
  <si>
    <t>296-ADS131M04IPWTCT-ND</t>
  </si>
  <si>
    <t>Farnell</t>
  </si>
  <si>
    <t>SLB4-F RED</t>
  </si>
  <si>
    <t>Stäubli</t>
  </si>
  <si>
    <t>Stäubli Electrical Connectors</t>
  </si>
  <si>
    <t>23.3060-22</t>
  </si>
  <si>
    <t>SLB4-F6.3 RED</t>
  </si>
  <si>
    <t>23.3000-22</t>
  </si>
  <si>
    <t>23.3000-20</t>
  </si>
  <si>
    <t>23.3000-21</t>
  </si>
  <si>
    <t>23.3000-23</t>
  </si>
  <si>
    <t>23.3000-24</t>
  </si>
  <si>
    <t>23.3000-25</t>
  </si>
  <si>
    <t>23.3000-26</t>
  </si>
  <si>
    <t>23.3000-27</t>
  </si>
  <si>
    <t>23.3000-28</t>
  </si>
  <si>
    <t>23.3000-29</t>
  </si>
  <si>
    <t>23.3060-20</t>
  </si>
  <si>
    <t>23.3060-21</t>
  </si>
  <si>
    <t>23.3060-23</t>
  </si>
  <si>
    <t>23.3060-24</t>
  </si>
  <si>
    <t>23.3060-25</t>
  </si>
  <si>
    <t>23.3060-26</t>
  </si>
  <si>
    <t>23.3060-27</t>
  </si>
  <si>
    <t>23.3060-28</t>
  </si>
  <si>
    <t>SLB4-F GREEN-YELLOW</t>
  </si>
  <si>
    <t>SLB4-F BLACK</t>
  </si>
  <si>
    <t>SLB4-F BLUE</t>
  </si>
  <si>
    <t>SLB4-F YELLOW</t>
  </si>
  <si>
    <t>SLB4-F GREEN</t>
  </si>
  <si>
    <t>SLB4-F PURPLE</t>
  </si>
  <si>
    <t>SLB4-F BROWN</t>
  </si>
  <si>
    <t>SLB4-F GREY</t>
  </si>
  <si>
    <t>SLB4-F WHITE</t>
  </si>
  <si>
    <t>SLB4-F6.3 GREEN-YELLOW</t>
  </si>
  <si>
    <t>SLB4-F6.3 BLACK</t>
  </si>
  <si>
    <t>SLB4-F6.3 BLUE</t>
  </si>
  <si>
    <t>SLB4-F6.3 YELLOW</t>
  </si>
  <si>
    <t>SLB4-F6.3 GREEN</t>
  </si>
  <si>
    <t>SLB4-F6.3 PURPLE</t>
  </si>
  <si>
    <t>SLB4-F6.3 BROWN</t>
  </si>
  <si>
    <t>SLB4-F6.3 GREY</t>
  </si>
  <si>
    <t>SLB4-F6.3 WHITE</t>
  </si>
  <si>
    <t>513-1129-1-ND</t>
  </si>
  <si>
    <t>513-1531-1-ND</t>
  </si>
  <si>
    <t>513-1815-1-ND</t>
  </si>
  <si>
    <t>513-1135-1-ND</t>
  </si>
  <si>
    <t>513-1816-1-ND</t>
  </si>
  <si>
    <t>513-1663-1-ND</t>
  </si>
  <si>
    <t>513-1131-1-ND</t>
  </si>
  <si>
    <t>513-1817-1-ND</t>
  </si>
  <si>
    <t>513-1534-1-ND</t>
  </si>
  <si>
    <t>513-1136-1-ND</t>
  </si>
  <si>
    <t>283-4066-1-ND</t>
  </si>
  <si>
    <t>283-4067-1-ND</t>
  </si>
  <si>
    <t>283-4342-1-ND</t>
  </si>
  <si>
    <t>513-1134-1-ND</t>
  </si>
  <si>
    <t>283-4068-1-ND</t>
  </si>
  <si>
    <t>513-1814-1-ND</t>
  </si>
  <si>
    <t>513-1137-1-ND</t>
  </si>
  <si>
    <t>513-1142-1-ND</t>
  </si>
  <si>
    <t>513-1387-1-ND</t>
  </si>
  <si>
    <t>513-1138-1-ND</t>
  </si>
  <si>
    <t>513-1388-1-ND</t>
  </si>
  <si>
    <t>513-1139-1-ND</t>
  </si>
  <si>
    <t>513-1389-1-ND</t>
  </si>
  <si>
    <t>513-1390-1-ND</t>
  </si>
  <si>
    <t>513-1391-1-ND</t>
  </si>
  <si>
    <t>513-1140-1-ND</t>
  </si>
  <si>
    <t>513-1141-1-ND</t>
  </si>
  <si>
    <t>283-4601-1-ND</t>
  </si>
  <si>
    <t>513-1665-1-ND</t>
  </si>
  <si>
    <t>513-1535-1-ND</t>
  </si>
  <si>
    <t>283-4069-1-ND</t>
  </si>
  <si>
    <t>513-1550-1-ND</t>
  </si>
  <si>
    <t>513-1690-1-ND</t>
  </si>
  <si>
    <t>283-4070-1-ND</t>
  </si>
  <si>
    <t>513-1536-1-ND</t>
  </si>
  <si>
    <t>513-1666-1-ND</t>
  </si>
  <si>
    <t>513-1667-1-ND</t>
  </si>
  <si>
    <t>283-4071-1-ND</t>
  </si>
  <si>
    <t>283-DR73-1R0-RCT-ND</t>
  </si>
  <si>
    <t>283-DR73-1R5-RCT-ND</t>
  </si>
  <si>
    <t>283-DR73-220-RCT-ND</t>
  </si>
  <si>
    <t>283-DR73-2R2-RCT-ND</t>
  </si>
  <si>
    <t>283-DR73-4R7-RCT-ND</t>
  </si>
  <si>
    <t>283-DR73-821-RCT-ND</t>
  </si>
  <si>
    <t>283-DR73-R33-RCT-ND</t>
  </si>
  <si>
    <t>283-DR74-101-RCT-ND</t>
  </si>
  <si>
    <t>283-DR74-8R2-RCT-ND</t>
  </si>
  <si>
    <t>MERP11-15125BM7</t>
  </si>
  <si>
    <t>ENCODER, WITH PUSHBUTTON, 15/30</t>
  </si>
  <si>
    <t>Knitter-Switch</t>
  </si>
  <si>
    <t>ENC_INC_SW</t>
  </si>
  <si>
    <t>https://knitter-switch.com/wp-content/media/pms/Encoder/MER%2011%20_%20MERS%2011%20_%20MERP%2011%20_%20MERPS%2011/MERP11-15125BM7/MERP11-15125BM7.pdf</t>
  </si>
  <si>
    <t>3746-MERP11-15125BM7-ND</t>
  </si>
  <si>
    <t>https://omronfs.omron.com/en_US/ecb/products/pdf/en-g6rl.pdf</t>
  </si>
  <si>
    <t>RELAY GEN PURPOSE SPST 10A 5V</t>
  </si>
  <si>
    <t>RELAY GEN PURPOSE SPDT 8A 12V</t>
  </si>
  <si>
    <t>RELAY GEN PURPOSE SPDT 8A 24V</t>
  </si>
  <si>
    <t>RELAY GEN PURPOSE SPDT 8A 5V</t>
  </si>
  <si>
    <t>RELAY GEN PURPOSE SPDT 8A 3V</t>
  </si>
  <si>
    <t>RELAY GEN PURPOSE SPST 10A 12V</t>
  </si>
  <si>
    <t>RELAY GEN PURPOSE SPST 10A 3V</t>
  </si>
  <si>
    <t>RELAY GEN PURPOSE SPST 10A 24V</t>
  </si>
  <si>
    <t>RELAY GEN PURPOSE SPDT 8A 48V</t>
  </si>
  <si>
    <t>RELAY GEN PURPOSE SPST 10A 6V</t>
  </si>
  <si>
    <t>RELAY GEN PURPOSE SPDT 8A 6V</t>
  </si>
  <si>
    <t>RELAY GEN PURPOSE SPST 10A 48V</t>
  </si>
  <si>
    <t>RELAY GEN PURPOSE SPDT 10A 12V</t>
  </si>
  <si>
    <t>Omron Electronics Inc-EMC Div</t>
  </si>
  <si>
    <t>G6RL-1A4-ASI DC5</t>
  </si>
  <si>
    <t>G6RL-14-ASI DC12</t>
  </si>
  <si>
    <t>G6RL-1 DC24</t>
  </si>
  <si>
    <t>G6RL-1 DC12</t>
  </si>
  <si>
    <t>G6RL-14-ASI DC5</t>
  </si>
  <si>
    <t>G6RL-14-ASI DC3</t>
  </si>
  <si>
    <t>G6RL-1A4-ASI DC12</t>
  </si>
  <si>
    <t>G6RL-1 DC3</t>
  </si>
  <si>
    <t>G6RL-1-ASI DC5</t>
  </si>
  <si>
    <t>G6RL-1A DC3</t>
  </si>
  <si>
    <t>G6RL-1A DC24</t>
  </si>
  <si>
    <t>G6RL-1A4-ASI DC3</t>
  </si>
  <si>
    <t>G6RL-1-ASI DC24</t>
  </si>
  <si>
    <t>G6RL-14-ASI DC24</t>
  </si>
  <si>
    <t>G6RL-1A-ASI DC5</t>
  </si>
  <si>
    <t>G6RL-1A DC5</t>
  </si>
  <si>
    <t>G6RL-1A-ASI DC24</t>
  </si>
  <si>
    <t>G6RL-1-ASI DC3</t>
  </si>
  <si>
    <t>G6RL-1 DC48</t>
  </si>
  <si>
    <t>G6RL-1-ASI-PL-SP DC24</t>
  </si>
  <si>
    <t>G6RL-1A4-ASI DC24</t>
  </si>
  <si>
    <t>G6RL-1A DC6</t>
  </si>
  <si>
    <t>G6RL-14-ASI DC6</t>
  </si>
  <si>
    <t>G6RL-1A-ASI DC3</t>
  </si>
  <si>
    <t>G6RL-1A DC48</t>
  </si>
  <si>
    <t>G6RL-14-SR-ASI-AP1 DC12</t>
  </si>
  <si>
    <t>G6RL-1A DC12</t>
  </si>
  <si>
    <t>REL_SPDT</t>
  </si>
  <si>
    <t>G6RL-1A</t>
  </si>
  <si>
    <t>G6RL-1</t>
  </si>
  <si>
    <t>39-G6RL-1A4-ASIDC5-ND</t>
  </si>
  <si>
    <t>39-G6RL-14-ASIDC12-ND</t>
  </si>
  <si>
    <t>Z2761-ND</t>
  </si>
  <si>
    <t>Z2760-ND</t>
  </si>
  <si>
    <t>39-G6RL-14-ASIDC5-ND</t>
  </si>
  <si>
    <t>39-G6RL-14-ASIDC3-ND</t>
  </si>
  <si>
    <t>39-G6RL-1A4-ASIDC12-ND</t>
  </si>
  <si>
    <t>Z2758-ND</t>
  </si>
  <si>
    <t>39-G6RL-1-ASIDC5-ND</t>
  </si>
  <si>
    <t>Z2762-ND</t>
  </si>
  <si>
    <t>Z2765-ND</t>
  </si>
  <si>
    <t>39-G6RL-1A4-ASIDC3-ND</t>
  </si>
  <si>
    <t>39-G6RL-1-ASIDC24-ND</t>
  </si>
  <si>
    <t>39-G6RL-14-ASIDC24-ND</t>
  </si>
  <si>
    <t>Z8647-ND</t>
  </si>
  <si>
    <t>Z2763-ND</t>
  </si>
  <si>
    <t>39-G6RL-1A-ASIDC24-ND</t>
  </si>
  <si>
    <t>39-G6RL-1-ASIDC3-ND</t>
  </si>
  <si>
    <t>Z8650-ND</t>
  </si>
  <si>
    <t>39-G6RL-1-ASI-PL-SPDC24-ND</t>
  </si>
  <si>
    <t>39-G6RL-1A4-ASIDC24-ND</t>
  </si>
  <si>
    <t>Z8649-ND</t>
  </si>
  <si>
    <t>Z11019-ND</t>
  </si>
  <si>
    <t>Z8646-ND</t>
  </si>
  <si>
    <t>Z8648-ND</t>
  </si>
  <si>
    <t>39-G6RL-14-SR-ASI-AP1DC12-ND</t>
  </si>
  <si>
    <t>Z2764-ND</t>
  </si>
  <si>
    <t>CF31241D0R0-05-NH</t>
  </si>
  <si>
    <t>CONN FFC BOTTOM 24POS 0.5MM R/A</t>
  </si>
  <si>
    <t>FFC 24 Pos</t>
  </si>
  <si>
    <t>Cvilux USA</t>
  </si>
  <si>
    <t>2987-CF31241D0R0-05-NHCT-ND</t>
  </si>
  <si>
    <t>https://www.cvilux.com/uploads/drawings/101/073/CF3103S.pdf</t>
  </si>
  <si>
    <t>CON_FPC24_CF31241D0R0</t>
  </si>
  <si>
    <t>PCB/FPC.PcbLib</t>
  </si>
  <si>
    <t>CON24-2M</t>
  </si>
  <si>
    <t>CON31</t>
  </si>
  <si>
    <t>CON_FPC31_P0845</t>
  </si>
  <si>
    <t>FPC_P0845_Solder</t>
  </si>
  <si>
    <t>FPC Solder contacts with 0.845mm Pitch and 31 Pin</t>
  </si>
  <si>
    <t>FPC_31_P0845_Solder</t>
  </si>
  <si>
    <t>XEB-1R GREEN-YELLOW</t>
  </si>
  <si>
    <t>XEB-1R BLACK</t>
  </si>
  <si>
    <t>XEB-1R RED</t>
  </si>
  <si>
    <t>XEB-1R BLUE</t>
  </si>
  <si>
    <t>XEB-1R YELLOW</t>
  </si>
  <si>
    <t>XEB-1R GREEN</t>
  </si>
  <si>
    <t>XEB-1R PURPLE</t>
  </si>
  <si>
    <t>XEB-1R WHITE</t>
  </si>
  <si>
    <t>66.9131-20</t>
  </si>
  <si>
    <t>66.9131-21</t>
  </si>
  <si>
    <t>66.9131-22</t>
  </si>
  <si>
    <t>66.9131-23</t>
  </si>
  <si>
    <t>66.9131-24</t>
  </si>
  <si>
    <t>66.9131-25</t>
  </si>
  <si>
    <t>66.9131-26</t>
  </si>
  <si>
    <t>66.9131-29</t>
  </si>
  <si>
    <t>SLB4-E GREEN-YELLOW</t>
  </si>
  <si>
    <t>SLB4-E BLACK</t>
  </si>
  <si>
    <t>SLB4-E RED</t>
  </si>
  <si>
    <t>SLB4-E BLUE</t>
  </si>
  <si>
    <t>SLB4-E YELLOW</t>
  </si>
  <si>
    <t>SLB4-E GREEN</t>
  </si>
  <si>
    <t>SLB4-E PURPLE</t>
  </si>
  <si>
    <t>SLB4-E BROWN</t>
  </si>
  <si>
    <t>SLB4-E GREY</t>
  </si>
  <si>
    <t>SLB4-E WHITE</t>
  </si>
  <si>
    <t>49.7049-20</t>
  </si>
  <si>
    <t>49.7049-21</t>
  </si>
  <si>
    <t>49.7049-22</t>
  </si>
  <si>
    <t>49.7049-23</t>
  </si>
  <si>
    <t>49.7049-24</t>
  </si>
  <si>
    <t>49.7049-25</t>
  </si>
  <si>
    <t>49.7049-26</t>
  </si>
  <si>
    <t>49.7049-27</t>
  </si>
  <si>
    <t>49.7049-28</t>
  </si>
  <si>
    <t>49.7049-29</t>
  </si>
  <si>
    <t>SLB4-R GREEN-YELLOW</t>
  </si>
  <si>
    <t>SLB4-R BLACK</t>
  </si>
  <si>
    <t>SLB4-R RED</t>
  </si>
  <si>
    <t>SLB4-R BLUE</t>
  </si>
  <si>
    <t>SLB4-R YELLOW</t>
  </si>
  <si>
    <t>SLB4-R GREEN</t>
  </si>
  <si>
    <t>SLB4-R PURPLE</t>
  </si>
  <si>
    <t>SLB4-R BROWN</t>
  </si>
  <si>
    <t>SLB4-R GREY</t>
  </si>
  <si>
    <t>SLB4-R WHITE</t>
  </si>
  <si>
    <t>SLB4-G GREEN-YELLOW</t>
  </si>
  <si>
    <t>SLB4-G BLACK</t>
  </si>
  <si>
    <t>SLB4-G RED</t>
  </si>
  <si>
    <t>SLB4-G BLUE</t>
  </si>
  <si>
    <t>SLB4-G YELLOW</t>
  </si>
  <si>
    <t>SLB4-G GREEN</t>
  </si>
  <si>
    <t>SLB4-G PURPLE</t>
  </si>
  <si>
    <t>SLB4-G BROWN</t>
  </si>
  <si>
    <t>SLB4-G GREY</t>
  </si>
  <si>
    <t>SLB4-G WHITE</t>
  </si>
  <si>
    <t>SAB4-G GREEN-YELLOW</t>
  </si>
  <si>
    <t>SAB4-G BLACK</t>
  </si>
  <si>
    <t>SAB4-G RED</t>
  </si>
  <si>
    <t>SAB4-G BLUE</t>
  </si>
  <si>
    <t>SAB4-G YELLOW</t>
  </si>
  <si>
    <t>SAB4-G GREEN</t>
  </si>
  <si>
    <t>SAB4-G PURPLE</t>
  </si>
  <si>
    <t>SAB4-G BROWN</t>
  </si>
  <si>
    <t>SAB4-G GREY</t>
  </si>
  <si>
    <t>SAB4-G WHITE</t>
  </si>
  <si>
    <t>https://www.staubli.com/content/dam/ecs/technical-documentation/datasheets/TM/23.3000_en.pdf</t>
  </si>
  <si>
    <t>https://www.staubli.com/content/dam/ecs/technical-documentation/datasheets/TM/23.3060_en.pdf</t>
  </si>
  <si>
    <t>https://www.staubli.com/content/dam/ecs/technical-documentation/datasheets/TM/66.9131_en.pdf</t>
  </si>
  <si>
    <t>https://www.staubli.com/content/dam/ecs/technical-documentation/datasheets/TM/49.7049_en.pdf</t>
  </si>
  <si>
    <t>SLB4-F Insulated, rigid, Ø 4 mm, accepting spring-loaded Ø 4 mm plugs with rigid insulating sleeve. Machined brass. Insulation material UL94 V-0. The socket is screwed into pre-drilled panels of plastic, metal, etc. Flat connecting tab 4.8 mm × 0.8 mm.</t>
  </si>
  <si>
    <t>SLB4-F6.3 Insulated, rigid, Ø 4 mm, accepting spring-loaded Ø 4 mm plugs with rigid insulating sleeve. Machined brass. Insulation material UL94 V-0. The socket is screwed into pre-drilled panels of plastic, metal, etc. Flat connecting tab 6.3 mm x 0.8 mm.</t>
  </si>
  <si>
    <t>XEB-1R Insulated, rigid, Ø 4 mm, accepting spring-loaded Ø 4 mm plugs with rigid insulating sleeve. Brass sheet. The socket consists of two insulated, semi-circular contacts, which are connected to each other when a plug is inserted (switch function). The socket is screwed into pre-drilled panels of plastic, metal, etc. 2 × Flat connecting tab 4.8 mm × 0.8 mm.</t>
  </si>
  <si>
    <t>SLB4-E Insulated, rigid, Ø 4 mm, accepting spring-loaded Ø 4 mm plugs with rigid insulating sleeve. Machined brass. Insulation material UL94 V-0. The socket is screwed into pre-drilled panels of plastic, metal, etc. Solder connection.</t>
  </si>
  <si>
    <t>SLB4-R Insulated, rigid, Ø 4 mm, accepting spring-loaded Ø 4 mm plugs with rigid insulating sleeve. Machined brass. Insulation material UL94 V-0. The socket is screwed into pre-drilled panels of plastic, metal, etc. Round connecting pin Ø 1.9 mm.</t>
  </si>
  <si>
    <t>SLB4-G Insulated, rigid, Ø 4 mm, accepting spring-loaded Ø 4 mm plugs with rigid insulating sleeve. Machined brass. Insulation material UL94 V-0. The socket is screwed into pre-drilled panels of plastic, metal, etc. Threaded bolt M4 and soldering hole.</t>
  </si>
  <si>
    <t>SAB4-G Insulated, rigid, Ø 4 mm, accepting spring-loaded Ø 4 mm plugs with rigid insulating sleeve. Machined brass. The socket is surface-mounted in pre-drilled panels of plastic, metal, etc. Threaded bolt M4.</t>
  </si>
  <si>
    <t>23.3010-20</t>
  </si>
  <si>
    <t>23.3010-21</t>
  </si>
  <si>
    <t>23.3010-22</t>
  </si>
  <si>
    <t>23.3010-23</t>
  </si>
  <si>
    <t>23.3010-24</t>
  </si>
  <si>
    <t>23.3010-25</t>
  </si>
  <si>
    <t>23.3010-26</t>
  </si>
  <si>
    <t>23.3010-27</t>
  </si>
  <si>
    <t>23.3010-28</t>
  </si>
  <si>
    <t>23.3010-29</t>
  </si>
  <si>
    <t>23.3020-20</t>
  </si>
  <si>
    <t>23.3020-21</t>
  </si>
  <si>
    <t>23.3020-22</t>
  </si>
  <si>
    <t>23.3020-23</t>
  </si>
  <si>
    <t>23.3020-24</t>
  </si>
  <si>
    <t>23.3020-25</t>
  </si>
  <si>
    <t>23.3020-26</t>
  </si>
  <si>
    <t>23.3020-27</t>
  </si>
  <si>
    <t>23.3020-28</t>
  </si>
  <si>
    <t>23.3020-29</t>
  </si>
  <si>
    <t>23.3050-20</t>
  </si>
  <si>
    <t>23.3050-21</t>
  </si>
  <si>
    <t>23.3050-22</t>
  </si>
  <si>
    <t>23.3050-23</t>
  </si>
  <si>
    <t>23.3050-24</t>
  </si>
  <si>
    <t>23.3050-25</t>
  </si>
  <si>
    <t>23.3050-26</t>
  </si>
  <si>
    <t>23.3050-27</t>
  </si>
  <si>
    <t>23.3050-28</t>
  </si>
  <si>
    <t>23.3050-29</t>
  </si>
  <si>
    <t>https://www.staubli.com/content/dam/ecs/technical-documentation/datasheets/TM/49.7044_en.pdf</t>
  </si>
  <si>
    <t>49.7044-20</t>
  </si>
  <si>
    <t>49.7044-21</t>
  </si>
  <si>
    <t>49.7044-22</t>
  </si>
  <si>
    <t>49.7044-23</t>
  </si>
  <si>
    <t>49.7044-24</t>
  </si>
  <si>
    <t>49.7044-25</t>
  </si>
  <si>
    <t>49.7044-26</t>
  </si>
  <si>
    <t>49.7044-27</t>
  </si>
  <si>
    <t>49.7044-28</t>
  </si>
  <si>
    <t>49.7044-29</t>
  </si>
  <si>
    <t>49.7046-20</t>
  </si>
  <si>
    <t>49.7046-21</t>
  </si>
  <si>
    <t>49.7046-22</t>
  </si>
  <si>
    <t>49.7046-23</t>
  </si>
  <si>
    <t>49.7046-24</t>
  </si>
  <si>
    <t>49.7046-25</t>
  </si>
  <si>
    <t>49.7046-26</t>
  </si>
  <si>
    <t>49.7046-27</t>
  </si>
  <si>
    <t>49.7046-28</t>
  </si>
  <si>
    <t>23.3060-29</t>
  </si>
  <si>
    <t>49.7046-29</t>
  </si>
  <si>
    <t>https://www.staubli.com/content/dam/ecs/technical-documentation/datasheets/TM/49.7046_en.pdf</t>
  </si>
  <si>
    <t>SLB4-F/N-X GREEN-YELLOW</t>
  </si>
  <si>
    <t>SLB4-F/N-X BLACK</t>
  </si>
  <si>
    <t>SLB4-F/N-X RED</t>
  </si>
  <si>
    <t>SLB4-F/N-X BLUE</t>
  </si>
  <si>
    <t>SLB4-F/N-X YELLOW</t>
  </si>
  <si>
    <t>SLB4-F/N-X GREEN</t>
  </si>
  <si>
    <t>SLB4-F/N-X PURPLE</t>
  </si>
  <si>
    <t>SLB4-F/N-X BROWN</t>
  </si>
  <si>
    <t>SLB4-F/N-X GREY</t>
  </si>
  <si>
    <t>SLB4-F/N-X WHITE</t>
  </si>
  <si>
    <t>SLB4-F6.3/N-X GREEN-YELLOW</t>
  </si>
  <si>
    <t>SLB4-F6.3/N-X Insulated, rigid, Ø 4 mm, accepting spring-loaded Ø 4 mm plugs with rigid insulating sleeve. Machined brass. Insulation material UL94 V-0. The socket is screwed into pre-drilled panels of plastic, metal, etc. Flat connecting tab 6.3 mm x 0.8 mm.</t>
  </si>
  <si>
    <t>SLB4-F6.3/N-X BLACK</t>
  </si>
  <si>
    <t>SLB4-F6.3/N-X RED</t>
  </si>
  <si>
    <t>SLB4-F6.3/N-X BLUE</t>
  </si>
  <si>
    <t>SLB4-F6.3/N-X YELLOW</t>
  </si>
  <si>
    <t>SLB4-F6.3/N-X GREEN</t>
  </si>
  <si>
    <t>SLB4-F6.3/N-X PURPLE</t>
  </si>
  <si>
    <t>SLB4-F6.3/N-X BROWN</t>
  </si>
  <si>
    <t>SLB4-F6.3/N-X GREY</t>
  </si>
  <si>
    <t>SLB4-F6.3/N-X WHITE</t>
  </si>
  <si>
    <t>SLB4-F/N-X Insulated, rigid, Ø 4 mm, accepting spring-loaded Ø 4 mm plugs with rigid insulating sleeve. Machined brass. Insulation material UL94 V-0. The socket is screwed into pre-drilled panels of plastic, metal, etc. Flat connecting tab 4.8 mm x 0.8 mm.</t>
  </si>
  <si>
    <t>https://www.staubli.com/content/dam/ecs/technical-documentation/datasheets/TM/23.3010_en.pdf</t>
  </si>
  <si>
    <t>https://www.staubli.com/content/dam/ecs/technical-documentation/datasheets/TM/23.3020_en.pdf</t>
  </si>
  <si>
    <t>https://www.staubli.com/content/dam/ecs/technical-documentation/datasheets/TM/23.3050_en.pdf</t>
  </si>
  <si>
    <t>OPA197 SOIC</t>
  </si>
  <si>
    <t>OPA197 SOT23</t>
  </si>
  <si>
    <t>OPA2197 SOIC</t>
  </si>
  <si>
    <t>OPA4197 SOIC</t>
  </si>
  <si>
    <t>OPA197 VSSOP</t>
  </si>
  <si>
    <t>OPA2197 VSSOP</t>
  </si>
  <si>
    <t>OPA4197 TSSOP</t>
  </si>
  <si>
    <t>OPA_O6_P3_N2_VCC7_VEE4</t>
  </si>
  <si>
    <t>SO-14</t>
  </si>
  <si>
    <t>SOP127P600X155-14-NW</t>
  </si>
  <si>
    <t>https://www.ti.com/lit/ds/symlink/opa197.pdf</t>
  </si>
  <si>
    <t>OPA197IDR</t>
  </si>
  <si>
    <t>296-43866-1-ND</t>
  </si>
  <si>
    <t>OPA197ID</t>
  </si>
  <si>
    <t>296-43999-5-ND</t>
  </si>
  <si>
    <t>C79274</t>
  </si>
  <si>
    <t>OPA197IDBVR</t>
  </si>
  <si>
    <t>296-47813-1-ND</t>
  </si>
  <si>
    <t>OPA197IDBVT</t>
  </si>
  <si>
    <t>296-44076-1-ND</t>
  </si>
  <si>
    <t>C221351</t>
  </si>
  <si>
    <t>OPA197IDGKR</t>
  </si>
  <si>
    <t>296-44205-1-ND</t>
  </si>
  <si>
    <t>OPA197QDGKRQ1</t>
  </si>
  <si>
    <t>296-51493-1-ND</t>
  </si>
  <si>
    <t>C2058865</t>
  </si>
  <si>
    <t>OPA2197IDR</t>
  </si>
  <si>
    <t>296-44769-1-ND</t>
  </si>
  <si>
    <t>OPA2197ID</t>
  </si>
  <si>
    <t>296-44779-5-ND</t>
  </si>
  <si>
    <t>C139363</t>
  </si>
  <si>
    <t>OPA2197IDGKR</t>
  </si>
  <si>
    <t>296-47349-1-ND</t>
  </si>
  <si>
    <t>OPA2197QDGKRQ1</t>
  </si>
  <si>
    <t>296-51498-1-ND</t>
  </si>
  <si>
    <t>C2867268</t>
  </si>
  <si>
    <t>OPA4197IDR</t>
  </si>
  <si>
    <t>296-45059-1-ND</t>
  </si>
  <si>
    <t>OPA4197ID</t>
  </si>
  <si>
    <t>296-45121-5-ND</t>
  </si>
  <si>
    <t>C2058532</t>
  </si>
  <si>
    <t>OPA4197IPWR</t>
  </si>
  <si>
    <t>296-45060-1-ND</t>
  </si>
  <si>
    <t>OPA4197QPWRQ1</t>
  </si>
  <si>
    <t>296-OPA4197QPWRQ1CT-ND</t>
  </si>
  <si>
    <t>C2057327</t>
  </si>
  <si>
    <t>C5215160</t>
  </si>
  <si>
    <t>C2922448</t>
  </si>
  <si>
    <t>C5116472</t>
  </si>
  <si>
    <t>C5215163</t>
  </si>
  <si>
    <t>C5121509</t>
  </si>
  <si>
    <t>C2862562</t>
  </si>
  <si>
    <t>CAP1206-X7R</t>
  </si>
  <si>
    <t>CAP350P80X110</t>
  </si>
  <si>
    <t>CAP250P63X80</t>
  </si>
  <si>
    <t>R1210-0.55-WW</t>
  </si>
  <si>
    <t>https://www.littelfuse.com/assetdocs/littelfuse_fuse_block_354_datasheet.pdf?assetguid=6e94c133-ad48-47b7-8fff-80ea6c66704d</t>
  </si>
  <si>
    <t>354 Series OMNI-BLOK® Molded Base Fuse Block for 3AB/3AG Fuses</t>
  </si>
  <si>
    <t>Littelfuse</t>
  </si>
  <si>
    <t>0R01/2512</t>
  </si>
  <si>
    <t>RES SM 2512 0R01</t>
  </si>
  <si>
    <t>0R01</t>
  </si>
  <si>
    <t>PE2512FKE7W0R01L</t>
  </si>
  <si>
    <t>YAG2167CT-ND</t>
  </si>
  <si>
    <t>RC1210FR-071KL</t>
  </si>
  <si>
    <t>YAG2296CT-ND</t>
  </si>
  <si>
    <t>RC1210FR-0710RL</t>
  </si>
  <si>
    <t>13-RC1210FR-0710RLCT-ND</t>
  </si>
  <si>
    <t>RC1210JR-070RL</t>
  </si>
  <si>
    <t>YAG3375CT-ND</t>
  </si>
  <si>
    <t>TO220-3</t>
  </si>
  <si>
    <t>BCP56T</t>
  </si>
  <si>
    <t>BCP56T 80 V, 1 A NPN medium power transistor</t>
  </si>
  <si>
    <t>https://assets.nexperia.com/documents/data-sheet/BCP56T_SER.pdf</t>
  </si>
  <si>
    <t>BCP56TF</t>
  </si>
  <si>
    <t>1727-7619-1-ND</t>
  </si>
  <si>
    <t>BCP56,115</t>
  </si>
  <si>
    <t>C22239</t>
  </si>
  <si>
    <t>SOT223-4</t>
  </si>
  <si>
    <t>SOT223-230P670X180-4-SW</t>
  </si>
  <si>
    <t>BJT_NPN_B1_C2-4_E3</t>
  </si>
  <si>
    <t>MOSFET_N_G4_D5_S1-2-3</t>
  </si>
  <si>
    <t>MOSFET_N_G1_D3_S2</t>
  </si>
  <si>
    <t>MOSFET_P_G1_D3_S2</t>
  </si>
  <si>
    <t>MOSFET_P_G4_D5_S1-2-3</t>
  </si>
  <si>
    <t>PCB/ELP.PcbLib</t>
  </si>
  <si>
    <t>495-B66286A2000X000-ND</t>
  </si>
  <si>
    <t>495-5203-ND</t>
  </si>
  <si>
    <t>495-5390-ND</t>
  </si>
  <si>
    <t>495-75474-ND</t>
  </si>
  <si>
    <t>495-5391-ND</t>
  </si>
  <si>
    <t>495-75475-ND</t>
  </si>
  <si>
    <t>495-B66285G0050X187-ND</t>
  </si>
  <si>
    <t>Header_1x1</t>
  </si>
  <si>
    <t>HEAD_254_1X1</t>
  </si>
  <si>
    <t>BTN 14MM RED NC</t>
  </si>
  <si>
    <t>BTN 14MM RED</t>
  </si>
  <si>
    <t>BTN 14MM BLACK</t>
  </si>
  <si>
    <t>Pushbutton switch panel mount 14mm diameter, black</t>
  </si>
  <si>
    <t>Pushbutton switch panel mount 14mm diameter, red</t>
  </si>
  <si>
    <t>RS-BUTTON-14MM-RED</t>
  </si>
  <si>
    <t>BTN_SPST_NC</t>
  </si>
  <si>
    <t>BTN_SPST_NO</t>
  </si>
  <si>
    <t>Pushbutton switch panel mount 14mm diameter, red, normally closed</t>
  </si>
  <si>
    <t>RS PRO</t>
  </si>
  <si>
    <t>BTN 14MM WHITE</t>
  </si>
  <si>
    <t>BTN 14MM ORANGE</t>
  </si>
  <si>
    <t>BTN 14MM YELLOW</t>
  </si>
  <si>
    <t>BTN 14MM GREEN</t>
  </si>
  <si>
    <t>Pushbutton switch panel mount 14mm diameter, white</t>
  </si>
  <si>
    <t>Pushbutton switch panel mount 14mm diameter, orange</t>
  </si>
  <si>
    <t>Pushbutton switch panel mount 14mm diameter, yellow</t>
  </si>
  <si>
    <t>Pushbutton switch panel mount 14mm diameter, green</t>
  </si>
  <si>
    <t>BTN 14MM BLUE</t>
  </si>
  <si>
    <t>Pushbutton switch panel mount 14mm diameter, blue</t>
  </si>
  <si>
    <t>RS-BUTTON-14MM-WHITE</t>
  </si>
  <si>
    <t>RS-BUTTON-14MM-BLACK</t>
  </si>
  <si>
    <t>RS-BUTTON-14MM-ORANGE</t>
  </si>
  <si>
    <t>RS-BUTTON-14MM-YELLOW</t>
  </si>
  <si>
    <t>RS-BUTTON-14MM-GREEN</t>
  </si>
  <si>
    <t>RS-BUTTON-14MM-BLUE</t>
  </si>
  <si>
    <t>144-4359</t>
  </si>
  <si>
    <t>https://docs.rs-online.com/f502/A700000007944942.pdf</t>
  </si>
  <si>
    <t>https://docs.rs-online.com/1486/A700000007944938.pdf</t>
  </si>
  <si>
    <t>734-6704</t>
  </si>
  <si>
    <t>734-6716</t>
  </si>
  <si>
    <t>209-9071</t>
  </si>
  <si>
    <t>https://docs.rs-online.com/fa86/A700000008220003.pdf</t>
  </si>
  <si>
    <t>209-9077</t>
  </si>
  <si>
    <t>https://docs.rs-online.com/9ba9/A700000008220007.pdf</t>
  </si>
  <si>
    <t>https://docs.rs-online.com/8efa/A700000007944946.pdf</t>
  </si>
  <si>
    <t>144-4358</t>
  </si>
  <si>
    <t>https://docs.rs-online.com/0ebd/A700000008220293.pdf</t>
  </si>
  <si>
    <t>209-9081</t>
  </si>
  <si>
    <t>https://docs.rs-online.com/95bb/A700000008220011.pdf</t>
  </si>
  <si>
    <t>https://docs.rs-online.com/361f/A700000008220015.pdf</t>
  </si>
  <si>
    <t>209-9082</t>
  </si>
  <si>
    <t>BTN 6X6MM 4.3MM 1N</t>
  </si>
  <si>
    <t>BTN 6X6MM 4.3MM 1.5N</t>
  </si>
  <si>
    <t>BTN 6X6MM</t>
  </si>
  <si>
    <t>BTN 6X6MM 4.3MM 2.5N</t>
  </si>
  <si>
    <t>BTN 6X6MM 4.3MM 5N</t>
  </si>
  <si>
    <t>BTN 6X6MM 5.0MM 1N</t>
  </si>
  <si>
    <t>BTN 6X6MM 5.0MM 1.5N</t>
  </si>
  <si>
    <t>BTN 6X6MM 5.0MM 2.5N</t>
  </si>
  <si>
    <t>BTN 6X6MM 5.0MM 5N</t>
  </si>
  <si>
    <t>BTN 6X6MM 7.0MM 1N</t>
  </si>
  <si>
    <t>BTN 6X6MM 7.0MM 1.5N</t>
  </si>
  <si>
    <t>BTN 6X6MM 9.5MM 1N</t>
  </si>
  <si>
    <t>BTN 6X6MM 9.5MM 1.5N</t>
  </si>
  <si>
    <t>BTN 6X6MM 9.5MM 2.5N</t>
  </si>
  <si>
    <t>Pushbutton switch, PCB mount, 6x6mm, 4.3mm height, 1N operating force</t>
  </si>
  <si>
    <t>Pushbutton switch, PCB mount, 6x6mm, 4.3mm height, 1.5N operating force</t>
  </si>
  <si>
    <t>Pushbutton switch, PCB mount, 6x6mm, 4.3mm height, 2.5N operating force</t>
  </si>
  <si>
    <t>Pushbutton switch, PCB mount, 6x6mm, 4.3mm height, 5N operating force</t>
  </si>
  <si>
    <t>Pushbutton switch, PCB mount, 6x6mm, 5.0mm height, 1N operating force</t>
  </si>
  <si>
    <t>Pushbutton switch, PCB mount, 6x6mm, 5.0mm height, 1.5N operating force</t>
  </si>
  <si>
    <t>Pushbutton switch, PCB mount, 6x6mm, 5.0mm height, 2.5N operating force</t>
  </si>
  <si>
    <t>Pushbutton switch, PCB mount, 6x6mm, 5.0mm height, 5N operating force</t>
  </si>
  <si>
    <t>Pushbutton switch, PCB mount, 6x6mm, 7.0mm height, 1N operating force</t>
  </si>
  <si>
    <t>Pushbutton switch, PCB mount, 6x6mm, 7.0mm height, 1.5N operating force</t>
  </si>
  <si>
    <t>Pushbutton switch, PCB mount, 6x6mm, 9.5mm height, 1N operating force</t>
  </si>
  <si>
    <t>Pushbutton switch, PCB mount, 6x6mm, 9.5mm height, 1.5N operating force</t>
  </si>
  <si>
    <t>Pushbutton switch, PCB mount, 6x6mm, 9.5mm height, 2.5N operating force</t>
  </si>
  <si>
    <t>BTN 6X6MM 4.3MM 1.8N HI-REL</t>
  </si>
  <si>
    <t>BTN 6X6MM 5.0MM 1.8N HI-REL</t>
  </si>
  <si>
    <t>BTN 6X6MM 7.0MM 1.8N HI-REL</t>
  </si>
  <si>
    <t>BTN 6X6MM 9.5MM 1.8N HI-REL</t>
  </si>
  <si>
    <t>Pushbutton switch, PCB mount, 6x6mm, 4.3mm height, 1.8N operating force, high reliability gold-plated</t>
  </si>
  <si>
    <t>Pushbutton switch, PCB mount, 6x6mm, 5.0mm height, 1.8N operating force, high reliability gold-plated</t>
  </si>
  <si>
    <t>Pushbutton switch, PCB mount, 6x6mm, 7.0mm height, 1.8N operating force, high reliability gold-plated</t>
  </si>
  <si>
    <t>Pushbutton switch, PCB mount, 6x6mm, 9.5mm height, 1.8N operating force, high reliability gold-plated</t>
  </si>
  <si>
    <t>BTN-6X6MM-4.3MM-IVORY</t>
  </si>
  <si>
    <t>BTN-6X6MM-4.3MM-YELLOW</t>
  </si>
  <si>
    <t>BTN-6X6MM-7.0MM-YELLOW</t>
  </si>
  <si>
    <t>BTN-6X6MM-9.5MM-YELLOW</t>
  </si>
  <si>
    <t>BTN-6X6MM-4.3MM-ORANGE</t>
  </si>
  <si>
    <t>BTN-6X6MM-4.3MM-RED</t>
  </si>
  <si>
    <t>BTN-6X6MM-5.0MM-BLACK</t>
  </si>
  <si>
    <t>BTN-6X6MM-5.0MM-GRAY</t>
  </si>
  <si>
    <t>BTN-6X6MM-5.0MM-PINK</t>
  </si>
  <si>
    <t>BTN-6X6MM-5.0MM-BLUE</t>
  </si>
  <si>
    <t>BTN-6X6MM-7.0MM-BLACK</t>
  </si>
  <si>
    <t>BTN-6X6MM-9.5MM-BLACK</t>
  </si>
  <si>
    <t>BTN-6X6MM-9.5MM-ORANGE</t>
  </si>
  <si>
    <t>https://omronfs.omron.com/en_US/ecb/products/pdf/en-b3f.pdf</t>
  </si>
  <si>
    <t>B3F-1000</t>
  </si>
  <si>
    <t>B3F-1002</t>
  </si>
  <si>
    <t>B3F-1005</t>
  </si>
  <si>
    <t>B3F-1006</t>
  </si>
  <si>
    <t>B3F-1020</t>
  </si>
  <si>
    <t>B3F-1022</t>
  </si>
  <si>
    <t>B3F-1025</t>
  </si>
  <si>
    <t>B3F-1026</t>
  </si>
  <si>
    <t>B3F-1060</t>
  </si>
  <si>
    <t>B3F-1062</t>
  </si>
  <si>
    <t>B3F-1070</t>
  </si>
  <si>
    <t>B3F-1072</t>
  </si>
  <si>
    <t>B3F-1075</t>
  </si>
  <si>
    <t>B3F-1002-G</t>
  </si>
  <si>
    <t>B3F-1022-G</t>
  </si>
  <si>
    <t>B3F-1062-G</t>
  </si>
  <si>
    <t>B3F-1072-G</t>
  </si>
  <si>
    <t>SW787-ND</t>
  </si>
  <si>
    <t>SW788-ND</t>
  </si>
  <si>
    <t>39-B3F-1062-G-ND</t>
  </si>
  <si>
    <t>39-B3F-1072-G-ND</t>
  </si>
  <si>
    <t>SW400-ND</t>
  </si>
  <si>
    <t>SW401-ND</t>
  </si>
  <si>
    <t>SW793-ND</t>
  </si>
  <si>
    <t>SW950-ND</t>
  </si>
  <si>
    <t>SW402-ND</t>
  </si>
  <si>
    <t>SW403-ND</t>
  </si>
  <si>
    <t>SW794-ND</t>
  </si>
  <si>
    <t>SW1176-ND</t>
  </si>
  <si>
    <t>SW1177-ND</t>
  </si>
  <si>
    <t>SW1178-ND</t>
  </si>
  <si>
    <t>SW406-ND</t>
  </si>
  <si>
    <t>SW1179-ND</t>
  </si>
  <si>
    <t>B3F-1075-ND</t>
  </si>
  <si>
    <t>B5819WSL</t>
  </si>
  <si>
    <t>1655-B5819WSLCT-ND</t>
  </si>
  <si>
    <t>RC1206FR-07100RL</t>
  </si>
  <si>
    <t>311-100FRCT-ND</t>
  </si>
  <si>
    <t>AA2512FK-074M7L</t>
  </si>
  <si>
    <t>13-AA2512FK-074M7LCT-ND</t>
  </si>
  <si>
    <t>RC2512FK-073M9L</t>
  </si>
  <si>
    <t>RC2512FK-073M9L-ND</t>
  </si>
  <si>
    <t>RC2512FK-074M7L</t>
  </si>
  <si>
    <t>RC2512FK-074M7L-ND</t>
  </si>
  <si>
    <t>SCH/Transistor.SchLib</t>
  </si>
  <si>
    <t>BJT_PNP_B1_C3_E2</t>
  </si>
  <si>
    <t>PAD-THT-1.0MM-1.6MM-ROUND</t>
  </si>
  <si>
    <t>PAD-THT-1.5MM-2.2MM-ROUND</t>
  </si>
  <si>
    <t>PAD-THT-2.0MM-2.6MM-ROUND</t>
  </si>
  <si>
    <t>PAD-THT-2.5MM-3.2MM-ROUND</t>
  </si>
  <si>
    <t>PAD-THT-3.0MM-3.6MM-ROUND</t>
  </si>
  <si>
    <t>Through-hole pad, 1.0mm drill, 1.6mm pad, round</t>
  </si>
  <si>
    <t>Through-hole pad, 1.5mm drill, 2.2mm pad, round</t>
  </si>
  <si>
    <t>Through-hole pad, 2.0mm drill, 2.6mm pad, round</t>
  </si>
  <si>
    <t>Through-hole pad, 2.5mm drill, 3.2mm pad, round</t>
  </si>
  <si>
    <t>Through-hole pad, 3.0mm drill, 3.6mm pad, round</t>
  </si>
  <si>
    <t>PAD-THT-2.0MM-4.0MM-ROUND</t>
  </si>
  <si>
    <t>Through-hole pad, 2.0mm drill, 4.0mm pad, round</t>
  </si>
  <si>
    <t>PAD-THT-1.5MM-3.0MM-ROUND</t>
  </si>
  <si>
    <t>Through-hole pad, 1.5mm drill, 3.0mm pad, round</t>
  </si>
  <si>
    <t>ELP22/6/16 1WDG PCB 0.6MM 0.2MM</t>
  </si>
  <si>
    <t>ELP22/6/16 1WDG PCB 0.6MM 1.0MM</t>
  </si>
  <si>
    <t>ELP22/6/16 1WDG PCB 0.6MM 1.8MM</t>
  </si>
  <si>
    <t>ELP22/6/16 1WDG PCB 0.6MM 2.6MM</t>
  </si>
  <si>
    <t>ELP22/6/16 1WDG PCB 0.6MM 3.4MM</t>
  </si>
  <si>
    <t>ELP22/6/16 coil, 1 winding, PCB 0.6mm, 0.2mm standoff</t>
  </si>
  <si>
    <t>ELP22/6/16 coil, 1 winding, PCB 0.6mm, 1.0mm standoff</t>
  </si>
  <si>
    <t>ELP22/6/16 coil, 1 winding, PCB 0.6mm, 1.8mm standoff</t>
  </si>
  <si>
    <t>ELP22/6/16 coil, 1 winding, PCB 0.6mm, 2.6mm standoff</t>
  </si>
  <si>
    <t>ELP22/6/16 coil, 1 winding, PCB 0.6mm, 3.4mm standoff</t>
  </si>
  <si>
    <t>ELP22/6/16_1_WDG_PCB_0.6MM_0.2MM</t>
  </si>
  <si>
    <t>ELP22/6/16_1_WDG_PCB_0.6MM_1.0MM</t>
  </si>
  <si>
    <t>ELP22/6/16_1_WDG_PCB_0.6MM_1.8MM</t>
  </si>
  <si>
    <t>ELP22/6/16_1_WDG_PCB_0.6MM_2.6MM</t>
  </si>
  <si>
    <t>ELP22/6/16_1_WDG_PCB_0.6MM_3.4MM</t>
  </si>
  <si>
    <t>ELP22/6/16 2WDG PCB 0.6MM 0.2MM</t>
  </si>
  <si>
    <t>ELP22/6/16 2WDG PCB 0.6MM 1.0MM</t>
  </si>
  <si>
    <t>ELP22/6/16 2WDG PCB 0.6MM 1.8MM</t>
  </si>
  <si>
    <t>ELP22/6/16 2WDG PCB 0.6MM 2.6MM</t>
  </si>
  <si>
    <t>ELP22/6/16 2WDG PCB 0.6MM 3.4MM</t>
  </si>
  <si>
    <t>ELP22/6/16_2_WDG_PCB_0.6MM_0.2MM</t>
  </si>
  <si>
    <t>ELP22/6/16_2_WDG_PCB_0.6MM_1.0MM</t>
  </si>
  <si>
    <t>ELP22/6/16_2_WDG_PCB_0.6MM_1.8MM</t>
  </si>
  <si>
    <t>ELP22/6/16_2_WDG_PCB_0.6MM_2.6MM</t>
  </si>
  <si>
    <t>ELP22/6/16_2_WDG_PCB_0.6MM_3.4MM</t>
  </si>
  <si>
    <t>ELP22/6/16_24_WDG_PCB_0.6MM_0.2MM</t>
  </si>
  <si>
    <t>ELP22/6/16_24_WDG_PCB_0.6MM_1.0MM</t>
  </si>
  <si>
    <t>ELP22/6/16_24_WDG_PCB_0.6MM_1.8MM</t>
  </si>
  <si>
    <t>ELP22/6/16_24_WDG_PCB_0.6MM_2.6MM</t>
  </si>
  <si>
    <t>ELP22/6/16_24_WDG_PCB_0.6MM_3.4MM</t>
  </si>
  <si>
    <t>ELP22/6/16 24WDG PCB 0.6MM 0.2MM</t>
  </si>
  <si>
    <t>ELP22/6/16 24WDG PCB 0.6MM 1.0MM</t>
  </si>
  <si>
    <t>ELP22/6/16 24WDG PCB 0.6MM 1.8MM</t>
  </si>
  <si>
    <t>ELP22/6/16 24WDG PCB 0.6MM 2.6MM</t>
  </si>
  <si>
    <t>ELP22/6/16 24WDG PCB 0.6MM 3.4MM</t>
  </si>
  <si>
    <t>ELP22/6/16 1WDG PCB 1.6MM</t>
  </si>
  <si>
    <t>ELP22/6/16 2WDG PCB 1.6MM</t>
  </si>
  <si>
    <t>ELP22/6/16 24WDG PCB 1.6MM</t>
  </si>
  <si>
    <t>ELP22/6/16 coil, 1 winding, PCB 1.6mm</t>
  </si>
  <si>
    <t>ELP22/6/16 coil, 2 windings, PCB 1.6mm</t>
  </si>
  <si>
    <t>ELP22/6/16 coil, 24 windings, PCB 1.6mm</t>
  </si>
  <si>
    <t>ELP22/6/16 coil, 2 windings, PCB 0.6mm, 0.2mm standoff</t>
  </si>
  <si>
    <t>ELP22/6/16 coil, 2 windings, PCB 0.6mm, 1.0mm standoff</t>
  </si>
  <si>
    <t>ELP22/6/16 coil, 2 windings, PCB 0.6mm, 1.8mm standoff</t>
  </si>
  <si>
    <t>ELP22/6/16 coil, 2 windings, PCB 0.6mm, 2.6mm standoff</t>
  </si>
  <si>
    <t>ELP22/6/16 coil, 2 windings, PCB 0.6mm, 3.4mm standoff</t>
  </si>
  <si>
    <t>ELP22/6/16 coil, 24 windings, PCB 0.6mm, 0.2mm standoff</t>
  </si>
  <si>
    <t>ELP22/6/16 coil, 24 windings, PCB 0.6mm, 1.0mm standoff</t>
  </si>
  <si>
    <t>ELP22/6/16 coil, 24 windings, PCB 0.6mm, 1.8mm standoff</t>
  </si>
  <si>
    <t>ELP22/6/16 coil, 24 windings, PCB 0.6mm, 2.6mm standoff</t>
  </si>
  <si>
    <t>ELP22/6/16 coil, 24 windings, PCB 0.6mm, 3.4mm standoff</t>
  </si>
  <si>
    <t>ELP22/6/16 1WDG PCB 0.6MM 4.2MM</t>
  </si>
  <si>
    <t>ELP22/6/16 coil, 1 winding, PCB 0.6mm, 4.2mm standoff</t>
  </si>
  <si>
    <t>ELP22/6/16_1_WDG_PCB_0.6MM_4.2MM</t>
  </si>
  <si>
    <t>ELP22/6/16 2WDG PCB 0.6MM 4.2MM</t>
  </si>
  <si>
    <t>ELP22/6/16 coil, 2 windings, PCB 0.6mm, 4.2mm standoff</t>
  </si>
  <si>
    <t>ELP22/6/16_2_WDG_PCB_0.6MM_4.2MM</t>
  </si>
  <si>
    <t>ELP22/6/16 24WDG PCB 0.6MM 4.2MM</t>
  </si>
  <si>
    <t>ELP22/6/16 coil, 24 windings, PCB 0.6mm, 4.2mm standoff</t>
  </si>
  <si>
    <t>ELP22/6/16_24_WDG_PCB_0.6MM_4.2MM</t>
  </si>
  <si>
    <t>ELP22/6/16 N87 FLAT</t>
  </si>
  <si>
    <t>ELP22/6/16-0.0MM</t>
  </si>
  <si>
    <t>ELP22/6/16-0.0MM-BOTTOM</t>
  </si>
  <si>
    <t>ELP22/6/16 N87 FLAT BOTTOM</t>
  </si>
  <si>
    <t>ELP22/6/16 PC200 FLAT</t>
  </si>
  <si>
    <t>ELP22/6/16 PC200 FLAT BOTTOM</t>
  </si>
  <si>
    <t>ELP22/6/16 N49 FLAT</t>
  </si>
  <si>
    <t>ELP22/6/16 N92 FLAT</t>
  </si>
  <si>
    <t>ELP22/6/16 N97 FLAT</t>
  </si>
  <si>
    <t>ELP22/6/16 N95 FLAT</t>
  </si>
  <si>
    <t>ELP22/6/16 N87 0.05MM FLAT</t>
  </si>
  <si>
    <t>ELP22/6/16 N87 0.1MM FLAT</t>
  </si>
  <si>
    <t>ELP22/6/16 N87 0.3MM FLAT</t>
  </si>
  <si>
    <t>ELP22/6/16 N87 0.5MM FLAT</t>
  </si>
  <si>
    <t>ELP22/6/16 N87 1.0MM FLAT</t>
  </si>
  <si>
    <t>ELP22/6/16 N49 FLAT BOTTOM</t>
  </si>
  <si>
    <t>ELP22/6/16 N92 FLAT BOTTOM</t>
  </si>
  <si>
    <t>ELP22/6/16 N97 FLAT BOTTOM</t>
  </si>
  <si>
    <t>ELP22/6/16 N95 FLAT BOTTOM</t>
  </si>
  <si>
    <t>ELP22/6/16 N87 0.05MM FLAT BOTTOM</t>
  </si>
  <si>
    <t>ELP22/6/16 N87 0.1MM FLAT BOTTOM</t>
  </si>
  <si>
    <t>ELP22/6/16 N87 0.3MM FLAT BOTTOM</t>
  </si>
  <si>
    <t>ELP22/6/16 N87 0.5MM FLAT BOTTOM</t>
  </si>
  <si>
    <t>ELP22/6/16 N87 1.0MM FLAT BOTTOM</t>
  </si>
  <si>
    <t>EELP22 CLAMP</t>
  </si>
  <si>
    <t>EILP22 CLAMP</t>
  </si>
  <si>
    <t>EELP22/6/16-CLAMP</t>
  </si>
  <si>
    <t>EILP22/6/16-CLAMP</t>
  </si>
  <si>
    <t>EELP22 CLAMP FLAT</t>
  </si>
  <si>
    <t>EELP22/6/16-CLAMP-FLAT</t>
  </si>
  <si>
    <t>HOLE</t>
  </si>
  <si>
    <t>Tooling JLC</t>
  </si>
  <si>
    <t>Tooling hole for JLC (1.152mm)</t>
  </si>
  <si>
    <t>TOOLING-JLC</t>
  </si>
  <si>
    <t>PCB NAME</t>
  </si>
  <si>
    <t>PCB-NAME</t>
  </si>
  <si>
    <t>PCB name, 2mm text height, left-aligned</t>
  </si>
  <si>
    <t>PCB NAME 2mm L</t>
  </si>
  <si>
    <t>PCB-NAME-2MM-LEFT</t>
  </si>
  <si>
    <t>PCB NAME 2mm C</t>
  </si>
  <si>
    <t>PCB NAME 2mm R</t>
  </si>
  <si>
    <t>PCB name, 2mm text height, centered</t>
  </si>
  <si>
    <t>PCB name, 2mm text height, right-aligned</t>
  </si>
  <si>
    <t>PCB-NAME-2MM-CENTER</t>
  </si>
  <si>
    <t>PCB-NAME-2MM-RIGHT</t>
  </si>
  <si>
    <t>PCB NAME 3mm L</t>
  </si>
  <si>
    <t>PCB name, 3mm text height, left-aligned</t>
  </si>
  <si>
    <t>PCB-NAME-3MM-LEFT</t>
  </si>
  <si>
    <t>PCB NAME 3mm C</t>
  </si>
  <si>
    <t>PCB name, 3mm text height, centered</t>
  </si>
  <si>
    <t>PCB-NAME-3MM-CENTER</t>
  </si>
  <si>
    <t>PCB NAME 3mm R</t>
  </si>
  <si>
    <t>PCB name, 3mm text height, right-aligned</t>
  </si>
  <si>
    <t>PCB-NAME-3MM-RIGHT</t>
  </si>
  <si>
    <t>PCB NAME 4mm L</t>
  </si>
  <si>
    <t>PCB name, 4mm text height, left-aligned</t>
  </si>
  <si>
    <t>PCB-NAME-4MM-LEFT</t>
  </si>
  <si>
    <t>PCB NAME 4mm C</t>
  </si>
  <si>
    <t>PCB name, 4mm text height, centered</t>
  </si>
  <si>
    <t>PCB-NAME-4MM-CENTER</t>
  </si>
  <si>
    <t>PCB NAME 4mm R</t>
  </si>
  <si>
    <t>PCB name, 4mm text height, right-aligned</t>
  </si>
  <si>
    <t>PCB-NAME-4MM-RIGHT</t>
  </si>
  <si>
    <t>PCB NAME 5mm L</t>
  </si>
  <si>
    <t>PCB name, 5mm text height, left-aligned</t>
  </si>
  <si>
    <t>PCB-NAME-5MM-LEFT</t>
  </si>
  <si>
    <t>PCB NAME 5mm C</t>
  </si>
  <si>
    <t>PCB name, 5mm text height, centered</t>
  </si>
  <si>
    <t>PCB-NAME-5MM-CENTER</t>
  </si>
  <si>
    <t>PCB NAME 5mm R</t>
  </si>
  <si>
    <t>PCB name, 5mm text height, right-aligned</t>
  </si>
  <si>
    <t>PCB-NAME-5MM-RIGHT</t>
  </si>
  <si>
    <t>ORDER NO</t>
  </si>
  <si>
    <t>ORDER NO JLC</t>
  </si>
  <si>
    <t>Order number, JLC as per requirement</t>
  </si>
  <si>
    <t>JLC-ORDER</t>
  </si>
  <si>
    <t>ORDER-NO</t>
  </si>
  <si>
    <t>Fiducial 1mm</t>
  </si>
  <si>
    <t>FIDU-1MM</t>
  </si>
  <si>
    <t>SERIAL 2D 5MM</t>
  </si>
  <si>
    <t>SERIAL 2D</t>
  </si>
  <si>
    <t>2D Serial number placeholder, Dotmatrix or QR, size: 5mm</t>
  </si>
  <si>
    <t>SERIAL-2D</t>
  </si>
  <si>
    <t>SERIAL 2D 5MM RESTRICT</t>
  </si>
  <si>
    <t>SERIAL 2D 8MM</t>
  </si>
  <si>
    <t>2D Serial number placeholder, Dotmatrix or QR, size: 8mm</t>
  </si>
  <si>
    <t>SERIAL 2D 8MM RESTRICT</t>
  </si>
  <si>
    <t>SERIAL 2D 10MM</t>
  </si>
  <si>
    <t>2D Serial number placeholder, Dotmatrix or QR, size: 10mm</t>
  </si>
  <si>
    <t>SERIAL 2D 10MM RESTRICT</t>
  </si>
  <si>
    <t>2D Serial number placeholder, Dotmatrix or QR, size: 5mm, restriction on top layer</t>
  </si>
  <si>
    <t>2D Serial number placeholder, Dotmatrix or QR, size: 8mm, restriction on top layer</t>
  </si>
  <si>
    <t>2D Serial number placeholder, Dotmatrix or QR, size: 10mm, restriction on top layer</t>
  </si>
  <si>
    <t>LOGO FSCH 10MM</t>
  </si>
  <si>
    <t>LOGO FSCH</t>
  </si>
  <si>
    <t>FSCH logo, size 10mm</t>
  </si>
  <si>
    <t>LOGO</t>
  </si>
  <si>
    <t>LOGO-FSCH-10MM</t>
  </si>
  <si>
    <t>LOGO FSCH 12MM</t>
  </si>
  <si>
    <t>FSCH logo, size 12mm</t>
  </si>
  <si>
    <t>LOGO-FSCH-12MM</t>
  </si>
  <si>
    <t>LOGO FSCH 15MM</t>
  </si>
  <si>
    <t>FSCH logo, size 15mm</t>
  </si>
  <si>
    <t>LOGO-FSCH-15MM</t>
  </si>
  <si>
    <t>LOGO FSCH 20MM</t>
  </si>
  <si>
    <t>FSCH logo, size 20mm</t>
  </si>
  <si>
    <t>LOGO-FSCH-20MM</t>
  </si>
  <si>
    <t>LOGO FSCH 40MM</t>
  </si>
  <si>
    <t>FSCH logo, size 40mm</t>
  </si>
  <si>
    <t>LOGO-FSCH-40MM</t>
  </si>
  <si>
    <t>LOGO FSFUT 10MM</t>
  </si>
  <si>
    <t>LOGO FSFUT</t>
  </si>
  <si>
    <t>FSFUT logo, size 10mm</t>
  </si>
  <si>
    <t>LOGO-FSFUT-10MM</t>
  </si>
  <si>
    <t>LOGO FSFUT 20MM</t>
  </si>
  <si>
    <t>FSFUT logo, size 15mm</t>
  </si>
  <si>
    <t>LOGO-FSFUT-15MM</t>
  </si>
  <si>
    <t>LOGO FSFUT 15MM</t>
  </si>
  <si>
    <t>FSFUT logo, size 20mm</t>
  </si>
  <si>
    <t>LOGO-FSFUT-20MM</t>
  </si>
  <si>
    <t>LOGO WHE 4MM</t>
  </si>
  <si>
    <t>LOGO WHE</t>
  </si>
  <si>
    <t>WHE logo, size 4mm</t>
  </si>
  <si>
    <t>LOGO-WHE-4MM</t>
  </si>
  <si>
    <t>LOGO WHE 5MM</t>
  </si>
  <si>
    <t>WHE logo, size 5mm</t>
  </si>
  <si>
    <t>LOGO-WHE-5MM</t>
  </si>
  <si>
    <t>LOGO WHE 10MM</t>
  </si>
  <si>
    <t>WHE logo, size 10mm</t>
  </si>
  <si>
    <t>LOGO-WHE-10MM</t>
  </si>
  <si>
    <t>LOGO WHE 15MM</t>
  </si>
  <si>
    <t>WHE logo, size 15mm</t>
  </si>
  <si>
    <t>LOGO-WHE-15MM</t>
  </si>
  <si>
    <t>LOGO WHE 20MM</t>
  </si>
  <si>
    <t>WHE logo, size 20mm</t>
  </si>
  <si>
    <t>LOGO-WHE-20MM</t>
  </si>
  <si>
    <t>IPN95R3K7P7ATMA1</t>
  </si>
  <si>
    <t>IPN95R3K7P7</t>
  </si>
  <si>
    <t>IPN95R3K7P7 MOSFET 950V_x0002_CoolMOSª_x0002_P7_x0002_SJ_x0002_Power_x0002_Device</t>
  </si>
  <si>
    <t>SOT223-3</t>
  </si>
  <si>
    <t>https://www.infineon.com/dgdl/Infineon-IPN95R3K7P7-DS-v02_00-EN.pdf?fileId=5546d462636cc8fb01643b2dacda55d7</t>
  </si>
  <si>
    <t>IPN95R3K7P7ATMA1CT-ND</t>
  </si>
  <si>
    <t>C3278582</t>
  </si>
  <si>
    <t>SOT223-230P670X180-3-SW</t>
  </si>
  <si>
    <t>SERIAL-2D-5MM</t>
  </si>
  <si>
    <t>SERIAL-2D-8MM</t>
  </si>
  <si>
    <t>SERIAL-2D-10MM</t>
  </si>
  <si>
    <t>SERIAL-2D-5MM-RESTRICT</t>
  </si>
  <si>
    <t>SERIAL-2D-8MM-RESTRICT</t>
  </si>
  <si>
    <t>SERIAL-2D-10MM-RESTRICT</t>
  </si>
  <si>
    <t>HEAD_254_1X2</t>
  </si>
  <si>
    <t>HEAD_254_1X3</t>
  </si>
  <si>
    <t>HEAD_254_1X4</t>
  </si>
  <si>
    <t>HEAD_254_1X5</t>
  </si>
  <si>
    <t>HEAD_254_1X6</t>
  </si>
  <si>
    <t>HEAD_254_1X7</t>
  </si>
  <si>
    <t>HEAD_254_1X8</t>
  </si>
  <si>
    <t>HEAD_254_1X9</t>
  </si>
  <si>
    <t>HEAD_254_1X10</t>
  </si>
  <si>
    <t>HEAD_254_1X11</t>
  </si>
  <si>
    <t>HEAD_254_1X12</t>
  </si>
  <si>
    <t>HEAD_254_1X13</t>
  </si>
  <si>
    <t>HEAD_254_1X14</t>
  </si>
  <si>
    <t>HEAD_254_1X15</t>
  </si>
  <si>
    <t>HEAD_254_1X16</t>
  </si>
  <si>
    <t>HEAD_254_1X17</t>
  </si>
  <si>
    <t>HEAD_254_1X18</t>
  </si>
  <si>
    <t>HEAD_254_1X19</t>
  </si>
  <si>
    <t>HEAD_254_1X20</t>
  </si>
  <si>
    <t>Header_1x2</t>
  </si>
  <si>
    <t>Header_1x3</t>
  </si>
  <si>
    <t>Header_1x4</t>
  </si>
  <si>
    <t>Header_1x5</t>
  </si>
  <si>
    <t>Header_1x6</t>
  </si>
  <si>
    <t>Header_1x7</t>
  </si>
  <si>
    <t>Header_1x8</t>
  </si>
  <si>
    <t>Header_1x9</t>
  </si>
  <si>
    <t>Header_1x10</t>
  </si>
  <si>
    <t>Header_1x11</t>
  </si>
  <si>
    <t>Header_1x12</t>
  </si>
  <si>
    <t>Header_1x13</t>
  </si>
  <si>
    <t>Header_1x14</t>
  </si>
  <si>
    <t>Header_1x15</t>
  </si>
  <si>
    <t>Header_1x16</t>
  </si>
  <si>
    <t>Header_1x17</t>
  </si>
  <si>
    <t>Header_1x18</t>
  </si>
  <si>
    <t>Header_1x19</t>
  </si>
  <si>
    <t>Header_1x20</t>
  </si>
  <si>
    <t>Header 100 mil 1x1</t>
  </si>
  <si>
    <t>Header 100 mil 1x2</t>
  </si>
  <si>
    <t>Header 100 mil 1x3</t>
  </si>
  <si>
    <t>Header 100 mil 1x4</t>
  </si>
  <si>
    <t>Header 100 mil 1x5</t>
  </si>
  <si>
    <t>Header 100 mil 1x6</t>
  </si>
  <si>
    <t>Header 100 mil 1x7</t>
  </si>
  <si>
    <t>Header 100 mil 1x8</t>
  </si>
  <si>
    <t>Header 100 mil 1x9</t>
  </si>
  <si>
    <t>Header 100 mil 1x10</t>
  </si>
  <si>
    <t>Header 100 mil 1x11</t>
  </si>
  <si>
    <t>Header 100 mil 1x12</t>
  </si>
  <si>
    <t>Header 100 mil 1x13</t>
  </si>
  <si>
    <t>Header 100 mil 1x14</t>
  </si>
  <si>
    <t>Header 100 mil 1x15</t>
  </si>
  <si>
    <t>Header 100 mil 1x16</t>
  </si>
  <si>
    <t>Header 100 mil 1x17</t>
  </si>
  <si>
    <t>Header 100 mil 1x18</t>
  </si>
  <si>
    <t>Header 100 mil 1x19</t>
  </si>
  <si>
    <t>Header 100 mil 1x20</t>
  </si>
  <si>
    <t>Header 100 mil 2x4</t>
  </si>
  <si>
    <t>Header 100 mil 2x3</t>
  </si>
  <si>
    <t>Crystal</t>
  </si>
  <si>
    <t>Crystal 32.768 kHz SMD</t>
  </si>
  <si>
    <t>32.768 kHz SMD</t>
  </si>
  <si>
    <t>Radial SMD</t>
  </si>
  <si>
    <t>https://www.we-online.com/components/products/datasheet/830025159.pdf</t>
  </si>
  <si>
    <t>732-830025159CT-ND</t>
  </si>
  <si>
    <t>TAXD32768K2BGBBZT2S</t>
  </si>
  <si>
    <t>Yajingxin</t>
  </si>
  <si>
    <t>C511702</t>
  </si>
  <si>
    <t>https://www.analog.com/media/en/technical-documentation/data-sheets/ds1307.pdf</t>
  </si>
  <si>
    <t>DS1307+-ND</t>
  </si>
  <si>
    <t>DS1307+</t>
  </si>
  <si>
    <t>PDIP</t>
  </si>
  <si>
    <t>DS1307</t>
  </si>
  <si>
    <t>PCB/PDIP.PcbLib</t>
  </si>
  <si>
    <t>DS1307Z+-ND</t>
  </si>
  <si>
    <t>DS1307ZN+-ND</t>
  </si>
  <si>
    <t>DS1307Z+T&amp;R</t>
  </si>
  <si>
    <t>DS1307ZN+T&amp;R</t>
  </si>
  <si>
    <t>DS1307Z+</t>
  </si>
  <si>
    <t>DS1307ZN+</t>
  </si>
  <si>
    <t>IC RTC CLK/CALENDAR I2C 8SOIC</t>
  </si>
  <si>
    <t>IC RTC CLOCK/CALENDAR I2C 8DIP</t>
  </si>
  <si>
    <t>DS1307Z+T&amp;RCT-ND</t>
  </si>
  <si>
    <t>DS1307ZN+T&amp;RCT-ND</t>
  </si>
  <si>
    <t>C1520446</t>
  </si>
  <si>
    <t>C26858</t>
  </si>
  <si>
    <t>PN5321A3HN/C106</t>
  </si>
  <si>
    <t>VFQFN-40</t>
  </si>
  <si>
    <t>https://www.nxp.com/docs/en/nxp/data-sheets/PN532_C1.pdf</t>
  </si>
  <si>
    <t>568-13228-ND</t>
  </si>
  <si>
    <t>C28925</t>
  </si>
  <si>
    <t>Buzzer SMD</t>
  </si>
  <si>
    <t>Crystal 27.12 MHz SMD</t>
  </si>
  <si>
    <t>27.12 MHz SMD</t>
  </si>
  <si>
    <t>27.12MHZ/10PF/10PPM</t>
  </si>
  <si>
    <t>Generic</t>
  </si>
  <si>
    <t>https://www.we-online.com/components/products/datasheet/830106246109.pdf</t>
  </si>
  <si>
    <t>732-830053099CT-ND</t>
  </si>
  <si>
    <t>XTM32027120GT00351001</t>
  </si>
  <si>
    <t>TOGNJING</t>
  </si>
  <si>
    <t>C41383250</t>
  </si>
  <si>
    <t>Buzzer Active 3V SMD</t>
  </si>
  <si>
    <t>Buzzer 3V 9.6x9.6</t>
  </si>
  <si>
    <t>Same Sky (Formerly CUI Devices)</t>
  </si>
  <si>
    <t>102-CMI-9705-0380-SMT-CT-ND</t>
  </si>
  <si>
    <t>CMI-9705-0380-SMT-TR</t>
  </si>
  <si>
    <t>Buzzer</t>
  </si>
  <si>
    <t>FUET FUET-9650B-3V</t>
  </si>
  <si>
    <t>FUET</t>
  </si>
  <si>
    <t>C391032</t>
  </si>
  <si>
    <t>PN532/C1</t>
  </si>
  <si>
    <t>QFN050P600X600X085-40-TH410X410</t>
  </si>
  <si>
    <t>PCB/Buzzer.PcbLib</t>
  </si>
  <si>
    <t>BUZ970X970X500</t>
  </si>
  <si>
    <t>CYRAD254P200X600</t>
  </si>
  <si>
    <t>CYSMD220P340X270X080</t>
  </si>
  <si>
    <t>Crystal_4</t>
  </si>
  <si>
    <t>PCB/Crystal.PcbLib</t>
  </si>
  <si>
    <t>https://www.sameskydevices.com/product/resource/cmi-9705-0380-smt-tr.pdf</t>
  </si>
  <si>
    <t>BAT_CR2032_BH-49B-5</t>
  </si>
  <si>
    <t>BH-49B-5 CR2032 Battery Holder</t>
  </si>
  <si>
    <t>https://app.adam-tech.com/products/download/data_sheet/197073/bh-49b-5-data-sheet.pdf</t>
  </si>
  <si>
    <t>Adam Tech</t>
  </si>
  <si>
    <t>2057-BH-49B-5-ND</t>
  </si>
  <si>
    <t>BH-49B-5</t>
  </si>
  <si>
    <t>Lian Xin Technology</t>
  </si>
  <si>
    <t>C7498148</t>
  </si>
  <si>
    <t>XDCR-2032-603</t>
  </si>
  <si>
    <t>DuraClick_1x3_VERT_SMD</t>
  </si>
  <si>
    <t>DuraClik Wire-to-Board Header, Single Row, Vertical, 3 Circuits, Tin (Sn) Over Nickel, Natural</t>
  </si>
  <si>
    <t>https://www.molex.com/en-us/products/part-detail/5600200320</t>
  </si>
  <si>
    <t>5600200320</t>
  </si>
  <si>
    <t>WM10863CT-ND</t>
  </si>
  <si>
    <t>C277600</t>
  </si>
  <si>
    <t>DuraClick_1x3_RA_SMD</t>
  </si>
  <si>
    <t>DuraClik Wire-to-Board Header, Single Row, Right-Angle, 3 Circuits, Tin (Sn) Over Nickel, Natural</t>
  </si>
  <si>
    <t>https://www.molex.com/en-us/products/part-detail/5023520300</t>
  </si>
  <si>
    <t>WM10858CT-ND</t>
  </si>
  <si>
    <t>C412111</t>
  </si>
  <si>
    <t>DuraClick_1x2_RA_SMD</t>
  </si>
  <si>
    <t>DuraClik Wire-to-Board Header, Single Row, Right-Angle, 2 Circuits, Tin (Sn) Over Nickel, Natural</t>
  </si>
  <si>
    <t>WM7169CT-ND</t>
  </si>
  <si>
    <t>https://www.molex.com/en-us/products/part-detail/5023520200</t>
  </si>
  <si>
    <t>C114107</t>
  </si>
  <si>
    <t>Header_1x21</t>
  </si>
  <si>
    <t>Header 100 mil 1x21</t>
  </si>
  <si>
    <t>CON21</t>
  </si>
  <si>
    <t>HEAD_254_1X21</t>
  </si>
  <si>
    <t>Header_1x22</t>
  </si>
  <si>
    <t>Header 100 mil 1x22</t>
  </si>
  <si>
    <t>CON22</t>
  </si>
  <si>
    <t>HEAD_254_1X22</t>
  </si>
  <si>
    <t>Header_1x23</t>
  </si>
  <si>
    <t>Header 100 mil 1x23</t>
  </si>
  <si>
    <t>CON23</t>
  </si>
  <si>
    <t>HEAD_254_1X23</t>
  </si>
  <si>
    <t>Header_1x24</t>
  </si>
  <si>
    <t>Header 100 mil 1x24</t>
  </si>
  <si>
    <t>CON24</t>
  </si>
  <si>
    <t>HEAD_254_1X24</t>
  </si>
  <si>
    <t>Header_1x25</t>
  </si>
  <si>
    <t>Header 100 mil 1x25</t>
  </si>
  <si>
    <t>CON25</t>
  </si>
  <si>
    <t>HEAD_254_1X25</t>
  </si>
  <si>
    <t>Header_1x26</t>
  </si>
  <si>
    <t>Header 100 mil 1x26</t>
  </si>
  <si>
    <t>CON26</t>
  </si>
  <si>
    <t>HEAD_254_1X26</t>
  </si>
  <si>
    <t>Header_1x27</t>
  </si>
  <si>
    <t>Header 100 mil 1x27</t>
  </si>
  <si>
    <t>CON27</t>
  </si>
  <si>
    <t>HEAD_254_1X27</t>
  </si>
  <si>
    <t>Header_1x28</t>
  </si>
  <si>
    <t>Header 100 mil 1x28</t>
  </si>
  <si>
    <t>CON28</t>
  </si>
  <si>
    <t>HEAD_254_1X28</t>
  </si>
  <si>
    <t>Header_1x29</t>
  </si>
  <si>
    <t>Header 100 mil 1x29</t>
  </si>
  <si>
    <t>CON29</t>
  </si>
  <si>
    <t>HEAD_254_1X29</t>
  </si>
  <si>
    <t>Header_1x30</t>
  </si>
  <si>
    <t>Header 100 mil 1x30</t>
  </si>
  <si>
    <t>CON30</t>
  </si>
  <si>
    <t>HEAD_254_1X30</t>
  </si>
  <si>
    <t>Header_1x31</t>
  </si>
  <si>
    <t>Header 100 mil 1x31</t>
  </si>
  <si>
    <t>HEAD_254_1X31</t>
  </si>
  <si>
    <t>Header_1x32</t>
  </si>
  <si>
    <t>Header 100 mil 1x32</t>
  </si>
  <si>
    <t>CON32</t>
  </si>
  <si>
    <t>HEAD_254_1X32</t>
  </si>
  <si>
    <t>Header_1x33</t>
  </si>
  <si>
    <t>Header 100 mil 1x33</t>
  </si>
  <si>
    <t>CON33</t>
  </si>
  <si>
    <t>HEAD_254_1X33</t>
  </si>
  <si>
    <t>Header_1x34</t>
  </si>
  <si>
    <t>Header 100 mil 1x34</t>
  </si>
  <si>
    <t>CON34</t>
  </si>
  <si>
    <t>HEAD_254_1X34</t>
  </si>
  <si>
    <t>Header_1x35</t>
  </si>
  <si>
    <t>Header 100 mil 1x35</t>
  </si>
  <si>
    <t>CON35</t>
  </si>
  <si>
    <t>HEAD_254_1X35</t>
  </si>
  <si>
    <t>Header_1x36</t>
  </si>
  <si>
    <t>Header 100 mil 1x36</t>
  </si>
  <si>
    <t>CON36</t>
  </si>
  <si>
    <t>HEAD_254_1X36</t>
  </si>
  <si>
    <t>Header_1x37</t>
  </si>
  <si>
    <t>Header 100 mil 1x37</t>
  </si>
  <si>
    <t>CON37</t>
  </si>
  <si>
    <t>HEAD_254_1X37</t>
  </si>
  <si>
    <t>Header_1x38</t>
  </si>
  <si>
    <t>Header 100 mil 1x38</t>
  </si>
  <si>
    <t>CON38</t>
  </si>
  <si>
    <t>HEAD_254_1X38</t>
  </si>
  <si>
    <t>Header_1x39</t>
  </si>
  <si>
    <t>Header 100 mil 1x39</t>
  </si>
  <si>
    <t>CON39</t>
  </si>
  <si>
    <t>HEAD_254_1X39</t>
  </si>
  <si>
    <t>Header_1x40</t>
  </si>
  <si>
    <t>Header 100 mil 1x40</t>
  </si>
  <si>
    <t>HEAD_254_1X40</t>
  </si>
  <si>
    <t>Header_1x41</t>
  </si>
  <si>
    <t>Header 100 mil 1x41</t>
  </si>
  <si>
    <t>CON41</t>
  </si>
  <si>
    <t>HEAD_254_1X41</t>
  </si>
  <si>
    <t>Header_1x42</t>
  </si>
  <si>
    <t>Header 100 mil 1x42</t>
  </si>
  <si>
    <t>CON42</t>
  </si>
  <si>
    <t>HEAD_254_1X42</t>
  </si>
  <si>
    <t>Header_1x43</t>
  </si>
  <si>
    <t>Header 100 mil 1x43</t>
  </si>
  <si>
    <t>CON43</t>
  </si>
  <si>
    <t>HEAD_254_1X43</t>
  </si>
  <si>
    <t>Header_1x44</t>
  </si>
  <si>
    <t>Header 100 mil 1x44</t>
  </si>
  <si>
    <t>CON44</t>
  </si>
  <si>
    <t>HEAD_254_1X44</t>
  </si>
  <si>
    <t>Header_1x45</t>
  </si>
  <si>
    <t>Header 100 mil 1x45</t>
  </si>
  <si>
    <t>CON45</t>
  </si>
  <si>
    <t>HEAD_254_1X45</t>
  </si>
  <si>
    <t>Header_1x46</t>
  </si>
  <si>
    <t>Header 100 mil 1x46</t>
  </si>
  <si>
    <t>CON46</t>
  </si>
  <si>
    <t>HEAD_254_1X46</t>
  </si>
  <si>
    <t>Header_1x47</t>
  </si>
  <si>
    <t>Header 100 mil 1x47</t>
  </si>
  <si>
    <t>CON47</t>
  </si>
  <si>
    <t>HEAD_254_1X47</t>
  </si>
  <si>
    <t>Header_1x48</t>
  </si>
  <si>
    <t>Header 100 mil 1x48</t>
  </si>
  <si>
    <t>CON48</t>
  </si>
  <si>
    <t>HEAD_254_1X48</t>
  </si>
  <si>
    <t>Header_1x49</t>
  </si>
  <si>
    <t>Header 100 mil 1x49</t>
  </si>
  <si>
    <t>CON49</t>
  </si>
  <si>
    <t>HEAD_254_1X49</t>
  </si>
  <si>
    <t>Header_1x50</t>
  </si>
  <si>
    <t>Header 100 mil 1x50</t>
  </si>
  <si>
    <t>CON50</t>
  </si>
  <si>
    <t>HEAD_254_1X50</t>
  </si>
  <si>
    <t>IND0603</t>
  </si>
  <si>
    <t>https://www.bourns.com/docs/Product-Datasheets/CS160808.pdf</t>
  </si>
  <si>
    <t>CS160808-R27KCT-ND</t>
  </si>
  <si>
    <t>CS160808-1R0KCT-ND</t>
  </si>
  <si>
    <t>118-CS160808-R68KCT-ND</t>
  </si>
  <si>
    <t>118-CS160808-1R2KCT-ND</t>
  </si>
  <si>
    <t>CS160808-R56KCT-ND</t>
  </si>
  <si>
    <t>118-CS160808-R82KCT-ND</t>
  </si>
  <si>
    <t>CS160808-1R8KCT-ND</t>
  </si>
  <si>
    <t>CS160808-R10KCT-ND</t>
  </si>
  <si>
    <t>CS160808-R47KCT-ND</t>
  </si>
  <si>
    <t>118-CS160808-2R2KCT-ND</t>
  </si>
  <si>
    <t>118-CS160808-R22KCT-ND</t>
  </si>
  <si>
    <t>118-CS160808-R12KCT-ND</t>
  </si>
  <si>
    <t>118-CS160808-68NKCT-ND</t>
  </si>
  <si>
    <t>118-CS160808-1R5KCT-ND</t>
  </si>
  <si>
    <t>118-CS160808-R33KCT-ND</t>
  </si>
  <si>
    <t>CS160808-2R7KCT-ND</t>
  </si>
  <si>
    <t>CS160808-47NK-ND</t>
  </si>
  <si>
    <t>CS160808-82NK-ND</t>
  </si>
  <si>
    <t>CS160808-R15K-ND</t>
  </si>
  <si>
    <t>CS160808-R18K-ND</t>
  </si>
  <si>
    <t>CS160808-R39K-ND</t>
  </si>
  <si>
    <t>FIXED IND 270NH 200MA 500MOHM SM</t>
  </si>
  <si>
    <t>FIXED IND 1UH 100MA 500 MOHM SMD</t>
  </si>
  <si>
    <t>FIXED IND 680NH 150MA 900MOHM SM</t>
  </si>
  <si>
    <t>FIXED IND 1.2UH 100MA 600MOHM SM</t>
  </si>
  <si>
    <t>FIXED IND 560NH 150MA 900MOHM SM</t>
  </si>
  <si>
    <t>FIXED IND 820NH 100MA 1.4OHM SMD</t>
  </si>
  <si>
    <t>FIXED IND 1.8UH 50MA 750MOHM SMD</t>
  </si>
  <si>
    <t>FIXED IND 100NH 200MA 250MOHM SM</t>
  </si>
  <si>
    <t>FIXED IND 470NH 150MA 700MOHM SM</t>
  </si>
  <si>
    <t>FIXED IND 2.2UH 50MA 900MOHM SMD</t>
  </si>
  <si>
    <t>FIXED IND 220NH 200MA 400MOHM SM</t>
  </si>
  <si>
    <t>FIXED IND 120NH 200MA 300MOHM SM</t>
  </si>
  <si>
    <t>FIXED IND 68NH 200MA 200MOHM SMD</t>
  </si>
  <si>
    <t>FIXED IND 1.5UH 50MA 650MOHM SMD</t>
  </si>
  <si>
    <t>FIXED IND 330NH 150MA 550MOHM SM</t>
  </si>
  <si>
    <t>FIXED IND 2.7UH 50MA 1 OHM SMD</t>
  </si>
  <si>
    <t>FIXED IND 47NH 200MA 150MOHM SMD</t>
  </si>
  <si>
    <t>FIXED IND 82NH 200MA 250MOHM SMD</t>
  </si>
  <si>
    <t>FIXED IND 150NH 200MA 350MOHM SM</t>
  </si>
  <si>
    <t>FIXED IND 180NH 200MA 400MOHM SM</t>
  </si>
  <si>
    <t>FIXED IND 390NH 150MA 600MOHM SM</t>
  </si>
  <si>
    <t>CS160808-R27K</t>
  </si>
  <si>
    <t>CS160808-1R0K</t>
  </si>
  <si>
    <t>CS160808-R68K</t>
  </si>
  <si>
    <t>CS160808-1R2K</t>
  </si>
  <si>
    <t>CS160808-R56K</t>
  </si>
  <si>
    <t>CS160808-R82K</t>
  </si>
  <si>
    <t>CS160808-1R8K</t>
  </si>
  <si>
    <t>CS160808-R10K</t>
  </si>
  <si>
    <t>CS160808-R47K</t>
  </si>
  <si>
    <t>CS160808-2R2K</t>
  </si>
  <si>
    <t>CS160808-R22K</t>
  </si>
  <si>
    <t>CS160808-R12K</t>
  </si>
  <si>
    <t>CS160808-68NK</t>
  </si>
  <si>
    <t>CS160808-1R5K</t>
  </si>
  <si>
    <t>CS160808-R33K</t>
  </si>
  <si>
    <t>CS160808-2R7K</t>
  </si>
  <si>
    <t>CS160808-47NK</t>
  </si>
  <si>
    <t>CS160808-82NK</t>
  </si>
  <si>
    <t>CS160808-R15K</t>
  </si>
  <si>
    <t>CS160808-R18K</t>
  </si>
  <si>
    <t>CS160808-R39K</t>
  </si>
  <si>
    <t>270NH</t>
  </si>
  <si>
    <t>1.2UH</t>
  </si>
  <si>
    <t>560NH</t>
  </si>
  <si>
    <t>820NH</t>
  </si>
  <si>
    <t>1.8UH</t>
  </si>
  <si>
    <t>100NH</t>
  </si>
  <si>
    <t>120NH</t>
  </si>
  <si>
    <t>68NH</t>
  </si>
  <si>
    <t>2.7UH</t>
  </si>
  <si>
    <t>47NH</t>
  </si>
  <si>
    <t>82NH</t>
  </si>
  <si>
    <t>180NH</t>
  </si>
  <si>
    <t>390NH</t>
  </si>
  <si>
    <t>270NH/0603</t>
  </si>
  <si>
    <t>1UH/0603</t>
  </si>
  <si>
    <t>680NH/0603</t>
  </si>
  <si>
    <t>1.2UH/0603</t>
  </si>
  <si>
    <t>560NH/0603</t>
  </si>
  <si>
    <t>820NH/0603</t>
  </si>
  <si>
    <t>1.8UH/0603</t>
  </si>
  <si>
    <t>100NH/0603</t>
  </si>
  <si>
    <t>470NH/0603</t>
  </si>
  <si>
    <t>2.2UH/0603</t>
  </si>
  <si>
    <t>220NH/0603</t>
  </si>
  <si>
    <t>120NH/0603</t>
  </si>
  <si>
    <t>68NH/0603</t>
  </si>
  <si>
    <t>1.5UH/0603</t>
  </si>
  <si>
    <t>330NH/0603</t>
  </si>
  <si>
    <t>2.7UH/0603</t>
  </si>
  <si>
    <t>47NH/0603</t>
  </si>
  <si>
    <t>82NH/0603</t>
  </si>
  <si>
    <t>150NH/0603</t>
  </si>
  <si>
    <t>180NH/0603</t>
  </si>
  <si>
    <t>390NH/0603</t>
  </si>
  <si>
    <t>CMI160808VR56KT</t>
  </si>
  <si>
    <t>C139215</t>
  </si>
  <si>
    <t>USB-C-UJ20-C-H-G-SMT-1-P16-TR</t>
  </si>
  <si>
    <t>USB-C-16P</t>
  </si>
  <si>
    <t>USB-C (USB TYP C) USB 2.0 Buchse Steckverbinder 24 (16+8 Blindkomponente) Positionen Oberflächenmontage, rechtwinklig, Durchsteckloch</t>
  </si>
  <si>
    <t>CON16_USB-C_2.0</t>
  </si>
  <si>
    <t>https://www.sameskydevices.com/product/resource/uj20-c-h-g-smt-1-p16-tr.pdf</t>
  </si>
  <si>
    <t>2223-UJ20-C-H-G-SMT-1-P16-TRCT-ND</t>
  </si>
  <si>
    <t>UJ20-C-H-G-SMT-1-P16-TR</t>
  </si>
  <si>
    <t>TYPEC-304A-ACP16O</t>
  </si>
  <si>
    <t>C2909610</t>
  </si>
  <si>
    <t>XUNPU</t>
  </si>
  <si>
    <t>STM32F070F6</t>
  </si>
  <si>
    <t>STM32F070 TSSOP20</t>
  </si>
  <si>
    <t>https://www.st.com/resource/en/datasheet/stm32f070f6.pdf</t>
  </si>
  <si>
    <t>497-17354-1-ND</t>
  </si>
  <si>
    <t>ARM® Cortex®-M0 STM32F0 Mikrocontroller IC 32-Bit Single-Core 48MHz 32KB (32K x 8) FLASH 20-TSSOP</t>
  </si>
  <si>
    <t>STM32F070F6P6</t>
  </si>
  <si>
    <t>C86951</t>
  </si>
  <si>
    <t>MCF8315A</t>
  </si>
  <si>
    <t>MCF8315A1VRGFR</t>
  </si>
  <si>
    <t>296-MCF8315A1VRGFRCT-ND</t>
  </si>
  <si>
    <t>VQFN-40</t>
  </si>
  <si>
    <t>https://www.ti.com/lit/ds/symlink/mcf8315a.pdf</t>
  </si>
  <si>
    <t>QFN050P700X500X100-40-TH570X370</t>
  </si>
  <si>
    <t>USB-C_CUI_UJ20-C-H-G-SMT-1-P16</t>
  </si>
  <si>
    <t>Crystal 8 MHz SMD</t>
  </si>
  <si>
    <t>ECS-80-10-33-CGN-TR3</t>
  </si>
  <si>
    <t>ECS Inc.</t>
  </si>
  <si>
    <t>https://ecsxtal.com/store/pdf/ecx-32.pdf</t>
  </si>
  <si>
    <t>8 MHz ±10ppm Quarze 10pF 4-SMD, ohne Anschlüsse</t>
  </si>
  <si>
    <t>50-ECS-80-10-33-CGN-TR3CT-ND</t>
  </si>
  <si>
    <t>CYSMD230P320X250X080</t>
  </si>
  <si>
    <t>C7302022</t>
  </si>
  <si>
    <t>SX3B8.000F1010G30</t>
  </si>
  <si>
    <t>Shenzhen SCTF Elec</t>
  </si>
  <si>
    <t>Taiyo Yuden</t>
  </si>
  <si>
    <t>INDM4040X180</t>
  </si>
  <si>
    <t>587-5935-1-ND</t>
  </si>
  <si>
    <t>NRS4018T470MDGJ</t>
  </si>
  <si>
    <t>https://mm.digikey.com/Volume0/opasdata/d220001/medias/docus/1178/NRS4018T470MDGJ_SS.pdf</t>
  </si>
  <si>
    <t>47 µH Geschirmt Trommelkern, drahtgewickelt Induktor 440 mA 780mOhm max. Nicht standardmäßig</t>
  </si>
  <si>
    <t>47UH/4040</t>
  </si>
  <si>
    <t>C222886</t>
  </si>
  <si>
    <t>2U2/0603/10V/X7R</t>
  </si>
  <si>
    <t>CAP SM 0603 2.2uF 100V X7R</t>
  </si>
  <si>
    <t>2.2uF</t>
  </si>
  <si>
    <t>https://mm.digikey.com/Volume0/opasdata/d220001/medias/docus/1000/CL10B225KP8NNNC_Spec.pdf</t>
  </si>
  <si>
    <t>CL10B225KP8NNNC</t>
  </si>
  <si>
    <t>1276-1134-1-ND</t>
  </si>
  <si>
    <t>CS1608X7R225M100NRB</t>
  </si>
  <si>
    <t>C5189827</t>
  </si>
  <si>
    <t>STM32F042F6</t>
  </si>
  <si>
    <t>https://www.st.com/resource/en/datasheet/stm32f042f6.pdf</t>
  </si>
  <si>
    <t>STM32F042F6P6TR</t>
  </si>
  <si>
    <t>STM32F070F6P6TR</t>
  </si>
  <si>
    <t>497-19656-1-ND</t>
  </si>
  <si>
    <t>STM32F042F6P6</t>
  </si>
  <si>
    <t>C81000</t>
  </si>
  <si>
    <t>Crystal_P1_P4</t>
  </si>
  <si>
    <t>Q13MC30610003</t>
  </si>
  <si>
    <t>Seiko Epson</t>
  </si>
  <si>
    <t>C16320</t>
  </si>
  <si>
    <t>SER2407CT-ND</t>
  </si>
  <si>
    <t>MC-306 32.7680K-A0:ROHS</t>
  </si>
  <si>
    <t>EPSON</t>
  </si>
  <si>
    <t>https://support.epson.biz/td/api/doc_check.php?dl=brief_MC-306&amp;lang=en</t>
  </si>
  <si>
    <t>CYSMD550P380X800X254</t>
  </si>
  <si>
    <t>Crystal 32.768 kHz SMD Radial</t>
  </si>
  <si>
    <t>OLED_I2C</t>
  </si>
  <si>
    <t>SCH/Display.SchLib</t>
  </si>
  <si>
    <t>PCB/Display.PcbLib</t>
  </si>
  <si>
    <t>HS242L03B2C01 </t>
  </si>
  <si>
    <t>C7466000</t>
  </si>
  <si>
    <t>HS</t>
  </si>
  <si>
    <t>https://www.lcsc.com/datasheet/lcsc_datasheet_2410121828_HS-HS242L03B2C01_C7466000.pdf</t>
  </si>
  <si>
    <t>SSD1309 I2C 2.42 OLED Display ROHS</t>
  </si>
  <si>
    <t>OLED 2.42'' 128x64 I2C</t>
  </si>
  <si>
    <t>OLED 2.42 128x64 I2C</t>
  </si>
  <si>
    <t>HS242L03B2C01</t>
  </si>
  <si>
    <t>PAD-THT-1.0MM-2.0MM-ROUND</t>
  </si>
  <si>
    <t>Through-hole pad, 1.0mm drill, 2.0mm pad, round</t>
  </si>
  <si>
    <t>Header_2x1</t>
  </si>
  <si>
    <t>Header 100 mil 2x1</t>
  </si>
  <si>
    <t>HEAD_254_2X1</t>
  </si>
  <si>
    <t>Header_2x2</t>
  </si>
  <si>
    <t>Header 100 mil 2x2</t>
  </si>
  <si>
    <t>HEAD_254_2X2</t>
  </si>
  <si>
    <t>Header_2x5</t>
  </si>
  <si>
    <t>Header 100 mil 2x5</t>
  </si>
  <si>
    <t>HEAD_254_2X5</t>
  </si>
  <si>
    <t>Header_2x6</t>
  </si>
  <si>
    <t>Header 100 mil 2x6</t>
  </si>
  <si>
    <t>HEAD_254_2X6</t>
  </si>
  <si>
    <t>Header_2x7</t>
  </si>
  <si>
    <t>Header 100 mil 2x7</t>
  </si>
  <si>
    <t>HEAD_254_2X7</t>
  </si>
  <si>
    <t>Header_2x8</t>
  </si>
  <si>
    <t>Header 100 mil 2x8</t>
  </si>
  <si>
    <t>HEAD_254_2X8</t>
  </si>
  <si>
    <t>Header_2x9</t>
  </si>
  <si>
    <t>Header 100 mil 2x9</t>
  </si>
  <si>
    <t>HEAD_254_2X9</t>
  </si>
  <si>
    <t>Header_2x10</t>
  </si>
  <si>
    <t>Header 100 mil 2x10</t>
  </si>
  <si>
    <t>HEAD_254_2X10</t>
  </si>
  <si>
    <t>Header_2x11</t>
  </si>
  <si>
    <t>Header 100 mil 2x11</t>
  </si>
  <si>
    <t>HEAD_254_2X11</t>
  </si>
  <si>
    <t>Header_2x12</t>
  </si>
  <si>
    <t>Header 100 mil 2x12</t>
  </si>
  <si>
    <t>HEAD_254_2X12</t>
  </si>
  <si>
    <t>Header_2x13</t>
  </si>
  <si>
    <t>Header 100 mil 2x13</t>
  </si>
  <si>
    <t>HEAD_254_2X13</t>
  </si>
  <si>
    <t>Header_2x14</t>
  </si>
  <si>
    <t>Header 100 mil 2x14</t>
  </si>
  <si>
    <t>HEAD_254_2X14</t>
  </si>
  <si>
    <t>Header_2x15</t>
  </si>
  <si>
    <t>Header 100 mil 2x15</t>
  </si>
  <si>
    <t>HEAD_254_2X15</t>
  </si>
  <si>
    <t>Header_2x16</t>
  </si>
  <si>
    <t>Header 100 mil 2x16</t>
  </si>
  <si>
    <t>HEAD_254_2X16</t>
  </si>
  <si>
    <t>Header_2x17</t>
  </si>
  <si>
    <t>Header 100 mil 2x17</t>
  </si>
  <si>
    <t>HEAD_254_2X17</t>
  </si>
  <si>
    <t>Header_2x18</t>
  </si>
  <si>
    <t>Header 100 mil 2x18</t>
  </si>
  <si>
    <t>HEAD_254_2X18</t>
  </si>
  <si>
    <t>Header_2x19</t>
  </si>
  <si>
    <t>Header 100 mil 2x19</t>
  </si>
  <si>
    <t>HEAD_254_2X19</t>
  </si>
  <si>
    <t>Header 100 mil 2x20</t>
  </si>
  <si>
    <t>Header_2x21</t>
  </si>
  <si>
    <t>Header 100 mil 2x21</t>
  </si>
  <si>
    <t>HEAD_254_2X21</t>
  </si>
  <si>
    <t>Header_2x22</t>
  </si>
  <si>
    <t>Header 100 mil 2x22</t>
  </si>
  <si>
    <t>HEAD_254_2X22</t>
  </si>
  <si>
    <t>Header_2x23</t>
  </si>
  <si>
    <t>Header 100 mil 2x23</t>
  </si>
  <si>
    <t>HEAD_254_2X23</t>
  </si>
  <si>
    <t>Header_2x24</t>
  </si>
  <si>
    <t>Header 100 mil 2x24</t>
  </si>
  <si>
    <t>HEAD_254_2X24</t>
  </si>
  <si>
    <t>Header_2x25</t>
  </si>
  <si>
    <t>Header 100 mil 2x25</t>
  </si>
  <si>
    <t>HEAD_254_2X25</t>
  </si>
  <si>
    <t>SLB4-F6.3-RED</t>
  </si>
  <si>
    <t>PCB/Stäubli.PcbLib</t>
  </si>
  <si>
    <t>SLB4-F6.3-GREEN-YELLOW</t>
  </si>
  <si>
    <t>SLB4-F6.3-BLACK</t>
  </si>
  <si>
    <t>SLB4-F6.3-BLUE</t>
  </si>
  <si>
    <t>SLB4-F6.3-YELLOW</t>
  </si>
  <si>
    <t>SLB4-F6.3-GREEN</t>
  </si>
  <si>
    <t>SLB4-F6.3-PURPLE</t>
  </si>
  <si>
    <t>SLB4-F6.3-BROWN</t>
  </si>
  <si>
    <t>SLB4-F6.3-GREY</t>
  </si>
  <si>
    <t>SLB4-F6.3-WHITE</t>
  </si>
  <si>
    <t>QR-PROJECT-URL-10MM</t>
  </si>
  <si>
    <t>QR-PROJECT-URL-15MM</t>
  </si>
  <si>
    <t>QR-PROJECT-URL-20MM</t>
  </si>
  <si>
    <t>QR-PROJECT-URL-25MM</t>
  </si>
  <si>
    <t>QR-PROJECT-URL-30MM</t>
  </si>
  <si>
    <t>QR-PROJECT-URL-35MM</t>
  </si>
  <si>
    <t>QR-PROJECT-URL-40MM</t>
  </si>
  <si>
    <t>QR-PROJECT-URL-45MM</t>
  </si>
  <si>
    <t>QR-PROJECT-URL-50MM</t>
  </si>
  <si>
    <t>QR PROJ URL 10MM</t>
  </si>
  <si>
    <t>QR PROJ URL</t>
  </si>
  <si>
    <t>QR PROJ URL 15MM</t>
  </si>
  <si>
    <t>QR PROJ URL 20MM</t>
  </si>
  <si>
    <t>QR PROJ URL 25MM</t>
  </si>
  <si>
    <t>QR PROJ URL 30MM</t>
  </si>
  <si>
    <t>QR PROJ URL 35MM</t>
  </si>
  <si>
    <t>QR PROJ URL 40MM</t>
  </si>
  <si>
    <t>QR PROJ URL 45MM</t>
  </si>
  <si>
    <t>QR PROJ URL 50MM</t>
  </si>
  <si>
    <t>QR PROJ URL 5MM</t>
  </si>
  <si>
    <t>QR-PROJECT-URL-5MM</t>
  </si>
  <si>
    <t>QR Code, Project URL, 5mm</t>
  </si>
  <si>
    <t>QR Code, Project URL, 10mm</t>
  </si>
  <si>
    <t>QR Code, Project URL, 15mm</t>
  </si>
  <si>
    <t>QR Code, Project URL, 20mm</t>
  </si>
  <si>
    <t>QR Code, Project URL, 25mm</t>
  </si>
  <si>
    <t>QR Code, Project URL, 30mm</t>
  </si>
  <si>
    <t>QR Code, Project URL, 35mm</t>
  </si>
  <si>
    <t>QR Code, Project URL, 40mm</t>
  </si>
  <si>
    <t>QR Code, Project URL, 45mm</t>
  </si>
  <si>
    <t>QR Code, Project URL, 50mm</t>
  </si>
  <si>
    <t>QR-PROJ-URL</t>
  </si>
  <si>
    <t>System</t>
  </si>
  <si>
    <t>Connector</t>
  </si>
  <si>
    <t>NXP Semicon</t>
  </si>
  <si>
    <t>C86803</t>
  </si>
  <si>
    <t>C2669729</t>
  </si>
  <si>
    <t>C5203530</t>
  </si>
  <si>
    <t>C2688054</t>
  </si>
  <si>
    <t>C2652337</t>
  </si>
  <si>
    <t>C2669734</t>
  </si>
  <si>
    <t>C2669736</t>
  </si>
  <si>
    <t>C17230</t>
  </si>
  <si>
    <t>C2688892</t>
  </si>
  <si>
    <t>C6589896</t>
  </si>
  <si>
    <t>ADUM121N1BRZ</t>
  </si>
  <si>
    <t>Analog Devices Inc.</t>
  </si>
  <si>
    <t>ADUM121</t>
  </si>
  <si>
    <t>https://www.analog.com/media/en/technical-documentation/data-sheets/ADuM120N_121N.pdf</t>
  </si>
  <si>
    <t>505-ADUM121N1BRZ-ND</t>
  </si>
  <si>
    <t>C208033</t>
  </si>
  <si>
    <t>AGM18N10AP</t>
  </si>
  <si>
    <t>C7509649</t>
  </si>
  <si>
    <t>AGM-Semi</t>
  </si>
  <si>
    <t>C113803</t>
  </si>
  <si>
    <t>CC0603KRX7R0BB104</t>
  </si>
  <si>
    <t>CC0603KRX7R9BB104</t>
  </si>
  <si>
    <t>C22775</t>
  </si>
  <si>
    <t>0603WAF1000T5E</t>
  </si>
  <si>
    <t>0603WAF360JT5E</t>
  </si>
  <si>
    <t>C23148</t>
  </si>
  <si>
    <t>C1604</t>
  </si>
  <si>
    <t>0603B222K500NT</t>
  </si>
  <si>
    <t>C1671</t>
  </si>
  <si>
    <t>CL10C470JB8NNNC</t>
  </si>
  <si>
    <t>C1634</t>
  </si>
  <si>
    <t>CL10C100JB8NNNC</t>
  </si>
  <si>
    <t>LBSS84LT1G</t>
  </si>
  <si>
    <t>C8492</t>
  </si>
  <si>
    <t>C2937402</t>
  </si>
  <si>
    <t>LMP25MF2P0R005</t>
  </si>
  <si>
    <t>prosemi</t>
  </si>
  <si>
    <t>C2838941</t>
  </si>
  <si>
    <t>LMJ25MF2P0R010</t>
  </si>
  <si>
    <t>C2930213</t>
  </si>
  <si>
    <t>FRC0805F1804TS</t>
  </si>
  <si>
    <t>C17901</t>
  </si>
  <si>
    <t>1206W4F1000T5E</t>
  </si>
  <si>
    <t>C2907082</t>
  </si>
  <si>
    <t>FRC0603J135 </t>
  </si>
  <si>
    <t>C2930318</t>
  </si>
  <si>
    <t>FRC0805J915TS</t>
  </si>
  <si>
    <t>FRC1210J100 </t>
  </si>
  <si>
    <t>C2907544</t>
  </si>
  <si>
    <t>0805W8F0000T5E</t>
  </si>
  <si>
    <t>C17477</t>
  </si>
  <si>
    <t>C83144</t>
  </si>
  <si>
    <t>FRC0805J244 </t>
  </si>
  <si>
    <t>C2960883</t>
  </si>
  <si>
    <t>C3013205</t>
  </si>
  <si>
    <t>FRC0603F6804TS</t>
  </si>
  <si>
    <t>C25811</t>
  </si>
  <si>
    <t>0603WAF2003T5E</t>
  </si>
  <si>
    <t>C23234</t>
  </si>
  <si>
    <t>0603WAF7501T5E</t>
  </si>
  <si>
    <t>C23146</t>
  </si>
  <si>
    <t>0603WAF3603T5E</t>
  </si>
  <si>
    <t>C17514</t>
  </si>
  <si>
    <t>0805W8F1004T5E</t>
  </si>
  <si>
    <t>C23265</t>
  </si>
  <si>
    <t>0603WAF9102T5E</t>
  </si>
  <si>
    <t>C22814</t>
  </si>
  <si>
    <t>0603WAF1600T5E</t>
  </si>
  <si>
    <t>C23151</t>
  </si>
  <si>
    <t>0603WAF3900T5E</t>
  </si>
  <si>
    <t>0603WAF1103T5E</t>
  </si>
  <si>
    <t>C25805</t>
  </si>
  <si>
    <t>C25808</t>
  </si>
  <si>
    <t>0603WAF1203T5E</t>
  </si>
  <si>
    <t>C22827</t>
  </si>
  <si>
    <t>0603WAF1803T5E</t>
  </si>
  <si>
    <t>C4197</t>
  </si>
  <si>
    <t>0603WAF2403T5E</t>
  </si>
  <si>
    <t>C22984</t>
  </si>
  <si>
    <t>0603WAF3002T5E</t>
  </si>
  <si>
    <t>C4184</t>
  </si>
  <si>
    <t>0603WAF2002T5E</t>
  </si>
  <si>
    <t>0603WAF6202T5E</t>
  </si>
  <si>
    <t>C23221</t>
  </si>
  <si>
    <t>C8218</t>
  </si>
  <si>
    <t>0603WAF2000T5E</t>
  </si>
  <si>
    <t>C22967</t>
  </si>
  <si>
    <t>0603WAF2702T5E</t>
  </si>
  <si>
    <t>C17414</t>
  </si>
  <si>
    <t>0805W8F1002T5E</t>
  </si>
  <si>
    <t>C726565</t>
  </si>
  <si>
    <t>AC0603KRX7R9BB224</t>
  </si>
  <si>
    <t>C460787</t>
  </si>
  <si>
    <t>C481693</t>
  </si>
  <si>
    <t>100V 35A 45W 17mΩ@10V,12A 1.6V 1 N-channel PDFN-8(3.3x3.3) MOSFETs ROHS</t>
  </si>
  <si>
    <t>https://www.lcsc.com/datasheet/lcsc_datasheet_2411080955_AGM-Semi-AGM18N10AP_C7509649.pdf</t>
  </si>
  <si>
    <t>IPB107N20N3G</t>
  </si>
  <si>
    <t>200V 88A 300W 10.7mΩ@10V,88A 4V 1 N-channel TO-263-3 MOSFETs ROHS</t>
  </si>
  <si>
    <t>C444895</t>
  </si>
  <si>
    <t>IPB107N20N3GATMA1</t>
  </si>
  <si>
    <t>IPB107N20N3GATMA1CT-ND</t>
  </si>
  <si>
    <t>https://www.infineon.com/dgdl/IPP_I_110N20N3+G_IPB107N20N3+G+Rev2.2.pdf?folderId=db3a3043163797a6011637d4bae7003b&amp;fileId=db3a3043243b5f170124968e7d1f18e7</t>
  </si>
  <si>
    <t>AGM40P35AP</t>
  </si>
  <si>
    <t>40V 35A 11mΩ@10V,15A 30W 1.7V 1 piece P-channel PDFN(3.3x3.3) MOSFETs ROHS</t>
  </si>
  <si>
    <t>https://www.lcsc.com/datasheet/lcsc_datasheet_2504101957_AGM-Semi-AGM40P35AP_C18221399.pdf</t>
  </si>
  <si>
    <t>C18221399</t>
  </si>
  <si>
    <t>10N/1210/2kV</t>
  </si>
  <si>
    <t>C880294</t>
  </si>
  <si>
    <t>1210B103K202NT</t>
  </si>
  <si>
    <t>CAP SM 1210 10nF 2kV</t>
  </si>
  <si>
    <t>4587-C1210X103K202TCT-ND</t>
  </si>
  <si>
    <t>C1210X103K202T</t>
  </si>
  <si>
    <t>http://www.holystonecaps.com/PDF/201612051329150.2017%20HVC%20Series.pdf</t>
  </si>
  <si>
    <t>SMDRI74-220M</t>
  </si>
  <si>
    <t>C164083</t>
  </si>
  <si>
    <t>SXN(Shun Xiang Nuo Elec)</t>
  </si>
  <si>
    <t>LOGO FSG 5MM</t>
  </si>
  <si>
    <t>LOGO FSG</t>
  </si>
  <si>
    <t>FSG logo, size 5mm</t>
  </si>
  <si>
    <t>LOGO-FSG-5MM</t>
  </si>
  <si>
    <t>LOGO FSG 10MM</t>
  </si>
  <si>
    <t>FSG logo, size 10mm</t>
  </si>
  <si>
    <t>LOGO-FSG-10MM</t>
  </si>
  <si>
    <t>LOGO FSG 15MM</t>
  </si>
  <si>
    <t>FSG logo, size 15mm</t>
  </si>
  <si>
    <t>LOGO-FSG-15MM</t>
  </si>
  <si>
    <t>LOGO FSG 20MM</t>
  </si>
  <si>
    <t>FSG logo, size 20mm</t>
  </si>
  <si>
    <t>LOGO-FSG-20MM</t>
  </si>
  <si>
    <t>LOGO FSG 30MM</t>
  </si>
  <si>
    <t>FSG logo, size 30mm</t>
  </si>
  <si>
    <t>LOGO-FSG-30MM</t>
  </si>
  <si>
    <t>LOGO FSG 40MM</t>
  </si>
  <si>
    <t>FSG logo, size 40mm</t>
  </si>
  <si>
    <t>LOGO-FSG-40MM</t>
  </si>
  <si>
    <t>C1608C0G1H102JT000N</t>
  </si>
  <si>
    <t>C342541</t>
  </si>
  <si>
    <t>CL10B102KB8NNNC</t>
  </si>
  <si>
    <t>C1588</t>
  </si>
  <si>
    <t>C20612286</t>
  </si>
  <si>
    <t>BORN</t>
  </si>
  <si>
    <t>C282823</t>
  </si>
  <si>
    <t>TCC1206X7R105K101HT</t>
  </si>
  <si>
    <t>1U/1206/100V/X7R</t>
  </si>
  <si>
    <t>CAP SM 1206 1uF 100V X7R</t>
  </si>
  <si>
    <t>C16780</t>
  </si>
  <si>
    <t>C41361238</t>
  </si>
  <si>
    <t>CGA0603C0G4R7C500JT</t>
  </si>
  <si>
    <t>C2933278</t>
  </si>
  <si>
    <t>FRC0603J825 </t>
  </si>
  <si>
    <t>220N/0603/25V/X7R</t>
  </si>
  <si>
    <t xml:space="preserve">CAP SM 0603 220nF 25V X7R </t>
  </si>
  <si>
    <t>C21120</t>
  </si>
  <si>
    <t>CL10B224KA8NNNC</t>
  </si>
  <si>
    <t>C35560</t>
  </si>
  <si>
    <t>SMDRI74-331MT</t>
  </si>
  <si>
    <t>C22809</t>
  </si>
  <si>
    <t>0603WAF1502T5E</t>
  </si>
  <si>
    <t>0603WAF7502T5E</t>
  </si>
  <si>
    <t>C23242</t>
  </si>
  <si>
    <t>C23024</t>
  </si>
  <si>
    <t>0603WAF3003T5E</t>
  </si>
  <si>
    <t>CL10C101JB8NNNC</t>
  </si>
  <si>
    <t>C14858</t>
  </si>
  <si>
    <t>C132158</t>
  </si>
  <si>
    <t>IRM10-3.3</t>
  </si>
  <si>
    <t>IRM10-5</t>
  </si>
  <si>
    <t>IRM10-12</t>
  </si>
  <si>
    <t>IRM10-15</t>
  </si>
  <si>
    <t>IRM30-5</t>
  </si>
  <si>
    <t>IRM30-12</t>
  </si>
  <si>
    <t>IRM30-24</t>
  </si>
  <si>
    <t>IRM30-48</t>
  </si>
  <si>
    <t>10W AC-DC PCB-Mount Green Power Module, 3.3V</t>
  </si>
  <si>
    <t>10W AC-DC PCB-Mount Green Power Module, 5V</t>
  </si>
  <si>
    <t>10W AC-DC PCB-Mount Green Power Module, 12V</t>
  </si>
  <si>
    <t>10W AC-DC PCB-Mount Green Power Module, 15V</t>
  </si>
  <si>
    <t>30W AC-DC PCB-Mount Green Power Module, 5V</t>
  </si>
  <si>
    <t>30W AC-DC PCB-Mount Green Power Module, 12V</t>
  </si>
  <si>
    <t>30W AC-DC PCB-Mount Green Power Module, 24V</t>
  </si>
  <si>
    <t>30W AC-DC PCB-Mount Green Power Module, 48V</t>
  </si>
  <si>
    <t>Meanwell</t>
  </si>
  <si>
    <t>IRM-10-3.3</t>
  </si>
  <si>
    <t>IRM-10-5</t>
  </si>
  <si>
    <t>IRM-10-12</t>
  </si>
  <si>
    <t>IRM-10-15</t>
  </si>
  <si>
    <t>1866-3031-ND</t>
  </si>
  <si>
    <t>1866-3032-ND</t>
  </si>
  <si>
    <t>1866-3028-ND</t>
  </si>
  <si>
    <t>1866-3029-ND</t>
  </si>
  <si>
    <t>IRM-30-5</t>
  </si>
  <si>
    <t>IRM-30-12</t>
  </si>
  <si>
    <t>IRM-30-15</t>
  </si>
  <si>
    <t>IRM-30-24</t>
  </si>
  <si>
    <t>IRM-30-48</t>
  </si>
  <si>
    <t>1866-3051-ND</t>
  </si>
  <si>
    <t>1866-3043-ND</t>
  </si>
  <si>
    <t>1866-3045-ND</t>
  </si>
  <si>
    <t>1866-3047-ND</t>
  </si>
  <si>
    <t>1866-3049-ND</t>
  </si>
  <si>
    <t>RC2512FK-07560RL</t>
  </si>
  <si>
    <t>13-RC2512FK-07560RLCT-ND</t>
  </si>
  <si>
    <t>RC2512JK-07560RL</t>
  </si>
  <si>
    <t>13-RC2512JK-07560RLCT-ND</t>
  </si>
  <si>
    <t>STM32G474CBT</t>
  </si>
  <si>
    <t>STM32G474CCT</t>
  </si>
  <si>
    <t>STM32G474CET</t>
  </si>
  <si>
    <t>STM32G474CBU</t>
  </si>
  <si>
    <t>STM32G474CCU</t>
  </si>
  <si>
    <t>STM32G474CEU</t>
  </si>
  <si>
    <t>STM32G474RBT</t>
  </si>
  <si>
    <t>STM32G474RCT</t>
  </si>
  <si>
    <t>STM32G474RET</t>
  </si>
  <si>
    <t>STM32G474MBT</t>
  </si>
  <si>
    <t>STM32G474MCT</t>
  </si>
  <si>
    <t>STM32G474MET</t>
  </si>
  <si>
    <t>STM32G474VBT</t>
  </si>
  <si>
    <t>STM32G474VCT</t>
  </si>
  <si>
    <t>STM32G474VET</t>
  </si>
  <si>
    <t>STM32G474QBT</t>
  </si>
  <si>
    <t>STM32G474QCT</t>
  </si>
  <si>
    <t>STM32G474QET</t>
  </si>
  <si>
    <t>STM32G474MBY</t>
  </si>
  <si>
    <t>STM32G474MCY</t>
  </si>
  <si>
    <t>STM32G474MEY</t>
  </si>
  <si>
    <t>STM32G474PBI</t>
  </si>
  <si>
    <t>STM32G474PCI</t>
  </si>
  <si>
    <t>STM32G474PEI</t>
  </si>
  <si>
    <t>STM32G474VBH</t>
  </si>
  <si>
    <t>STM32G474VCH</t>
  </si>
  <si>
    <t>STM32G474VEH</t>
  </si>
  <si>
    <t>BGA-100</t>
  </si>
  <si>
    <t>BGA-121</t>
  </si>
  <si>
    <t>STM32G474 QFP-48</t>
  </si>
  <si>
    <t>STM32G474 QFN-48</t>
  </si>
  <si>
    <t>STM32G474 BGA-100</t>
  </si>
  <si>
    <t>STM32G474 BGA-121</t>
  </si>
  <si>
    <t>QFP-80</t>
  </si>
  <si>
    <t>QFP-100</t>
  </si>
  <si>
    <t>QFP-128</t>
  </si>
  <si>
    <t>STM32G474 QFP-64</t>
  </si>
  <si>
    <t>STM32G474 QFP-80</t>
  </si>
  <si>
    <t>STM32G474 QFP-100</t>
  </si>
  <si>
    <t>STM32G474 QFP-128</t>
  </si>
  <si>
    <t>BGA-81</t>
  </si>
  <si>
    <t>STM32G474 BGA-81</t>
  </si>
  <si>
    <t>https://www.st.com/resource/en/datasheet/stm32g474re.pdf</t>
  </si>
  <si>
    <t>https://www.st.com/resource/en/datasheet/stm32g474cb.pdf</t>
  </si>
  <si>
    <t>https://www.st.com/resource/en/datasheet/stm32g474cc.pdf</t>
  </si>
  <si>
    <t>https://www.st.com/resource/en/datasheet/stm32g474ce.pdf</t>
  </si>
  <si>
    <t>https://www.st.com/resource/en/datasheet/stm32g474rb.pdf</t>
  </si>
  <si>
    <t>https://www.st.com/resource/en/datasheet/stm32g474rc.pdf</t>
  </si>
  <si>
    <t>https://www.st.com/resource/en/datasheet/stm32g474mb.pdf</t>
  </si>
  <si>
    <t>https://www.st.com/resource/en/datasheet/stm32g474mc.pdf</t>
  </si>
  <si>
    <t>https://www.st.com/resource/en/datasheet/stm32g474me.pdf</t>
  </si>
  <si>
    <t>https://www.st.com/resource/en/datasheet/stm32g474vb.pdf</t>
  </si>
  <si>
    <t>https://www.st.com/resource/en/datasheet/stm32g474vc.pdf</t>
  </si>
  <si>
    <t>https://www.st.com/resource/en/datasheet/stm32g474ve.pdf</t>
  </si>
  <si>
    <t>https://www.st.com/resource/en/datasheet/stm32g474qb.pdf</t>
  </si>
  <si>
    <t>https://www.st.com/resource/en/datasheet/stm32g474qc.pdf</t>
  </si>
  <si>
    <t>https://www.st.com/resource/en/datasheet/stm32g474qe.pdf</t>
  </si>
  <si>
    <t>https://www.st.com/resource/en/datasheet/stm32g474pb.pdf</t>
  </si>
  <si>
    <t>https://www.st.com/resource/en/datasheet/stm32g474pc.pdf</t>
  </si>
  <si>
    <t>https://www.st.com/resource/en/datasheet/stm32g474pe.pdf</t>
  </si>
  <si>
    <t>STM32G474CET6</t>
  </si>
  <si>
    <t>497-STM32G474CET6-ND</t>
  </si>
  <si>
    <t>STM32G474CET3</t>
  </si>
  <si>
    <t>497-STM32G474CET3-ND</t>
  </si>
  <si>
    <t>STM32G474CEU6</t>
  </si>
  <si>
    <t>497-STM32G474CEU6-ND</t>
  </si>
  <si>
    <t>STM32G474RBT6</t>
  </si>
  <si>
    <t>STM32G474RBT6-ND</t>
  </si>
  <si>
    <t>STM32G474RBT3</t>
  </si>
  <si>
    <t>497-STM32G474RBT3-ND</t>
  </si>
  <si>
    <t>STM32G474RCT6</t>
  </si>
  <si>
    <t>STM32G474RCT6-ND</t>
  </si>
  <si>
    <t>STM32G474RCT3</t>
  </si>
  <si>
    <t>497-STM32G474RCT3-ND</t>
  </si>
  <si>
    <t>STM32G474RET6</t>
  </si>
  <si>
    <t>497-STM32G474RET6-ND</t>
  </si>
  <si>
    <t>STM32G474RET3</t>
  </si>
  <si>
    <t>497-STM32G474RET3-ND</t>
  </si>
  <si>
    <t>STM32G474MET6</t>
  </si>
  <si>
    <t>STM32G474MET6-ND</t>
  </si>
  <si>
    <t>STM32G474MET3</t>
  </si>
  <si>
    <t>497-STM32G474MET3-ND</t>
  </si>
  <si>
    <t>STM32G474VBT6</t>
  </si>
  <si>
    <t>497-STM32G474VBT6-ND</t>
  </si>
  <si>
    <t>STM32G474VET6</t>
  </si>
  <si>
    <t>497-19476-ND</t>
  </si>
  <si>
    <t>STM32G474VET3</t>
  </si>
  <si>
    <t>497-STM32G474VET3-ND</t>
  </si>
  <si>
    <t>STM32G474VEH6</t>
  </si>
  <si>
    <t>497-STM32G474VEH6-ND</t>
  </si>
  <si>
    <t>STM32G474QBT6</t>
  </si>
  <si>
    <t>497-STM32G474QBT6-ND</t>
  </si>
  <si>
    <t>STM32G474QET6</t>
  </si>
  <si>
    <t>STM32G474QET6-ND</t>
  </si>
  <si>
    <t>STM32G474QET3</t>
  </si>
  <si>
    <t>STM32G474QET3-ND</t>
  </si>
  <si>
    <t>STM32G474CBT6</t>
  </si>
  <si>
    <t>C730123</t>
  </si>
  <si>
    <t>STM32G474CCT6</t>
  </si>
  <si>
    <t>C730124</t>
  </si>
  <si>
    <t>C730125</t>
  </si>
  <si>
    <t>C529413</t>
  </si>
  <si>
    <t>C529414</t>
  </si>
  <si>
    <t>C521608</t>
  </si>
  <si>
    <t>STM32G474MBT6</t>
  </si>
  <si>
    <t>C5270375</t>
  </si>
  <si>
    <t>STM32G474MCT6</t>
  </si>
  <si>
    <t>C5270370</t>
  </si>
  <si>
    <t>C730126</t>
  </si>
  <si>
    <t>C730130</t>
  </si>
  <si>
    <t>STM32G474VCT6</t>
  </si>
  <si>
    <t>C730131</t>
  </si>
  <si>
    <t>STM32G474VET6TR</t>
  </si>
  <si>
    <t>C1857438</t>
  </si>
  <si>
    <t>C730127</t>
  </si>
  <si>
    <t>STM32G474QCT6</t>
  </si>
  <si>
    <t>C730128</t>
  </si>
  <si>
    <t>C730129</t>
  </si>
  <si>
    <t>STM32G474CBU6</t>
  </si>
  <si>
    <t>C1341771</t>
  </si>
  <si>
    <t>STM32G474CCU6</t>
  </si>
  <si>
    <t>C1341847</t>
  </si>
  <si>
    <t>C1235412</t>
  </si>
  <si>
    <t>STM32G474MEY6TR</t>
  </si>
  <si>
    <t>C2055584</t>
  </si>
  <si>
    <t>C1235435</t>
  </si>
  <si>
    <t>QFN050P700X700X060-48-EP560X560</t>
  </si>
  <si>
    <t>QFP050P1400X1400X160-80</t>
  </si>
  <si>
    <t>QFP050P1600X1600X160-100</t>
  </si>
  <si>
    <t>QFP040P1600X1600X160-128</t>
  </si>
  <si>
    <t>BGA100C080P10X10_800X800X110</t>
  </si>
  <si>
    <t>BGA121C50P11X11_600X600X060</t>
  </si>
  <si>
    <t>BGA081C040P9X9_402X427X059</t>
  </si>
  <si>
    <t>LOGO FSG 20Y 5MM</t>
  </si>
  <si>
    <t>LOGO FSG 20Y</t>
  </si>
  <si>
    <t>LOGO FSG 20Y 10MM</t>
  </si>
  <si>
    <t>LOGO FSG 20Y 15MM</t>
  </si>
  <si>
    <t>LOGO FSG 20Y 20MM</t>
  </si>
  <si>
    <t>LOGO FSG 20Y 30MM</t>
  </si>
  <si>
    <t>LOGO FSG 20Y 40MM</t>
  </si>
  <si>
    <t>LOGO-FSG-20Y-5MM</t>
  </si>
  <si>
    <t>LOGO-FSG-20Y-10MM</t>
  </si>
  <si>
    <t>LOGO-FSG-20Y-15MM</t>
  </si>
  <si>
    <t>LOGO-FSG-20Y-20MM</t>
  </si>
  <si>
    <t>LOGO-FSG-20Y-30MM</t>
  </si>
  <si>
    <t>LOGO-FSG-20Y-40MM</t>
  </si>
  <si>
    <t>FSG logo, 20 years anniversary, size 5mm</t>
  </si>
  <si>
    <t>FSG logo, 20 years anniversary, size 10mm</t>
  </si>
  <si>
    <t>FSG logo, 20 years anniversary, size 15mm</t>
  </si>
  <si>
    <t>FSG logo, 20 years anniversary, size 20mm</t>
  </si>
  <si>
    <t>FSG logo, 20 years anniversary, size 30mm</t>
  </si>
  <si>
    <t>FSG logo, 20 years anniversary, size 40mm</t>
  </si>
  <si>
    <t>LOGO FSG 20Y 5MM CU</t>
  </si>
  <si>
    <t>LOGO FSG 20Y 10MM CU</t>
  </si>
  <si>
    <t>LOGO FSG 20Y 15MM CU</t>
  </si>
  <si>
    <t>LOGO FSG 20Y 20MM CU</t>
  </si>
  <si>
    <t>LOGO FSG 20Y 30MM CU</t>
  </si>
  <si>
    <t>LOGO FSG 20Y 40MM CU</t>
  </si>
  <si>
    <t>FSG logo, 20 years anniversary, size 5mm, enforced copper region</t>
  </si>
  <si>
    <t>FSG logo, 20 years anniversary, size 10mm, enforced copper region</t>
  </si>
  <si>
    <t>FSG logo, 20 years anniversary, size 15mm, enforced copper region</t>
  </si>
  <si>
    <t>FSG logo, 20 years anniversary, size 20mm, enforced copper region</t>
  </si>
  <si>
    <t>FSG logo, 20 years anniversary, size 30mm, enforced copper region</t>
  </si>
  <si>
    <t>FSG logo, 20 years anniversary, size 40mm, enforced copper region</t>
  </si>
  <si>
    <t>LOGO-FSG-20Y-5MM-CU</t>
  </si>
  <si>
    <t>LOGO-FSG-20Y-10MM-CU</t>
  </si>
  <si>
    <t>LOGO-FSG-20Y-15MM-CU</t>
  </si>
  <si>
    <t>LOGO-FSG-20Y-20MM-CU</t>
  </si>
  <si>
    <t>LOGO-FSG-20Y-30MM-CU</t>
  </si>
  <si>
    <t>LOGO-FSG-20Y-40MM-CU</t>
  </si>
  <si>
    <t>W25N01GVZEIG</t>
  </si>
  <si>
    <t>W25N01GVZEIG 3V 1G-BIT Serial SLC NAND Flash Memoryw with Dual/Quad SPI Buffer Read &amp; Continuous Read</t>
  </si>
  <si>
    <t>QSPI_Flash_8_EP</t>
  </si>
  <si>
    <t>SON127P800X600X080-8-EP340X430</t>
  </si>
  <si>
    <t>https://www.winbond.com/resource-files/W25N01GV%20Rev%20O%20092619.pdf</t>
  </si>
  <si>
    <t>Winbond Electronics</t>
  </si>
  <si>
    <t>256-W25N01GVZEIG-ND</t>
  </si>
  <si>
    <t>W25N01GVZEIG TR</t>
  </si>
  <si>
    <t>256-W25N01GVZEIGTRCT-ND</t>
  </si>
  <si>
    <t>C907680</t>
  </si>
  <si>
    <t>https://newhavendisplay.com/content/specs/NHD-2.4-240320AF-CSXP.pdf</t>
  </si>
  <si>
    <t>https://newhavendisplay.com/content/specs/NHD-2.4-240320AF-CSXP-CTP.pdf</t>
  </si>
  <si>
    <t>NHD-2.4-240320AF-CSXP</t>
  </si>
  <si>
    <t>NHD-2.4-240320AF-CSXP-CTP</t>
  </si>
  <si>
    <t>NHD-2.4-240320AF-CSXP TFT Liquid Crystal Display, 2.4", 240x320, RGB, high brightness</t>
  </si>
  <si>
    <t>NHD-2.4-240320AF-CSXP-CTP TFT Liquid Crystal Display, 2.4", 240x320, RGB, high brightness, capacitive touch panel</t>
  </si>
  <si>
    <t>Newhaven Display</t>
  </si>
  <si>
    <t>Display Module</t>
  </si>
  <si>
    <t>Newhaven Display Intl</t>
  </si>
  <si>
    <t>757-NHD-2.4-240320AF-CSXP-ND</t>
  </si>
  <si>
    <t>../altium_lib_private/PCB/Newhaven.PcbLib</t>
  </si>
  <si>
    <t>OPT3004DNPR</t>
  </si>
  <si>
    <t>OPT3004DTSR</t>
  </si>
  <si>
    <t>USON-8</t>
  </si>
  <si>
    <t>SOT-5X3</t>
  </si>
  <si>
    <t>OPT3004_6</t>
  </si>
  <si>
    <t>OPT3004_8</t>
  </si>
  <si>
    <t>https://www.ti.com/lit/ds/symlink/opt3004.pdf</t>
  </si>
  <si>
    <t>296-53402-6-ND</t>
  </si>
  <si>
    <t>296-OPT3004DTSRCT-ND</t>
  </si>
  <si>
    <t>C2655153</t>
  </si>
  <si>
    <t>C5220076</t>
  </si>
  <si>
    <t>LP5816DRLR</t>
  </si>
  <si>
    <t>LP5816 4-Channel I2C Interface RGBW LED Driver</t>
  </si>
  <si>
    <t>SOT586</t>
  </si>
  <si>
    <t>LP5816YCHR</t>
  </si>
  <si>
    <t>https://www.ti.com/lit/ds/symlink/lp5816.pdf</t>
  </si>
  <si>
    <t>DSBGA</t>
  </si>
  <si>
    <t>296-LP5816DRLRCT-ND</t>
  </si>
  <si>
    <t>296-LP5816YCHRCT-ND</t>
  </si>
  <si>
    <t>C47262832</t>
  </si>
  <si>
    <t>https://www.ti.com/lit/ds/symlink/lp5817.pdf</t>
  </si>
  <si>
    <t>LP5817DRLR</t>
  </si>
  <si>
    <t>LP5817YCHR</t>
  </si>
  <si>
    <t>LP5817 3-Channel I2C Interface RGB LED Driver</t>
  </si>
  <si>
    <t>296-LP5817DRLRCT-ND</t>
  </si>
  <si>
    <t>296-LP5817YCHRCT-ND</t>
  </si>
  <si>
    <t>C47262829</t>
  </si>
  <si>
    <t>LP5816 SOT</t>
  </si>
  <si>
    <t>LP5816 BGA</t>
  </si>
  <si>
    <t>LP5817 SOT</t>
  </si>
  <si>
    <t>LP5817 BGA</t>
  </si>
  <si>
    <t>SON065P200X200X65-6-EP065X130-CLEAR</t>
  </si>
  <si>
    <t>SOT50P210X60-8-SE_clear</t>
  </si>
  <si>
    <t>SOT50P210X60-8-SE</t>
  </si>
  <si>
    <t>BGA008C035P2X4_076X132X040</t>
  </si>
  <si>
    <t>AFY240320B0-2.4INTH</t>
  </si>
  <si>
    <t>AFY240320B0-2.4INTH TFT Liquid Crystal Display, 2.4", 240x320, RGB, high brightness</t>
  </si>
  <si>
    <t>Orient Display</t>
  </si>
  <si>
    <t>https://www.orientdisplay.com/wp-content/uploads/2025/04/AFY240320B0-2.4INTH.pdf</t>
  </si>
  <si>
    <t>5491-AFY240320B0-2.4INTH-ND</t>
  </si>
  <si>
    <t>DT018BTFT-SHB</t>
  </si>
  <si>
    <t>DT018BTFT-SHB 1.8” TFT LCD Module with SPI Interface</t>
  </si>
  <si>
    <t>Displaytech</t>
  </si>
  <si>
    <t>https://www.seacomp.com/sites/default/files/datasheets/DT018BTFT-Displaytech-Spec.pdf</t>
  </si>
  <si>
    <t>758-DT018BTFT-SHB</t>
  </si>
  <si>
    <t>DT024ETFT-IPS-SHB</t>
  </si>
  <si>
    <t>DT024ETFT-IPS-SHB 2.4” IPS LCD Module with SPI Interface</t>
  </si>
  <si>
    <t>https://www.seacomp.com/sites/default/files/datasheets/DT024ETFT-IPS-Rev1_1-Displaytech-Spec.pdf</t>
  </si>
  <si>
    <t>758-DT024ETFTIPS-SHB</t>
  </si>
  <si>
    <t>DT028DTFT-IPS-SHB</t>
  </si>
  <si>
    <t>758-DT028DTFTIPS-SHB</t>
  </si>
  <si>
    <t>https://www.seacomp.com/sites/default/files/datasheets/DT028DTFT-IPS-Displaytech-Spec.pdf</t>
  </si>
  <si>
    <t>DT028DTFT-IPS-SHB 2.8” IPS LCD Module with SPI Interface</t>
  </si>
  <si>
    <t>10A/5AG/FUSE</t>
  </si>
  <si>
    <t>Fuseholder/5AG/Half</t>
  </si>
  <si>
    <t>12A/5AG/FUSE</t>
  </si>
  <si>
    <t>2A/5AG/FUSE</t>
  </si>
  <si>
    <t>4A/5AG/FUSE</t>
  </si>
  <si>
    <t>6A/5AG/FUSE</t>
  </si>
  <si>
    <t>8A/5AG/FUSE</t>
  </si>
  <si>
    <t>15A/5AG/FUSE</t>
  </si>
  <si>
    <t>16A/5AG/FUSE</t>
  </si>
  <si>
    <t>20A/5AG/FUSE</t>
  </si>
  <si>
    <t>Fuseholder/5AG</t>
  </si>
  <si>
    <t>5AG</t>
  </si>
  <si>
    <t>6A</t>
  </si>
  <si>
    <t>12A</t>
  </si>
  <si>
    <t>15A</t>
  </si>
  <si>
    <t>16A</t>
  </si>
  <si>
    <t>20A</t>
  </si>
  <si>
    <t>Phoenix Contact</t>
  </si>
  <si>
    <t>https://www.phoenixcontact.com/product/pdf/api/v1/MzA2MTI5NQ?_realm=in&amp;_locale=en-IN&amp;blocks=commercial-data%2Ctechnical-data%2Capprovals%2Cclassifications%2Cenvironmental-compliance-data</t>
  </si>
  <si>
    <t>277-15210-ND</t>
  </si>
  <si>
    <t>https://www.phoenixcontact.com/us/products/3061305/pdf</t>
  </si>
  <si>
    <t>277-15211-ND</t>
  </si>
  <si>
    <t>https://mm.digikey.com/Volume0/opasdata/d220001/medias/docus/404/3061318.pdf</t>
  </si>
  <si>
    <t>3061318-ND</t>
  </si>
  <si>
    <t>https://mm.digikey.com/Volume0/opasdata/d220001/medias/docus/404/3061321.pdf</t>
  </si>
  <si>
    <t>3061321-ND</t>
  </si>
  <si>
    <t>https://www.phoenixcontact.com/us/products/3061334/pdf</t>
  </si>
  <si>
    <t>277-15212-ND</t>
  </si>
  <si>
    <t>https://www.phoenixcontact.com/us/products/3061347/pdf</t>
  </si>
  <si>
    <t>277-15213-ND</t>
  </si>
  <si>
    <t>https://www.phoenixcontact.com/product/pdf/api/v1/MzA2Mjc4NA?_realm=us&amp;_locale=en-US&amp;blocks=commercial-data%2Ctechnical-data%2Capprovals%2Cclassifications%2Cenvironmental-compliance-data</t>
  </si>
  <si>
    <t>277-3062784-ND</t>
  </si>
  <si>
    <t>https://www.phoenixcontact.com/us/products/3061350/pdf</t>
  </si>
  <si>
    <t>277-15214-ND</t>
  </si>
  <si>
    <t>https://www.phoenixcontact.com/us/products/3061363/pdf</t>
  </si>
  <si>
    <t>277-15215-ND</t>
  </si>
  <si>
    <t>Fuse 1000V AC/DC 2A 5AG 10.3x38mm</t>
  </si>
  <si>
    <t>Fuse 1000V AC/DC 4A 5AG 10.3x38mm</t>
  </si>
  <si>
    <t>Fuse 1000V AC/DC 6A 5AG 10.3x38mm</t>
  </si>
  <si>
    <t>Fuse 1000V AC/DC 8A 5AG 10.3x38mm</t>
  </si>
  <si>
    <t>Fuse 1000V AC/DC 10A 5AG 10.3x38mm</t>
  </si>
  <si>
    <t>Fuse 1000V AC/DC 12A 5AG 10.3x38mm</t>
  </si>
  <si>
    <t>Fuse 1000V AC/DC 15A 5AG 10.3x38mm</t>
  </si>
  <si>
    <t>Fuse 1000V AC/DC 16A 5AG 10.3x38mm</t>
  </si>
  <si>
    <t>Fuse 1000V AC/DC 20A 5AG 10.3x38mm</t>
  </si>
  <si>
    <t>https://www.keyelco.com/product-pdf.cfm?p=347</t>
  </si>
  <si>
    <t>Keystone Electronics</t>
  </si>
  <si>
    <t>36-3576-ND</t>
  </si>
  <si>
    <t>Fuseholder/5AG SMD</t>
  </si>
  <si>
    <t>https://www.keyelco.com/product-pdf.cfm?p=1133</t>
  </si>
  <si>
    <t>36-3574-ND</t>
  </si>
  <si>
    <t>534-3576</t>
  </si>
  <si>
    <t>534-3574</t>
  </si>
  <si>
    <t>PAD-THT-0.5MM-1.2MM-ROUND</t>
  </si>
  <si>
    <t>PAD-THT-0.5MM-2.0MM-ROUND</t>
  </si>
  <si>
    <t>Through-hole pad, 0.5mm drill, 1.2mm pad, round</t>
  </si>
  <si>
    <t>Through-hole pad, 0.5mm drill, 2.0mm pad, round</t>
  </si>
  <si>
    <t>PAD-THT-0.5MM-1.0MM-ROUND</t>
  </si>
  <si>
    <t>Through-hole pad, 0.5mm drill, 1.0mm pad, round</t>
  </si>
  <si>
    <t>PAD-THT-0.3MM-1.0MM-ROUND</t>
  </si>
  <si>
    <t>Through-hole pad, 0.3mm drill, 1.0mm pad, round</t>
  </si>
  <si>
    <t>PAD-THT-0.3MM-0.7MM-ROUND</t>
  </si>
  <si>
    <t>Through-hole pad, 0.3mm drill, 0.7mm pad, round</t>
  </si>
  <si>
    <t>TPS55340 SOP</t>
  </si>
  <si>
    <t>TPS55340 QFN</t>
  </si>
  <si>
    <t>TPS55340 Integrated 5-A Wide Input Range Boost/SEPIC/Flyback DC/DC Regulator</t>
  </si>
  <si>
    <t>SOP-14-EP</t>
  </si>
  <si>
    <t>https://www.ti.com/lit/ds/symlink/tps55340.pdf</t>
  </si>
  <si>
    <t>TPS55340PWPR</t>
  </si>
  <si>
    <t>296-39426-1-ND</t>
  </si>
  <si>
    <t>TPS55340PWP</t>
  </si>
  <si>
    <t>296-35493-5-ND</t>
  </si>
  <si>
    <t>C43862</t>
  </si>
  <si>
    <t>TPS55340RTER</t>
  </si>
  <si>
    <t>296-37677-1-ND</t>
  </si>
  <si>
    <t>TPS55340RTET</t>
  </si>
  <si>
    <t>296-30530-1-ND</t>
  </si>
  <si>
    <t>C169167</t>
  </si>
  <si>
    <t>QFN050P300X300X080-16-EP168X168</t>
  </si>
  <si>
    <t>SOP065P640X120-14-EP259X260</t>
  </si>
  <si>
    <t>BQ76200</t>
  </si>
  <si>
    <t>BQ76200 high-voltage battery pack front-end charge/discharge high-side NFET driver</t>
  </si>
  <si>
    <t>BQ76200PWR</t>
  </si>
  <si>
    <t>296-43273-1-ND</t>
  </si>
  <si>
    <t>BQ76200PW</t>
  </si>
  <si>
    <t>296-43316-5-ND</t>
  </si>
  <si>
    <t>C216213</t>
  </si>
  <si>
    <t>KEYSTONE_3574</t>
  </si>
  <si>
    <t>KEYSTONE_3576</t>
  </si>
  <si>
    <t>Fuse_5AG_5mm</t>
  </si>
  <si>
    <t>330N/0603/25V/X7R</t>
  </si>
  <si>
    <t>CAP SM 0603 330nF 25V X7R</t>
  </si>
  <si>
    <t>330nF</t>
  </si>
  <si>
    <t>https://www.yageogroup.com/content/datasheet/asset/file/UPY-GPHC_X7R_6_3V-TO-250V</t>
  </si>
  <si>
    <t>CC0603KRX7R8BB334</t>
  </si>
  <si>
    <t>311-3573-1-ND</t>
  </si>
  <si>
    <t>CC0603JRX7R8BB334</t>
  </si>
  <si>
    <t>13-CC0603JRX7R8BB334CT-ND</t>
  </si>
  <si>
    <t>C107070</t>
  </si>
  <si>
    <t>10M/1206/HV</t>
  </si>
  <si>
    <t>https://www.yageogroup.com/content/datasheet/asset/file/PYU-RC_GROUP_51_ROHS_L</t>
  </si>
  <si>
    <t>https://www.yageogroup.com/content/datasheet/asset/file/PYU-RV_51_ROHS_L</t>
  </si>
  <si>
    <t>RC1206FR-1310ML</t>
  </si>
  <si>
    <t>13-RC1206FR-1310MLCT-ND</t>
  </si>
  <si>
    <t>RV1206FR-0710ML</t>
  </si>
  <si>
    <t>13-RV1206FR-0710MLCT-ND</t>
  </si>
  <si>
    <t>C326960</t>
  </si>
  <si>
    <t>RC0805FR-0710ML</t>
  </si>
  <si>
    <t>C114525</t>
  </si>
  <si>
    <t>10M/0805/HV</t>
  </si>
  <si>
    <t>RES SM 1206 10M High voltage</t>
  </si>
  <si>
    <t>RES SM 0805 10M High voltage</t>
  </si>
  <si>
    <t>RV0805FR-0710ML</t>
  </si>
  <si>
    <t>13-RV0805FR-0710MLCT-ND</t>
  </si>
  <si>
    <t>C873328</t>
  </si>
  <si>
    <t>US1NWF-7</t>
  </si>
  <si>
    <t>US1MFA</t>
  </si>
  <si>
    <t>US1NWF 1.0A SURFACE MOUNT ULTRA-FAST RECTIFIER</t>
  </si>
  <si>
    <t>US1MFA Super Fast Surface Mount Rectifiers</t>
  </si>
  <si>
    <t>Onsemi</t>
  </si>
  <si>
    <t>1000V</t>
  </si>
  <si>
    <t>https://www.diodes.com/assets/Datasheets/US1NWF.pdf</t>
  </si>
  <si>
    <t>https://www.onsemi.com/pdf/datasheet/us1mfa-d.pdf</t>
  </si>
  <si>
    <t>US1NWF-7DICT-ND</t>
  </si>
  <si>
    <t>US1MFACT-ND</t>
  </si>
  <si>
    <t>DIODES</t>
  </si>
  <si>
    <t>C5148544</t>
  </si>
  <si>
    <t>C894760</t>
  </si>
  <si>
    <t>10M/0603/HV</t>
  </si>
  <si>
    <t>RES SM 0603 10M High voltage</t>
  </si>
  <si>
    <t>RV0603FR-0710ML</t>
  </si>
  <si>
    <t>13-RV0603FR-0710MLCT-ND</t>
  </si>
  <si>
    <t>C873271</t>
  </si>
  <si>
    <t>LOGO WHE 2MM</t>
  </si>
  <si>
    <t>WHE logo, size 2mm</t>
  </si>
  <si>
    <t>LOGO-WHE-2MM</t>
  </si>
  <si>
    <t>LOGO WHE 3MM</t>
  </si>
  <si>
    <t>WHE logo, size 3mm</t>
  </si>
  <si>
    <t>LOGO-WHE-3MM</t>
  </si>
  <si>
    <t>LOGO WHE 2.5MM</t>
  </si>
  <si>
    <t>WHE logo, size 2.5mm</t>
  </si>
  <si>
    <t>LOGO-WHE-2.5MM</t>
  </si>
  <si>
    <t>RM5</t>
  </si>
  <si>
    <t>TR_FLYBACK_RECT_C_P_2-3_3S_5-6-7-8</t>
  </si>
  <si>
    <t>../altium_lib_private/PCB/IND_SMT.PcbLib</t>
  </si>
  <si>
    <t>TR_FLYBACK_RM5_PS1-100</t>
  </si>
  <si>
    <t>TR/RM5/FLYBACK/PS1-1</t>
  </si>
  <si>
    <t>LMG2100R044</t>
  </si>
  <si>
    <t>QFN-17</t>
  </si>
  <si>
    <t>https://www.ti.com/lit/ds/symlink/lmg2100r044.pdf</t>
  </si>
  <si>
    <t>LMG2100R044RARR</t>
  </si>
  <si>
    <t>296-LMG2100R044RARRCT-ND</t>
  </si>
  <si>
    <t>C22453052</t>
  </si>
  <si>
    <t>QFN050P450X550X085-16-TI-VQFN-FCRLF</t>
  </si>
  <si>
    <t>SN74LVC08A TSSOP</t>
  </si>
  <si>
    <t>SN74LVC08A Quadruple 2-Input Positive-AND Gates</t>
  </si>
  <si>
    <t>TSSOP</t>
  </si>
  <si>
    <t>GATE AND 4X2</t>
  </si>
  <si>
    <t>https://www.ti.com/lit/ds/symlink/sn74lvc08a.pdf</t>
  </si>
  <si>
    <t>SN74LVC08APWR</t>
  </si>
  <si>
    <t>296-1221-1-ND</t>
  </si>
  <si>
    <t>C465737</t>
  </si>
  <si>
    <t>SS210 SMA</t>
  </si>
  <si>
    <t>Si Shottky Diode 100V 2A DO-214AC</t>
  </si>
  <si>
    <t>https://www.lcsc.com/datasheet/C14996.pdf</t>
  </si>
  <si>
    <t>MDD(Microdiode Semiconductor)</t>
  </si>
  <si>
    <t>C14996</t>
  </si>
  <si>
    <t>LDO_IN1_GND2_OUT5_EN3_NC4</t>
  </si>
  <si>
    <t>LDO_IN1_GND2_OUT5_EN3_BYPASS4</t>
  </si>
  <si>
    <t>LP2985-1.0</t>
  </si>
  <si>
    <t>LP2985-1.8</t>
  </si>
  <si>
    <t>LP2985-2.5</t>
  </si>
  <si>
    <t>LP2985-2.8</t>
  </si>
  <si>
    <t>LP2985-2.9</t>
  </si>
  <si>
    <t>LP2985-3.0</t>
  </si>
  <si>
    <t>LP2985-3.3</t>
  </si>
  <si>
    <t>LP2985A-1.0</t>
  </si>
  <si>
    <t>LP2985A-1.8</t>
  </si>
  <si>
    <t>LP2985A-2.5</t>
  </si>
  <si>
    <t>LP2985A-2.8</t>
  </si>
  <si>
    <t>LP2985A-2.9</t>
  </si>
  <si>
    <t>LP2985A-3.0</t>
  </si>
  <si>
    <t>LP2985A-3.3</t>
  </si>
  <si>
    <t>LP2985-5.0</t>
  </si>
  <si>
    <t>LP2985A-5.0</t>
  </si>
  <si>
    <t>https://www.ti.com/lit/ds/symlink/lp2985.pdf</t>
  </si>
  <si>
    <t>LP2985-10DBVR</t>
  </si>
  <si>
    <t>296-24263-1-ND</t>
  </si>
  <si>
    <t>LP2985-10DBVT</t>
  </si>
  <si>
    <t>296-32147-1-ND</t>
  </si>
  <si>
    <t>C2861715</t>
  </si>
  <si>
    <t>LP2985A-10DBVR</t>
  </si>
  <si>
    <t>296-24264-1-ND</t>
  </si>
  <si>
    <t>LP2985A-10DBVT</t>
  </si>
  <si>
    <t>296-32154-1-ND</t>
  </si>
  <si>
    <t>C194850</t>
  </si>
  <si>
    <t>LP2985-18DBVR</t>
  </si>
  <si>
    <t>296-18474-1-ND</t>
  </si>
  <si>
    <t>LP2985-18DBVRM3</t>
  </si>
  <si>
    <t>296-LP2985-18DBVRM3CT-ND</t>
  </si>
  <si>
    <t>C95415</t>
  </si>
  <si>
    <t>LP2985A-18DBVR</t>
  </si>
  <si>
    <t>296-18477-1-ND</t>
  </si>
  <si>
    <t>LP2985A-18DBVJ</t>
  </si>
  <si>
    <t>296-32155-1-ND</t>
  </si>
  <si>
    <t>C913826</t>
  </si>
  <si>
    <t>LP2985-25DBVR</t>
  </si>
  <si>
    <t>296-32149-1-ND</t>
  </si>
  <si>
    <t>LP2985-25DBVT</t>
  </si>
  <si>
    <t>296-32150-1-ND</t>
  </si>
  <si>
    <t>C2863838</t>
  </si>
  <si>
    <t>LP2985A-25DBVR</t>
  </si>
  <si>
    <t>296-36939-1-ND</t>
  </si>
  <si>
    <t>LP2985A-25DBVRM3</t>
  </si>
  <si>
    <t>296-LP2985A-25DBVRM3CT-ND</t>
  </si>
  <si>
    <t>C2862260</t>
  </si>
  <si>
    <t>LP2985-28DBVR</t>
  </si>
  <si>
    <t>296-18475-1-ND</t>
  </si>
  <si>
    <t>LP2985-28DBVT</t>
  </si>
  <si>
    <t>296-LP2985-28DBVTCT-ND</t>
  </si>
  <si>
    <t>C95416</t>
  </si>
  <si>
    <t>LP2985A-28DBVR</t>
  </si>
  <si>
    <t>296-18478-1-ND</t>
  </si>
  <si>
    <t>LP2985A-28DBVT</t>
  </si>
  <si>
    <t>296-LP2985A-28DBVTCT-ND</t>
  </si>
  <si>
    <t>C2870435</t>
  </si>
  <si>
    <t>LP2985-29DBVR</t>
  </si>
  <si>
    <t>296-36938-1-ND</t>
  </si>
  <si>
    <t>LP2985-29DBVT</t>
  </si>
  <si>
    <t>LP2985-29DBVT-ND</t>
  </si>
  <si>
    <t>C2870549</t>
  </si>
  <si>
    <t>LP2985A-29DBVR</t>
  </si>
  <si>
    <t>296-LP2985A-29DBVRCT-ND</t>
  </si>
  <si>
    <t>LP2985A-29DBVT</t>
  </si>
  <si>
    <t>LP2985A-29DBVT-ND</t>
  </si>
  <si>
    <t>C2870895</t>
  </si>
  <si>
    <t>LP2985-30DBVR</t>
  </si>
  <si>
    <t>296-32152-1-ND</t>
  </si>
  <si>
    <t>LP2985-30DBVT</t>
  </si>
  <si>
    <t>296-32153-1-ND</t>
  </si>
  <si>
    <t>C2869519</t>
  </si>
  <si>
    <t>LP2985A-30DBVR</t>
  </si>
  <si>
    <t>296-36941-1-ND</t>
  </si>
  <si>
    <t>LP2985A-30DBVT</t>
  </si>
  <si>
    <t>296-LP2985A-30DBVTCT-ND</t>
  </si>
  <si>
    <t>C2863849</t>
  </si>
  <si>
    <t>LP2985-33DBVR</t>
  </si>
  <si>
    <t>296-18476-1-ND</t>
  </si>
  <si>
    <t>LP2985-33DBVRM3</t>
  </si>
  <si>
    <t>296-LP2985-33DBVRM3CT-ND</t>
  </si>
  <si>
    <t>C95414</t>
  </si>
  <si>
    <t>LP2985A-33DBVR</t>
  </si>
  <si>
    <t>296-18479-1-ND</t>
  </si>
  <si>
    <t>LP2985A-33DBVT</t>
  </si>
  <si>
    <t>296-26127-1-ND</t>
  </si>
  <si>
    <t>C89826</t>
  </si>
  <si>
    <t>LP2985-50DBVR</t>
  </si>
  <si>
    <t>296-20717-1-ND</t>
  </si>
  <si>
    <t>LP2985-50DBVT</t>
  </si>
  <si>
    <t>296-26126-1-ND</t>
  </si>
  <si>
    <t>C74511</t>
  </si>
  <si>
    <t>LP2985A-50DBVRM3</t>
  </si>
  <si>
    <t>296-LP2985A-50DBVRM3CT-ND</t>
  </si>
  <si>
    <t>LP2985A-50DBVT</t>
  </si>
  <si>
    <t>296-32159-1-ND</t>
  </si>
  <si>
    <t>LP2985A-50DBVR</t>
  </si>
  <si>
    <t>C109382</t>
  </si>
  <si>
    <t>XC6206P332MR-G</t>
  </si>
  <si>
    <t>Low ESR Cap. Compatible Positive Voltage Regulator</t>
  </si>
  <si>
    <t>Torex</t>
  </si>
  <si>
    <t>LDO_IN3_GND1_OUT2</t>
  </si>
  <si>
    <t>https://product.torexsemi.com/system/files/series/xc6206.pdf</t>
  </si>
  <si>
    <t>Torex Semiconductor Ltd</t>
  </si>
  <si>
    <t>893-XC6206P332MR-GCT-ND</t>
  </si>
  <si>
    <t>TOREX</t>
  </si>
  <si>
    <t>C5446</t>
  </si>
  <si>
    <t>HT7533-1</t>
  </si>
  <si>
    <t>Holtek</t>
  </si>
  <si>
    <t>SOT89</t>
  </si>
  <si>
    <t>https://jlcpcb.com/api/file/downloadByFileSystemAccessId/8579707787284303872</t>
  </si>
  <si>
    <t>HOLTEK</t>
  </si>
  <si>
    <t>C14289</t>
  </si>
  <si>
    <t>78L05G-AB3-R</t>
  </si>
  <si>
    <t>https://www.lcsc.com/datasheet/C71136.pdf</t>
  </si>
  <si>
    <t>UTC</t>
  </si>
  <si>
    <t>C71136</t>
  </si>
  <si>
    <t>AMS1117-3.3</t>
  </si>
  <si>
    <t>SOT223</t>
  </si>
  <si>
    <t>https://www.lcsc.com/datasheet/C6186.pdf</t>
  </si>
  <si>
    <t>Advanced Monolithic Systems</t>
  </si>
  <si>
    <t>C6186</t>
  </si>
  <si>
    <t>AMS</t>
  </si>
  <si>
    <t>AMS1117-5.0</t>
  </si>
  <si>
    <t>https://www.lcsc.com/datasheet/C6187.pdf</t>
  </si>
  <si>
    <t>C6187</t>
  </si>
  <si>
    <t>L78M05ABDT-TR</t>
  </si>
  <si>
    <t>DPAK</t>
  </si>
  <si>
    <t>https://www.st.com/resource/en/datasheet/l78m.pdf</t>
  </si>
  <si>
    <t>497-1201-1-ND</t>
  </si>
  <si>
    <t>ST</t>
  </si>
  <si>
    <t>C58069</t>
  </si>
  <si>
    <t>LDO_IN1_GND3_OUT2</t>
  </si>
  <si>
    <t>Precision 500 mA regulator 5V</t>
  </si>
  <si>
    <t>LDO_IN3_GND1_OUT2-4</t>
  </si>
  <si>
    <t>1A Low Dropout Voltage Regulator 3.3V</t>
  </si>
  <si>
    <t>1A Low Dropout Voltage Regulator 5V</t>
  </si>
  <si>
    <t>LDO_IN3_GND2_OUT1</t>
  </si>
  <si>
    <t>LDO_IN2_GND1_OUT3</t>
  </si>
  <si>
    <t>3-Terminal 0.1A Positive Voltage Regulator 5V</t>
  </si>
  <si>
    <t>32.768 kHz RAD</t>
  </si>
  <si>
    <t>Crystal 32.768 kHz FC-135</t>
  </si>
  <si>
    <t>32.768 kHz ±20ppm Crystal 12,5pF Zylindrischer Becher, Radial</t>
  </si>
  <si>
    <t>32.768 kHz ±20ppm Crystal 12,5pF 4-SOJ, 5,50mm pitch</t>
  </si>
  <si>
    <t>Epson</t>
  </si>
  <si>
    <t>FC-135</t>
  </si>
  <si>
    <t>https://support.epson.biz/td/api/doc_check.php?dl=brief_FC-135</t>
  </si>
  <si>
    <t>FC-135 32.7680KA-A5</t>
  </si>
  <si>
    <t>SER4103CT-ND</t>
  </si>
  <si>
    <t>Q13FC13500004</t>
  </si>
  <si>
    <t>C32346</t>
  </si>
  <si>
    <t>Crystal_Can</t>
  </si>
  <si>
    <t>CYSMD250P320X150X090</t>
  </si>
  <si>
    <t>HC-49/US</t>
  </si>
  <si>
    <t>Crystal 32.768 kHz HC-49/US</t>
  </si>
  <si>
    <t>32.768 kHz ±20ppm Crystal 12,5pF HC-49/US</t>
  </si>
  <si>
    <t>32.768 kHz ±20ppm Crystal 12,5pF FC-135</t>
  </si>
  <si>
    <t>CJKJ</t>
  </si>
  <si>
    <t>https://www.lcsc.com/datasheet/C1122370.pdf</t>
  </si>
  <si>
    <t>C30732.768N12.5M20</t>
  </si>
  <si>
    <t>C1122370</t>
  </si>
  <si>
    <t>CYSMD275P760X320C230</t>
  </si>
  <si>
    <t>Crystal 32.768 kHz Radial</t>
  </si>
  <si>
    <t>Radial</t>
  </si>
  <si>
    <t>FTR-B3GA012Z-B10</t>
  </si>
  <si>
    <t>FTR-B3 Series Ultra Miniature Relay 2 Poles - 2 A (Low Profile Signal Relay)</t>
  </si>
  <si>
    <t>Fujitsu</t>
  </si>
  <si>
    <t>https://www.fujitsu.com/sg/imagesgig5/ftr-b3.pdf</t>
  </si>
  <si>
    <t>FUJITSU</t>
  </si>
  <si>
    <t>C2992429</t>
  </si>
  <si>
    <t>FTR-B3G</t>
  </si>
  <si>
    <t>IM6CGR</t>
  </si>
  <si>
    <t>IM6JR</t>
  </si>
  <si>
    <t>IM6CGR Signal Relais, DPDT, 2A, 12V coil, SMT gull-wing, high-dielectric</t>
  </si>
  <si>
    <t>IM6JR Signal Relais, DPDT, 2A, 12V coil, SMT J-leg</t>
  </si>
  <si>
    <t>TE</t>
  </si>
  <si>
    <t>TE-IM-J</t>
  </si>
  <si>
    <t>TE-IM-G</t>
  </si>
  <si>
    <t>https://www.te.com/commerce/DocumentDelivery/DDEController?Action=srchrtrv&amp;DocNm=1-1773734-7_IM_Relay_I_Type&amp;DocType=DS&amp;DocLang=English</t>
  </si>
  <si>
    <t>TE Connectivity Potter &amp; Brumfield Relays</t>
  </si>
  <si>
    <t>9-1462037-9</t>
  </si>
  <si>
    <t>PB1181CT-ND</t>
  </si>
  <si>
    <t>IM06JR</t>
  </si>
  <si>
    <t>PB1065CT-ND</t>
  </si>
  <si>
    <t>C5157795</t>
  </si>
  <si>
    <t>4-1462037-6</t>
  </si>
  <si>
    <t>C5439395</t>
  </si>
  <si>
    <t>CON_FPC40_FH34SRJ</t>
  </si>
  <si>
    <t>CON40-2M</t>
  </si>
  <si>
    <t>https://www.hirose.com/en/product/document?clcode=CL0580-1260-6-50&amp;productname=FH34SRJ-40S-0.5SH(50)&amp;series=FH34SRJ&amp;documenttype=2DDrawing&amp;lang=en&amp;documentid=0001483059</t>
  </si>
  <si>
    <t>FPC_40_FH34SRJ</t>
  </si>
  <si>
    <t>FPC connector, FH34 series, 40 pins</t>
  </si>
  <si>
    <t>Hirose Electric Co Ltd</t>
  </si>
  <si>
    <t>FH34SRJ-40S-0.5SH(50)</t>
  </si>
  <si>
    <t>H125755CT-ND</t>
  </si>
  <si>
    <t>HRS</t>
  </si>
  <si>
    <t>C506798</t>
  </si>
  <si>
    <t>FPC_40_XF2M</t>
  </si>
  <si>
    <t>FPC connector, XF2M series, 40 pins</t>
  </si>
  <si>
    <t>Omron</t>
  </si>
  <si>
    <t>https://omronfs.omron.com/en_US/ecb/products/pdf/en-xf3m_xf2m.pdf</t>
  </si>
  <si>
    <t>XF2M-4015-1A</t>
  </si>
  <si>
    <t>OR729CT-ND</t>
  </si>
  <si>
    <t>OMRON</t>
  </si>
  <si>
    <t>C225713</t>
  </si>
  <si>
    <t>DDZ9678</t>
  </si>
  <si>
    <t>DDZ9681</t>
  </si>
  <si>
    <t>DDZ9682</t>
  </si>
  <si>
    <t>DDZ9683</t>
  </si>
  <si>
    <t>DDZ9684</t>
  </si>
  <si>
    <t>DDZ9685</t>
  </si>
  <si>
    <t>DDZ9686</t>
  </si>
  <si>
    <t>DDZ9687</t>
  </si>
  <si>
    <t>DDZ9688</t>
  </si>
  <si>
    <t>DDZ9689</t>
  </si>
  <si>
    <t>DDZ9690</t>
  </si>
  <si>
    <t>DDZ9691</t>
  </si>
  <si>
    <t>DDZ9692</t>
  </si>
  <si>
    <t>DDZ9693</t>
  </si>
  <si>
    <t>DDZ9694</t>
  </si>
  <si>
    <t>DDZ9696</t>
  </si>
  <si>
    <t>DDZ9697</t>
  </si>
  <si>
    <t>DDZ9698</t>
  </si>
  <si>
    <t>DDZ9699</t>
  </si>
  <si>
    <t>DDZ9700</t>
  </si>
  <si>
    <t>DDZ9701</t>
  </si>
  <si>
    <t>DDZ9702</t>
  </si>
  <si>
    <t>DDZ9703</t>
  </si>
  <si>
    <t>DDZ9704</t>
  </si>
  <si>
    <t>DDZ9705</t>
  </si>
  <si>
    <t>DDZ9707</t>
  </si>
  <si>
    <t>DDZ9708</t>
  </si>
  <si>
    <t>DDZ9709</t>
  </si>
  <si>
    <t>DDZ9711</t>
  </si>
  <si>
    <t>DDZ9712</t>
  </si>
  <si>
    <t>DDZ9713</t>
  </si>
  <si>
    <t>DDZ9714</t>
  </si>
  <si>
    <t>DDZ9715</t>
  </si>
  <si>
    <t>DDZ9716</t>
  </si>
  <si>
    <t>DDZ9717</t>
  </si>
  <si>
    <t>1.8V</t>
  </si>
  <si>
    <t>2.4V</t>
  </si>
  <si>
    <t>2.7V</t>
  </si>
  <si>
    <t>3.0V</t>
  </si>
  <si>
    <t>3.3V</t>
  </si>
  <si>
    <t>3.6V</t>
  </si>
  <si>
    <t>3.9V</t>
  </si>
  <si>
    <t>4.3V</t>
  </si>
  <si>
    <t>4.7V</t>
  </si>
  <si>
    <t>5.1V</t>
  </si>
  <si>
    <t>5.6V</t>
  </si>
  <si>
    <t>6.2V</t>
  </si>
  <si>
    <t>8.2V</t>
  </si>
  <si>
    <t>9.1V</t>
  </si>
  <si>
    <t>27V</t>
  </si>
  <si>
    <t>39V</t>
  </si>
  <si>
    <t>Low current zener diode 1.8V 500mW SOD123</t>
  </si>
  <si>
    <t>Low current zener diode 2.4V 500mW SOD123</t>
  </si>
  <si>
    <t>Low current zener diode 2.7V 500mW SOD123</t>
  </si>
  <si>
    <t>Low current zener diode 3.0V 500mW SOD123</t>
  </si>
  <si>
    <t>Low current zener diode 3.3V 500mW SOD123</t>
  </si>
  <si>
    <t>Low current zener diode 3.6V 500mW SOD123</t>
  </si>
  <si>
    <t>Low current zener diode 3.9V 500mW SOD123</t>
  </si>
  <si>
    <t>Low current zener diode 4.3V 500mW SOD123</t>
  </si>
  <si>
    <t>Low current zener diode 4.7V 500mW SOD123</t>
  </si>
  <si>
    <t>Low current zener diode 5.1V 500mW SOD123</t>
  </si>
  <si>
    <t>Low current zener diode 5.6V 500mW SOD123</t>
  </si>
  <si>
    <t>Low current zener diode 6.2V 500mW SOD123</t>
  </si>
  <si>
    <t>Low current zener diode 6.8V 500mW SOD123</t>
  </si>
  <si>
    <t>Low current zener diode 7.5V 500mW SOD123</t>
  </si>
  <si>
    <t>Low current zener diode 8.2V 500mW SOD123</t>
  </si>
  <si>
    <t>Low current zener diode 9.1V 500mW SOD123</t>
  </si>
  <si>
    <t>Low current zener diode 10V 500mW SOD123</t>
  </si>
  <si>
    <t>Low current zener diode 11V 500mW SOD123</t>
  </si>
  <si>
    <t>Low current zener diode 12V 500mW SOD123</t>
  </si>
  <si>
    <t>Low current zener diode 13V 500mW SOD123</t>
  </si>
  <si>
    <t>Low current zener diode 14V 500mW SOD123</t>
  </si>
  <si>
    <t>Low current zener diode 15V 500mW SOD123</t>
  </si>
  <si>
    <t>Low current zener diode 16V 500mW SOD123</t>
  </si>
  <si>
    <t>Low current zener diode 17V 500mW SOD123</t>
  </si>
  <si>
    <t>Low current zener diode 18V 500mW SOD123</t>
  </si>
  <si>
    <t>Low current zener diode 20V 500mW SOD123</t>
  </si>
  <si>
    <t>Low current zener diode 22V 500mW SOD123</t>
  </si>
  <si>
    <t>Low current zener diode 24V 500mW SOD123</t>
  </si>
  <si>
    <t>Low current zener diode 27V 500mW SOD123</t>
  </si>
  <si>
    <t>Low current zener diode 28V 500mW SOD123</t>
  </si>
  <si>
    <t>Low current zener diode 30V 500mW SOD123</t>
  </si>
  <si>
    <t>Low current zener diode 33V 500mW SOD123</t>
  </si>
  <si>
    <t>Low current zener diode 36V 500mW SOD123</t>
  </si>
  <si>
    <t>Low current zener diode 39V 500mW SOD123</t>
  </si>
  <si>
    <t>Low current zener diode 43V 500mW SOD123</t>
  </si>
  <si>
    <t>https://www.diodes.com/datasheet/download/DDZ96xx-DDZ97xx.pdf</t>
  </si>
  <si>
    <t>DDZ9678-7</t>
  </si>
  <si>
    <t>DDZ9678DICT-ND</t>
  </si>
  <si>
    <t>DDZ9681-7</t>
  </si>
  <si>
    <t>DDZ9681-7DICT-ND</t>
  </si>
  <si>
    <t>DDZ9682-7</t>
  </si>
  <si>
    <t>DDZ9682-7DICT-ND</t>
  </si>
  <si>
    <t>DDZ9683-7</t>
  </si>
  <si>
    <t>DDZ9683-7DICT-ND</t>
  </si>
  <si>
    <t>DDZ9684-7</t>
  </si>
  <si>
    <t>DDZ9684-7DICT-ND</t>
  </si>
  <si>
    <t>DDZ9685-7</t>
  </si>
  <si>
    <t>DDZ9685-7DICT-ND</t>
  </si>
  <si>
    <t>DDZ9686-7</t>
  </si>
  <si>
    <t>31-DDZ9686-7CT-ND</t>
  </si>
  <si>
    <t>DDZ9687-7</t>
  </si>
  <si>
    <t>31-DDZ9687-7CT-ND</t>
  </si>
  <si>
    <t>DDZ9688-7</t>
  </si>
  <si>
    <t>DDZ9688-7DICT-ND</t>
  </si>
  <si>
    <t>DDZ9689-7</t>
  </si>
  <si>
    <t>DDZ9689DICT-ND</t>
  </si>
  <si>
    <t>DDZ9690-7</t>
  </si>
  <si>
    <t>DDZ9690DICT-ND</t>
  </si>
  <si>
    <t>DDZ9691-7</t>
  </si>
  <si>
    <t>DDZ9691DICT-ND</t>
  </si>
  <si>
    <t>DDZ9692-7</t>
  </si>
  <si>
    <t>DDZ9692DICT-ND</t>
  </si>
  <si>
    <t>DDZ9693-7</t>
  </si>
  <si>
    <t>DDZ9693DICT-ND</t>
  </si>
  <si>
    <t>DDZ9694-7</t>
  </si>
  <si>
    <t>DDZ9694DICT-ND</t>
  </si>
  <si>
    <t>DDZ9696-7</t>
  </si>
  <si>
    <t>DDZ9696DICT-ND</t>
  </si>
  <si>
    <t>DDZ9697-7</t>
  </si>
  <si>
    <t>DDZ9697DICT-ND</t>
  </si>
  <si>
    <t>DDZ9698-7</t>
  </si>
  <si>
    <t>31-DDZ9698-7CT-ND</t>
  </si>
  <si>
    <t>DDZ9699-7</t>
  </si>
  <si>
    <t>DDZ9699DICT-ND</t>
  </si>
  <si>
    <t>DDZ9700-7</t>
  </si>
  <si>
    <t>31-DDZ9700-7CT-ND</t>
  </si>
  <si>
    <t>DDZ9701-7</t>
  </si>
  <si>
    <t>DDZ9701-7DICT-ND</t>
  </si>
  <si>
    <t>DDZ9702-7</t>
  </si>
  <si>
    <t>DDZ9702DICT-ND</t>
  </si>
  <si>
    <t>DDZ9703-7</t>
  </si>
  <si>
    <t>DDZ9703-7DICT-ND</t>
  </si>
  <si>
    <t>DDZ9704-7</t>
  </si>
  <si>
    <t>DDZ9704DICT-ND</t>
  </si>
  <si>
    <t>DDZ9705-7</t>
  </si>
  <si>
    <t>DDZ9705DICT-ND</t>
  </si>
  <si>
    <t>DDZ9708-7</t>
  </si>
  <si>
    <t>DDZ9708-7DICT-ND</t>
  </si>
  <si>
    <t>DDZ9709-7</t>
  </si>
  <si>
    <t>DDZ9709DICT-ND</t>
  </si>
  <si>
    <t>DDZ9711-7</t>
  </si>
  <si>
    <t>DDZ9711DICT-ND</t>
  </si>
  <si>
    <t>DDZ9712-7</t>
  </si>
  <si>
    <t>DDZ9712-7DITR-ND</t>
  </si>
  <si>
    <t>DDZ9713-7</t>
  </si>
  <si>
    <t>DDZ9713-7DITR-ND</t>
  </si>
  <si>
    <t>DDZ9714-7DICT-ND</t>
  </si>
  <si>
    <t>DDZ9714-7</t>
  </si>
  <si>
    <t>DDZ9715-7</t>
  </si>
  <si>
    <t>DDZ9715-7DICT-ND</t>
  </si>
  <si>
    <t>DDZ9716-7</t>
  </si>
  <si>
    <t>DDZ9716-7DICT-ND</t>
  </si>
  <si>
    <t>DDZ9717-7</t>
  </si>
  <si>
    <t>DDZ9717-7-ND</t>
  </si>
  <si>
    <t>C150464</t>
  </si>
  <si>
    <t>C460855</t>
  </si>
  <si>
    <t>C2960363</t>
  </si>
  <si>
    <t>C460856</t>
  </si>
  <si>
    <t>C165455</t>
  </si>
  <si>
    <t>C460857</t>
  </si>
  <si>
    <t>C672113</t>
  </si>
  <si>
    <t>C780808</t>
  </si>
  <si>
    <t>C165916</t>
  </si>
  <si>
    <t>C69211</t>
  </si>
  <si>
    <t>C165454</t>
  </si>
  <si>
    <t>C165473</t>
  </si>
  <si>
    <t>C4748918</t>
  </si>
  <si>
    <t>C2978926</t>
  </si>
  <si>
    <t>C151594</t>
  </si>
  <si>
    <t>C780810</t>
  </si>
  <si>
    <t>C151619</t>
  </si>
  <si>
    <t>C508187</t>
  </si>
  <si>
    <t>C460860</t>
  </si>
  <si>
    <t>C460862</t>
  </si>
  <si>
    <t>C151458</t>
  </si>
  <si>
    <t>C151040</t>
  </si>
  <si>
    <t>C151601</t>
  </si>
  <si>
    <t>C460863</t>
  </si>
  <si>
    <t>C209347</t>
  </si>
  <si>
    <t>C780813</t>
  </si>
  <si>
    <t>C2759897</t>
  </si>
  <si>
    <t>C150758</t>
  </si>
  <si>
    <t>C7171768</t>
  </si>
  <si>
    <t>C2760646</t>
  </si>
  <si>
    <t>C2760559</t>
  </si>
  <si>
    <t>IXTA3N120</t>
  </si>
  <si>
    <t>IXTP3N120</t>
  </si>
  <si>
    <t>IXTH3N120</t>
  </si>
  <si>
    <t>3N120</t>
  </si>
  <si>
    <t>IXYS</t>
  </si>
  <si>
    <t>Tech Public</t>
  </si>
  <si>
    <t>TECH PUBLIC</t>
  </si>
  <si>
    <t>C42437012</t>
  </si>
  <si>
    <t>Littelfuse/IXYS</t>
  </si>
  <si>
    <t>C440798</t>
  </si>
  <si>
    <t>https://www.littelfuse.com/assetdocs/littelfuse-discrete-mosfets-ixtp3n120-datasheet?assetguid=62ac5571-cff4-4f49-9438-bfa628c5f974</t>
  </si>
  <si>
    <t>https://www.lcsc.com/datasheet/C42437012.pdf</t>
  </si>
  <si>
    <t xml:space="preserve">N-Channel MOSFET 1200V </t>
  </si>
  <si>
    <t>TO-247</t>
  </si>
  <si>
    <t>MOSFET_N_G1_D2_S3</t>
  </si>
  <si>
    <t>IXTA3N120-ND</t>
  </si>
  <si>
    <t>238-IXTP3N120-ND</t>
  </si>
  <si>
    <t>IXTH120-ND</t>
  </si>
  <si>
    <t>BSS123</t>
  </si>
  <si>
    <t>N-Kanal 100 V 170mA (Ta) 350mW (Ta) Oberflächenmontage SOT-23</t>
  </si>
  <si>
    <t>https://mm.digikey.com/Volume0/opasdata/d220001/medias/docus/4847/DS_4530_BSS123.pdf</t>
  </si>
  <si>
    <t>4530-BSS123CT-ND</t>
  </si>
  <si>
    <t>BSS123-7-F</t>
  </si>
  <si>
    <t>BSS123-FDICT-ND</t>
  </si>
  <si>
    <t>R+O</t>
  </si>
  <si>
    <t>C7420338</t>
  </si>
  <si>
    <t>https://www.ween-semi.com/datasheet/TYN30-600TF.pdf</t>
  </si>
  <si>
    <t>https://www.yageogroup.com/content/datasheet/asset/file/PYu-PE_521_RoHS_L</t>
  </si>
  <si>
    <t>UNI-ROYAL</t>
  </si>
  <si>
    <t>0805W8F2001T5E</t>
  </si>
  <si>
    <t>C17604</t>
  </si>
  <si>
    <t>C114532</t>
  </si>
  <si>
    <t>2U2/1206/100V/X7R</t>
  </si>
  <si>
    <t>CAP SM 1206 2.2uF 100V X7R</t>
  </si>
  <si>
    <t>CC1206KKX7R0BB225</t>
  </si>
  <si>
    <t>311-3450-1-ND</t>
  </si>
  <si>
    <t>C577211</t>
  </si>
  <si>
    <t>10UH/MDA1350</t>
  </si>
  <si>
    <t>10UH/MDA1360</t>
  </si>
  <si>
    <t>10UH/MDA1365</t>
  </si>
  <si>
    <t>10UH/PQ2012J</t>
  </si>
  <si>
    <t>Custom transformer for PS1-1</t>
  </si>
  <si>
    <t>Koherelec</t>
  </si>
  <si>
    <t>PQ2012J</t>
  </si>
  <si>
    <t>Fixed Ind 10uH 14A 4.8mOhm SMD</t>
  </si>
  <si>
    <t>https://www.lcsc.com/datasheet/C48391639.pdf</t>
  </si>
  <si>
    <t>KOHERelec</t>
  </si>
  <si>
    <t>MDA1350-100M</t>
  </si>
  <si>
    <t>C2847573</t>
  </si>
  <si>
    <t>MDA1360-100M</t>
  </si>
  <si>
    <t>C6916222</t>
  </si>
  <si>
    <t>MDA1365-100M</t>
  </si>
  <si>
    <t>C2847583</t>
  </si>
  <si>
    <t>XRPQ2012J-100M</t>
  </si>
  <si>
    <t>C48391639</t>
  </si>
  <si>
    <t>XRPQ2012J-150M</t>
  </si>
  <si>
    <t>XRPQ2012J-220M</t>
  </si>
  <si>
    <t>C48391641</t>
  </si>
  <si>
    <t>C48391640</t>
  </si>
  <si>
    <t>https://www.lcsc.com/datasheet/C48391640.pdf</t>
  </si>
  <si>
    <t>https://www.lcsc.com/datasheet/C48391641.pdf</t>
  </si>
  <si>
    <t>15UH/PQ2012J</t>
  </si>
  <si>
    <t>22UH/PQ2012J</t>
  </si>
  <si>
    <t>Fixed Ind 15uH 13A 4.8mOhm SMD</t>
  </si>
  <si>
    <t>Fixed Ind 22uH 10A 6.8mOhm SMD</t>
  </si>
  <si>
    <t>15UH/MDA1365</t>
  </si>
  <si>
    <t>MDA1365-150M</t>
  </si>
  <si>
    <t>C2847584</t>
  </si>
  <si>
    <t>http://www.kohergroup.com/template/default/pdf/MDA1350.pdf</t>
  </si>
  <si>
    <t>47UH/MDA1350</t>
  </si>
  <si>
    <t>33UH/MDA1350</t>
  </si>
  <si>
    <t>15UH/MDA1350</t>
  </si>
  <si>
    <t>22UH/MDA1350</t>
  </si>
  <si>
    <t>6UH8/MDA1350</t>
  </si>
  <si>
    <t>4UH7/MDA1350</t>
  </si>
  <si>
    <t>3UH3/MDA1350</t>
  </si>
  <si>
    <t>1UH/MDA1350</t>
  </si>
  <si>
    <t>1UH5/MDA1350</t>
  </si>
  <si>
    <t>2UH2/MDA1350</t>
  </si>
  <si>
    <t>Fixed Ind 3.3uH 14A 7.0mOhm SMD MDA1350</t>
  </si>
  <si>
    <t>Fixed Ind 1uH 27A 1.9mOhm SMD MDA1350</t>
  </si>
  <si>
    <t>Fixed Ind 1.5uH 22A 3.8mOhm SMD MDA1350</t>
  </si>
  <si>
    <t>Fixed Ind 2.2uH 15.5A 4.8mOhm SMD MDA1350</t>
  </si>
  <si>
    <t>Fixed Ind 4.7uH 12.5A 10.2mOhm SMD MDA1350</t>
  </si>
  <si>
    <t>Fixed Ind 6.8uH 11A 16mOhm SMD MDA1350</t>
  </si>
  <si>
    <t>Fixed Ind 15uH 8.2A 36mOhm SMD MDA1350</t>
  </si>
  <si>
    <t>Fixed Ind 10uH 9A 22mOhm SMD MDA1350</t>
  </si>
  <si>
    <t>Fixed Ind 22uH 7A 52mOhm SMD MDA1350</t>
  </si>
  <si>
    <t>Fixed Ind 33uH 5.2A 80mOhm SMD MDA1350</t>
  </si>
  <si>
    <t>Fixed Ind 47uH 4.3A 94mOhm SMD MDA1350</t>
  </si>
  <si>
    <t>MDA1350-1R0M</t>
  </si>
  <si>
    <t>MDA1350-1R5M</t>
  </si>
  <si>
    <t>C5359712</t>
  </si>
  <si>
    <t>MDA1350-2R2M</t>
  </si>
  <si>
    <t>C2847569</t>
  </si>
  <si>
    <t>C2847568</t>
  </si>
  <si>
    <t>MDA1350-3R3M</t>
  </si>
  <si>
    <t>C2847570</t>
  </si>
  <si>
    <t>MDA1350-4R7M</t>
  </si>
  <si>
    <t>C2847571</t>
  </si>
  <si>
    <t>MDA1350-6R8M</t>
  </si>
  <si>
    <t>C2847572</t>
  </si>
  <si>
    <t>MDA1350-150M</t>
  </si>
  <si>
    <t>C2847574</t>
  </si>
  <si>
    <t>MDA1350-220M</t>
  </si>
  <si>
    <t>C2847575</t>
  </si>
  <si>
    <t>MDA1350-330M</t>
  </si>
  <si>
    <t>C2847576</t>
  </si>
  <si>
    <t>MDA1350-470M</t>
  </si>
  <si>
    <t>C3020208</t>
  </si>
  <si>
    <t>http://www.kohergroup.com/template/default/pdf/MDA1360.pdf</t>
  </si>
  <si>
    <t>Fixed Ind 1.5uH 24A 3.0mOhm SMD MDA1360</t>
  </si>
  <si>
    <t>Fixed Ind 10uH 10.5A 15.5mOhm SMD MDA1360</t>
  </si>
  <si>
    <t>Fixed Ind 15uH 8.5A 29mOhm SMD MDA1360</t>
  </si>
  <si>
    <t>Fixed Ind 47uH 4.5A 88mOhm SMD MDA1360</t>
  </si>
  <si>
    <t>1UH5/MDA1360</t>
  </si>
  <si>
    <t>15UH/MDA1360</t>
  </si>
  <si>
    <t>47UH/MDA1360</t>
  </si>
  <si>
    <t>MDA1360-1R5M</t>
  </si>
  <si>
    <t>C42408075</t>
  </si>
  <si>
    <t>MDA1360-150M</t>
  </si>
  <si>
    <t>C6916223</t>
  </si>
  <si>
    <t>MDA1360-470M</t>
  </si>
  <si>
    <t>C50275324</t>
  </si>
  <si>
    <t>470NH/MDA1365</t>
  </si>
  <si>
    <t>1UH/MDA1365</t>
  </si>
  <si>
    <t>1UH5/MDA1365</t>
  </si>
  <si>
    <t>2UH2/MDA1365</t>
  </si>
  <si>
    <t>3UH3/MDA1365</t>
  </si>
  <si>
    <t>4UH7/MDA1365</t>
  </si>
  <si>
    <t>6UH8/MDA1365</t>
  </si>
  <si>
    <t>22UH/MDA1365</t>
  </si>
  <si>
    <t>33UH/MDA1365</t>
  </si>
  <si>
    <t>47UH/MDA1365</t>
  </si>
  <si>
    <t>Fixed Ind 1uH 29A 1.8mOhm SMD MDA1365</t>
  </si>
  <si>
    <t>Fixed Ind 1.5uH 25A 2.6mOhm SMD MDA1365</t>
  </si>
  <si>
    <t>Fixed Ind 2.2uH 21A 4.2mOhm SMD MDA1365</t>
  </si>
  <si>
    <t>Fixed Ind 3.3uH 19A 6.2mOhm SMD MDA1365</t>
  </si>
  <si>
    <t>Fixed Ind 4.7uH 17A 8mOhm SMD MDA1365</t>
  </si>
  <si>
    <t>Fixed Ind 6.8uH 14A 11.3mOhm SMD MDA1365</t>
  </si>
  <si>
    <t>Fixed Ind 22uH 8A 35mOhm SMD MDA1365</t>
  </si>
  <si>
    <t>Fixed Ind 33uH 6.5A 55mOhm SMD MDA1365</t>
  </si>
  <si>
    <t>Fixed Ind 47uH 5.7A 67mOhm SMD MDA1365</t>
  </si>
  <si>
    <t>Fixed Ind 10uH 11A 15.8mOhm SMD MDA1365</t>
  </si>
  <si>
    <t>Fixed Ind 15uH 9.5A 26mOhm SMD MDA1365</t>
  </si>
  <si>
    <t>http://www.kohergroup.com/template/default/pdf/MDA1365.pdf</t>
  </si>
  <si>
    <t>Fixed Ind 470nH 35A 1.02mOhm SMD MDA1365</t>
  </si>
  <si>
    <t>MDA1365-R47M</t>
  </si>
  <si>
    <t>C5359713</t>
  </si>
  <si>
    <t>MDA1365-1R0M</t>
  </si>
  <si>
    <t>C2847577</t>
  </si>
  <si>
    <t>MDA1365-1R5M</t>
  </si>
  <si>
    <t>C2847578</t>
  </si>
  <si>
    <t>MDA1365-2R2M</t>
  </si>
  <si>
    <t>C2847579</t>
  </si>
  <si>
    <t>MDA1365-3R3M</t>
  </si>
  <si>
    <t>C2847580</t>
  </si>
  <si>
    <t>MDA1365-4R7M</t>
  </si>
  <si>
    <t>C2847581</t>
  </si>
  <si>
    <t>MDA1365-6R8M</t>
  </si>
  <si>
    <t>C2847582</t>
  </si>
  <si>
    <t>MDA1365-220M</t>
  </si>
  <si>
    <t>C2847585</t>
  </si>
  <si>
    <t>MDA1365-330M</t>
  </si>
  <si>
    <t>C2847586</t>
  </si>
  <si>
    <t>MDA1365-470M</t>
  </si>
  <si>
    <t>C2847587</t>
  </si>
  <si>
    <t>3UH3/PQ2012J</t>
  </si>
  <si>
    <t>4UH7/PQ2012J</t>
  </si>
  <si>
    <t>6UH8/PQ2012J</t>
  </si>
  <si>
    <t>8UH2/PQ2012J</t>
  </si>
  <si>
    <t>33UH/PQ2012J</t>
  </si>
  <si>
    <t>Fixed Ind 3.3uH 28A 2.2mOhm SMD</t>
  </si>
  <si>
    <t>Fixed Ind 4.7uH 23A 2.2mOhm SMD</t>
  </si>
  <si>
    <t>Fixed Ind 6.8uH 18A 2.2mOhm SMD</t>
  </si>
  <si>
    <t>Fixed Ind 8.2uH 16A 2.2mOhm SMD</t>
  </si>
  <si>
    <t>Fixed Ind 33uH 17A 6.8mOhm SMD</t>
  </si>
  <si>
    <t>https://www.lcsc.com/datasheet/C41368794.pdf</t>
  </si>
  <si>
    <t>https://www.lcsc.com/datasheet/C48391637.pdf</t>
  </si>
  <si>
    <t>https://www.lcsc.com/datasheet/C48391638.pdf</t>
  </si>
  <si>
    <t>https://www.lcsc.com/datasheet/C41368795.pdf</t>
  </si>
  <si>
    <t>https://www.lcsc.com/datasheet/C48391642.pdf</t>
  </si>
  <si>
    <t>XRPQ2012J-3R3M</t>
  </si>
  <si>
    <t>C41368794</t>
  </si>
  <si>
    <t>XRPQ2012J-4R7M</t>
  </si>
  <si>
    <t>C48391637</t>
  </si>
  <si>
    <t>XRPQ2012J-6R8M</t>
  </si>
  <si>
    <t>C48391638</t>
  </si>
  <si>
    <t>XRPQ2012J-8R2M</t>
  </si>
  <si>
    <t>C41368795</t>
  </si>
  <si>
    <t>XRPQ2012J-330M</t>
  </si>
  <si>
    <t>C48391642</t>
  </si>
  <si>
    <t>INDM140X128X50</t>
  </si>
  <si>
    <t>INDM140X128X60</t>
  </si>
  <si>
    <t>INDM140X128X65</t>
  </si>
  <si>
    <t>IND_PQ2015J</t>
  </si>
  <si>
    <t>L_MOUNT</t>
  </si>
  <si>
    <t>D11N20</t>
  </si>
  <si>
    <t>N-Channel MOSFET 200V 11A</t>
  </si>
  <si>
    <t>Jingdao Microelectronics</t>
  </si>
  <si>
    <t>https://www.lcsc.com/datasheet/C2935478.pdf</t>
  </si>
  <si>
    <t>C2935478</t>
  </si>
  <si>
    <t>MMBT3904</t>
  </si>
  <si>
    <t>MMBT3904 40V, 0.2A NPN BJT transistor</t>
  </si>
  <si>
    <t>JSCJ</t>
  </si>
  <si>
    <t>MMBT3904(RANGE:100-300)</t>
  </si>
  <si>
    <t>C20526</t>
  </si>
  <si>
    <t>https://onsemi.com/pdf/datasheet/mmbt3904lt1-d.pdf</t>
  </si>
  <si>
    <t>MMBT3904LT1G</t>
  </si>
  <si>
    <t>MMBT3904LT1GOSCT-ND</t>
  </si>
  <si>
    <t>MCC (Micro Commercial Components)</t>
  </si>
  <si>
    <t>MMBT3904-TP</t>
  </si>
  <si>
    <t>MMBT3904TPMSCT-ND</t>
  </si>
  <si>
    <t>BJT_NPN_B1_C3_E2</t>
  </si>
  <si>
    <t>../altium_lib_private/PCB/Keystone.PcbLib</t>
  </si>
  <si>
    <t>PCB/Fuse.PcbLib</t>
  </si>
  <si>
    <t>Footprint Path 2</t>
  </si>
  <si>
    <t>Footprint Ref 2</t>
  </si>
  <si>
    <t>Fuse_5AG_0mm</t>
  </si>
  <si>
    <t>https://www.ti.com/lit/ds/symlink/bq76200.pdf</t>
  </si>
  <si>
    <t>TPS60400</t>
  </si>
  <si>
    <t>TPS60401</t>
  </si>
  <si>
    <t>TPS60402</t>
  </si>
  <si>
    <t>TPS60403</t>
  </si>
  <si>
    <t>https://www.ti.com/lit/ds/symlink/tps60400.pdf</t>
  </si>
  <si>
    <t>TPS60400DBVR</t>
  </si>
  <si>
    <t>296-27004-1-ND</t>
  </si>
  <si>
    <t>TPS60400DBVT</t>
  </si>
  <si>
    <t>296-12013-1-ND</t>
  </si>
  <si>
    <t>TPS60401DBVR</t>
  </si>
  <si>
    <t>296-37679-1-ND</t>
  </si>
  <si>
    <t>TPS60401DBVT</t>
  </si>
  <si>
    <t>296-12014-1-ND</t>
  </si>
  <si>
    <t>TPS60402DBVR</t>
  </si>
  <si>
    <t>296-31988-1-ND</t>
  </si>
  <si>
    <t>TPS60402DBVT</t>
  </si>
  <si>
    <t>296-12015-1-ND</t>
  </si>
  <si>
    <t>TPS60403DBVR</t>
  </si>
  <si>
    <t>296-27005-1-ND</t>
  </si>
  <si>
    <t>TPS60403DBVT</t>
  </si>
  <si>
    <t>296-13418-1-ND</t>
  </si>
  <si>
    <t>C9839</t>
  </si>
  <si>
    <t>C29006</t>
  </si>
  <si>
    <t>C10106</t>
  </si>
  <si>
    <t>C11338</t>
  </si>
  <si>
    <t>TPS60400 Unregulated 60-mA Charge Pump Voltage Inverter</t>
  </si>
  <si>
    <t>TPS60401 Unregulated 60-mA Charge Pump Voltage Inverter</t>
  </si>
  <si>
    <t>TPS60402 Unregulated 60-mA Charge Pump Voltage Inverter</t>
  </si>
  <si>
    <t>TPS60403 Unregulated 60-mA Charge Pump Voltage Inverter</t>
  </si>
  <si>
    <t>TPS6040X</t>
  </si>
  <si>
    <t>Optocoupler</t>
  </si>
  <si>
    <t>OPTO_AN1_CA2_EM3_CO4</t>
  </si>
  <si>
    <t>PC817A SMD</t>
  </si>
  <si>
    <t>PC817B SMD</t>
  </si>
  <si>
    <t>PC817C SMD</t>
  </si>
  <si>
    <t>DPC817S-A-TR</t>
  </si>
  <si>
    <t>31-DPC817S-A-TRCT-ND</t>
  </si>
  <si>
    <t>DPC817S-B-TR</t>
  </si>
  <si>
    <t>31-DPC817S-B-TRCT-ND</t>
  </si>
  <si>
    <t>DPC817S-C-TR</t>
  </si>
  <si>
    <t>31-DPC817S-C-TRCT-ND</t>
  </si>
  <si>
    <t>PC817A SMD WIDE</t>
  </si>
  <si>
    <t>PC817B SMD WIDE</t>
  </si>
  <si>
    <t>PC817C SMD WIDE</t>
  </si>
  <si>
    <t>DPC817L-A-TR</t>
  </si>
  <si>
    <t>31-DPC817L-A-TRCT-ND</t>
  </si>
  <si>
    <t>DPC817L-B-TR</t>
  </si>
  <si>
    <t>31-DPC817L-B-TRCT-ND</t>
  </si>
  <si>
    <t>DPC817L-C-TR</t>
  </si>
  <si>
    <t>31-DPC817L-C-TRCT-ND</t>
  </si>
  <si>
    <t>UMW</t>
  </si>
  <si>
    <t>PC817B-S</t>
  </si>
  <si>
    <t>C20417171</t>
  </si>
  <si>
    <t>PC817C-S</t>
  </si>
  <si>
    <t>C3008369</t>
  </si>
  <si>
    <t>https://www.diodes.com/assets/Datasheets/DPC817-Series.pdf</t>
  </si>
  <si>
    <t>SOP-4</t>
  </si>
  <si>
    <t>SOP-4 Wide</t>
  </si>
  <si>
    <t>SOP254P1020X410-4</t>
  </si>
  <si>
    <t>SOP254P1180X410-4</t>
  </si>
  <si>
    <t>1:1.05/1.92MH/PPTI-1006</t>
  </si>
  <si>
    <t>WE</t>
  </si>
  <si>
    <t>https://www.we-online.com/components/products/datasheet/750317829.pdf</t>
  </si>
  <si>
    <t>1297-750317829CT-ND</t>
  </si>
  <si>
    <t>Wurth Elektronik</t>
  </si>
  <si>
    <t>710-750317829</t>
  </si>
  <si>
    <t>WE-PPTI Push-Pull Transformer, Turns ratio 1:1.05, 1.92mH, Size 1006, 750317829</t>
  </si>
  <si>
    <t>1:1.7/475UH/PPTI-1006</t>
  </si>
  <si>
    <t>https://www.we-online.com/components/products/datasheet/760390013.pdf</t>
  </si>
  <si>
    <t>732-4457-1-ND</t>
  </si>
  <si>
    <t>1:2/475UH/PPTI-1006</t>
  </si>
  <si>
    <t>https://www.we-online.com/components/products/datasheet/760390015.pdf</t>
  </si>
  <si>
    <t>732-4459-1-ND</t>
  </si>
  <si>
    <t>710-760390015</t>
  </si>
  <si>
    <t>1:1.1/388UH/PPTI-1006</t>
  </si>
  <si>
    <t>https://www.we-online.com/components/products/datasheet/750315225.pdf</t>
  </si>
  <si>
    <t>WE-PPTI Push-Pull Transformer, Turns ratio 1:1.7, 475uH, Size 1006, 760390013</t>
  </si>
  <si>
    <t>WE-PPTI Push-Pull Transformer, Turns ratio 1:2, 475uH, Size 1006, 760390015</t>
  </si>
  <si>
    <t>WE-PPTI Push-Pull Transformer, Turns ratio 1:1.1, 388uH, Size 1006, 750315225</t>
  </si>
  <si>
    <t>1297-1204-1-ND</t>
  </si>
  <si>
    <t>710-760390013</t>
  </si>
  <si>
    <t>710-750315225</t>
  </si>
  <si>
    <t>1:1.7/388UH/PPTI-1006</t>
  </si>
  <si>
    <t>WE-PPTI Push-Pull Transformer, Turns ratio 1:1.7, 388uH, Size 1006, 750315227</t>
  </si>
  <si>
    <t>https://www.we-online.com/components/products/datasheet/750315227.pdf</t>
  </si>
  <si>
    <t>1297-1206-1-ND</t>
  </si>
  <si>
    <t>710-750315227</t>
  </si>
  <si>
    <t>1:1.3/388UH/PPTI-1006</t>
  </si>
  <si>
    <t>WE-PPTI Push-Pull Transformer, Turns ratio 1:1.3, 388uH, Size 1006, 750315226</t>
  </si>
  <si>
    <t>https://www.we-online.com/components/products/datasheet/750315226.pdf</t>
  </si>
  <si>
    <t>1297-1205-1-ND</t>
  </si>
  <si>
    <t>710-750315226</t>
  </si>
  <si>
    <t>1:2/388uH/PPTI-1006</t>
  </si>
  <si>
    <t>WE-PPTI Push-Pull Transformer, Turns ratio 1:2, 388uH, Size 1006, 750315228</t>
  </si>
  <si>
    <t>https://www.we-online.com/components/products/datasheet/750315228.pdf</t>
  </si>
  <si>
    <t>1297-1207-1-ND</t>
  </si>
  <si>
    <t>710-750315228</t>
  </si>
  <si>
    <t>TR_WE_PPTI_1006-419</t>
  </si>
  <si>
    <t>TR_WE_PPTI_1006-467</t>
  </si>
  <si>
    <t>1:1.1/475UH/PPTI-1006</t>
  </si>
  <si>
    <t>WE-PPTI Push-Pull Transformer, Turns ratio 1:1.1, 475uH, Size 1006, 760390012</t>
  </si>
  <si>
    <t>https://www.we-online.com/components/products/datasheet/760390012.pdf</t>
  </si>
  <si>
    <t>732-4456-1-ND</t>
  </si>
  <si>
    <t>710-760390012</t>
  </si>
  <si>
    <t>WE-PPTI Push-Pull Transformer, Turns ratio 1:1.3, 475uH, Size 1006, 760390014</t>
  </si>
  <si>
    <t>https://www.we-online.com/components/products/datasheet/760390014.pdf</t>
  </si>
  <si>
    <t>732-4458-1-ND</t>
  </si>
  <si>
    <t>710-760390014</t>
  </si>
  <si>
    <t>1.23:1/475UH/PPTI-1006</t>
  </si>
  <si>
    <t>1:1.3/475UH/PPTI-1006</t>
  </si>
  <si>
    <t>WE-PPTI Push-Pull Transformer, Turns ratio 1.23:1, 475uH, Size 1006, 750313710</t>
  </si>
  <si>
    <t>https://www.we-online.com/components/products/datasheet/750313710.pdf</t>
  </si>
  <si>
    <t>1297-750313710CT-ND</t>
  </si>
  <si>
    <t>710-750313710</t>
  </si>
  <si>
    <t>1:3.45/350UH/PPTI-1006</t>
  </si>
  <si>
    <t>WE-PPTI Push-Pull Transformer, Turns ratio 1:3.45, 350uH, Size 1006, 750316769</t>
  </si>
  <si>
    <t>https://www.we-online.com/components/products/datasheet/750316769.pdf</t>
  </si>
  <si>
    <t>732-750316769CT-ND</t>
  </si>
  <si>
    <t>710-750316769</t>
  </si>
  <si>
    <t>1:2.91/350UH/PPTI-1006</t>
  </si>
  <si>
    <t>WE-PPTI Push-Pull Transformer, Turns ratio 1:2.91, 350uH, Size 1006, 750316770</t>
  </si>
  <si>
    <t>https://www.we-online.com/components/products/datasheet/750316770.pdf</t>
  </si>
  <si>
    <t>732-750316770CT-ND</t>
  </si>
  <si>
    <t>710-750316770</t>
  </si>
  <si>
    <t>1:3.91/320UH/PPTI-1006</t>
  </si>
  <si>
    <t>WE-PPTI Push-Pull Transformer, Turns ratio 1:3.91, 320uH, Size 1006, 750317722</t>
  </si>
  <si>
    <t>https://www.we-online.com/components/products/datasheet/750317722.pdf</t>
  </si>
  <si>
    <t>732-750317722CT-ND</t>
  </si>
  <si>
    <t>710-750317722</t>
  </si>
  <si>
    <t>2.2:1/1.92MH/PPTI-1006</t>
  </si>
  <si>
    <t>WE-PPTI Push-Pull Transformer, Turns ratio 2.2:1, 1.92mH, Size 1006, 750317830</t>
  </si>
  <si>
    <t>https://www.we-online.com/components/products/datasheet/750317830.pdf</t>
  </si>
  <si>
    <t>1297-750317830CT-ND</t>
  </si>
  <si>
    <t>710-750317830</t>
  </si>
  <si>
    <t>1.94:1/4MH/PPTI-1006</t>
  </si>
  <si>
    <t>WE-PPTI Push-Pull Transformer, Turns ratio 1.94:1, 4mH, Size 1006, 750317831</t>
  </si>
  <si>
    <t>https://www.we-online.com/components/products/datasheet/750317331.pdf</t>
  </si>
  <si>
    <t>1297-750317331CT-ND</t>
  </si>
  <si>
    <t>710-750317331</t>
  </si>
  <si>
    <t>4.43:1/4MH/PPTI-1006</t>
  </si>
  <si>
    <t>WE-PPTI Push-Pull Transformer, Turns ratio 4.4:3, 4mH, Size 1006, 750317828</t>
  </si>
  <si>
    <t>https://www.we-online.com/components/products/datasheet/750317828.pdf</t>
  </si>
  <si>
    <t>1297-750317828CT-ND</t>
  </si>
  <si>
    <t>710-750317828</t>
  </si>
  <si>
    <t>TR_P_1-2_2-3_S_5-4_6-5</t>
  </si>
  <si>
    <t>1:1.03/2MH/MXPP8</t>
  </si>
  <si>
    <t>MXPP8</t>
  </si>
  <si>
    <t>Wuxi Maxinmicro</t>
  </si>
  <si>
    <t>MXPP8 Push-Pull Transformer, Turns ratio 1:1.03, 2mH, Size MXPP8</t>
  </si>
  <si>
    <t>TR_P_1-2_3-4_S_6-5_8-7</t>
  </si>
  <si>
    <t>MXPP8-30-1250</t>
  </si>
  <si>
    <t>C19943837</t>
  </si>
  <si>
    <t>MXPP8-30-1103</t>
  </si>
  <si>
    <t>C19943836</t>
  </si>
  <si>
    <t>https://www.lcsc.com/datasheet/C19943836.pdf</t>
  </si>
  <si>
    <t>https://www.lcsc.com/datasheet/C19943837.pdf</t>
  </si>
  <si>
    <t>TR_MAXIN_MXPP8</t>
  </si>
  <si>
    <t>PPTI 1006</t>
  </si>
  <si>
    <t>NHD-2.4-240320AF-CSXP-1MM</t>
  </si>
  <si>
    <t>NHD-2.4-240320AF-CSXP-2MM</t>
  </si>
  <si>
    <t>NHD-2.4-240320AF-CSXP TFT Liquid Crystal Display, 2.4", 240x320, RGB, high brightness, 1mm above PCB</t>
  </si>
  <si>
    <t>NHD-2.4-240320AF-CSXP TFT Liquid Crystal Display, 2.4", 240x320, RGB, high brightness, 2mm above PCB</t>
  </si>
  <si>
    <t>10K/40MM/NTC/3380K</t>
  </si>
  <si>
    <t>RES NTC THT 40mm 10K 3380K</t>
  </si>
  <si>
    <t>https://eaton.com/content/dam/eaton/products/electronic-components/resources/data-sheet/eaton-nrse-epoxy-sealed-radial-lead-ntc-thermistor-data-sheet-elx1227.pdf</t>
  </si>
  <si>
    <t>NRSE104F3380B1F</t>
  </si>
  <si>
    <t>283-NRSE104F3380B1F-ND</t>
  </si>
  <si>
    <t>RESD200W25D200H4000</t>
  </si>
  <si>
    <t>Net-Tie</t>
  </si>
  <si>
    <t>NET-TIE_025x050-TOP</t>
  </si>
  <si>
    <t>NET-TIE_050X025</t>
  </si>
  <si>
    <t>NET-TIE_050X050</t>
  </si>
  <si>
    <t>NET-TIE_050X100</t>
  </si>
  <si>
    <t>NET-TIE_100X025</t>
  </si>
  <si>
    <t>NET-TIE_100X050</t>
  </si>
  <si>
    <t>NET-TIE_100X100</t>
  </si>
  <si>
    <t>NET-TIE_100X200</t>
  </si>
  <si>
    <t>NET-TIE_150X075</t>
  </si>
  <si>
    <t>NET-TIE_150X150</t>
  </si>
  <si>
    <t>NET-TIE_150X300</t>
  </si>
  <si>
    <t>NET-TIE_200X050</t>
  </si>
  <si>
    <t>NET-TIE_200X100</t>
  </si>
  <si>
    <t>NET-TIE_200X200</t>
  </si>
  <si>
    <t>NET-TIE_200X400</t>
  </si>
  <si>
    <t>NET-TIE_300X075</t>
  </si>
  <si>
    <t>NET-TIE_300X150</t>
  </si>
  <si>
    <t>NET-TIE_300X300</t>
  </si>
  <si>
    <t>NET-TIE_300X600</t>
  </si>
  <si>
    <t>NET-TIE_400X040</t>
  </si>
  <si>
    <t>NET-TIE_400X100</t>
  </si>
  <si>
    <t>NET-TIE_400X200</t>
  </si>
  <si>
    <t>NET-TIE_400X400</t>
  </si>
  <si>
    <t>NET-TIE_400X800</t>
  </si>
  <si>
    <t>NET-TIE_500X050</t>
  </si>
  <si>
    <t>NET-TIE_500X125</t>
  </si>
  <si>
    <t>NET-TIE_500X250</t>
  </si>
  <si>
    <t>NET-TIE_500X500</t>
  </si>
  <si>
    <t>NET-TIE_500X1000</t>
  </si>
  <si>
    <t>NET-TIE_025X025</t>
  </si>
  <si>
    <t>NET-TIE_025X050</t>
  </si>
  <si>
    <t>Net-Tie 0.25mmx0.50mm Top Layer</t>
  </si>
  <si>
    <t>Net-Tie 0.25mmx0.25mm Top Layer</t>
  </si>
  <si>
    <t>Net-Tie 0.50mmx0.25mm Top Layer</t>
  </si>
  <si>
    <t>Net-Tie 0.50mmx0.50mm Top Layer</t>
  </si>
  <si>
    <t>Net-Tie 1.50mmx1.50mm Top Layer</t>
  </si>
  <si>
    <t>Net-Tie 0.50mmx1.00mm Top Layer</t>
  </si>
  <si>
    <t>Net-Tie 1.00mmx0.25mm Top Layer</t>
  </si>
  <si>
    <t>Net-Tie 1.00mmx0.50mm Top Layer</t>
  </si>
  <si>
    <t>Net-Tie 1.00mmx1.00mm Top Layer</t>
  </si>
  <si>
    <t>Net-Tie 1.00mmx2.00mm Top Layer</t>
  </si>
  <si>
    <t>Net-Tie 1.50mmx0.75mm Top Layer</t>
  </si>
  <si>
    <t>Net-Tie 1.50mmx3.00mm Top Layer</t>
  </si>
  <si>
    <t>Net-Tie 2.00mmx0.50mm Top Layer</t>
  </si>
  <si>
    <t>Net-Tie 2.00mmx1.00mm Top Layer</t>
  </si>
  <si>
    <t>Net-Tie 2.00mmx2.00mm Top Layer</t>
  </si>
  <si>
    <t>Net-Tie 2.00mmx4.00mm Top Layer</t>
  </si>
  <si>
    <t>Net-Tie 3.00mmx0.75mm Top Layer</t>
  </si>
  <si>
    <t>Net-Tie 3.00mmx1.50mm Top Layer</t>
  </si>
  <si>
    <t>Net-Tie 3.00mmx3.00mm Top Layer</t>
  </si>
  <si>
    <t>Net-Tie 3.00mmx6.00mm Top Layer</t>
  </si>
  <si>
    <t>Net-Tie 4.00mmx0.40mm Top Layer</t>
  </si>
  <si>
    <t>Net-Tie 4.00mmx1.00mm Top Layer</t>
  </si>
  <si>
    <t>Net-Tie 4.00mmx2.00mm Top Layer</t>
  </si>
  <si>
    <t>Net-Tie 4.00mmx4.00mm Top Layer</t>
  </si>
  <si>
    <t>Net-Tie 4.00mmx8.00mm Top Layer</t>
  </si>
  <si>
    <t>Net-Tie 5.00mmx0.50mm Top Layer</t>
  </si>
  <si>
    <t>Net-Tie 5.00mmx1.25mm Top Layer</t>
  </si>
  <si>
    <t>Net-Tie 5.00mmx2.50mm Top Layer</t>
  </si>
  <si>
    <t>Net-Tie 5.00mmx5.00mm Top Layer</t>
  </si>
  <si>
    <t>Net-Tie 5.00mmx10.00mm Top Layer</t>
  </si>
  <si>
    <t>NET-TIE_025x025-I9</t>
  </si>
  <si>
    <t>NET-TIE_025x050-I9</t>
  </si>
  <si>
    <t>NET-TIE_050x025-I9</t>
  </si>
  <si>
    <t>NET-TIE_050x050-I9</t>
  </si>
  <si>
    <t>NET-TIE_050x100-I9</t>
  </si>
  <si>
    <t>NET-TIE_100x025-I9</t>
  </si>
  <si>
    <t>NET-TIE_100x050-I9</t>
  </si>
  <si>
    <t>NET-TIE_100x100-I9</t>
  </si>
  <si>
    <t>NET-TIE_100x200-I9</t>
  </si>
  <si>
    <t>NET-TIE_150x075-I9</t>
  </si>
  <si>
    <t>NET-TIE_150x150-I9</t>
  </si>
  <si>
    <t>NET-TIE_150x300-I9</t>
  </si>
  <si>
    <t>NET-TIE_200x050-I9</t>
  </si>
  <si>
    <t>NET-TIE_200x100-I9</t>
  </si>
  <si>
    <t>NET-TIE_200x200-I9</t>
  </si>
  <si>
    <t>NET-TIE_200x400-I9</t>
  </si>
  <si>
    <t>NET-TIE_300x075-I9</t>
  </si>
  <si>
    <t>NET-TIE_300x150-I9</t>
  </si>
  <si>
    <t>NET-TIE_300x300-I9</t>
  </si>
  <si>
    <t>NET-TIE_300x600-I9</t>
  </si>
  <si>
    <t>NET-TIE_400x040-I9</t>
  </si>
  <si>
    <t>NET-TIE_400x100-I9</t>
  </si>
  <si>
    <t>NET-TIE_400x200-I9</t>
  </si>
  <si>
    <t>NET-TIE_400x400-I9</t>
  </si>
  <si>
    <t>NET-TIE_400x800-I9</t>
  </si>
  <si>
    <t>NET-TIE_500x050-I9</t>
  </si>
  <si>
    <t>NET-TIE_500x125-I9</t>
  </si>
  <si>
    <t>NET-TIE_500x250-I9</t>
  </si>
  <si>
    <t>NET-TIE_500x500-I9</t>
  </si>
  <si>
    <t>NET-TIE_500x1000-I9</t>
  </si>
  <si>
    <t>PCB/Net-Tie-Top.PcbLib</t>
  </si>
  <si>
    <t>NET-TIE_025x025-TOP</t>
  </si>
  <si>
    <t>NET-TIE_050x025-TOP</t>
  </si>
  <si>
    <t>NET-TIE_050x050-TOP</t>
  </si>
  <si>
    <t>NET-TIE_050x100-TOP</t>
  </si>
  <si>
    <t>NET-TIE_100x025-TOP</t>
  </si>
  <si>
    <t>NET-TIE_100x050-TOP</t>
  </si>
  <si>
    <t>NET-TIE_100x100-TOP</t>
  </si>
  <si>
    <t>NET-TIE_100x200-TOP</t>
  </si>
  <si>
    <t>NET-TIE_150x075-TOP</t>
  </si>
  <si>
    <t>NET-TIE_150x150-TOP</t>
  </si>
  <si>
    <t>NET-TIE_150x300-TOP</t>
  </si>
  <si>
    <t>NET-TIE_200x050-TOP</t>
  </si>
  <si>
    <t>NET-TIE_200x100-TOP</t>
  </si>
  <si>
    <t>NET-TIE_200x200-TOP</t>
  </si>
  <si>
    <t>NET-TIE_200x400-TOP</t>
  </si>
  <si>
    <t>NET-TIE_300x075-TOP</t>
  </si>
  <si>
    <t>NET-TIE_300x150-TOP</t>
  </si>
  <si>
    <t>NET-TIE_300x300-TOP</t>
  </si>
  <si>
    <t>NET-TIE_300x600-TOP</t>
  </si>
  <si>
    <t>NET-TIE_400x040-TOP</t>
  </si>
  <si>
    <t>NET-TIE_400x100-TOP</t>
  </si>
  <si>
    <t>NET-TIE_400x200-TOP</t>
  </si>
  <si>
    <t>NET-TIE_400x400-TOP</t>
  </si>
  <si>
    <t>NET-TIE_400x800-TOP</t>
  </si>
  <si>
    <t>NET-TIE_500x050-TOP</t>
  </si>
  <si>
    <t>NET-TIE_500x125-TOP</t>
  </si>
  <si>
    <t>NET-TIE_500x250-TOP</t>
  </si>
  <si>
    <t>NET-TIE_500x500-TOP</t>
  </si>
  <si>
    <t>NET-TIE_500x1000-TOP</t>
  </si>
  <si>
    <t>Net-Tie 0.25mmx0.25mm Inner Layer 9</t>
  </si>
  <si>
    <t>Net-Tie 0.25mmx0.50mm Inner Layer 9</t>
  </si>
  <si>
    <t>Net-Tie 0.50mmx0.25mm Inner Layer 9</t>
  </si>
  <si>
    <t>Net-Tie 0.50mmx0.50mm Inner Layer 9</t>
  </si>
  <si>
    <t>Net-Tie 0.50mmx1.00mm Inner Layer 9</t>
  </si>
  <si>
    <t>Net-Tie 1.00mmx0.25mm Inner Layer 9</t>
  </si>
  <si>
    <t>Net-Tie 1.00mmx0.50mm Inner Layer 9</t>
  </si>
  <si>
    <t>Net-Tie 1.00mmx1.00mm Inner Layer 9</t>
  </si>
  <si>
    <t>Net-Tie 1.00mmx2.00mm Inner Layer 9</t>
  </si>
  <si>
    <t>Net-Tie 1.50mmx0.75mm Inner Layer 9</t>
  </si>
  <si>
    <t>Net-Tie 1.50mmx1.50mm Inner Layer 9</t>
  </si>
  <si>
    <t>Net-Tie 1.50mmx3.00mm Inner Layer 9</t>
  </si>
  <si>
    <t>Net-Tie 2.00mmx0.50mm Inner Layer 9</t>
  </si>
  <si>
    <t>Net-Tie 2.00mmx1.00mm Inner Layer 9</t>
  </si>
  <si>
    <t>Net-Tie 2.00mmx2.00mm Inner Layer 9</t>
  </si>
  <si>
    <t>Net-Tie 2.00mmx4.00mm Inner Layer 9</t>
  </si>
  <si>
    <t>Net-Tie 3.00mmx0.75mm Inner Layer 9</t>
  </si>
  <si>
    <t>Net-Tie 3.00mmx1.50mm Inner Layer 9</t>
  </si>
  <si>
    <t>Net-Tie 3.00mmx3.00mm Inner Layer 9</t>
  </si>
  <si>
    <t>Net-Tie 3.00mmx6.00mm Inner Layer 9</t>
  </si>
  <si>
    <t>Net-Tie 4.00mmx0.40mm Inner Layer 9</t>
  </si>
  <si>
    <t>Net-Tie 4.00mmx1.00mm Inner Layer 9</t>
  </si>
  <si>
    <t>Net-Tie 4.00mmx2.00mm Inner Layer 9</t>
  </si>
  <si>
    <t>Net-Tie 4.00mmx4.00mm Inner Layer 9</t>
  </si>
  <si>
    <t>Net-Tie 4.00mmx8.00mm Inner Layer 9</t>
  </si>
  <si>
    <t>Net-Tie 5.00mmx0.50mm Inner Layer 9</t>
  </si>
  <si>
    <t>Net-Tie 5.00mmx1.25mm Inner Layer 9</t>
  </si>
  <si>
    <t>Net-Tie 5.00mmx2.50mm Inner Layer 9</t>
  </si>
  <si>
    <t>Net-Tie 5.00mmx5.00mm Inner Layer 9</t>
  </si>
  <si>
    <t>Net-Tie 5.00mmx10.00mm Inner Layer 9</t>
  </si>
  <si>
    <t>PCB/Net-Tie-I9.PcbLib</t>
  </si>
  <si>
    <t>NET-TIE_025x025-BOT</t>
  </si>
  <si>
    <t>NET-TIE_025x050-BOT</t>
  </si>
  <si>
    <t>NET-TIE_050x025-BOT</t>
  </si>
  <si>
    <t>NET-TIE_050x050-BOT</t>
  </si>
  <si>
    <t>NET-TIE_050x100-BOT</t>
  </si>
  <si>
    <t>NET-TIE_100x025-BOT</t>
  </si>
  <si>
    <t>NET-TIE_100x050-BOT</t>
  </si>
  <si>
    <t>NET-TIE_100x100-BOT</t>
  </si>
  <si>
    <t>NET-TIE_100x200-BOT</t>
  </si>
  <si>
    <t>NET-TIE_150x075-BOT</t>
  </si>
  <si>
    <t>NET-TIE_150x150-BOT</t>
  </si>
  <si>
    <t>NET-TIE_150x300-BOT</t>
  </si>
  <si>
    <t>NET-TIE_200x050-BOT</t>
  </si>
  <si>
    <t>NET-TIE_200x100-BOT</t>
  </si>
  <si>
    <t>NET-TIE_200x200-BOT</t>
  </si>
  <si>
    <t>NET-TIE_200x400-BOT</t>
  </si>
  <si>
    <t>NET-TIE_300x075-BOT</t>
  </si>
  <si>
    <t>NET-TIE_300x150-BOT</t>
  </si>
  <si>
    <t>NET-TIE_300x300-BOT</t>
  </si>
  <si>
    <t>NET-TIE_300x600-BOT</t>
  </si>
  <si>
    <t>NET-TIE_400x040-BOT</t>
  </si>
  <si>
    <t>NET-TIE_400x100-BOT</t>
  </si>
  <si>
    <t>NET-TIE_400x200-BOT</t>
  </si>
  <si>
    <t>NET-TIE_400x400-BOT</t>
  </si>
  <si>
    <t>NET-TIE_400x800-BOT</t>
  </si>
  <si>
    <t>NET-TIE_500x050-BOT</t>
  </si>
  <si>
    <t>NET-TIE_500x125-BOT</t>
  </si>
  <si>
    <t>NET-TIE_500x250-BOT</t>
  </si>
  <si>
    <t>NET-TIE_500x500-BOT</t>
  </si>
  <si>
    <t>NET-TIE_500x1000-BOT</t>
  </si>
  <si>
    <t>Net-Tie 0.25mmx0.25mm Bottom Layer</t>
  </si>
  <si>
    <t>Net-Tie 0.25mmx0.50mm Bottom Layer</t>
  </si>
  <si>
    <t>Net-Tie 0.50mmx0.25mm Bottom Layer</t>
  </si>
  <si>
    <t>Net-Tie 0.50mmx0.50mm Bottom Layer</t>
  </si>
  <si>
    <t>Net-Tie 0.50mmx1.00mm Bottom Layer</t>
  </si>
  <si>
    <t>Net-Tie 1.00mmx0.25mm Bottom Layer</t>
  </si>
  <si>
    <t>Net-Tie 1.00mmx0.50mm Bottom Layer</t>
  </si>
  <si>
    <t>Net-Tie 1.00mmx1.00mm Bottom Layer</t>
  </si>
  <si>
    <t>Net-Tie 1.00mmx2.00mm Bottom Layer</t>
  </si>
  <si>
    <t>Net-Tie 1.50mmx0.75mm Bottom Layer</t>
  </si>
  <si>
    <t>Net-Tie 1.50mmx1.50mm Bottom Layer</t>
  </si>
  <si>
    <t>Net-Tie 1.50mmx3.00mm Bottom Layer</t>
  </si>
  <si>
    <t>Net-Tie 2.00mmx0.50mm Bottom Layer</t>
  </si>
  <si>
    <t>Net-Tie 2.00mmx1.00mm Bottom Layer</t>
  </si>
  <si>
    <t>Net-Tie 2.00mmx2.00mm Bottom Layer</t>
  </si>
  <si>
    <t>Net-Tie 2.00mmx4.00mm Bottom Layer</t>
  </si>
  <si>
    <t>Net-Tie 3.00mmx0.75mm Bottom Layer</t>
  </si>
  <si>
    <t>Net-Tie 3.00mmx1.50mm Bottom Layer</t>
  </si>
  <si>
    <t>Net-Tie 3.00mmx3.00mm Bottom Layer</t>
  </si>
  <si>
    <t>Net-Tie 3.00mmx6.00mm Bottom Layer</t>
  </si>
  <si>
    <t>Net-Tie 4.00mmx0.40mm Bottom Layer</t>
  </si>
  <si>
    <t>Net-Tie 4.00mmx1.00mm Bottom Layer</t>
  </si>
  <si>
    <t>Net-Tie 4.00mmx2.00mm Bottom Layer</t>
  </si>
  <si>
    <t>Net-Tie 4.00mmx4.00mm Bottom Layer</t>
  </si>
  <si>
    <t>Net-Tie 4.00mmx8.00mm Bottom Layer</t>
  </si>
  <si>
    <t>Net-Tie 5.00mmx0.50mm Bottom Layer</t>
  </si>
  <si>
    <t>Net-Tie 5.00mmx1.25mm Bottom Layer</t>
  </si>
  <si>
    <t>Net-Tie 5.00mmx2.50mm Bottom Layer</t>
  </si>
  <si>
    <t>Net-Tie 5.00mmx5.00mm Bottom Layer</t>
  </si>
  <si>
    <t>Net-Tie 5.00mmx10.00mm Bottom Layer</t>
  </si>
  <si>
    <t>PCB/Net-Tie-Bottom.PcbLib</t>
  </si>
  <si>
    <t>NET-TIE_025x025-I10</t>
  </si>
  <si>
    <t>Net-Tie 0.25mmx0.25mm Inner Layer 10</t>
  </si>
  <si>
    <t>PCB/Net-Tie-I10.PcbLib</t>
  </si>
  <si>
    <t>NET-TIE_025x050-I10</t>
  </si>
  <si>
    <t>Net-Tie 0.25mmx0.50mm Inner Layer 10</t>
  </si>
  <si>
    <t>NET-TIE_050x025-I10</t>
  </si>
  <si>
    <t>Net-Tie 0.50mmx0.25mm Inner Layer 10</t>
  </si>
  <si>
    <t>NET-TIE_050x050-I10</t>
  </si>
  <si>
    <t>Net-Tie 0.50mmx0.50mm Inner Layer 10</t>
  </si>
  <si>
    <t>NET-TIE_050x100-I10</t>
  </si>
  <si>
    <t>Net-Tie 0.50mmx1.00mm Inner Layer 10</t>
  </si>
  <si>
    <t>NET-TIE_100x025-I10</t>
  </si>
  <si>
    <t>Net-Tie 1.00mmx0.25mm Inner Layer 10</t>
  </si>
  <si>
    <t>NET-TIE_100x050-I10</t>
  </si>
  <si>
    <t>Net-Tie 1.00mmx0.50mm Inner Layer 10</t>
  </si>
  <si>
    <t>NET-TIE_100x100-I10</t>
  </si>
  <si>
    <t>Net-Tie 1.00mmx1.00mm Inner Layer 10</t>
  </si>
  <si>
    <t>NET-TIE_100x200-I10</t>
  </si>
  <si>
    <t>Net-Tie 1.00mmx2.00mm Inner Layer 10</t>
  </si>
  <si>
    <t>NET-TIE_150x075-I10</t>
  </si>
  <si>
    <t>Net-Tie 1.50mmx0.75mm Inner Layer 10</t>
  </si>
  <si>
    <t>NET-TIE_150x150-I10</t>
  </si>
  <si>
    <t>Net-Tie 1.50mmx1.50mm Inner Layer 10</t>
  </si>
  <si>
    <t>NET-TIE_150x300-I10</t>
  </si>
  <si>
    <t>Net-Tie 1.50mmx3.00mm Inner Layer 10</t>
  </si>
  <si>
    <t>NET-TIE_200x050-I10</t>
  </si>
  <si>
    <t>Net-Tie 2.00mmx0.50mm Inner Layer 10</t>
  </si>
  <si>
    <t>NET-TIE_200x100-I10</t>
  </si>
  <si>
    <t>Net-Tie 2.00mmx1.00mm Inner Layer 10</t>
  </si>
  <si>
    <t>NET-TIE_200x200-I10</t>
  </si>
  <si>
    <t>Net-Tie 2.00mmx2.00mm Inner Layer 10</t>
  </si>
  <si>
    <t>NET-TIE_200x400-I10</t>
  </si>
  <si>
    <t>Net-Tie 2.00mmx4.00mm Inner Layer 10</t>
  </si>
  <si>
    <t>NET-TIE_300x075-I10</t>
  </si>
  <si>
    <t>Net-Tie 3.00mmx0.75mm Inner Layer 10</t>
  </si>
  <si>
    <t>NET-TIE_300x150-I10</t>
  </si>
  <si>
    <t>Net-Tie 3.00mmx1.50mm Inner Layer 10</t>
  </si>
  <si>
    <t>NET-TIE_300x300-I10</t>
  </si>
  <si>
    <t>Net-Tie 3.00mmx3.00mm Inner Layer 10</t>
  </si>
  <si>
    <t>NET-TIE_300x600-I10</t>
  </si>
  <si>
    <t>Net-Tie 3.00mmx6.00mm Inner Layer 10</t>
  </si>
  <si>
    <t>NET-TIE_400x040-I10</t>
  </si>
  <si>
    <t>Net-Tie 4.00mmx0.40mm Inner Layer 10</t>
  </si>
  <si>
    <t>NET-TIE_400x100-I10</t>
  </si>
  <si>
    <t>Net-Tie 4.00mmx1.00mm Inner Layer 10</t>
  </si>
  <si>
    <t>NET-TIE_400x200-I10</t>
  </si>
  <si>
    <t>Net-Tie 4.00mmx2.00mm Inner Layer 10</t>
  </si>
  <si>
    <t>NET-TIE_400x400-I10</t>
  </si>
  <si>
    <t>Net-Tie 4.00mmx4.00mm Inner Layer 10</t>
  </si>
  <si>
    <t>NET-TIE_400x800-I10</t>
  </si>
  <si>
    <t>Net-Tie 4.00mmx8.00mm Inner Layer 10</t>
  </si>
  <si>
    <t>NET-TIE_500x050-I10</t>
  </si>
  <si>
    <t>Net-Tie 5.00mmx0.50mm Inner Layer 10</t>
  </si>
  <si>
    <t>NET-TIE_500x125-I10</t>
  </si>
  <si>
    <t>Net-Tie 5.00mmx1.25mm Inner Layer 10</t>
  </si>
  <si>
    <t>NET-TIE_500x250-I10</t>
  </si>
  <si>
    <t>Net-Tie 5.00mmx2.50mm Inner Layer 10</t>
  </si>
  <si>
    <t>NET-TIE_500x500-I10</t>
  </si>
  <si>
    <t>Net-Tie 5.00mmx5.00mm Inner Layer 10</t>
  </si>
  <si>
    <t>NET-TIE_500x1000-I10</t>
  </si>
  <si>
    <t>Net-Tie 5.00mmx10.00mm Inner Layer 10</t>
  </si>
  <si>
    <t>NET-TIE_025x025-I8</t>
  </si>
  <si>
    <t>Net-Tie 0.25mmx0.25mm Inner Layer 8</t>
  </si>
  <si>
    <t>PCB/Net-Tie-I8.PcbLib</t>
  </si>
  <si>
    <t>NET-TIE_025x050-I8</t>
  </si>
  <si>
    <t>Net-Tie 0.25mmx0.50mm Inner Layer 8</t>
  </si>
  <si>
    <t>NET-TIE_050x025-I8</t>
  </si>
  <si>
    <t>Net-Tie 0.50mmx0.25mm Inner Layer 8</t>
  </si>
  <si>
    <t>NET-TIE_050x050-I8</t>
  </si>
  <si>
    <t>Net-Tie 0.50mmx0.50mm Inner Layer 8</t>
  </si>
  <si>
    <t>NET-TIE_050x100-I8</t>
  </si>
  <si>
    <t>Net-Tie 0.50mmx1.00mm Inner Layer 8</t>
  </si>
  <si>
    <t>NET-TIE_100x025-I8</t>
  </si>
  <si>
    <t>Net-Tie 1.00mmx0.25mm Inner Layer 8</t>
  </si>
  <si>
    <t>NET-TIE_100x050-I8</t>
  </si>
  <si>
    <t>Net-Tie 1.00mmx0.50mm Inner Layer 8</t>
  </si>
  <si>
    <t>NET-TIE_100x100-I8</t>
  </si>
  <si>
    <t>Net-Tie 1.00mmx1.00mm Inner Layer 8</t>
  </si>
  <si>
    <t>NET-TIE_100x200-I8</t>
  </si>
  <si>
    <t>Net-Tie 1.00mmx2.00mm Inner Layer 8</t>
  </si>
  <si>
    <t>NET-TIE_150x075-I8</t>
  </si>
  <si>
    <t>Net-Tie 1.50mmx0.75mm Inner Layer 8</t>
  </si>
  <si>
    <t>NET-TIE_150x150-I8</t>
  </si>
  <si>
    <t>Net-Tie 1.50mmx1.50mm Inner Layer 8</t>
  </si>
  <si>
    <t>NET-TIE_150x300-I8</t>
  </si>
  <si>
    <t>Net-Tie 1.50mmx3.00mm Inner Layer 8</t>
  </si>
  <si>
    <t>NET-TIE_200x050-I8</t>
  </si>
  <si>
    <t>Net-Tie 2.00mmx0.50mm Inner Layer 8</t>
  </si>
  <si>
    <t>NET-TIE_200x100-I8</t>
  </si>
  <si>
    <t>Net-Tie 2.00mmx1.00mm Inner Layer 8</t>
  </si>
  <si>
    <t>NET-TIE_200x200-I8</t>
  </si>
  <si>
    <t>Net-Tie 2.00mmx2.00mm Inner Layer 8</t>
  </si>
  <si>
    <t>NET-TIE_200x400-I8</t>
  </si>
  <si>
    <t>Net-Tie 2.00mmx4.00mm Inner Layer 8</t>
  </si>
  <si>
    <t>NET-TIE_300x075-I8</t>
  </si>
  <si>
    <t>Net-Tie 3.00mmx0.75mm Inner Layer 8</t>
  </si>
  <si>
    <t>NET-TIE_300x150-I8</t>
  </si>
  <si>
    <t>Net-Tie 3.00mmx1.50mm Inner Layer 8</t>
  </si>
  <si>
    <t>NET-TIE_300x300-I8</t>
  </si>
  <si>
    <t>Net-Tie 3.00mmx3.00mm Inner Layer 8</t>
  </si>
  <si>
    <t>NET-TIE_300x600-I8</t>
  </si>
  <si>
    <t>Net-Tie 3.00mmx6.00mm Inner Layer 8</t>
  </si>
  <si>
    <t>NET-TIE_400x040-I8</t>
  </si>
  <si>
    <t>Net-Tie 4.00mmx0.40mm Inner Layer 8</t>
  </si>
  <si>
    <t>NET-TIE_400x100-I8</t>
  </si>
  <si>
    <t>Net-Tie 4.00mmx1.00mm Inner Layer 8</t>
  </si>
  <si>
    <t>NET-TIE_400x200-I8</t>
  </si>
  <si>
    <t>Net-Tie 4.00mmx2.00mm Inner Layer 8</t>
  </si>
  <si>
    <t>NET-TIE_400x400-I8</t>
  </si>
  <si>
    <t>Net-Tie 4.00mmx4.00mm Inner Layer 8</t>
  </si>
  <si>
    <t>NET-TIE_400x800-I8</t>
  </si>
  <si>
    <t>Net-Tie 4.00mmx8.00mm Inner Layer 8</t>
  </si>
  <si>
    <t>NET-TIE_500x050-I8</t>
  </si>
  <si>
    <t>Net-Tie 5.00mmx0.50mm Inner Layer 8</t>
  </si>
  <si>
    <t>NET-TIE_500x125-I8</t>
  </si>
  <si>
    <t>Net-Tie 5.00mmx1.25mm Inner Layer 8</t>
  </si>
  <si>
    <t>NET-TIE_500x250-I8</t>
  </si>
  <si>
    <t>Net-Tie 5.00mmx2.50mm Inner Layer 8</t>
  </si>
  <si>
    <t>NET-TIE_500x500-I8</t>
  </si>
  <si>
    <t>Net-Tie 5.00mmx5.00mm Inner Layer 8</t>
  </si>
  <si>
    <t>NET-TIE_500x1000-I8</t>
  </si>
  <si>
    <t>Net-Tie 5.00mmx10.00mm Inner Layer 8</t>
  </si>
  <si>
    <t>NET-TIE_025x025-I7</t>
  </si>
  <si>
    <t>Net-Tie 0.25mmx0.25mm Inner Layer 7</t>
  </si>
  <si>
    <t>PCB/Net-Tie-I7.PcbLib</t>
  </si>
  <si>
    <t>NET-TIE_025x050-I7</t>
  </si>
  <si>
    <t>Net-Tie 0.25mmx0.50mm Inner Layer 7</t>
  </si>
  <si>
    <t>NET-TIE_050x025-I7</t>
  </si>
  <si>
    <t>Net-Tie 0.50mmx0.25mm Inner Layer 7</t>
  </si>
  <si>
    <t>NET-TIE_050x050-I7</t>
  </si>
  <si>
    <t>Net-Tie 0.50mmx0.50mm Inner Layer 7</t>
  </si>
  <si>
    <t>NET-TIE_050x100-I7</t>
  </si>
  <si>
    <t>Net-Tie 0.50mmx1.00mm Inner Layer 7</t>
  </si>
  <si>
    <t>NET-TIE_100x025-I7</t>
  </si>
  <si>
    <t>Net-Tie 1.00mmx0.25mm Inner Layer 7</t>
  </si>
  <si>
    <t>NET-TIE_100x050-I7</t>
  </si>
  <si>
    <t>Net-Tie 1.00mmx0.50mm Inner Layer 7</t>
  </si>
  <si>
    <t>NET-TIE_100x100-I7</t>
  </si>
  <si>
    <t>Net-Tie 1.00mmx1.00mm Inner Layer 7</t>
  </si>
  <si>
    <t>NET-TIE_100x200-I7</t>
  </si>
  <si>
    <t>Net-Tie 1.00mmx2.00mm Inner Layer 7</t>
  </si>
  <si>
    <t>NET-TIE_150x075-I7</t>
  </si>
  <si>
    <t>Net-Tie 1.50mmx0.75mm Inner Layer 7</t>
  </si>
  <si>
    <t>NET-TIE_150x150-I7</t>
  </si>
  <si>
    <t>Net-Tie 1.50mmx1.50mm Inner Layer 7</t>
  </si>
  <si>
    <t>NET-TIE_150x300-I7</t>
  </si>
  <si>
    <t>Net-Tie 1.50mmx3.00mm Inner Layer 7</t>
  </si>
  <si>
    <t>NET-TIE_200x050-I7</t>
  </si>
  <si>
    <t>Net-Tie 2.00mmx0.50mm Inner Layer 7</t>
  </si>
  <si>
    <t>NET-TIE_200x100-I7</t>
  </si>
  <si>
    <t>Net-Tie 2.00mmx1.00mm Inner Layer 7</t>
  </si>
  <si>
    <t>NET-TIE_200x200-I7</t>
  </si>
  <si>
    <t>Net-Tie 2.00mmx2.00mm Inner Layer 7</t>
  </si>
  <si>
    <t>NET-TIE_200x400-I7</t>
  </si>
  <si>
    <t>Net-Tie 2.00mmx4.00mm Inner Layer 7</t>
  </si>
  <si>
    <t>NET-TIE_300x075-I7</t>
  </si>
  <si>
    <t>Net-Tie 3.00mmx0.75mm Inner Layer 7</t>
  </si>
  <si>
    <t>NET-TIE_300x150-I7</t>
  </si>
  <si>
    <t>Net-Tie 3.00mmx1.50mm Inner Layer 7</t>
  </si>
  <si>
    <t>NET-TIE_300x300-I7</t>
  </si>
  <si>
    <t>Net-Tie 3.00mmx3.00mm Inner Layer 7</t>
  </si>
  <si>
    <t>NET-TIE_300x600-I7</t>
  </si>
  <si>
    <t>Net-Tie 3.00mmx6.00mm Inner Layer 7</t>
  </si>
  <si>
    <t>NET-TIE_400x040-I7</t>
  </si>
  <si>
    <t>Net-Tie 4.00mmx0.40mm Inner Layer 7</t>
  </si>
  <si>
    <t>NET-TIE_400x100-I7</t>
  </si>
  <si>
    <t>Net-Tie 4.00mmx1.00mm Inner Layer 7</t>
  </si>
  <si>
    <t>NET-TIE_400x200-I7</t>
  </si>
  <si>
    <t>Net-Tie 4.00mmx2.00mm Inner Layer 7</t>
  </si>
  <si>
    <t>NET-TIE_400x400-I7</t>
  </si>
  <si>
    <t>Net-Tie 4.00mmx4.00mm Inner Layer 7</t>
  </si>
  <si>
    <t>NET-TIE_400x800-I7</t>
  </si>
  <si>
    <t>Net-Tie 4.00mmx8.00mm Inner Layer 7</t>
  </si>
  <si>
    <t>NET-TIE_500x050-I7</t>
  </si>
  <si>
    <t>Net-Tie 5.00mmx0.50mm Inner Layer 7</t>
  </si>
  <si>
    <t>NET-TIE_500x125-I7</t>
  </si>
  <si>
    <t>Net-Tie 5.00mmx1.25mm Inner Layer 7</t>
  </si>
  <si>
    <t>NET-TIE_500x250-I7</t>
  </si>
  <si>
    <t>Net-Tie 5.00mmx2.50mm Inner Layer 7</t>
  </si>
  <si>
    <t>NET-TIE_500x500-I7</t>
  </si>
  <si>
    <t>Net-Tie 5.00mmx5.00mm Inner Layer 7</t>
  </si>
  <si>
    <t>NET-TIE_500x1000-I7</t>
  </si>
  <si>
    <t>Net-Tie 5.00mmx10.00mm Inner Layer 7</t>
  </si>
  <si>
    <t>NET-TIE_025x025-I6</t>
  </si>
  <si>
    <t>Net-Tie 0.25mmx0.25mm Inner Layer 6</t>
  </si>
  <si>
    <t>PCB/Net-Tie-I6.PcbLib</t>
  </si>
  <si>
    <t>NET-TIE_025x050-I6</t>
  </si>
  <si>
    <t>Net-Tie 0.25mmx0.50mm Inner Layer 6</t>
  </si>
  <si>
    <t>NET-TIE_050x025-I6</t>
  </si>
  <si>
    <t>Net-Tie 0.50mmx0.25mm Inner Layer 6</t>
  </si>
  <si>
    <t>NET-TIE_050x050-I6</t>
  </si>
  <si>
    <t>Net-Tie 0.50mmx0.50mm Inner Layer 6</t>
  </si>
  <si>
    <t>NET-TIE_050x100-I6</t>
  </si>
  <si>
    <t>Net-Tie 0.50mmx1.00mm Inner Layer 6</t>
  </si>
  <si>
    <t>NET-TIE_100x025-I6</t>
  </si>
  <si>
    <t>Net-Tie 1.00mmx0.25mm Inner Layer 6</t>
  </si>
  <si>
    <t>NET-TIE_100x050-I6</t>
  </si>
  <si>
    <t>Net-Tie 1.00mmx0.50mm Inner Layer 6</t>
  </si>
  <si>
    <t>NET-TIE_100x100-I6</t>
  </si>
  <si>
    <t>Net-Tie 1.00mmx1.00mm Inner Layer 6</t>
  </si>
  <si>
    <t>NET-TIE_100x200-I6</t>
  </si>
  <si>
    <t>Net-Tie 1.00mmx2.00mm Inner Layer 6</t>
  </si>
  <si>
    <t>NET-TIE_150x075-I6</t>
  </si>
  <si>
    <t>Net-Tie 1.50mmx0.75mm Inner Layer 6</t>
  </si>
  <si>
    <t>NET-TIE_150x150-I6</t>
  </si>
  <si>
    <t>Net-Tie 1.50mmx1.50mm Inner Layer 6</t>
  </si>
  <si>
    <t>NET-TIE_150x300-I6</t>
  </si>
  <si>
    <t>Net-Tie 1.50mmx3.00mm Inner Layer 6</t>
  </si>
  <si>
    <t>NET-TIE_200x050-I6</t>
  </si>
  <si>
    <t>Net-Tie 2.00mmx0.50mm Inner Layer 6</t>
  </si>
  <si>
    <t>NET-TIE_200x100-I6</t>
  </si>
  <si>
    <t>Net-Tie 2.00mmx1.00mm Inner Layer 6</t>
  </si>
  <si>
    <t>NET-TIE_200x200-I6</t>
  </si>
  <si>
    <t>Net-Tie 2.00mmx2.00mm Inner Layer 6</t>
  </si>
  <si>
    <t>NET-TIE_200x400-I6</t>
  </si>
  <si>
    <t>Net-Tie 2.00mmx4.00mm Inner Layer 6</t>
  </si>
  <si>
    <t>NET-TIE_300x075-I6</t>
  </si>
  <si>
    <t>Net-Tie 3.00mmx0.75mm Inner Layer 6</t>
  </si>
  <si>
    <t>NET-TIE_300x150-I6</t>
  </si>
  <si>
    <t>Net-Tie 3.00mmx1.50mm Inner Layer 6</t>
  </si>
  <si>
    <t>NET-TIE_300x300-I6</t>
  </si>
  <si>
    <t>Net-Tie 3.00mmx3.00mm Inner Layer 6</t>
  </si>
  <si>
    <t>NET-TIE_300x600-I6</t>
  </si>
  <si>
    <t>Net-Tie 3.00mmx6.00mm Inner Layer 6</t>
  </si>
  <si>
    <t>NET-TIE_400x040-I6</t>
  </si>
  <si>
    <t>Net-Tie 4.00mmx0.40mm Inner Layer 6</t>
  </si>
  <si>
    <t>NET-TIE_400x100-I6</t>
  </si>
  <si>
    <t>Net-Tie 4.00mmx1.00mm Inner Layer 6</t>
  </si>
  <si>
    <t>NET-TIE_400x200-I6</t>
  </si>
  <si>
    <t>Net-Tie 4.00mmx2.00mm Inner Layer 6</t>
  </si>
  <si>
    <t>NET-TIE_400x400-I6</t>
  </si>
  <si>
    <t>Net-Tie 4.00mmx4.00mm Inner Layer 6</t>
  </si>
  <si>
    <t>NET-TIE_400x800-I6</t>
  </si>
  <si>
    <t>Net-Tie 4.00mmx8.00mm Inner Layer 6</t>
  </si>
  <si>
    <t>NET-TIE_500x050-I6</t>
  </si>
  <si>
    <t>Net-Tie 5.00mmx0.50mm Inner Layer 6</t>
  </si>
  <si>
    <t>NET-TIE_500x125-I6</t>
  </si>
  <si>
    <t>Net-Tie 5.00mmx1.25mm Inner Layer 6</t>
  </si>
  <si>
    <t>NET-TIE_500x250-I6</t>
  </si>
  <si>
    <t>Net-Tie 5.00mmx2.50mm Inner Layer 6</t>
  </si>
  <si>
    <t>NET-TIE_500x500-I6</t>
  </si>
  <si>
    <t>Net-Tie 5.00mmx5.00mm Inner Layer 6</t>
  </si>
  <si>
    <t>NET-TIE_500x1000-I6</t>
  </si>
  <si>
    <t>Net-Tie 5.00mmx10.00mm Inner Layer 6</t>
  </si>
  <si>
    <t>NET-TIE_025x025-I5</t>
  </si>
  <si>
    <t>Net-Tie 0.25mmx0.25mm Inner Layer 5</t>
  </si>
  <si>
    <t>PCB/Net-Tie-I5.PcbLib</t>
  </si>
  <si>
    <t>NET-TIE_025x050-I5</t>
  </si>
  <si>
    <t>Net-Tie 0.25mmx0.50mm Inner Layer 5</t>
  </si>
  <si>
    <t>NET-TIE_050x025-I5</t>
  </si>
  <si>
    <t>Net-Tie 0.50mmx0.25mm Inner Layer 5</t>
  </si>
  <si>
    <t>NET-TIE_050x050-I5</t>
  </si>
  <si>
    <t>Net-Tie 0.50mmx0.50mm Inner Layer 5</t>
  </si>
  <si>
    <t>NET-TIE_050x100-I5</t>
  </si>
  <si>
    <t>Net-Tie 0.50mmx1.00mm Inner Layer 5</t>
  </si>
  <si>
    <t>NET-TIE_100x025-I5</t>
  </si>
  <si>
    <t>Net-Tie 1.00mmx0.25mm Inner Layer 5</t>
  </si>
  <si>
    <t>NET-TIE_100x050-I5</t>
  </si>
  <si>
    <t>Net-Tie 1.00mmx0.50mm Inner Layer 5</t>
  </si>
  <si>
    <t>NET-TIE_100x100-I5</t>
  </si>
  <si>
    <t>Net-Tie 1.00mmx1.00mm Inner Layer 5</t>
  </si>
  <si>
    <t>NET-TIE_100x200-I5</t>
  </si>
  <si>
    <t>Net-Tie 1.00mmx2.00mm Inner Layer 5</t>
  </si>
  <si>
    <t>NET-TIE_150x075-I5</t>
  </si>
  <si>
    <t>Net-Tie 1.50mmx0.75mm Inner Layer 5</t>
  </si>
  <si>
    <t>NET-TIE_150x150-I5</t>
  </si>
  <si>
    <t>Net-Tie 1.50mmx1.50mm Inner Layer 5</t>
  </si>
  <si>
    <t>NET-TIE_150x300-I5</t>
  </si>
  <si>
    <t>Net-Tie 1.50mmx3.00mm Inner Layer 5</t>
  </si>
  <si>
    <t>NET-TIE_200x050-I5</t>
  </si>
  <si>
    <t>Net-Tie 2.00mmx0.50mm Inner Layer 5</t>
  </si>
  <si>
    <t>NET-TIE_200x100-I5</t>
  </si>
  <si>
    <t>Net-Tie 2.00mmx1.00mm Inner Layer 5</t>
  </si>
  <si>
    <t>NET-TIE_200x200-I5</t>
  </si>
  <si>
    <t>Net-Tie 2.00mmx2.00mm Inner Layer 5</t>
  </si>
  <si>
    <t>NET-TIE_200x400-I5</t>
  </si>
  <si>
    <t>Net-Tie 2.00mmx4.00mm Inner Layer 5</t>
  </si>
  <si>
    <t>NET-TIE_300x075-I5</t>
  </si>
  <si>
    <t>Net-Tie 3.00mmx0.75mm Inner Layer 5</t>
  </si>
  <si>
    <t>NET-TIE_300x150-I5</t>
  </si>
  <si>
    <t>Net-Tie 3.00mmx1.50mm Inner Layer 5</t>
  </si>
  <si>
    <t>NET-TIE_300x300-I5</t>
  </si>
  <si>
    <t>Net-Tie 3.00mmx3.00mm Inner Layer 5</t>
  </si>
  <si>
    <t>NET-TIE_300x600-I5</t>
  </si>
  <si>
    <t>Net-Tie 3.00mmx6.00mm Inner Layer 5</t>
  </si>
  <si>
    <t>NET-TIE_400x040-I5</t>
  </si>
  <si>
    <t>Net-Tie 4.00mmx0.40mm Inner Layer 5</t>
  </si>
  <si>
    <t>NET-TIE_400x100-I5</t>
  </si>
  <si>
    <t>Net-Tie 4.00mmx1.00mm Inner Layer 5</t>
  </si>
  <si>
    <t>NET-TIE_400x200-I5</t>
  </si>
  <si>
    <t>Net-Tie 4.00mmx2.00mm Inner Layer 5</t>
  </si>
  <si>
    <t>NET-TIE_400x400-I5</t>
  </si>
  <si>
    <t>Net-Tie 4.00mmx4.00mm Inner Layer 5</t>
  </si>
  <si>
    <t>NET-TIE_400x800-I5</t>
  </si>
  <si>
    <t>Net-Tie 4.00mmx8.00mm Inner Layer 5</t>
  </si>
  <si>
    <t>NET-TIE_500x050-I5</t>
  </si>
  <si>
    <t>Net-Tie 5.00mmx0.50mm Inner Layer 5</t>
  </si>
  <si>
    <t>NET-TIE_500x125-I5</t>
  </si>
  <si>
    <t>Net-Tie 5.00mmx1.25mm Inner Layer 5</t>
  </si>
  <si>
    <t>NET-TIE_500x250-I5</t>
  </si>
  <si>
    <t>Net-Tie 5.00mmx2.50mm Inner Layer 5</t>
  </si>
  <si>
    <t>NET-TIE_500x500-I5</t>
  </si>
  <si>
    <t>Net-Tie 5.00mmx5.00mm Inner Layer 5</t>
  </si>
  <si>
    <t>NET-TIE_500x1000-I5</t>
  </si>
  <si>
    <t>Net-Tie 5.00mmx10.00mm Inner Layer 5</t>
  </si>
  <si>
    <t>NET-TIE_025x025-I4</t>
  </si>
  <si>
    <t>Net-Tie 0.25mmx0.25mm Inner Layer 4</t>
  </si>
  <si>
    <t>PCB/Net-Tie-I4.PcbLib</t>
  </si>
  <si>
    <t>NET-TIE_025x050-I4</t>
  </si>
  <si>
    <t>Net-Tie 0.25mmx0.50mm Inner Layer 4</t>
  </si>
  <si>
    <t>NET-TIE_050x025-I4</t>
  </si>
  <si>
    <t>Net-Tie 0.50mmx0.25mm Inner Layer 4</t>
  </si>
  <si>
    <t>NET-TIE_050x050-I4</t>
  </si>
  <si>
    <t>Net-Tie 0.50mmx0.50mm Inner Layer 4</t>
  </si>
  <si>
    <t>NET-TIE_050x100-I4</t>
  </si>
  <si>
    <t>Net-Tie 0.50mmx1.00mm Inner Layer 4</t>
  </si>
  <si>
    <t>NET-TIE_100x025-I4</t>
  </si>
  <si>
    <t>Net-Tie 1.00mmx0.25mm Inner Layer 4</t>
  </si>
  <si>
    <t>NET-TIE_100x050-I4</t>
  </si>
  <si>
    <t>Net-Tie 1.00mmx0.50mm Inner Layer 4</t>
  </si>
  <si>
    <t>NET-TIE_100x100-I4</t>
  </si>
  <si>
    <t>Net-Tie 1.00mmx1.00mm Inner Layer 4</t>
  </si>
  <si>
    <t>NET-TIE_100x200-I4</t>
  </si>
  <si>
    <t>Net-Tie 1.00mmx2.00mm Inner Layer 4</t>
  </si>
  <si>
    <t>NET-TIE_150x075-I4</t>
  </si>
  <si>
    <t>Net-Tie 1.50mmx0.75mm Inner Layer 4</t>
  </si>
  <si>
    <t>NET-TIE_150x150-I4</t>
  </si>
  <si>
    <t>Net-Tie 1.50mmx1.50mm Inner Layer 4</t>
  </si>
  <si>
    <t>NET-TIE_150x300-I4</t>
  </si>
  <si>
    <t>Net-Tie 1.50mmx3.00mm Inner Layer 4</t>
  </si>
  <si>
    <t>NET-TIE_200x050-I4</t>
  </si>
  <si>
    <t>Net-Tie 2.00mmx0.50mm Inner Layer 4</t>
  </si>
  <si>
    <t>NET-TIE_200x100-I4</t>
  </si>
  <si>
    <t>Net-Tie 2.00mmx1.00mm Inner Layer 4</t>
  </si>
  <si>
    <t>NET-TIE_200x200-I4</t>
  </si>
  <si>
    <t>Net-Tie 2.00mmx2.00mm Inner Layer 4</t>
  </si>
  <si>
    <t>NET-TIE_200x400-I4</t>
  </si>
  <si>
    <t>Net-Tie 2.00mmx4.00mm Inner Layer 4</t>
  </si>
  <si>
    <t>NET-TIE_300x075-I4</t>
  </si>
  <si>
    <t>Net-Tie 3.00mmx0.75mm Inner Layer 4</t>
  </si>
  <si>
    <t>NET-TIE_300x150-I4</t>
  </si>
  <si>
    <t>Net-Tie 3.00mmx1.50mm Inner Layer 4</t>
  </si>
  <si>
    <t>NET-TIE_300x300-I4</t>
  </si>
  <si>
    <t>Net-Tie 3.00mmx3.00mm Inner Layer 4</t>
  </si>
  <si>
    <t>NET-TIE_300x600-I4</t>
  </si>
  <si>
    <t>Net-Tie 3.00mmx6.00mm Inner Layer 4</t>
  </si>
  <si>
    <t>NET-TIE_400x040-I4</t>
  </si>
  <si>
    <t>Net-Tie 4.00mmx0.40mm Inner Layer 4</t>
  </si>
  <si>
    <t>NET-TIE_400x100-I4</t>
  </si>
  <si>
    <t>Net-Tie 4.00mmx1.00mm Inner Layer 4</t>
  </si>
  <si>
    <t>NET-TIE_400x200-I4</t>
  </si>
  <si>
    <t>Net-Tie 4.00mmx2.00mm Inner Layer 4</t>
  </si>
  <si>
    <t>NET-TIE_400x400-I4</t>
  </si>
  <si>
    <t>Net-Tie 4.00mmx4.00mm Inner Layer 4</t>
  </si>
  <si>
    <t>NET-TIE_400x800-I4</t>
  </si>
  <si>
    <t>Net-Tie 4.00mmx8.00mm Inner Layer 4</t>
  </si>
  <si>
    <t>NET-TIE_500x050-I4</t>
  </si>
  <si>
    <t>Net-Tie 5.00mmx0.50mm Inner Layer 4</t>
  </si>
  <si>
    <t>NET-TIE_500x125-I4</t>
  </si>
  <si>
    <t>Net-Tie 5.00mmx1.25mm Inner Layer 4</t>
  </si>
  <si>
    <t>NET-TIE_500x250-I4</t>
  </si>
  <si>
    <t>Net-Tie 5.00mmx2.50mm Inner Layer 4</t>
  </si>
  <si>
    <t>NET-TIE_500x500-I4</t>
  </si>
  <si>
    <t>Net-Tie 5.00mmx5.00mm Inner Layer 4</t>
  </si>
  <si>
    <t>NET-TIE_500x1000-I4</t>
  </si>
  <si>
    <t>Net-Tie 5.00mmx10.00mm Inner Layer 4</t>
  </si>
  <si>
    <t>NET-TIE_025x025-I3</t>
  </si>
  <si>
    <t>Net-Tie 0.25mmx0.25mm Inner Layer 3</t>
  </si>
  <si>
    <t>PCB/Net-Tie-I3.PcbLib</t>
  </si>
  <si>
    <t>NET-TIE_025x050-I3</t>
  </si>
  <si>
    <t>Net-Tie 0.25mmx0.50mm Inner Layer 3</t>
  </si>
  <si>
    <t>NET-TIE_050x025-I3</t>
  </si>
  <si>
    <t>Net-Tie 0.50mmx0.25mm Inner Layer 3</t>
  </si>
  <si>
    <t>NET-TIE_050x050-I3</t>
  </si>
  <si>
    <t>Net-Tie 0.50mmx0.50mm Inner Layer 3</t>
  </si>
  <si>
    <t>NET-TIE_050x100-I3</t>
  </si>
  <si>
    <t>Net-Tie 0.50mmx1.00mm Inner Layer 3</t>
  </si>
  <si>
    <t>NET-TIE_100x025-I3</t>
  </si>
  <si>
    <t>Net-Tie 1.00mmx0.25mm Inner Layer 3</t>
  </si>
  <si>
    <t>NET-TIE_100x050-I3</t>
  </si>
  <si>
    <t>Net-Tie 1.00mmx0.50mm Inner Layer 3</t>
  </si>
  <si>
    <t>NET-TIE_100x100-I3</t>
  </si>
  <si>
    <t>Net-Tie 1.00mmx1.00mm Inner Layer 3</t>
  </si>
  <si>
    <t>NET-TIE_100x200-I3</t>
  </si>
  <si>
    <t>Net-Tie 1.00mmx2.00mm Inner Layer 3</t>
  </si>
  <si>
    <t>NET-TIE_150x075-I3</t>
  </si>
  <si>
    <t>Net-Tie 1.50mmx0.75mm Inner Layer 3</t>
  </si>
  <si>
    <t>NET-TIE_150x150-I3</t>
  </si>
  <si>
    <t>Net-Tie 1.50mmx1.50mm Inner Layer 3</t>
  </si>
  <si>
    <t>NET-TIE_150x300-I3</t>
  </si>
  <si>
    <t>Net-Tie 1.50mmx3.00mm Inner Layer 3</t>
  </si>
  <si>
    <t>NET-TIE_200x050-I3</t>
  </si>
  <si>
    <t>Net-Tie 2.00mmx0.50mm Inner Layer 3</t>
  </si>
  <si>
    <t>NET-TIE_200x100-I3</t>
  </si>
  <si>
    <t>Net-Tie 2.00mmx1.00mm Inner Layer 3</t>
  </si>
  <si>
    <t>NET-TIE_200x200-I3</t>
  </si>
  <si>
    <t>Net-Tie 2.00mmx2.00mm Inner Layer 3</t>
  </si>
  <si>
    <t>NET-TIE_200x400-I3</t>
  </si>
  <si>
    <t>Net-Tie 2.00mmx4.00mm Inner Layer 3</t>
  </si>
  <si>
    <t>NET-TIE_300x075-I3</t>
  </si>
  <si>
    <t>Net-Tie 3.00mmx0.75mm Inner Layer 3</t>
  </si>
  <si>
    <t>NET-TIE_300x150-I3</t>
  </si>
  <si>
    <t>Net-Tie 3.00mmx1.50mm Inner Layer 3</t>
  </si>
  <si>
    <t>NET-TIE_300x300-I3</t>
  </si>
  <si>
    <t>Net-Tie 3.00mmx3.00mm Inner Layer 3</t>
  </si>
  <si>
    <t>NET-TIE_300x600-I3</t>
  </si>
  <si>
    <t>Net-Tie 3.00mmx6.00mm Inner Layer 3</t>
  </si>
  <si>
    <t>NET-TIE_400x040-I3</t>
  </si>
  <si>
    <t>Net-Tie 4.00mmx0.40mm Inner Layer 3</t>
  </si>
  <si>
    <t>NET-TIE_400x100-I3</t>
  </si>
  <si>
    <t>Net-Tie 4.00mmx1.00mm Inner Layer 3</t>
  </si>
  <si>
    <t>NET-TIE_400x200-I3</t>
  </si>
  <si>
    <t>Net-Tie 4.00mmx2.00mm Inner Layer 3</t>
  </si>
  <si>
    <t>NET-TIE_400x400-I3</t>
  </si>
  <si>
    <t>Net-Tie 4.00mmx4.00mm Inner Layer 3</t>
  </si>
  <si>
    <t>NET-TIE_400x800-I3</t>
  </si>
  <si>
    <t>Net-Tie 4.00mmx8.00mm Inner Layer 3</t>
  </si>
  <si>
    <t>NET-TIE_500x050-I3</t>
  </si>
  <si>
    <t>Net-Tie 5.00mmx0.50mm Inner Layer 3</t>
  </si>
  <si>
    <t>NET-TIE_500x125-I3</t>
  </si>
  <si>
    <t>Net-Tie 5.00mmx1.25mm Inner Layer 3</t>
  </si>
  <si>
    <t>NET-TIE_500x250-I3</t>
  </si>
  <si>
    <t>Net-Tie 5.00mmx2.50mm Inner Layer 3</t>
  </si>
  <si>
    <t>NET-TIE_500x500-I3</t>
  </si>
  <si>
    <t>Net-Tie 5.00mmx5.00mm Inner Layer 3</t>
  </si>
  <si>
    <t>NET-TIE_500x1000-I3</t>
  </si>
  <si>
    <t>Net-Tie 5.00mmx10.00mm Inner Layer 3</t>
  </si>
  <si>
    <t>NET-TIE_025x025-I2</t>
  </si>
  <si>
    <t>Net-Tie 0.25mmx0.25mm Inner Layer 2</t>
  </si>
  <si>
    <t>PCB/Net-Tie-I2.PcbLib</t>
  </si>
  <si>
    <t>NET-TIE_025x050-I2</t>
  </si>
  <si>
    <t>Net-Tie 0.25mmx0.50mm Inner Layer 2</t>
  </si>
  <si>
    <t>NET-TIE_050x025-I2</t>
  </si>
  <si>
    <t>Net-Tie 0.50mmx0.25mm Inner Layer 2</t>
  </si>
  <si>
    <t>NET-TIE_050x050-I2</t>
  </si>
  <si>
    <t>Net-Tie 0.50mmx0.50mm Inner Layer 2</t>
  </si>
  <si>
    <t>NET-TIE_050x100-I2</t>
  </si>
  <si>
    <t>Net-Tie 0.50mmx1.00mm Inner Layer 2</t>
  </si>
  <si>
    <t>NET-TIE_100x025-I2</t>
  </si>
  <si>
    <t>Net-Tie 1.00mmx0.25mm Inner Layer 2</t>
  </si>
  <si>
    <t>NET-TIE_100x050-I2</t>
  </si>
  <si>
    <t>Net-Tie 1.00mmx0.50mm Inner Layer 2</t>
  </si>
  <si>
    <t>NET-TIE_100x100-I2</t>
  </si>
  <si>
    <t>Net-Tie 1.00mmx1.00mm Inner Layer 2</t>
  </si>
  <si>
    <t>NET-TIE_100x200-I2</t>
  </si>
  <si>
    <t>Net-Tie 1.00mmx2.00mm Inner Layer 2</t>
  </si>
  <si>
    <t>NET-TIE_150x075-I2</t>
  </si>
  <si>
    <t>Net-Tie 1.50mmx0.75mm Inner Layer 2</t>
  </si>
  <si>
    <t>NET-TIE_150x150-I2</t>
  </si>
  <si>
    <t>Net-Tie 1.50mmx1.50mm Inner Layer 2</t>
  </si>
  <si>
    <t>NET-TIE_150x300-I2</t>
  </si>
  <si>
    <t>Net-Tie 1.50mmx3.00mm Inner Layer 2</t>
  </si>
  <si>
    <t>NET-TIE_200x050-I2</t>
  </si>
  <si>
    <t>Net-Tie 2.00mmx0.50mm Inner Layer 2</t>
  </si>
  <si>
    <t>NET-TIE_200x100-I2</t>
  </si>
  <si>
    <t>Net-Tie 2.00mmx1.00mm Inner Layer 2</t>
  </si>
  <si>
    <t>NET-TIE_200x200-I2</t>
  </si>
  <si>
    <t>Net-Tie 2.00mmx2.00mm Inner Layer 2</t>
  </si>
  <si>
    <t>NET-TIE_200x400-I2</t>
  </si>
  <si>
    <t>Net-Tie 2.00mmx4.00mm Inner Layer 2</t>
  </si>
  <si>
    <t>NET-TIE_300x075-I2</t>
  </si>
  <si>
    <t>Net-Tie 3.00mmx0.75mm Inner Layer 2</t>
  </si>
  <si>
    <t>NET-TIE_300x150-I2</t>
  </si>
  <si>
    <t>Net-Tie 3.00mmx1.50mm Inner Layer 2</t>
  </si>
  <si>
    <t>NET-TIE_300x300-I2</t>
  </si>
  <si>
    <t>Net-Tie 3.00mmx3.00mm Inner Layer 2</t>
  </si>
  <si>
    <t>NET-TIE_300x600-I2</t>
  </si>
  <si>
    <t>Net-Tie 3.00mmx6.00mm Inner Layer 2</t>
  </si>
  <si>
    <t>NET-TIE_400x040-I2</t>
  </si>
  <si>
    <t>Net-Tie 4.00mmx0.40mm Inner Layer 2</t>
  </si>
  <si>
    <t>NET-TIE_400x100-I2</t>
  </si>
  <si>
    <t>Net-Tie 4.00mmx1.00mm Inner Layer 2</t>
  </si>
  <si>
    <t>NET-TIE_400x200-I2</t>
  </si>
  <si>
    <t>Net-Tie 4.00mmx2.00mm Inner Layer 2</t>
  </si>
  <si>
    <t>NET-TIE_400x400-I2</t>
  </si>
  <si>
    <t>Net-Tie 4.00mmx4.00mm Inner Layer 2</t>
  </si>
  <si>
    <t>NET-TIE_400x800-I2</t>
  </si>
  <si>
    <t>Net-Tie 4.00mmx8.00mm Inner Layer 2</t>
  </si>
  <si>
    <t>NET-TIE_500x050-I2</t>
  </si>
  <si>
    <t>Net-Tie 5.00mmx0.50mm Inner Layer 2</t>
  </si>
  <si>
    <t>NET-TIE_500x125-I2</t>
  </si>
  <si>
    <t>Net-Tie 5.00mmx1.25mm Inner Layer 2</t>
  </si>
  <si>
    <t>NET-TIE_500x250-I2</t>
  </si>
  <si>
    <t>Net-Tie 5.00mmx2.50mm Inner Layer 2</t>
  </si>
  <si>
    <t>NET-TIE_500x500-I2</t>
  </si>
  <si>
    <t>Net-Tie 5.00mmx5.00mm Inner Layer 2</t>
  </si>
  <si>
    <t>NET-TIE_500x1000-I2</t>
  </si>
  <si>
    <t>Net-Tie 5.00mmx10.00mm Inner Layer 2</t>
  </si>
  <si>
    <t>NET-TIE_025x025-I1</t>
  </si>
  <si>
    <t>Net-Tie 0.25mmx0.25mm Inner Layer 1</t>
  </si>
  <si>
    <t>PCB/Net-Tie-I1.PcbLib</t>
  </si>
  <si>
    <t>NET-TIE_025x050-I1</t>
  </si>
  <si>
    <t>Net-Tie 0.25mmx0.50mm Inner Layer 1</t>
  </si>
  <si>
    <t>NET-TIE_050x025-I1</t>
  </si>
  <si>
    <t>Net-Tie 0.50mmx0.25mm Inner Layer 1</t>
  </si>
  <si>
    <t>NET-TIE_050x050-I1</t>
  </si>
  <si>
    <t>Net-Tie 0.50mmx0.50mm Inner Layer 1</t>
  </si>
  <si>
    <t>NET-TIE_050x100-I1</t>
  </si>
  <si>
    <t>Net-Tie 0.50mmx1.00mm Inner Layer 1</t>
  </si>
  <si>
    <t>NET-TIE_100x025-I1</t>
  </si>
  <si>
    <t>Net-Tie 1.00mmx0.25mm Inner Layer 1</t>
  </si>
  <si>
    <t>NET-TIE_100x050-I1</t>
  </si>
  <si>
    <t>Net-Tie 1.00mmx0.50mm Inner Layer 1</t>
  </si>
  <si>
    <t>NET-TIE_100x100-I1</t>
  </si>
  <si>
    <t>Net-Tie 1.00mmx1.00mm Inner Layer 1</t>
  </si>
  <si>
    <t>NET-TIE_100x200-I1</t>
  </si>
  <si>
    <t>Net-Tie 1.00mmx2.00mm Inner Layer 1</t>
  </si>
  <si>
    <t>NET-TIE_150x075-I1</t>
  </si>
  <si>
    <t>Net-Tie 1.50mmx0.75mm Inner Layer 1</t>
  </si>
  <si>
    <t>NET-TIE_150x150-I1</t>
  </si>
  <si>
    <t>Net-Tie 1.50mmx1.50mm Inner Layer 1</t>
  </si>
  <si>
    <t>NET-TIE_150x300-I1</t>
  </si>
  <si>
    <t>Net-Tie 1.50mmx3.00mm Inner Layer 1</t>
  </si>
  <si>
    <t>NET-TIE_200x050-I1</t>
  </si>
  <si>
    <t>Net-Tie 2.00mmx0.50mm Inner Layer 1</t>
  </si>
  <si>
    <t>NET-TIE_200x100-I1</t>
  </si>
  <si>
    <t>Net-Tie 2.00mmx1.00mm Inner Layer 1</t>
  </si>
  <si>
    <t>NET-TIE_200x200-I1</t>
  </si>
  <si>
    <t>Net-Tie 2.00mmx2.00mm Inner Layer 1</t>
  </si>
  <si>
    <t>NET-TIE_200x400-I1</t>
  </si>
  <si>
    <t>Net-Tie 2.00mmx4.00mm Inner Layer 1</t>
  </si>
  <si>
    <t>NET-TIE_300x075-I1</t>
  </si>
  <si>
    <t>Net-Tie 3.00mmx0.75mm Inner Layer 1</t>
  </si>
  <si>
    <t>NET-TIE_300x150-I1</t>
  </si>
  <si>
    <t>Net-Tie 3.00mmx1.50mm Inner Layer 1</t>
  </si>
  <si>
    <t>NET-TIE_300x300-I1</t>
  </si>
  <si>
    <t>Net-Tie 3.00mmx3.00mm Inner Layer 1</t>
  </si>
  <si>
    <t>NET-TIE_300x600-I1</t>
  </si>
  <si>
    <t>Net-Tie 3.00mmx6.00mm Inner Layer 1</t>
  </si>
  <si>
    <t>NET-TIE_400x040-I1</t>
  </si>
  <si>
    <t>Net-Tie 4.00mmx0.40mm Inner Layer 1</t>
  </si>
  <si>
    <t>NET-TIE_400x100-I1</t>
  </si>
  <si>
    <t>Net-Tie 4.00mmx1.00mm Inner Layer 1</t>
  </si>
  <si>
    <t>NET-TIE_400x200-I1</t>
  </si>
  <si>
    <t>Net-Tie 4.00mmx2.00mm Inner Layer 1</t>
  </si>
  <si>
    <t>NET-TIE_400x400-I1</t>
  </si>
  <si>
    <t>Net-Tie 4.00mmx4.00mm Inner Layer 1</t>
  </si>
  <si>
    <t>NET-TIE_400x800-I1</t>
  </si>
  <si>
    <t>Net-Tie 4.00mmx8.00mm Inner Layer 1</t>
  </si>
  <si>
    <t>NET-TIE_500x050-I1</t>
  </si>
  <si>
    <t>Net-Tie 5.00mmx0.50mm Inner Layer 1</t>
  </si>
  <si>
    <t>NET-TIE_500x125-I1</t>
  </si>
  <si>
    <t>Net-Tie 5.00mmx1.25mm Inner Layer 1</t>
  </si>
  <si>
    <t>NET-TIE_500x250-I1</t>
  </si>
  <si>
    <t>Net-Tie 5.00mmx2.50mm Inner Layer 1</t>
  </si>
  <si>
    <t>NET-TIE_500x500-I1</t>
  </si>
  <si>
    <t>Net-Tie 5.00mmx5.00mm Inner Layer 1</t>
  </si>
  <si>
    <t>NET-TIE_500x1000-I1</t>
  </si>
  <si>
    <t>Net-Tie 5.00mmx10.00mm Inner Layer 1</t>
  </si>
  <si>
    <t>NET-TIE_500X100</t>
  </si>
  <si>
    <t>Net-Tie 5.00mmx1.00mm Top Layer</t>
  </si>
  <si>
    <t>NET-TIE_500x100-TOP</t>
  </si>
  <si>
    <t>NET-TIE_600X060</t>
  </si>
  <si>
    <t>NET-TIE_600X100</t>
  </si>
  <si>
    <t>NET-TIE_600X150</t>
  </si>
  <si>
    <t>NET-TIE_600X300</t>
  </si>
  <si>
    <t>NET-TIE_600X600</t>
  </si>
  <si>
    <t>NET-TIE_600X1200</t>
  </si>
  <si>
    <t>NET-TIE_800X050</t>
  </si>
  <si>
    <t>NET-TIE_800X080</t>
  </si>
  <si>
    <t>NET-TIE_800X100</t>
  </si>
  <si>
    <t>NET-TIE_800X200</t>
  </si>
  <si>
    <t>NET-TIE_800X400</t>
  </si>
  <si>
    <t>NET-TIE_800X800</t>
  </si>
  <si>
    <t>NET-TIE_800X1600</t>
  </si>
  <si>
    <t>NET-TIE_1000X050</t>
  </si>
  <si>
    <t>NET-TIE_1000X100</t>
  </si>
  <si>
    <t>NET-TIE_1000X250</t>
  </si>
  <si>
    <t>NET-TIE_1000X500</t>
  </si>
  <si>
    <t>NET-TIE_1000X1000</t>
  </si>
  <si>
    <t>NET-TIE_1000X2000</t>
  </si>
  <si>
    <t>NET-TIE_600X100-TOP</t>
  </si>
  <si>
    <t>NET-TIE_800X100-TOP</t>
  </si>
  <si>
    <t>NET-TIE_1000X100-TOP</t>
  </si>
  <si>
    <t>NET-TIE_600X060-TOP</t>
  </si>
  <si>
    <t>NET-TIE_600X150-TOP</t>
  </si>
  <si>
    <t>NET-TIE_600X300-TOP</t>
  </si>
  <si>
    <t>NET-TIE_600X600-TOP</t>
  </si>
  <si>
    <t>NET-TIE_600X1200-TOP</t>
  </si>
  <si>
    <t>NET-TIE_800X050-TOP</t>
  </si>
  <si>
    <t>NET-TIE_800X080-TOP</t>
  </si>
  <si>
    <t>NET-TIE_800X200-TOP</t>
  </si>
  <si>
    <t>NET-TIE_800X400-TOP</t>
  </si>
  <si>
    <t>NET-TIE_800X800-TOP</t>
  </si>
  <si>
    <t>NET-TIE_800X1600-TOP</t>
  </si>
  <si>
    <t>NET-TIE_1000X050-TOP</t>
  </si>
  <si>
    <t>NET-TIE_1000X250-TOP</t>
  </si>
  <si>
    <t>NET-TIE_1000X500-TOP</t>
  </si>
  <si>
    <t>NET-TIE_1000X1000-TOP</t>
  </si>
  <si>
    <t>NET-TIE_1000X2000-TOP</t>
  </si>
  <si>
    <t>Net-Tie 6.00mmx0.60mm Top Layer</t>
  </si>
  <si>
    <t>Net-Tie 6.00mmx1.00mm Top Layer</t>
  </si>
  <si>
    <t>Net-Tie 6.00mmx1.50mm Top Layer</t>
  </si>
  <si>
    <t>Net-Tie 6.00mmx3.00mm Top Layer</t>
  </si>
  <si>
    <t>Net-Tie 6.00mmx6.00mm Top Layer</t>
  </si>
  <si>
    <t>Net-Tie 6.00mmx12.00mm Top Layer</t>
  </si>
  <si>
    <t>Net-Tie 8.00mmx0.50mm Top Layer</t>
  </si>
  <si>
    <t>Net-Tie 8.00mmx0.80mm Top Layer</t>
  </si>
  <si>
    <t>Net-Tie 8.00mmx1.00mm Top Layer</t>
  </si>
  <si>
    <t>Net-Tie 8.00mmx2.00mm Top Layer</t>
  </si>
  <si>
    <t>Net-Tie 8.00mmx4.00mm Top Layer</t>
  </si>
  <si>
    <t>Net-Tie 8.00mmx8.00mm Top Layer</t>
  </si>
  <si>
    <t>Net-Tie 8.00mmx16.00mm Top Layer</t>
  </si>
  <si>
    <t>Net-Tie 10.00mmx0.50mm Top Layer</t>
  </si>
  <si>
    <t>Net-Tie 10.00mmx1.00mm Top Layer</t>
  </si>
  <si>
    <t>Net-Tie 10.00mmx2.50mm Top Layer</t>
  </si>
  <si>
    <t>Net-Tie 10.00mmx5.00mm Top Layer</t>
  </si>
  <si>
    <t>Net-Tie 10.00mmx10.00mm Top Layer</t>
  </si>
  <si>
    <t>Net-Tie 10.00mmx20.00mm Top Layer</t>
  </si>
  <si>
    <t>NET-TIE_500x100-I9</t>
  </si>
  <si>
    <t>NET-TIE_600X060-I9</t>
  </si>
  <si>
    <t>NET-TIE_600X100-I9</t>
  </si>
  <si>
    <t>NET-TIE_600X150-I9</t>
  </si>
  <si>
    <t>NET-TIE_600X300-I9</t>
  </si>
  <si>
    <t>NET-TIE_600X600-I9</t>
  </si>
  <si>
    <t>NET-TIE_600X1200-I9</t>
  </si>
  <si>
    <t>NET-TIE_800X050-I9</t>
  </si>
  <si>
    <t>NET-TIE_800X080-I9</t>
  </si>
  <si>
    <t>NET-TIE_800X100-I9</t>
  </si>
  <si>
    <t>NET-TIE_800X200-I9</t>
  </si>
  <si>
    <t>NET-TIE_800X400-I9</t>
  </si>
  <si>
    <t>NET-TIE_800X800-I9</t>
  </si>
  <si>
    <t>NET-TIE_800X1600-I9</t>
  </si>
  <si>
    <t>NET-TIE_1000X050-I9</t>
  </si>
  <si>
    <t>NET-TIE_1000X100-I9</t>
  </si>
  <si>
    <t>NET-TIE_1000X250-I9</t>
  </si>
  <si>
    <t>NET-TIE_1000X500-I9</t>
  </si>
  <si>
    <t>NET-TIE_1000X1000-I9</t>
  </si>
  <si>
    <t>NET-TIE_1000X2000-I9</t>
  </si>
  <si>
    <t>Net-Tie 5.00mmx1.00mm Inner Layer 9</t>
  </si>
  <si>
    <t>Net-Tie 6.00mmx0.60mm Inner Layer 9</t>
  </si>
  <si>
    <t>Net-Tie 6.00mmx1.00mm Inner Layer 9</t>
  </si>
  <si>
    <t>Net-Tie 6.00mmx1.50mm Inner Layer 9</t>
  </si>
  <si>
    <t>Net-Tie 6.00mmx3.00mm Inner Layer 9</t>
  </si>
  <si>
    <t>Net-Tie 6.00mmx6.00mm Inner Layer 9</t>
  </si>
  <si>
    <t>Net-Tie 6.00mmx12.00mm Inner Layer 9</t>
  </si>
  <si>
    <t>Net-Tie 8.00mmx0.50mm Inner Layer 9</t>
  </si>
  <si>
    <t>Net-Tie 8.00mmx0.80mm Inner Layer 9</t>
  </si>
  <si>
    <t>Net-Tie 8.00mmx1.00mm Inner Layer 9</t>
  </si>
  <si>
    <t>Net-Tie 8.00mmx2.00mm Inner Layer 9</t>
  </si>
  <si>
    <t>Net-Tie 8.00mmx4.00mm Inner Layer 9</t>
  </si>
  <si>
    <t>Net-Tie 8.00mmx8.00mm Inner Layer 9</t>
  </si>
  <si>
    <t>Net-Tie 8.00mmx16.00mm Inner Layer 9</t>
  </si>
  <si>
    <t>Net-Tie 10.00mmx0.50mm Inner Layer 9</t>
  </si>
  <si>
    <t>Net-Tie 10.00mmx1.00mm Inner Layer 9</t>
  </si>
  <si>
    <t>Net-Tie 10.00mmx2.50mm Inner Layer 9</t>
  </si>
  <si>
    <t>Net-Tie 10.00mmx5.00mm Inner Layer 9</t>
  </si>
  <si>
    <t>Net-Tie 10.00mmx10.00mm Inner Layer 9</t>
  </si>
  <si>
    <t>Net-Tie 10.00mmx20.00mm Inner Layer 9</t>
  </si>
  <si>
    <t>NET-TIE_500x100-BOT</t>
  </si>
  <si>
    <t>NET-TIE_600X060-BOT</t>
  </si>
  <si>
    <t>NET-TIE_600X100-BOT</t>
  </si>
  <si>
    <t>NET-TIE_600X150-BOT</t>
  </si>
  <si>
    <t>NET-TIE_600X300-BOT</t>
  </si>
  <si>
    <t>NET-TIE_600X600-BOT</t>
  </si>
  <si>
    <t>NET-TIE_600X1200-BOT</t>
  </si>
  <si>
    <t>NET-TIE_800X050-BOT</t>
  </si>
  <si>
    <t>NET-TIE_800X080-BOT</t>
  </si>
  <si>
    <t>NET-TIE_800X100-BOT</t>
  </si>
  <si>
    <t>NET-TIE_800X200-BOT</t>
  </si>
  <si>
    <t>NET-TIE_800X400-BOT</t>
  </si>
  <si>
    <t>NET-TIE_800X800-BOT</t>
  </si>
  <si>
    <t>NET-TIE_800X1600-BOT</t>
  </si>
  <si>
    <t>NET-TIE_1000X050-BOT</t>
  </si>
  <si>
    <t>NET-TIE_1000X100-BOT</t>
  </si>
  <si>
    <t>NET-TIE_1000X250-BOT</t>
  </si>
  <si>
    <t>NET-TIE_1000X500-BOT</t>
  </si>
  <si>
    <t>NET-TIE_1000X1000-BOT</t>
  </si>
  <si>
    <t>NET-TIE_1000X2000-BOT</t>
  </si>
  <si>
    <t>Net-Tie 5.00mmx1.00mm Bottom Layer</t>
  </si>
  <si>
    <t>Net-Tie 6.00mmx0.60mm Bottom Layer</t>
  </si>
  <si>
    <t>Net-Tie 6.00mmx1.00mm Bottom Layer</t>
  </si>
  <si>
    <t>Net-Tie 6.00mmx1.50mm Bottom Layer</t>
  </si>
  <si>
    <t>Net-Tie 6.00mmx3.00mm Bottom Layer</t>
  </si>
  <si>
    <t>Net-Tie 6.00mmx6.00mm Bottom Layer</t>
  </si>
  <si>
    <t>Net-Tie 6.00mmx12.00mm Bottom Layer</t>
  </si>
  <si>
    <t>Net-Tie 8.00mmx0.50mm Bottom Layer</t>
  </si>
  <si>
    <t>Net-Tie 8.00mmx0.80mm Bottom Layer</t>
  </si>
  <si>
    <t>Net-Tie 8.00mmx1.00mm Bottom Layer</t>
  </si>
  <si>
    <t>Net-Tie 8.00mmx2.00mm Bottom Layer</t>
  </si>
  <si>
    <t>Net-Tie 8.00mmx4.00mm Bottom Layer</t>
  </si>
  <si>
    <t>Net-Tie 8.00mmx8.00mm Bottom Layer</t>
  </si>
  <si>
    <t>Net-Tie 8.00mmx16.00mm Bottom Layer</t>
  </si>
  <si>
    <t>Net-Tie 10.00mmx0.50mm Bottom Layer</t>
  </si>
  <si>
    <t>Net-Tie 10.00mmx1.00mm Bottom Layer</t>
  </si>
  <si>
    <t>Net-Tie 10.00mmx2.50mm Bottom Layer</t>
  </si>
  <si>
    <t>Net-Tie 10.00mmx5.00mm Bottom Layer</t>
  </si>
  <si>
    <t>Net-Tie 10.00mmx10.00mm Bottom Layer</t>
  </si>
  <si>
    <t>Net-Tie 10.00mmx20.00mm Bottom Layer</t>
  </si>
  <si>
    <t>NET-TIE_500x100-I10</t>
  </si>
  <si>
    <t>Net-Tie 5.00mmx1.00mm Inner Layer 10</t>
  </si>
  <si>
    <t>NET-TIE_600X060-I10</t>
  </si>
  <si>
    <t>Net-Tie 6.00mmx0.60mm Inner Layer 10</t>
  </si>
  <si>
    <t>NET-TIE_600X100-I10</t>
  </si>
  <si>
    <t>Net-Tie 6.00mmx1.00mm Inner Layer 10</t>
  </si>
  <si>
    <t>NET-TIE_600X150-I10</t>
  </si>
  <si>
    <t>Net-Tie 6.00mmx1.50mm Inner Layer 10</t>
  </si>
  <si>
    <t>NET-TIE_600X300-I10</t>
  </si>
  <si>
    <t>Net-Tie 6.00mmx3.00mm Inner Layer 10</t>
  </si>
  <si>
    <t>NET-TIE_600X600-I10</t>
  </si>
  <si>
    <t>Net-Tie 6.00mmx6.00mm Inner Layer 10</t>
  </si>
  <si>
    <t>NET-TIE_600X1200-I10</t>
  </si>
  <si>
    <t>Net-Tie 6.00mmx12.00mm Inner Layer 10</t>
  </si>
  <si>
    <t>NET-TIE_800X050-I10</t>
  </si>
  <si>
    <t>Net-Tie 8.00mmx0.50mm Inner Layer 10</t>
  </si>
  <si>
    <t>NET-TIE_800X080-I10</t>
  </si>
  <si>
    <t>Net-Tie 8.00mmx0.80mm Inner Layer 10</t>
  </si>
  <si>
    <t>NET-TIE_800X100-I10</t>
  </si>
  <si>
    <t>Net-Tie 8.00mmx1.00mm Inner Layer 10</t>
  </si>
  <si>
    <t>NET-TIE_800X200-I10</t>
  </si>
  <si>
    <t>Net-Tie 8.00mmx2.00mm Inner Layer 10</t>
  </si>
  <si>
    <t>NET-TIE_800X400-I10</t>
  </si>
  <si>
    <t>Net-Tie 8.00mmx4.00mm Inner Layer 10</t>
  </si>
  <si>
    <t>NET-TIE_800X800-I10</t>
  </si>
  <si>
    <t>Net-Tie 8.00mmx8.00mm Inner Layer 10</t>
  </si>
  <si>
    <t>NET-TIE_800X1600-I10</t>
  </si>
  <si>
    <t>Net-Tie 8.00mmx16.00mm Inner Layer 10</t>
  </si>
  <si>
    <t>NET-TIE_1000X050-I10</t>
  </si>
  <si>
    <t>Net-Tie 10.00mmx0.50mm Inner Layer 10</t>
  </si>
  <si>
    <t>NET-TIE_1000X100-I10</t>
  </si>
  <si>
    <t>Net-Tie 10.00mmx1.00mm Inner Layer 10</t>
  </si>
  <si>
    <t>NET-TIE_1000X250-I10</t>
  </si>
  <si>
    <t>Net-Tie 10.00mmx2.50mm Inner Layer 10</t>
  </si>
  <si>
    <t>NET-TIE_1000X500-I10</t>
  </si>
  <si>
    <t>Net-Tie 10.00mmx5.00mm Inner Layer 10</t>
  </si>
  <si>
    <t>NET-TIE_1000X1000-I10</t>
  </si>
  <si>
    <t>Net-Tie 10.00mmx10.00mm Inner Layer 10</t>
  </si>
  <si>
    <t>NET-TIE_1000X2000-I10</t>
  </si>
  <si>
    <t>Net-Tie 10.00mmx20.00mm Inner Layer 10</t>
  </si>
  <si>
    <t>NET-TIE_500x100-I8</t>
  </si>
  <si>
    <t>Net-Tie 5.00mmx1.00mm Inner Layer 8</t>
  </si>
  <si>
    <t>NET-TIE_600X060-I8</t>
  </si>
  <si>
    <t>Net-Tie 6.00mmx0.60mm Inner Layer 8</t>
  </si>
  <si>
    <t>NET-TIE_600X100-I8</t>
  </si>
  <si>
    <t>Net-Tie 6.00mmx1.00mm Inner Layer 8</t>
  </si>
  <si>
    <t>NET-TIE_600X150-I8</t>
  </si>
  <si>
    <t>Net-Tie 6.00mmx1.50mm Inner Layer 8</t>
  </si>
  <si>
    <t>NET-TIE_600X300-I8</t>
  </si>
  <si>
    <t>Net-Tie 6.00mmx3.00mm Inner Layer 8</t>
  </si>
  <si>
    <t>NET-TIE_600X600-I8</t>
  </si>
  <si>
    <t>Net-Tie 6.00mmx6.00mm Inner Layer 8</t>
  </si>
  <si>
    <t>NET-TIE_600X1200-I8</t>
  </si>
  <si>
    <t>Net-Tie 6.00mmx12.00mm Inner Layer 8</t>
  </si>
  <si>
    <t>NET-TIE_800X050-I8</t>
  </si>
  <si>
    <t>Net-Tie 8.00mmx0.50mm Inner Layer 8</t>
  </si>
  <si>
    <t>NET-TIE_800X080-I8</t>
  </si>
  <si>
    <t>Net-Tie 8.00mmx0.80mm Inner Layer 8</t>
  </si>
  <si>
    <t>NET-TIE_800X100-I8</t>
  </si>
  <si>
    <t>Net-Tie 8.00mmx1.00mm Inner Layer 8</t>
  </si>
  <si>
    <t>NET-TIE_800X200-I8</t>
  </si>
  <si>
    <t>Net-Tie 8.00mmx2.00mm Inner Layer 8</t>
  </si>
  <si>
    <t>NET-TIE_800X400-I8</t>
  </si>
  <si>
    <t>Net-Tie 8.00mmx4.00mm Inner Layer 8</t>
  </si>
  <si>
    <t>NET-TIE_800X800-I8</t>
  </si>
  <si>
    <t>Net-Tie 8.00mmx8.00mm Inner Layer 8</t>
  </si>
  <si>
    <t>NET-TIE_800X1600-I8</t>
  </si>
  <si>
    <t>Net-Tie 8.00mmx16.00mm Inner Layer 8</t>
  </si>
  <si>
    <t>NET-TIE_1000X050-I8</t>
  </si>
  <si>
    <t>Net-Tie 10.00mmx0.50mm Inner Layer 8</t>
  </si>
  <si>
    <t>NET-TIE_1000X100-I8</t>
  </si>
  <si>
    <t>Net-Tie 10.00mmx1.00mm Inner Layer 8</t>
  </si>
  <si>
    <t>NET-TIE_1000X250-I8</t>
  </si>
  <si>
    <t>Net-Tie 10.00mmx2.50mm Inner Layer 8</t>
  </si>
  <si>
    <t>NET-TIE_1000X500-I8</t>
  </si>
  <si>
    <t>Net-Tie 10.00mmx5.00mm Inner Layer 8</t>
  </si>
  <si>
    <t>NET-TIE_1000X1000-I8</t>
  </si>
  <si>
    <t>Net-Tie 10.00mmx10.00mm Inner Layer 8</t>
  </si>
  <si>
    <t>NET-TIE_1000X2000-I8</t>
  </si>
  <si>
    <t>Net-Tie 10.00mmx20.00mm Inner Layer 8</t>
  </si>
  <si>
    <t>NET-TIE_500x100-I7</t>
  </si>
  <si>
    <t>Net-Tie 5.00mmx1.00mm Inner Layer 7</t>
  </si>
  <si>
    <t>NET-TIE_600X060-I7</t>
  </si>
  <si>
    <t>Net-Tie 6.00mmx0.60mm Inner Layer 7</t>
  </si>
  <si>
    <t>NET-TIE_600X100-I7</t>
  </si>
  <si>
    <t>Net-Tie 6.00mmx1.00mm Inner Layer 7</t>
  </si>
  <si>
    <t>NET-TIE_600X150-I7</t>
  </si>
  <si>
    <t>Net-Tie 6.00mmx1.50mm Inner Layer 7</t>
  </si>
  <si>
    <t>NET-TIE_600X300-I7</t>
  </si>
  <si>
    <t>Net-Tie 6.00mmx3.00mm Inner Layer 7</t>
  </si>
  <si>
    <t>NET-TIE_600X600-I7</t>
  </si>
  <si>
    <t>Net-Tie 6.00mmx6.00mm Inner Layer 7</t>
  </si>
  <si>
    <t>NET-TIE_600X1200-I7</t>
  </si>
  <si>
    <t>Net-Tie 6.00mmx12.00mm Inner Layer 7</t>
  </si>
  <si>
    <t>NET-TIE_800X050-I7</t>
  </si>
  <si>
    <t>Net-Tie 8.00mmx0.50mm Inner Layer 7</t>
  </si>
  <si>
    <t>NET-TIE_800X080-I7</t>
  </si>
  <si>
    <t>Net-Tie 8.00mmx0.80mm Inner Layer 7</t>
  </si>
  <si>
    <t>NET-TIE_800X100-I7</t>
  </si>
  <si>
    <t>Net-Tie 8.00mmx1.00mm Inner Layer 7</t>
  </si>
  <si>
    <t>NET-TIE_800X200-I7</t>
  </si>
  <si>
    <t>Net-Tie 8.00mmx2.00mm Inner Layer 7</t>
  </si>
  <si>
    <t>NET-TIE_800X400-I7</t>
  </si>
  <si>
    <t>Net-Tie 8.00mmx4.00mm Inner Layer 7</t>
  </si>
  <si>
    <t>NET-TIE_800X800-I7</t>
  </si>
  <si>
    <t>Net-Tie 8.00mmx8.00mm Inner Layer 7</t>
  </si>
  <si>
    <t>NET-TIE_800X1600-I7</t>
  </si>
  <si>
    <t>Net-Tie 8.00mmx16.00mm Inner Layer 7</t>
  </si>
  <si>
    <t>NET-TIE_1000X050-I7</t>
  </si>
  <si>
    <t>Net-Tie 10.00mmx0.50mm Inner Layer 7</t>
  </si>
  <si>
    <t>NET-TIE_1000X100-I7</t>
  </si>
  <si>
    <t>Net-Tie 10.00mmx1.00mm Inner Layer 7</t>
  </si>
  <si>
    <t>NET-TIE_1000X250-I7</t>
  </si>
  <si>
    <t>Net-Tie 10.00mmx2.50mm Inner Layer 7</t>
  </si>
  <si>
    <t>NET-TIE_1000X500-I7</t>
  </si>
  <si>
    <t>Net-Tie 10.00mmx5.00mm Inner Layer 7</t>
  </si>
  <si>
    <t>NET-TIE_1000X1000-I7</t>
  </si>
  <si>
    <t>Net-Tie 10.00mmx10.00mm Inner Layer 7</t>
  </si>
  <si>
    <t>NET-TIE_1000X2000-I7</t>
  </si>
  <si>
    <t>Net-Tie 10.00mmx20.00mm Inner Layer 7</t>
  </si>
  <si>
    <t>NET-TIE_500x100-I6</t>
  </si>
  <si>
    <t>Net-Tie 5.00mmx1.00mm Inner Layer 6</t>
  </si>
  <si>
    <t>NET-TIE_600X060-I6</t>
  </si>
  <si>
    <t>Net-Tie 6.00mmx0.60mm Inner Layer 6</t>
  </si>
  <si>
    <t>NET-TIE_600X100-I6</t>
  </si>
  <si>
    <t>Net-Tie 6.00mmx1.00mm Inner Layer 6</t>
  </si>
  <si>
    <t>NET-TIE_600X150-I6</t>
  </si>
  <si>
    <t>Net-Tie 6.00mmx1.50mm Inner Layer 6</t>
  </si>
  <si>
    <t>NET-TIE_600X300-I6</t>
  </si>
  <si>
    <t>Net-Tie 6.00mmx3.00mm Inner Layer 6</t>
  </si>
  <si>
    <t>NET-TIE_600X600-I6</t>
  </si>
  <si>
    <t>Net-Tie 6.00mmx6.00mm Inner Layer 6</t>
  </si>
  <si>
    <t>NET-TIE_600X1200-I6</t>
  </si>
  <si>
    <t>Net-Tie 6.00mmx12.00mm Inner Layer 6</t>
  </si>
  <si>
    <t>NET-TIE_800X050-I6</t>
  </si>
  <si>
    <t>Net-Tie 8.00mmx0.50mm Inner Layer 6</t>
  </si>
  <si>
    <t>NET-TIE_800X080-I6</t>
  </si>
  <si>
    <t>Net-Tie 8.00mmx0.80mm Inner Layer 6</t>
  </si>
  <si>
    <t>NET-TIE_800X100-I6</t>
  </si>
  <si>
    <t>Net-Tie 8.00mmx1.00mm Inner Layer 6</t>
  </si>
  <si>
    <t>NET-TIE_800X200-I6</t>
  </si>
  <si>
    <t>Net-Tie 8.00mmx2.00mm Inner Layer 6</t>
  </si>
  <si>
    <t>NET-TIE_800X400-I6</t>
  </si>
  <si>
    <t>Net-Tie 8.00mmx4.00mm Inner Layer 6</t>
  </si>
  <si>
    <t>NET-TIE_800X800-I6</t>
  </si>
  <si>
    <t>Net-Tie 8.00mmx8.00mm Inner Layer 6</t>
  </si>
  <si>
    <t>NET-TIE_800X1600-I6</t>
  </si>
  <si>
    <t>Net-Tie 8.00mmx16.00mm Inner Layer 6</t>
  </si>
  <si>
    <t>NET-TIE_1000X050-I6</t>
  </si>
  <si>
    <t>Net-Tie 10.00mmx0.50mm Inner Layer 6</t>
  </si>
  <si>
    <t>NET-TIE_1000X100-I6</t>
  </si>
  <si>
    <t>Net-Tie 10.00mmx1.00mm Inner Layer 6</t>
  </si>
  <si>
    <t>NET-TIE_1000X250-I6</t>
  </si>
  <si>
    <t>Net-Tie 10.00mmx2.50mm Inner Layer 6</t>
  </si>
  <si>
    <t>NET-TIE_1000X500-I6</t>
  </si>
  <si>
    <t>Net-Tie 10.00mmx5.00mm Inner Layer 6</t>
  </si>
  <si>
    <t>NET-TIE_1000X1000-I6</t>
  </si>
  <si>
    <t>Net-Tie 10.00mmx10.00mm Inner Layer 6</t>
  </si>
  <si>
    <t>NET-TIE_1000X2000-I6</t>
  </si>
  <si>
    <t>Net-Tie 10.00mmx20.00mm Inner Layer 6</t>
  </si>
  <si>
    <t>NET-TIE_500x100-I5</t>
  </si>
  <si>
    <t>Net-Tie 5.00mmx1.00mm Inner Layer 5</t>
  </si>
  <si>
    <t>NET-TIE_600X060-I5</t>
  </si>
  <si>
    <t>Net-Tie 6.00mmx0.60mm Inner Layer 5</t>
  </si>
  <si>
    <t>NET-TIE_600X100-I5</t>
  </si>
  <si>
    <t>Net-Tie 6.00mmx1.00mm Inner Layer 5</t>
  </si>
  <si>
    <t>NET-TIE_600X150-I5</t>
  </si>
  <si>
    <t>Net-Tie 6.00mmx1.50mm Inner Layer 5</t>
  </si>
  <si>
    <t>NET-TIE_600X300-I5</t>
  </si>
  <si>
    <t>Net-Tie 6.00mmx3.00mm Inner Layer 5</t>
  </si>
  <si>
    <t>NET-TIE_600X600-I5</t>
  </si>
  <si>
    <t>Net-Tie 6.00mmx6.00mm Inner Layer 5</t>
  </si>
  <si>
    <t>NET-TIE_600X1200-I5</t>
  </si>
  <si>
    <t>Net-Tie 6.00mmx12.00mm Inner Layer 5</t>
  </si>
  <si>
    <t>NET-TIE_800X050-I5</t>
  </si>
  <si>
    <t>Net-Tie 8.00mmx0.50mm Inner Layer 5</t>
  </si>
  <si>
    <t>NET-TIE_800X080-I5</t>
  </si>
  <si>
    <t>Net-Tie 8.00mmx0.80mm Inner Layer 5</t>
  </si>
  <si>
    <t>NET-TIE_800X100-I5</t>
  </si>
  <si>
    <t>Net-Tie 8.00mmx1.00mm Inner Layer 5</t>
  </si>
  <si>
    <t>NET-TIE_800X200-I5</t>
  </si>
  <si>
    <t>Net-Tie 8.00mmx2.00mm Inner Layer 5</t>
  </si>
  <si>
    <t>NET-TIE_800X400-I5</t>
  </si>
  <si>
    <t>Net-Tie 8.00mmx4.00mm Inner Layer 5</t>
  </si>
  <si>
    <t>NET-TIE_800X800-I5</t>
  </si>
  <si>
    <t>Net-Tie 8.00mmx8.00mm Inner Layer 5</t>
  </si>
  <si>
    <t>NET-TIE_800X1600-I5</t>
  </si>
  <si>
    <t>Net-Tie 8.00mmx16.00mm Inner Layer 5</t>
  </si>
  <si>
    <t>NET-TIE_1000X050-I5</t>
  </si>
  <si>
    <t>Net-Tie 10.00mmx0.50mm Inner Layer 5</t>
  </si>
  <si>
    <t>NET-TIE_1000X100-I5</t>
  </si>
  <si>
    <t>Net-Tie 10.00mmx1.00mm Inner Layer 5</t>
  </si>
  <si>
    <t>NET-TIE_1000X250-I5</t>
  </si>
  <si>
    <t>Net-Tie 10.00mmx2.50mm Inner Layer 5</t>
  </si>
  <si>
    <t>NET-TIE_1000X500-I5</t>
  </si>
  <si>
    <t>Net-Tie 10.00mmx5.00mm Inner Layer 5</t>
  </si>
  <si>
    <t>NET-TIE_1000X1000-I5</t>
  </si>
  <si>
    <t>Net-Tie 10.00mmx10.00mm Inner Layer 5</t>
  </si>
  <si>
    <t>NET-TIE_1000X2000-I5</t>
  </si>
  <si>
    <t>Net-Tie 10.00mmx20.00mm Inner Layer 5</t>
  </si>
  <si>
    <t>NET-TIE_500x100-I4</t>
  </si>
  <si>
    <t>Net-Tie 5.00mmx1.00mm Inner Layer 4</t>
  </si>
  <si>
    <t>NET-TIE_600X060-I4</t>
  </si>
  <si>
    <t>Net-Tie 6.00mmx0.60mm Inner Layer 4</t>
  </si>
  <si>
    <t>NET-TIE_600X100-I4</t>
  </si>
  <si>
    <t>Net-Tie 6.00mmx1.00mm Inner Layer 4</t>
  </si>
  <si>
    <t>NET-TIE_600X150-I4</t>
  </si>
  <si>
    <t>Net-Tie 6.00mmx1.50mm Inner Layer 4</t>
  </si>
  <si>
    <t>NET-TIE_600X300-I4</t>
  </si>
  <si>
    <t>Net-Tie 6.00mmx3.00mm Inner Layer 4</t>
  </si>
  <si>
    <t>NET-TIE_600X600-I4</t>
  </si>
  <si>
    <t>Net-Tie 6.00mmx6.00mm Inner Layer 4</t>
  </si>
  <si>
    <t>NET-TIE_600X1200-I4</t>
  </si>
  <si>
    <t>Net-Tie 6.00mmx12.00mm Inner Layer 4</t>
  </si>
  <si>
    <t>NET-TIE_800X050-I4</t>
  </si>
  <si>
    <t>Net-Tie 8.00mmx0.50mm Inner Layer 4</t>
  </si>
  <si>
    <t>NET-TIE_800X080-I4</t>
  </si>
  <si>
    <t>Net-Tie 8.00mmx0.80mm Inner Layer 4</t>
  </si>
  <si>
    <t>NET-TIE_800X100-I4</t>
  </si>
  <si>
    <t>Net-Tie 8.00mmx1.00mm Inner Layer 4</t>
  </si>
  <si>
    <t>NET-TIE_800X200-I4</t>
  </si>
  <si>
    <t>Net-Tie 8.00mmx2.00mm Inner Layer 4</t>
  </si>
  <si>
    <t>NET-TIE_800X400-I4</t>
  </si>
  <si>
    <t>Net-Tie 8.00mmx4.00mm Inner Layer 4</t>
  </si>
  <si>
    <t>NET-TIE_800X800-I4</t>
  </si>
  <si>
    <t>Net-Tie 8.00mmx8.00mm Inner Layer 4</t>
  </si>
  <si>
    <t>NET-TIE_800X1600-I4</t>
  </si>
  <si>
    <t>Net-Tie 8.00mmx16.00mm Inner Layer 4</t>
  </si>
  <si>
    <t>NET-TIE_1000X050-I4</t>
  </si>
  <si>
    <t>Net-Tie 10.00mmx0.50mm Inner Layer 4</t>
  </si>
  <si>
    <t>NET-TIE_1000X100-I4</t>
  </si>
  <si>
    <t>Net-Tie 10.00mmx1.00mm Inner Layer 4</t>
  </si>
  <si>
    <t>NET-TIE_1000X250-I4</t>
  </si>
  <si>
    <t>Net-Tie 10.00mmx2.50mm Inner Layer 4</t>
  </si>
  <si>
    <t>NET-TIE_1000X500-I4</t>
  </si>
  <si>
    <t>Net-Tie 10.00mmx5.00mm Inner Layer 4</t>
  </si>
  <si>
    <t>NET-TIE_1000X1000-I4</t>
  </si>
  <si>
    <t>Net-Tie 10.00mmx10.00mm Inner Layer 4</t>
  </si>
  <si>
    <t>NET-TIE_1000X2000-I4</t>
  </si>
  <si>
    <t>Net-Tie 10.00mmx20.00mm Inner Layer 4</t>
  </si>
  <si>
    <t>NET-TIE_500x100-I3</t>
  </si>
  <si>
    <t>Net-Tie 5.00mmx1.00mm Inner Layer 3</t>
  </si>
  <si>
    <t>NET-TIE_600X060-I3</t>
  </si>
  <si>
    <t>Net-Tie 6.00mmx0.60mm Inner Layer 3</t>
  </si>
  <si>
    <t>NET-TIE_600X100-I3</t>
  </si>
  <si>
    <t>Net-Tie 6.00mmx1.00mm Inner Layer 3</t>
  </si>
  <si>
    <t>NET-TIE_600X150-I3</t>
  </si>
  <si>
    <t>Net-Tie 6.00mmx1.50mm Inner Layer 3</t>
  </si>
  <si>
    <t>NET-TIE_600X300-I3</t>
  </si>
  <si>
    <t>Net-Tie 6.00mmx3.00mm Inner Layer 3</t>
  </si>
  <si>
    <t>NET-TIE_600X600-I3</t>
  </si>
  <si>
    <t>Net-Tie 6.00mmx6.00mm Inner Layer 3</t>
  </si>
  <si>
    <t>NET-TIE_600X1200-I3</t>
  </si>
  <si>
    <t>Net-Tie 6.00mmx12.00mm Inner Layer 3</t>
  </si>
  <si>
    <t>NET-TIE_800X050-I3</t>
  </si>
  <si>
    <t>Net-Tie 8.00mmx0.50mm Inner Layer 3</t>
  </si>
  <si>
    <t>NET-TIE_800X080-I3</t>
  </si>
  <si>
    <t>Net-Tie 8.00mmx0.80mm Inner Layer 3</t>
  </si>
  <si>
    <t>NET-TIE_800X100-I3</t>
  </si>
  <si>
    <t>Net-Tie 8.00mmx1.00mm Inner Layer 3</t>
  </si>
  <si>
    <t>NET-TIE_800X200-I3</t>
  </si>
  <si>
    <t>Net-Tie 8.00mmx2.00mm Inner Layer 3</t>
  </si>
  <si>
    <t>NET-TIE_800X400-I3</t>
  </si>
  <si>
    <t>Net-Tie 8.00mmx4.00mm Inner Layer 3</t>
  </si>
  <si>
    <t>NET-TIE_800X800-I3</t>
  </si>
  <si>
    <t>Net-Tie 8.00mmx8.00mm Inner Layer 3</t>
  </si>
  <si>
    <t>NET-TIE_800X1600-I3</t>
  </si>
  <si>
    <t>Net-Tie 8.00mmx16.00mm Inner Layer 3</t>
  </si>
  <si>
    <t>NET-TIE_1000X050-I3</t>
  </si>
  <si>
    <t>Net-Tie 10.00mmx0.50mm Inner Layer 3</t>
  </si>
  <si>
    <t>NET-TIE_1000X100-I3</t>
  </si>
  <si>
    <t>Net-Tie 10.00mmx1.00mm Inner Layer 3</t>
  </si>
  <si>
    <t>NET-TIE_1000X250-I3</t>
  </si>
  <si>
    <t>Net-Tie 10.00mmx2.50mm Inner Layer 3</t>
  </si>
  <si>
    <t>NET-TIE_1000X500-I3</t>
  </si>
  <si>
    <t>Net-Tie 10.00mmx5.00mm Inner Layer 3</t>
  </si>
  <si>
    <t>NET-TIE_1000X1000-I3</t>
  </si>
  <si>
    <t>Net-Tie 10.00mmx10.00mm Inner Layer 3</t>
  </si>
  <si>
    <t>NET-TIE_1000X2000-I3</t>
  </si>
  <si>
    <t>Net-Tie 10.00mmx20.00mm Inner Layer 3</t>
  </si>
  <si>
    <t>NET-TIE_500x100-I2</t>
  </si>
  <si>
    <t>Net-Tie 5.00mmx1.00mm Inner Layer 2</t>
  </si>
  <si>
    <t>NET-TIE_600X060-I2</t>
  </si>
  <si>
    <t>Net-Tie 6.00mmx0.60mm Inner Layer 2</t>
  </si>
  <si>
    <t>NET-TIE_600X100-I2</t>
  </si>
  <si>
    <t>Net-Tie 6.00mmx1.00mm Inner Layer 2</t>
  </si>
  <si>
    <t>NET-TIE_600X150-I2</t>
  </si>
  <si>
    <t>Net-Tie 6.00mmx1.50mm Inner Layer 2</t>
  </si>
  <si>
    <t>NET-TIE_600X300-I2</t>
  </si>
  <si>
    <t>Net-Tie 6.00mmx3.00mm Inner Layer 2</t>
  </si>
  <si>
    <t>NET-TIE_600X600-I2</t>
  </si>
  <si>
    <t>Net-Tie 6.00mmx6.00mm Inner Layer 2</t>
  </si>
  <si>
    <t>NET-TIE_600X1200-I2</t>
  </si>
  <si>
    <t>Net-Tie 6.00mmx12.00mm Inner Layer 2</t>
  </si>
  <si>
    <t>NET-TIE_800X050-I2</t>
  </si>
  <si>
    <t>Net-Tie 8.00mmx0.50mm Inner Layer 2</t>
  </si>
  <si>
    <t>NET-TIE_800X080-I2</t>
  </si>
  <si>
    <t>Net-Tie 8.00mmx0.80mm Inner Layer 2</t>
  </si>
  <si>
    <t>NET-TIE_800X100-I2</t>
  </si>
  <si>
    <t>Net-Tie 8.00mmx1.00mm Inner Layer 2</t>
  </si>
  <si>
    <t>NET-TIE_800X200-I2</t>
  </si>
  <si>
    <t>Net-Tie 8.00mmx2.00mm Inner Layer 2</t>
  </si>
  <si>
    <t>NET-TIE_800X400-I2</t>
  </si>
  <si>
    <t>Net-Tie 8.00mmx4.00mm Inner Layer 2</t>
  </si>
  <si>
    <t>NET-TIE_800X800-I2</t>
  </si>
  <si>
    <t>Net-Tie 8.00mmx8.00mm Inner Layer 2</t>
  </si>
  <si>
    <t>NET-TIE_800X1600-I2</t>
  </si>
  <si>
    <t>Net-Tie 8.00mmx16.00mm Inner Layer 2</t>
  </si>
  <si>
    <t>NET-TIE_1000X050-I2</t>
  </si>
  <si>
    <t>Net-Tie 10.00mmx0.50mm Inner Layer 2</t>
  </si>
  <si>
    <t>NET-TIE_1000X100-I2</t>
  </si>
  <si>
    <t>Net-Tie 10.00mmx1.00mm Inner Layer 2</t>
  </si>
  <si>
    <t>NET-TIE_1000X250-I2</t>
  </si>
  <si>
    <t>Net-Tie 10.00mmx2.50mm Inner Layer 2</t>
  </si>
  <si>
    <t>NET-TIE_1000X500-I2</t>
  </si>
  <si>
    <t>Net-Tie 10.00mmx5.00mm Inner Layer 2</t>
  </si>
  <si>
    <t>NET-TIE_1000X1000-I2</t>
  </si>
  <si>
    <t>Net-Tie 10.00mmx10.00mm Inner Layer 2</t>
  </si>
  <si>
    <t>NET-TIE_1000X2000-I2</t>
  </si>
  <si>
    <t>Net-Tie 10.00mmx20.00mm Inner Layer 2</t>
  </si>
  <si>
    <t>NET-TIE_500x100-I1</t>
  </si>
  <si>
    <t>Net-Tie 5.00mmx1.00mm Inner Layer 1</t>
  </si>
  <si>
    <t>NET-TIE_600X060-I1</t>
  </si>
  <si>
    <t>Net-Tie 6.00mmx0.60mm Inner Layer 1</t>
  </si>
  <si>
    <t>NET-TIE_600X100-I1</t>
  </si>
  <si>
    <t>Net-Tie 6.00mmx1.00mm Inner Layer 1</t>
  </si>
  <si>
    <t>NET-TIE_600X150-I1</t>
  </si>
  <si>
    <t>Net-Tie 6.00mmx1.50mm Inner Layer 1</t>
  </si>
  <si>
    <t>NET-TIE_600X300-I1</t>
  </si>
  <si>
    <t>Net-Tie 6.00mmx3.00mm Inner Layer 1</t>
  </si>
  <si>
    <t>NET-TIE_600X600-I1</t>
  </si>
  <si>
    <t>Net-Tie 6.00mmx6.00mm Inner Layer 1</t>
  </si>
  <si>
    <t>NET-TIE_600X1200-I1</t>
  </si>
  <si>
    <t>Net-Tie 6.00mmx12.00mm Inner Layer 1</t>
  </si>
  <si>
    <t>NET-TIE_800X050-I1</t>
  </si>
  <si>
    <t>Net-Tie 8.00mmx0.50mm Inner Layer 1</t>
  </si>
  <si>
    <t>NET-TIE_800X080-I1</t>
  </si>
  <si>
    <t>Net-Tie 8.00mmx0.80mm Inner Layer 1</t>
  </si>
  <si>
    <t>NET-TIE_800X100-I1</t>
  </si>
  <si>
    <t>Net-Tie 8.00mmx1.00mm Inner Layer 1</t>
  </si>
  <si>
    <t>NET-TIE_800X200-I1</t>
  </si>
  <si>
    <t>Net-Tie 8.00mmx2.00mm Inner Layer 1</t>
  </si>
  <si>
    <t>NET-TIE_800X400-I1</t>
  </si>
  <si>
    <t>Net-Tie 8.00mmx4.00mm Inner Layer 1</t>
  </si>
  <si>
    <t>NET-TIE_800X800-I1</t>
  </si>
  <si>
    <t>Net-Tie 8.00mmx8.00mm Inner Layer 1</t>
  </si>
  <si>
    <t>NET-TIE_800X1600-I1</t>
  </si>
  <si>
    <t>Net-Tie 8.00mmx16.00mm Inner Layer 1</t>
  </si>
  <si>
    <t>NET-TIE_1000X050-I1</t>
  </si>
  <si>
    <t>Net-Tie 10.00mmx0.50mm Inner Layer 1</t>
  </si>
  <si>
    <t>NET-TIE_1000X100-I1</t>
  </si>
  <si>
    <t>Net-Tie 10.00mmx1.00mm Inner Layer 1</t>
  </si>
  <si>
    <t>NET-TIE_1000X250-I1</t>
  </si>
  <si>
    <t>Net-Tie 10.00mmx2.50mm Inner Layer 1</t>
  </si>
  <si>
    <t>NET-TIE_1000X500-I1</t>
  </si>
  <si>
    <t>Net-Tie 10.00mmx5.00mm Inner Layer 1</t>
  </si>
  <si>
    <t>NET-TIE_1000X1000-I1</t>
  </si>
  <si>
    <t>Net-Tie 10.00mmx10.00mm Inner Layer 1</t>
  </si>
  <si>
    <t>NET-TIE_1000X2000-I1</t>
  </si>
  <si>
    <t>Net-Tie 10.00mmx20.00mm Inner Layer 1</t>
  </si>
  <si>
    <t>Width</t>
  </si>
  <si>
    <t>Length</t>
  </si>
  <si>
    <t>Layer</t>
  </si>
  <si>
    <t>0.25mm</t>
  </si>
  <si>
    <t>0.50mm</t>
  </si>
  <si>
    <t>1.00mm</t>
  </si>
  <si>
    <t>1.50mm</t>
  </si>
  <si>
    <t>2.00mm</t>
  </si>
  <si>
    <t>3.00mm</t>
  </si>
  <si>
    <t>4.00mm</t>
  </si>
  <si>
    <t>5.00mm</t>
  </si>
  <si>
    <t>6.00mm</t>
  </si>
  <si>
    <t>8.00mm</t>
  </si>
  <si>
    <t>10.00m</t>
  </si>
  <si>
    <t>0.75mm</t>
  </si>
  <si>
    <t>0.40mm</t>
  </si>
  <si>
    <t>1.25mm</t>
  </si>
  <si>
    <t>2.50mm</t>
  </si>
  <si>
    <t>10.00mm</t>
  </si>
  <si>
    <t>0.60mm</t>
  </si>
  <si>
    <t>12.00mm</t>
  </si>
  <si>
    <t>0.80mm</t>
  </si>
  <si>
    <t>16.00mm</t>
  </si>
  <si>
    <t>20.00mm</t>
  </si>
  <si>
    <t>Top Layer</t>
  </si>
  <si>
    <t>Bottom Layer</t>
  </si>
  <si>
    <t>Inner Layer 10</t>
  </si>
  <si>
    <t>Inner Layer 9</t>
  </si>
  <si>
    <t>Inner Layer 1</t>
  </si>
  <si>
    <t>Inner Layer 2</t>
  </si>
  <si>
    <t>Inner Layer 3</t>
  </si>
  <si>
    <t>Inner Layer 4</t>
  </si>
  <si>
    <t>Inner Layer 5</t>
  </si>
  <si>
    <t>Inner Layer 6</t>
  </si>
  <si>
    <t>Inner Layer 7</t>
  </si>
  <si>
    <t>Inner Layer 8</t>
  </si>
  <si>
    <t>B88069X3880T502</t>
  </si>
  <si>
    <t>495-5915-1-ND</t>
  </si>
  <si>
    <t>https://www.tdk-electronics.tdk.com/inf/100/ds/A71-H12X-X2090S102.pdf</t>
  </si>
  <si>
    <t>B88069X2090S102</t>
  </si>
  <si>
    <t>495-5850-ND</t>
  </si>
  <si>
    <t>1400V</t>
  </si>
  <si>
    <t>2500V</t>
  </si>
  <si>
    <t>3500V</t>
  </si>
  <si>
    <t>https://www.tdk-electronics.tdk.com/inf/100/ds/A71-H10X-X3820xxxx.pdf</t>
  </si>
  <si>
    <t>https://www.tdk-electronics.tdk.com/inf/100/ds/A71-H25X-X2190xxxx.pdf</t>
  </si>
  <si>
    <t>https://www.tdk-electronics.tdk.com/inf/100/ds/A71-H35X-X2200xxxx.pdf</t>
  </si>
  <si>
    <t>B88069X3500T502</t>
  </si>
  <si>
    <t>495-5911-1-ND</t>
  </si>
  <si>
    <t>B88069X2190S102</t>
  </si>
  <si>
    <t>495-1470-ND</t>
  </si>
  <si>
    <t>B88069X2200S102</t>
  </si>
  <si>
    <t>495-75377-ND</t>
  </si>
  <si>
    <t>GDT-1000V-A71</t>
  </si>
  <si>
    <t>GDT-1200V-A71</t>
  </si>
  <si>
    <t>GDT-1400V-A71</t>
  </si>
  <si>
    <t>GDT-2500V-A71</t>
  </si>
  <si>
    <t>GDT-3500V-A71</t>
  </si>
  <si>
    <t>800V</t>
  </si>
  <si>
    <t>GDT_2</t>
  </si>
  <si>
    <t>PCB/GDT.PcbLib</t>
  </si>
  <si>
    <t>GDTAD1200W100L800D800H800</t>
  </si>
  <si>
    <t>https://www.tdk-electronics.tdk.com/inf/100/ds/A71-H08X-X2140xxxx.pdf</t>
  </si>
  <si>
    <t>B88069X2140S102</t>
  </si>
  <si>
    <t>495-4269-ND</t>
  </si>
  <si>
    <t>B88069X2160T502</t>
  </si>
  <si>
    <t>495-5904-1-ND</t>
  </si>
  <si>
    <t>B88069X3820S102</t>
  </si>
  <si>
    <t>495-1469-ND</t>
  </si>
  <si>
    <t>https://www.tdk-electronics.tdk.com/inf/100/ds/A71-H14X-X2180S102.pdf</t>
  </si>
  <si>
    <t>B88069X2180S102</t>
  </si>
  <si>
    <t>495-4270-ND</t>
  </si>
  <si>
    <t>GDTAD1400W100L800D800H800</t>
  </si>
  <si>
    <t>GDT-800V-A71-12MM</t>
  </si>
  <si>
    <t>GDT-800V-A71</t>
  </si>
  <si>
    <t>2-electrode surge arrester, 800V, 10kA, A71 series, 12mm lead spacing</t>
  </si>
  <si>
    <t>GDT-1000V-A71-12MM</t>
  </si>
  <si>
    <t>2-electrode surge arrester, 1000V, 10kA, A71 series, 12mm lead spacing</t>
  </si>
  <si>
    <t>GDT-1200V-A71-12MM</t>
  </si>
  <si>
    <t>2-electrode surge arrester, 1200V, 10kA, A71 series, 12mm lead spacing</t>
  </si>
  <si>
    <t>GDT-1400V-A71-12MM</t>
  </si>
  <si>
    <t>2-electrode surge arrester, 1400V, 10kA, A71 series, 12mm lead spacing</t>
  </si>
  <si>
    <t>GDT-2500V-A71-12MM</t>
  </si>
  <si>
    <t>2-electrode surge arrester, 2500V, 10kA, A71 series, 12mm lead spacing</t>
  </si>
  <si>
    <t>GDT-3500V-A71-12MM</t>
  </si>
  <si>
    <t>2-electrode surge arrester, 3500V, 10kA, A71 series, 12mm lead spacing</t>
  </si>
  <si>
    <t>GDT-800V-A71-14MM</t>
  </si>
  <si>
    <t>2-electrode surge arrester, 800V, 10kA, A71 series, 14mm lead spacing</t>
  </si>
  <si>
    <t>GDT-1000V-A71-14MM</t>
  </si>
  <si>
    <t>2-electrode surge arrester, 1000V, 10kA, A71 series, 14mm lead spacing</t>
  </si>
  <si>
    <t>GDT-1200V-A71-14MM</t>
  </si>
  <si>
    <t>2-electrode surge arrester, 1200V, 10kA, A71 series, 14mm lead spacing</t>
  </si>
  <si>
    <t>GDT-1400V-A71-14MM</t>
  </si>
  <si>
    <t>2-electrode surge arrester, 1400V, 10kA, A71 series, 14mm lead spacing</t>
  </si>
  <si>
    <t>GDT-2500V-A71-14MM</t>
  </si>
  <si>
    <t>2-electrode surge arrester, 2500V, 10kA, A71 series, 14mm lead spacing</t>
  </si>
  <si>
    <t>GDT-3500V-A71-14MM</t>
  </si>
  <si>
    <t>2-electrode surge arrester, 3500V, 10kA, A71 series, 14mm lead spacing</t>
  </si>
  <si>
    <t>GDT-800V-A71-16MM</t>
  </si>
  <si>
    <t>GDT-1000V-A71-16MM</t>
  </si>
  <si>
    <t>GDT-1200V-A71-16MM</t>
  </si>
  <si>
    <t>GDT-1400V-A71-16MM</t>
  </si>
  <si>
    <t>GDT-2500V-A71-16MM</t>
  </si>
  <si>
    <t>GDT-3500V-A71-16MM</t>
  </si>
  <si>
    <t>2-electrode surge arrester, 800V, 10kA, A71 series, 16mm lead spacing</t>
  </si>
  <si>
    <t>2-electrode surge arrester, 1000V, 10kA, A71 series, 16mm lead spacing</t>
  </si>
  <si>
    <t>2-electrode surge arrester, 1200V, 10kA, A71 series, 16mm lead spacing</t>
  </si>
  <si>
    <t>2-electrode surge arrester, 1400V, 10kA, A71 series, 16mm lead spacing</t>
  </si>
  <si>
    <t>2-electrode surge arrester, 2500V, 10kA, A71 series, 16mm lead spacing</t>
  </si>
  <si>
    <t>2-electrode surge arrester, 3500V, 10kA, A71 series, 16mm lead spacing</t>
  </si>
  <si>
    <t>GDT-800V-A71-18MM</t>
  </si>
  <si>
    <t>GDT-1000V-A71-18MM</t>
  </si>
  <si>
    <t>GDT-1200V-A71-18MM</t>
  </si>
  <si>
    <t>GDT-1400V-A71-18MM</t>
  </si>
  <si>
    <t>GDT-2500V-A71-18MM</t>
  </si>
  <si>
    <t>GDT-3500V-A71-18MM</t>
  </si>
  <si>
    <t>2-electrode surge arrester, 800V, 10kA, A71 series, 18mm lead spacing</t>
  </si>
  <si>
    <t>2-electrode surge arrester, 1000V, 10kA, A71 series, 18mm lead spacing</t>
  </si>
  <si>
    <t>2-electrode surge arrester, 1200V, 10kA, A71 series, 18mm lead spacing</t>
  </si>
  <si>
    <t>2-electrode surge arrester, 1400V, 10kA, A71 series, 18mm lead spacing</t>
  </si>
  <si>
    <t>2-electrode surge arrester, 2500V, 10kA, A71 series, 18mm lead spacing</t>
  </si>
  <si>
    <t>2-electrode surge arrester, 3500V, 10kA, A71 series, 18mm lead spacing</t>
  </si>
  <si>
    <t>GDT-800V-A71-20MM</t>
  </si>
  <si>
    <t>2-electrode surge arrester, 800V, 10kA, A71 series, 20mm lead spacing</t>
  </si>
  <si>
    <t>GDT-1000V-A71-20MM</t>
  </si>
  <si>
    <t>2-electrode surge arrester, 1000V, 10kA, A71 series, 20mm lead spacing</t>
  </si>
  <si>
    <t>GDT-1200V-A71-20MM</t>
  </si>
  <si>
    <t>2-electrode surge arrester, 1200V, 10kA, A71 series, 20mm lead spacing</t>
  </si>
  <si>
    <t>GDT-1400V-A71-20MM</t>
  </si>
  <si>
    <t>2-electrode surge arrester, 1400V, 10kA, A71 series, 20mm lead spacing</t>
  </si>
  <si>
    <t>GDT-2500V-A71-20MM</t>
  </si>
  <si>
    <t>2-electrode surge arrester, 2500V, 10kA, A71 series, 20mm lead spacing</t>
  </si>
  <si>
    <t>GDT-3500V-A71-20MM</t>
  </si>
  <si>
    <t>2-electrode surge arrester, 3500V, 10kA, A71 series, 20mm lead spacing</t>
  </si>
  <si>
    <t>GDT-1600V-A71-12MM</t>
  </si>
  <si>
    <t>GDT-1600V-A71</t>
  </si>
  <si>
    <t>2-electrode surge arrester, 1600V, 10kA, A71 series, 12mm lead spacing</t>
  </si>
  <si>
    <t>1600V</t>
  </si>
  <si>
    <t>https://www.tdk-electronics.tdk.com/inf/100/ds/A71-H16X-X2610S102.pdf</t>
  </si>
  <si>
    <t>B88069X2610S102</t>
  </si>
  <si>
    <t>495-5858-ND</t>
  </si>
  <si>
    <t>B88069X2630T502</t>
  </si>
  <si>
    <t>B88069X2630T502-ND</t>
  </si>
  <si>
    <t>4500V</t>
  </si>
  <si>
    <t>GDT-4500V-A71-12MM</t>
  </si>
  <si>
    <t>GDT-4500V-A71</t>
  </si>
  <si>
    <t>2-electrode surge arrester, 4500V, 10kA, A71 series, 12mm lead spacing</t>
  </si>
  <si>
    <t>GDT-5500V-A71-12MM</t>
  </si>
  <si>
    <t>GDT-5500V-A71</t>
  </si>
  <si>
    <t>2-electrode surge arrester, 5500V, 10kA, A71 series, 12mm lead spacing</t>
  </si>
  <si>
    <t>5500V</t>
  </si>
  <si>
    <t>https://www.tdk-electronics.tdk.com/inf/100/ds/A71-H45X-X2590xxxx.pdf</t>
  </si>
  <si>
    <t>B88069X2590S102</t>
  </si>
  <si>
    <t>495-4272-ND</t>
  </si>
  <si>
    <t>https://www.tdk-electronics.tdk.com/inf/100/ds/A71-H55X-X2620xxxx.pdf</t>
  </si>
  <si>
    <t>B88069X2620S102</t>
  </si>
  <si>
    <t>495-5859-ND</t>
  </si>
  <si>
    <t>GDT-1600V-A71-14MM</t>
  </si>
  <si>
    <t>2-electrode surge arrester, 1600V, 10kA, A71 series, 14mm lead spacing</t>
  </si>
  <si>
    <t>GDT-4500V-A71-14MM</t>
  </si>
  <si>
    <t>2-electrode surge arrester, 4500V, 10kA, A71 series, 14mm lead spacing</t>
  </si>
  <si>
    <t>GDT-5500V-A71-14MM</t>
  </si>
  <si>
    <t>2-electrode surge arrester, 5500V, 10kA, A71 series, 14mm lead spacing</t>
  </si>
  <si>
    <t>GDTAD1600W100L800D800H800</t>
  </si>
  <si>
    <t>GDT-1600V-A71-16MM</t>
  </si>
  <si>
    <t>2-electrode surge arrester, 1600V, 10kA, A71 series, 16mm lead spacing</t>
  </si>
  <si>
    <t>GDT-4500V-A71-16MM</t>
  </si>
  <si>
    <t>2-electrode surge arrester, 4500V, 10kA, A71 series, 16mm lead spacing</t>
  </si>
  <si>
    <t>GDT-5500V-A71-16MM</t>
  </si>
  <si>
    <t>2-electrode surge arrester, 5500V, 10kA, A71 series, 16mm lead spacing</t>
  </si>
  <si>
    <t>GDTAD1800W100L800D800H800</t>
  </si>
  <si>
    <t>GDT-1600V-A71-18MM</t>
  </si>
  <si>
    <t>2-electrode surge arrester, 1600V, 10kA, A71 series, 18mm lead spacing</t>
  </si>
  <si>
    <t>GDT-4500V-A71-18MM</t>
  </si>
  <si>
    <t>2-electrode surge arrester, 4500V, 10kA, A71 series, 18mm lead spacing</t>
  </si>
  <si>
    <t>GDT-5500V-A71-18MM</t>
  </si>
  <si>
    <t>2-electrode surge arrester, 5500V, 10kA, A71 series, 18mm lead spacing</t>
  </si>
  <si>
    <t>GDTAD2000W100L800D800H800</t>
  </si>
  <si>
    <t>GDT-1600V-A71-20MM</t>
  </si>
  <si>
    <t>2-electrode surge arrester, 1600V, 10kA, A71 series, 20mm lead spacing</t>
  </si>
  <si>
    <t>GDT-4500V-A71-20MM</t>
  </si>
  <si>
    <t>2-electrode surge arrester, 4500V, 10kA, A71 series, 20mm lead spacing</t>
  </si>
  <si>
    <t>GDT-5500V-A71-20MM</t>
  </si>
  <si>
    <t>2-electrode surge arrester, 5500V, 10kA, A71 series, 20mm lead spacing</t>
  </si>
  <si>
    <t>GDT-800V-A71-12MM-1MM</t>
  </si>
  <si>
    <t>GDT-1000V-A71-12MM-1MM</t>
  </si>
  <si>
    <t>GDT-1200V-A71-12MM-1MM</t>
  </si>
  <si>
    <t>GDT-1400V-A71-12MM-1MM</t>
  </si>
  <si>
    <t>GDT-1600V-A71-12MM-1MM</t>
  </si>
  <si>
    <t>GDT-2500V-A71-12MM-1MM</t>
  </si>
  <si>
    <t>GDT-3500V-A71-12MM-1MM</t>
  </si>
  <si>
    <t>GDT-4500V-A71-12MM-1MM</t>
  </si>
  <si>
    <t>GDT-5500V-A71-12MM-1MM</t>
  </si>
  <si>
    <t>GDT-800V-A71-14MM-1MM</t>
  </si>
  <si>
    <t>GDT-1000V-A71-14MM-1MM</t>
  </si>
  <si>
    <t>GDT-1200V-A71-14MM-1MM</t>
  </si>
  <si>
    <t>GDT-1400V-A71-14MM-1MM</t>
  </si>
  <si>
    <t>GDT-1600V-A71-14MM-1MM</t>
  </si>
  <si>
    <t>GDT-2500V-A71-14MM-1MM</t>
  </si>
  <si>
    <t>GDT-3500V-A71-14MM-1MM</t>
  </si>
  <si>
    <t>GDT-4500V-A71-14MM-1MM</t>
  </si>
  <si>
    <t>GDT-5500V-A71-14MM-1MM</t>
  </si>
  <si>
    <t>GDT-800V-A71-16MM-1MM</t>
  </si>
  <si>
    <t>GDT-1000V-A71-16MM-1MM</t>
  </si>
  <si>
    <t>GDT-1200V-A71-16MM-1MM</t>
  </si>
  <si>
    <t>GDT-1400V-A71-16MM-1MM</t>
  </si>
  <si>
    <t>GDT-1600V-A71-16MM-1MM</t>
  </si>
  <si>
    <t>GDT-2500V-A71-16MM-1MM</t>
  </si>
  <si>
    <t>GDT-3500V-A71-16MM-1MM</t>
  </si>
  <si>
    <t>GDT-4500V-A71-16MM-1MM</t>
  </si>
  <si>
    <t>GDT-5500V-A71-16MM-1MM</t>
  </si>
  <si>
    <t>GDT-800V-A71-18MM-1MM</t>
  </si>
  <si>
    <t>GDT-1000V-A71-18MM-1MM</t>
  </si>
  <si>
    <t>GDT-1200V-A71-18MM-1MM</t>
  </si>
  <si>
    <t>GDT-1400V-A71-18MM-1MM</t>
  </si>
  <si>
    <t>GDT-1600V-A71-18MM-1MM</t>
  </si>
  <si>
    <t>GDT-2500V-A71-18MM-1MM</t>
  </si>
  <si>
    <t>GDT-3500V-A71-18MM-1MM</t>
  </si>
  <si>
    <t>GDT-4500V-A71-18MM-1MM</t>
  </si>
  <si>
    <t>GDT-5500V-A71-18MM-1MM</t>
  </si>
  <si>
    <t>GDT-800V-A71-20MM-1MM</t>
  </si>
  <si>
    <t>GDT-1000V-A71-20MM-1MM</t>
  </si>
  <si>
    <t>GDT-1200V-A71-20MM-1MM</t>
  </si>
  <si>
    <t>GDT-1400V-A71-20MM-1MM</t>
  </si>
  <si>
    <t>GDT-1600V-A71-20MM-1MM</t>
  </si>
  <si>
    <t>GDT-2500V-A71-20MM-1MM</t>
  </si>
  <si>
    <t>GDT-3500V-A71-20MM-1MM</t>
  </si>
  <si>
    <t>GDT-4500V-A71-20MM-1MM</t>
  </si>
  <si>
    <t>GDT-5500V-A71-20MM-1MM</t>
  </si>
  <si>
    <t>GDTAD1200W100L800D800H900</t>
  </si>
  <si>
    <t>GDT-800V-A71-12MM-2MM</t>
  </si>
  <si>
    <t>GDT-1000V-A71-12MM-2MM</t>
  </si>
  <si>
    <t>GDT-1200V-A71-12MM-2MM</t>
  </si>
  <si>
    <t>GDT-1400V-A71-12MM-2MM</t>
  </si>
  <si>
    <t>GDT-1600V-A71-12MM-2MM</t>
  </si>
  <si>
    <t>GDT-2500V-A71-12MM-2MM</t>
  </si>
  <si>
    <t>GDT-3500V-A71-12MM-2MM</t>
  </si>
  <si>
    <t>GDT-4500V-A71-12MM-2MM</t>
  </si>
  <si>
    <t>GDT-5500V-A71-12MM-2MM</t>
  </si>
  <si>
    <t>GDT-800V-A71-14MM-2MM</t>
  </si>
  <si>
    <t>GDT-1000V-A71-14MM-2MM</t>
  </si>
  <si>
    <t>GDT-1200V-A71-14MM-2MM</t>
  </si>
  <si>
    <t>GDT-1400V-A71-14MM-2MM</t>
  </si>
  <si>
    <t>GDT-1600V-A71-14MM-2MM</t>
  </si>
  <si>
    <t>GDT-2500V-A71-14MM-2MM</t>
  </si>
  <si>
    <t>GDT-3500V-A71-14MM-2MM</t>
  </si>
  <si>
    <t>GDT-4500V-A71-14MM-2MM</t>
  </si>
  <si>
    <t>GDT-5500V-A71-14MM-2MM</t>
  </si>
  <si>
    <t>GDT-800V-A71-16MM-2MM</t>
  </si>
  <si>
    <t>GDT-1000V-A71-16MM-2MM</t>
  </si>
  <si>
    <t>GDT-1200V-A71-16MM-2MM</t>
  </si>
  <si>
    <t>GDT-1400V-A71-16MM-2MM</t>
  </si>
  <si>
    <t>GDT-1600V-A71-16MM-2MM</t>
  </si>
  <si>
    <t>GDT-2500V-A71-16MM-2MM</t>
  </si>
  <si>
    <t>GDT-3500V-A71-16MM-2MM</t>
  </si>
  <si>
    <t>GDT-4500V-A71-16MM-2MM</t>
  </si>
  <si>
    <t>GDT-5500V-A71-16MM-2MM</t>
  </si>
  <si>
    <t>GDT-800V-A71-18MM-2MM</t>
  </si>
  <si>
    <t>GDT-1000V-A71-18MM-2MM</t>
  </si>
  <si>
    <t>GDT-1200V-A71-18MM-2MM</t>
  </si>
  <si>
    <t>GDT-1400V-A71-18MM-2MM</t>
  </si>
  <si>
    <t>GDT-1600V-A71-18MM-2MM</t>
  </si>
  <si>
    <t>GDT-2500V-A71-18MM-2MM</t>
  </si>
  <si>
    <t>GDT-3500V-A71-18MM-2MM</t>
  </si>
  <si>
    <t>GDT-4500V-A71-18MM-2MM</t>
  </si>
  <si>
    <t>GDT-5500V-A71-18MM-2MM</t>
  </si>
  <si>
    <t>GDT-800V-A71-20MM-2MM</t>
  </si>
  <si>
    <t>GDT-1000V-A71-20MM-2MM</t>
  </si>
  <si>
    <t>GDT-1200V-A71-20MM-2MM</t>
  </si>
  <si>
    <t>GDT-1400V-A71-20MM-2MM</t>
  </si>
  <si>
    <t>GDT-1600V-A71-20MM-2MM</t>
  </si>
  <si>
    <t>GDT-2500V-A71-20MM-2MM</t>
  </si>
  <si>
    <t>GDT-3500V-A71-20MM-2MM</t>
  </si>
  <si>
    <t>GDT-4500V-A71-20MM-2MM</t>
  </si>
  <si>
    <t>GDT-5500V-A71-20MM-2MM</t>
  </si>
  <si>
    <t>GDTAD1200W100L800D800H1000</t>
  </si>
  <si>
    <t>GDTAD1200W100L800D800H1200</t>
  </si>
  <si>
    <t>GDT-800V-A71-12MM-4MM</t>
  </si>
  <si>
    <t>GDT-1000V-A71-12MM-4MM</t>
  </si>
  <si>
    <t>GDT-1200V-A71-12MM-4MM</t>
  </si>
  <si>
    <t>GDT-1400V-A71-12MM-4MM</t>
  </si>
  <si>
    <t>GDT-1600V-A71-12MM-4MM</t>
  </si>
  <si>
    <t>GDT-2500V-A71-12MM-4MM</t>
  </si>
  <si>
    <t>GDT-3500V-A71-12MM-4MM</t>
  </si>
  <si>
    <t>GDT-4500V-A71-12MM-4MM</t>
  </si>
  <si>
    <t>GDT-5500V-A71-12MM-4MM</t>
  </si>
  <si>
    <t>GDT-800V-A71-14MM-4MM</t>
  </si>
  <si>
    <t>GDT-1000V-A71-14MM-4MM</t>
  </si>
  <si>
    <t>GDT-1200V-A71-14MM-4MM</t>
  </si>
  <si>
    <t>GDT-1400V-A71-14MM-4MM</t>
  </si>
  <si>
    <t>GDT-1600V-A71-14MM-4MM</t>
  </si>
  <si>
    <t>GDT-2500V-A71-14MM-4MM</t>
  </si>
  <si>
    <t>GDT-3500V-A71-14MM-4MM</t>
  </si>
  <si>
    <t>GDT-4500V-A71-14MM-4MM</t>
  </si>
  <si>
    <t>GDT-5500V-A71-14MM-4MM</t>
  </si>
  <si>
    <t>GDT-800V-A71-16MM-4MM</t>
  </si>
  <si>
    <t>GDT-1000V-A71-16MM-4MM</t>
  </si>
  <si>
    <t>GDT-1200V-A71-16MM-4MM</t>
  </si>
  <si>
    <t>GDT-1400V-A71-16MM-4MM</t>
  </si>
  <si>
    <t>GDT-1600V-A71-16MM-4MM</t>
  </si>
  <si>
    <t>GDT-2500V-A71-16MM-4MM</t>
  </si>
  <si>
    <t>GDT-3500V-A71-16MM-4MM</t>
  </si>
  <si>
    <t>GDT-4500V-A71-16MM-4MM</t>
  </si>
  <si>
    <t>GDT-5500V-A71-16MM-4MM</t>
  </si>
  <si>
    <t>GDT-800V-A71-18MM-4MM</t>
  </si>
  <si>
    <t>GDT-1000V-A71-18MM-4MM</t>
  </si>
  <si>
    <t>GDT-1200V-A71-18MM-4MM</t>
  </si>
  <si>
    <t>GDT-1400V-A71-18MM-4MM</t>
  </si>
  <si>
    <t>GDT-1600V-A71-18MM-4MM</t>
  </si>
  <si>
    <t>GDT-2500V-A71-18MM-4MM</t>
  </si>
  <si>
    <t>GDT-3500V-A71-18MM-4MM</t>
  </si>
  <si>
    <t>GDT-4500V-A71-18MM-4MM</t>
  </si>
  <si>
    <t>GDT-5500V-A71-18MM-4MM</t>
  </si>
  <si>
    <t>GDT-800V-A71-20MM-4MM</t>
  </si>
  <si>
    <t>GDT-1000V-A71-20MM-4MM</t>
  </si>
  <si>
    <t>GDT-1200V-A71-20MM-4MM</t>
  </si>
  <si>
    <t>GDT-1400V-A71-20MM-4MM</t>
  </si>
  <si>
    <t>GDT-1600V-A71-20MM-4MM</t>
  </si>
  <si>
    <t>GDT-2500V-A71-20MM-4MM</t>
  </si>
  <si>
    <t>GDT-3500V-A71-20MM-4MM</t>
  </si>
  <si>
    <t>GDT-4500V-A71-20MM-4MM</t>
  </si>
  <si>
    <t>GDT-5500V-A71-20MM-4MM</t>
  </si>
  <si>
    <t>2-electrode surge arrester, 800V, 10kA, A71 series, 12mm lead spacing, 1mm standoff height</t>
  </si>
  <si>
    <t>2-electrode surge arrester, 1000V, 10kA, A71 series, 12mm lead spacing, 1mm standoff height</t>
  </si>
  <si>
    <t>2-electrode surge arrester, 1200V, 10kA, A71 series, 12mm lead spacing, 1mm standoff height</t>
  </si>
  <si>
    <t>2-electrode surge arrester, 1400V, 10kA, A71 series, 12mm lead spacing, 1mm standoff height</t>
  </si>
  <si>
    <t>2-electrode surge arrester, 1600V, 10kA, A71 series, 12mm lead spacing, 1mm standoff height</t>
  </si>
  <si>
    <t>2-electrode surge arrester, 2500V, 10kA, A71 series, 12mm lead spacing, 1mm standoff height</t>
  </si>
  <si>
    <t>2-electrode surge arrester, 3500V, 10kA, A71 series, 12mm lead spacing, 1mm standoff height</t>
  </si>
  <si>
    <t>2-electrode surge arrester, 4500V, 10kA, A71 series, 12mm lead spacing, 1mm standoff height</t>
  </si>
  <si>
    <t>2-electrode surge arrester, 5500V, 10kA, A71 series, 12mm lead spacing, 1mm standoff height</t>
  </si>
  <si>
    <t>2-electrode surge arrester, 800V, 10kA, A71 series, 14mm lead spacing, 1mm standoff height</t>
  </si>
  <si>
    <t>2-electrode surge arrester, 1000V, 10kA, A71 series, 14mm lead spacing, 1mm standoff height</t>
  </si>
  <si>
    <t>2-electrode surge arrester, 1200V, 10kA, A71 series, 14mm lead spacing, 1mm standoff height</t>
  </si>
  <si>
    <t>2-electrode surge arrester, 1400V, 10kA, A71 series, 14mm lead spacing, 1mm standoff height</t>
  </si>
  <si>
    <t>2-electrode surge arrester, 1600V, 10kA, A71 series, 14mm lead spacing, 1mm standoff height</t>
  </si>
  <si>
    <t>2-electrode surge arrester, 2500V, 10kA, A71 series, 14mm lead spacing, 1mm standoff height</t>
  </si>
  <si>
    <t>2-electrode surge arrester, 3500V, 10kA, A71 series, 14mm lead spacing, 1mm standoff height</t>
  </si>
  <si>
    <t>2-electrode surge arrester, 4500V, 10kA, A71 series, 14mm lead spacing, 1mm standoff height</t>
  </si>
  <si>
    <t>2-electrode surge arrester, 5500V, 10kA, A71 series, 14mm lead spacing, 1mm standoff height</t>
  </si>
  <si>
    <t>2-electrode surge arrester, 800V, 10kA, A71 series, 16mm lead spacing, 1mm standoff height</t>
  </si>
  <si>
    <t>2-electrode surge arrester, 1000V, 10kA, A71 series, 16mm lead spacing, 1mm standoff height</t>
  </si>
  <si>
    <t>2-electrode surge arrester, 1200V, 10kA, A71 series, 16mm lead spacing, 1mm standoff height</t>
  </si>
  <si>
    <t>2-electrode surge arrester, 1400V, 10kA, A71 series, 16mm lead spacing, 1mm standoff height</t>
  </si>
  <si>
    <t>2-electrode surge arrester, 1600V, 10kA, A71 series, 16mm lead spacing, 1mm standoff height</t>
  </si>
  <si>
    <t>2-electrode surge arrester, 2500V, 10kA, A71 series, 16mm lead spacing, 1mm standoff height</t>
  </si>
  <si>
    <t>2-electrode surge arrester, 3500V, 10kA, A71 series, 16mm lead spacing, 1mm standoff height</t>
  </si>
  <si>
    <t>2-electrode surge arrester, 4500V, 10kA, A71 series, 16mm lead spacing, 1mm standoff height</t>
  </si>
  <si>
    <t>2-electrode surge arrester, 5500V, 10kA, A71 series, 16mm lead spacing, 1mm standoff height</t>
  </si>
  <si>
    <t>2-electrode surge arrester, 800V, 10kA, A71 series, 18mm lead spacing, 1mm standoff height</t>
  </si>
  <si>
    <t>2-electrode surge arrester, 1000V, 10kA, A71 series, 18mm lead spacing, 1mm standoff height</t>
  </si>
  <si>
    <t>2-electrode surge arrester, 1200V, 10kA, A71 series, 18mm lead spacing, 1mm standoff height</t>
  </si>
  <si>
    <t>2-electrode surge arrester, 1400V, 10kA, A71 series, 18mm lead spacing, 1mm standoff height</t>
  </si>
  <si>
    <t>2-electrode surge arrester, 1600V, 10kA, A71 series, 18mm lead spacing, 1mm standoff height</t>
  </si>
  <si>
    <t>2-electrode surge arrester, 2500V, 10kA, A71 series, 18mm lead spacing, 1mm standoff height</t>
  </si>
  <si>
    <t>2-electrode surge arrester, 3500V, 10kA, A71 series, 18mm lead spacing, 1mm standoff height</t>
  </si>
  <si>
    <t>2-electrode surge arrester, 4500V, 10kA, A71 series, 18mm lead spacing, 1mm standoff height</t>
  </si>
  <si>
    <t>2-electrode surge arrester, 5500V, 10kA, A71 series, 18mm lead spacing, 1mm standoff height</t>
  </si>
  <si>
    <t>2-electrode surge arrester, 800V, 10kA, A71 series, 20mm lead spacing, 1mm standoff height</t>
  </si>
  <si>
    <t>2-electrode surge arrester, 1000V, 10kA, A71 series, 20mm lead spacing, 1mm standoff height</t>
  </si>
  <si>
    <t>2-electrode surge arrester, 1200V, 10kA, A71 series, 20mm lead spacing, 1mm standoff height</t>
  </si>
  <si>
    <t>2-electrode surge arrester, 1400V, 10kA, A71 series, 20mm lead spacing, 1mm standoff height</t>
  </si>
  <si>
    <t>2-electrode surge arrester, 1600V, 10kA, A71 series, 20mm lead spacing, 1mm standoff height</t>
  </si>
  <si>
    <t>2-electrode surge arrester, 2500V, 10kA, A71 series, 20mm lead spacing, 1mm standoff height</t>
  </si>
  <si>
    <t>2-electrode surge arrester, 3500V, 10kA, A71 series, 20mm lead spacing, 1mm standoff height</t>
  </si>
  <si>
    <t>2-electrode surge arrester, 4500V, 10kA, A71 series, 20mm lead spacing, 1mm standoff height</t>
  </si>
  <si>
    <t>2-electrode surge arrester, 5500V, 10kA, A71 series, 20mm lead spacing, 1mm standoff height</t>
  </si>
  <si>
    <t>2-electrode surge arrester, 800V, 10kA, A71 series, 12mm lead spacing, 2mm standoff height</t>
  </si>
  <si>
    <t>2-electrode surge arrester, 1000V, 10kA, A71 series, 12mm lead spacing, 2mm standoff height</t>
  </si>
  <si>
    <t>2-electrode surge arrester, 1200V, 10kA, A71 series, 12mm lead spacing, 2mm standoff height</t>
  </si>
  <si>
    <t>2-electrode surge arrester, 1400V, 10kA, A71 series, 12mm lead spacing, 2mm standoff height</t>
  </si>
  <si>
    <t>2-electrode surge arrester, 1600V, 10kA, A71 series, 12mm lead spacing, 2mm standoff height</t>
  </si>
  <si>
    <t>2-electrode surge arrester, 2500V, 10kA, A71 series, 12mm lead spacing, 2mm standoff height</t>
  </si>
  <si>
    <t>2-electrode surge arrester, 3500V, 10kA, A71 series, 12mm lead spacing, 2mm standoff height</t>
  </si>
  <si>
    <t>2-electrode surge arrester, 4500V, 10kA, A71 series, 12mm lead spacing, 2mm standoff height</t>
  </si>
  <si>
    <t>2-electrode surge arrester, 5500V, 10kA, A71 series, 12mm lead spacing, 2mm standoff height</t>
  </si>
  <si>
    <t>2-electrode surge arrester, 800V, 10kA, A71 series, 14mm lead spacing, 2mm standoff height</t>
  </si>
  <si>
    <t>2-electrode surge arrester, 1000V, 10kA, A71 series, 14mm lead spacing, 2mm standoff height</t>
  </si>
  <si>
    <t>2-electrode surge arrester, 1200V, 10kA, A71 series, 14mm lead spacing, 2mm standoff height</t>
  </si>
  <si>
    <t>2-electrode surge arrester, 1400V, 10kA, A71 series, 14mm lead spacing, 2mm standoff height</t>
  </si>
  <si>
    <t>2-electrode surge arrester, 1600V, 10kA, A71 series, 14mm lead spacing, 2mm standoff height</t>
  </si>
  <si>
    <t>2-electrode surge arrester, 2500V, 10kA, A71 series, 14mm lead spacing, 2mm standoff height</t>
  </si>
  <si>
    <t>2-electrode surge arrester, 3500V, 10kA, A71 series, 14mm lead spacing, 2mm standoff height</t>
  </si>
  <si>
    <t>2-electrode surge arrester, 4500V, 10kA, A71 series, 14mm lead spacing, 2mm standoff height</t>
  </si>
  <si>
    <t>2-electrode surge arrester, 5500V, 10kA, A71 series, 14mm lead spacing, 2mm standoff height</t>
  </si>
  <si>
    <t>2-electrode surge arrester, 800V, 10kA, A71 series, 16mm lead spacing, 2mm standoff height</t>
  </si>
  <si>
    <t>2-electrode surge arrester, 1000V, 10kA, A71 series, 16mm lead spacing, 2mm standoff height</t>
  </si>
  <si>
    <t>2-electrode surge arrester, 1200V, 10kA, A71 series, 16mm lead spacing, 2mm standoff height</t>
  </si>
  <si>
    <t>2-electrode surge arrester, 1400V, 10kA, A71 series, 16mm lead spacing, 2mm standoff height</t>
  </si>
  <si>
    <t>2-electrode surge arrester, 1600V, 10kA, A71 series, 16mm lead spacing, 2mm standoff height</t>
  </si>
  <si>
    <t>2-electrode surge arrester, 2500V, 10kA, A71 series, 16mm lead spacing, 2mm standoff height</t>
  </si>
  <si>
    <t>2-electrode surge arrester, 3500V, 10kA, A71 series, 16mm lead spacing, 2mm standoff height</t>
  </si>
  <si>
    <t>2-electrode surge arrester, 4500V, 10kA, A71 series, 16mm lead spacing, 2mm standoff height</t>
  </si>
  <si>
    <t>2-electrode surge arrester, 5500V, 10kA, A71 series, 16mm lead spacing, 2mm standoff height</t>
  </si>
  <si>
    <t>2-electrode surge arrester, 800V, 10kA, A71 series, 18mm lead spacing, 2mm standoff height</t>
  </si>
  <si>
    <t>2-electrode surge arrester, 1000V, 10kA, A71 series, 18mm lead spacing, 2mm standoff height</t>
  </si>
  <si>
    <t>2-electrode surge arrester, 1200V, 10kA, A71 series, 18mm lead spacing, 2mm standoff height</t>
  </si>
  <si>
    <t>2-electrode surge arrester, 1400V, 10kA, A71 series, 18mm lead spacing, 2mm standoff height</t>
  </si>
  <si>
    <t>2-electrode surge arrester, 1600V, 10kA, A71 series, 18mm lead spacing, 2mm standoff height</t>
  </si>
  <si>
    <t>2-electrode surge arrester, 2500V, 10kA, A71 series, 18mm lead spacing, 2mm standoff height</t>
  </si>
  <si>
    <t>2-electrode surge arrester, 3500V, 10kA, A71 series, 18mm lead spacing, 2mm standoff height</t>
  </si>
  <si>
    <t>2-electrode surge arrester, 4500V, 10kA, A71 series, 18mm lead spacing, 2mm standoff height</t>
  </si>
  <si>
    <t>2-electrode surge arrester, 5500V, 10kA, A71 series, 18mm lead spacing, 2mm standoff height</t>
  </si>
  <si>
    <t>2-electrode surge arrester, 800V, 10kA, A71 series, 20mm lead spacing, 2mm standoff height</t>
  </si>
  <si>
    <t>2-electrode surge arrester, 1000V, 10kA, A71 series, 20mm lead spacing, 2mm standoff height</t>
  </si>
  <si>
    <t>2-electrode surge arrester, 1200V, 10kA, A71 series, 20mm lead spacing, 2mm standoff height</t>
  </si>
  <si>
    <t>2-electrode surge arrester, 1400V, 10kA, A71 series, 20mm lead spacing, 2mm standoff height</t>
  </si>
  <si>
    <t>2-electrode surge arrester, 1600V, 10kA, A71 series, 20mm lead spacing, 2mm standoff height</t>
  </si>
  <si>
    <t>2-electrode surge arrester, 2500V, 10kA, A71 series, 20mm lead spacing, 2mm standoff height</t>
  </si>
  <si>
    <t>2-electrode surge arrester, 3500V, 10kA, A71 series, 20mm lead spacing, 2mm standoff height</t>
  </si>
  <si>
    <t>2-electrode surge arrester, 4500V, 10kA, A71 series, 20mm lead spacing, 2mm standoff height</t>
  </si>
  <si>
    <t>2-electrode surge arrester, 5500V, 10kA, A71 series, 20mm lead spacing, 2mm standoff height</t>
  </si>
  <si>
    <t>2-electrode surge arrester, 800V, 10kA, A71 series, 12mm lead spacing, 4mm standoff height</t>
  </si>
  <si>
    <t>2-electrode surge arrester, 1000V, 10kA, A71 series, 12mm lead spacing, 4mm standoff height</t>
  </si>
  <si>
    <t>2-electrode surge arrester, 1200V, 10kA, A71 series, 12mm lead spacing, 4mm standoff height</t>
  </si>
  <si>
    <t>2-electrode surge arrester, 1400V, 10kA, A71 series, 12mm lead spacing, 4mm standoff height</t>
  </si>
  <si>
    <t>2-electrode surge arrester, 1600V, 10kA, A71 series, 12mm lead spacing, 4mm standoff height</t>
  </si>
  <si>
    <t>2-electrode surge arrester, 2500V, 10kA, A71 series, 12mm lead spacing, 4mm standoff height</t>
  </si>
  <si>
    <t>2-electrode surge arrester, 3500V, 10kA, A71 series, 12mm lead spacing, 4mm standoff height</t>
  </si>
  <si>
    <t>2-electrode surge arrester, 4500V, 10kA, A71 series, 12mm lead spacing, 4mm standoff height</t>
  </si>
  <si>
    <t>2-electrode surge arrester, 5500V, 10kA, A71 series, 12mm lead spacing, 4mm standoff height</t>
  </si>
  <si>
    <t>2-electrode surge arrester, 800V, 10kA, A71 series, 14mm lead spacing, 4mm standoff height</t>
  </si>
  <si>
    <t>2-electrode surge arrester, 1000V, 10kA, A71 series, 14mm lead spacing, 4mm standoff height</t>
  </si>
  <si>
    <t>2-electrode surge arrester, 1200V, 10kA, A71 series, 14mm lead spacing, 4mm standoff height</t>
  </si>
  <si>
    <t>2-electrode surge arrester, 1400V, 10kA, A71 series, 14mm lead spacing, 4mm standoff height</t>
  </si>
  <si>
    <t>2-electrode surge arrester, 1600V, 10kA, A71 series, 14mm lead spacing, 4mm standoff height</t>
  </si>
  <si>
    <t>2-electrode surge arrester, 2500V, 10kA, A71 series, 14mm lead spacing, 4mm standoff height</t>
  </si>
  <si>
    <t>2-electrode surge arrester, 3500V, 10kA, A71 series, 14mm lead spacing, 4mm standoff height</t>
  </si>
  <si>
    <t>2-electrode surge arrester, 4500V, 10kA, A71 series, 14mm lead spacing, 4mm standoff height</t>
  </si>
  <si>
    <t>2-electrode surge arrester, 5500V, 10kA, A71 series, 14mm lead spacing, 4mm standoff height</t>
  </si>
  <si>
    <t>2-electrode surge arrester, 800V, 10kA, A71 series, 16mm lead spacing, 4mm standoff height</t>
  </si>
  <si>
    <t>2-electrode surge arrester, 1000V, 10kA, A71 series, 16mm lead spacing, 4mm standoff height</t>
  </si>
  <si>
    <t>2-electrode surge arrester, 1200V, 10kA, A71 series, 16mm lead spacing, 4mm standoff height</t>
  </si>
  <si>
    <t>2-electrode surge arrester, 1400V, 10kA, A71 series, 16mm lead spacing, 4mm standoff height</t>
  </si>
  <si>
    <t>2-electrode surge arrester, 1600V, 10kA, A71 series, 16mm lead spacing, 4mm standoff height</t>
  </si>
  <si>
    <t>2-electrode surge arrester, 2500V, 10kA, A71 series, 16mm lead spacing, 4mm standoff height</t>
  </si>
  <si>
    <t>2-electrode surge arrester, 3500V, 10kA, A71 series, 16mm lead spacing, 4mm standoff height</t>
  </si>
  <si>
    <t>2-electrode surge arrester, 4500V, 10kA, A71 series, 16mm lead spacing, 4mm standoff height</t>
  </si>
  <si>
    <t>2-electrode surge arrester, 5500V, 10kA, A71 series, 16mm lead spacing, 4mm standoff height</t>
  </si>
  <si>
    <t>2-electrode surge arrester, 800V, 10kA, A71 series, 18mm lead spacing, 4mm standoff height</t>
  </si>
  <si>
    <t>2-electrode surge arrester, 1000V, 10kA, A71 series, 18mm lead spacing, 4mm standoff height</t>
  </si>
  <si>
    <t>2-electrode surge arrester, 1200V, 10kA, A71 series, 18mm lead spacing, 4mm standoff height</t>
  </si>
  <si>
    <t>2-electrode surge arrester, 1400V, 10kA, A71 series, 18mm lead spacing, 4mm standoff height</t>
  </si>
  <si>
    <t>2-electrode surge arrester, 1600V, 10kA, A71 series, 18mm lead spacing, 4mm standoff height</t>
  </si>
  <si>
    <t>2-electrode surge arrester, 2500V, 10kA, A71 series, 18mm lead spacing, 4mm standoff height</t>
  </si>
  <si>
    <t>2-electrode surge arrester, 3500V, 10kA, A71 series, 18mm lead spacing, 4mm standoff height</t>
  </si>
  <si>
    <t>2-electrode surge arrester, 4500V, 10kA, A71 series, 18mm lead spacing, 4mm standoff height</t>
  </si>
  <si>
    <t>2-electrode surge arrester, 5500V, 10kA, A71 series, 18mm lead spacing, 4mm standoff height</t>
  </si>
  <si>
    <t>2-electrode surge arrester, 800V, 10kA, A71 series, 20mm lead spacing, 4mm standoff height</t>
  </si>
  <si>
    <t>2-electrode surge arrester, 1000V, 10kA, A71 series, 20mm lead spacing, 4mm standoff height</t>
  </si>
  <si>
    <t>2-electrode surge arrester, 1200V, 10kA, A71 series, 20mm lead spacing, 4mm standoff height</t>
  </si>
  <si>
    <t>2-electrode surge arrester, 1400V, 10kA, A71 series, 20mm lead spacing, 4mm standoff height</t>
  </si>
  <si>
    <t>2-electrode surge arrester, 1600V, 10kA, A71 series, 20mm lead spacing, 4mm standoff height</t>
  </si>
  <si>
    <t>2-electrode surge arrester, 2500V, 10kA, A71 series, 20mm lead spacing, 4mm standoff height</t>
  </si>
  <si>
    <t>2-electrode surge arrester, 3500V, 10kA, A71 series, 20mm lead spacing, 4mm standoff height</t>
  </si>
  <si>
    <t>2-electrode surge arrester, 4500V, 10kA, A71 series, 20mm lead spacing, 4mm standoff height</t>
  </si>
  <si>
    <t>2-electrode surge arrester, 5500V, 10kA, A71 series, 20mm lead spacing, 4mm standoff height</t>
  </si>
  <si>
    <t>R0805-0.50-HV-WW</t>
  </si>
  <si>
    <t>1M/0805/HV</t>
  </si>
  <si>
    <t>RES SM 0805 1M High voltage</t>
  </si>
  <si>
    <t>1M3/0805/HV</t>
  </si>
  <si>
    <t>RES SM 0805 1M3 High voltage</t>
  </si>
  <si>
    <t>1M5/0805/HV</t>
  </si>
  <si>
    <t>2M/0805/HV</t>
  </si>
  <si>
    <t>2M2/0805/HV</t>
  </si>
  <si>
    <t>3M3/0805/HV</t>
  </si>
  <si>
    <t>5M6/0805/HV</t>
  </si>
  <si>
    <t>6M2/0805/HV</t>
  </si>
  <si>
    <t>RES SM 0805 6M2 High voltage</t>
  </si>
  <si>
    <t>RES SM 0805 5M6 High voltage</t>
  </si>
  <si>
    <t>RES SM 0805 3M3 High voltage</t>
  </si>
  <si>
    <t>RES SM 0805 2M2 High voltage</t>
  </si>
  <si>
    <t>RES SM 0805 2M High voltage</t>
  </si>
  <si>
    <t>RES SM 0805 1M5 High voltage</t>
  </si>
  <si>
    <t>RV0805FR-071ML</t>
  </si>
  <si>
    <t>311-1MNGCT-ND</t>
  </si>
  <si>
    <t>RV0805FR-071M3L</t>
  </si>
  <si>
    <t>RV0805FR-071M3L-ND</t>
  </si>
  <si>
    <t>RV0805FR-071M5L</t>
  </si>
  <si>
    <t>13-RV0805FR-071M5LCT-ND</t>
  </si>
  <si>
    <t>RV0805FR-072M2L</t>
  </si>
  <si>
    <t>13-RV0805FR-072M2LCT-ND</t>
  </si>
  <si>
    <t>RV0805FR-072ML</t>
  </si>
  <si>
    <t>13-RV0805FR-072MLCT-ND</t>
  </si>
  <si>
    <t>RES SMD 3.3M OHM 1% 1/8W 0805</t>
  </si>
  <si>
    <t>RV0805FR-073M3L-ND</t>
  </si>
  <si>
    <t>RV0805FR-075M6L</t>
  </si>
  <si>
    <t>RV0805FR-075M6L-ND</t>
  </si>
  <si>
    <t>RV0805FR-076M2L</t>
  </si>
  <si>
    <t>13-RV0805FR-076M2L-ND</t>
  </si>
  <si>
    <t>FRV0805F1004TS</t>
  </si>
  <si>
    <t>C5713479</t>
  </si>
  <si>
    <t>HV05W8F1304T5E</t>
  </si>
  <si>
    <t>C2778939</t>
  </si>
  <si>
    <t>C118025</t>
  </si>
  <si>
    <t>C873372</t>
  </si>
  <si>
    <t>FRV0805F2204TS</t>
  </si>
  <si>
    <t>C52033565</t>
  </si>
  <si>
    <t>RV0805FR-073M3L</t>
  </si>
  <si>
    <t>C873387</t>
  </si>
  <si>
    <t>C873419</t>
  </si>
  <si>
    <t>ROHM</t>
  </si>
  <si>
    <t>KTR10EZPF6204</t>
  </si>
  <si>
    <t>C2078319</t>
  </si>
  <si>
    <t>10K/0805/HV</t>
  </si>
  <si>
    <t>RES SM 0805 10K High voltage</t>
  </si>
  <si>
    <t>75K/0805/HV</t>
  </si>
  <si>
    <t>RES SM 0805 75K High voltage</t>
  </si>
  <si>
    <t>100K/0805/HV</t>
  </si>
  <si>
    <t>220K/0805/HV</t>
  </si>
  <si>
    <t>255K/0805/HV</t>
  </si>
  <si>
    <t>274K/0805/HV</t>
  </si>
  <si>
    <t>360K/0805/HV</t>
  </si>
  <si>
    <t>680K/0805/HV</t>
  </si>
  <si>
    <t>750K/0805/HV</t>
  </si>
  <si>
    <t>RES SM 0805 100K High voltage</t>
  </si>
  <si>
    <t>RES SM 0805 220K High voltage</t>
  </si>
  <si>
    <t>RES SM 0805 360K High voltage</t>
  </si>
  <si>
    <t>RES SM 0805 680K High voltage</t>
  </si>
  <si>
    <t>RES SM 0805 750K High voltage</t>
  </si>
  <si>
    <t>RV0805FR-0710KL</t>
  </si>
  <si>
    <t>C6995518</t>
  </si>
  <si>
    <t>RV0805FR-0775KL</t>
  </si>
  <si>
    <t>C723449</t>
  </si>
  <si>
    <t>RV0805FR-07100KL</t>
  </si>
  <si>
    <t>C2842077</t>
  </si>
  <si>
    <t>RV0805FR-07220KL</t>
  </si>
  <si>
    <t>C873358</t>
  </si>
  <si>
    <t>RV0805FR-07255KL</t>
  </si>
  <si>
    <t>C326987</t>
  </si>
  <si>
    <t>RV0805FR-07274KL</t>
  </si>
  <si>
    <t>C326986</t>
  </si>
  <si>
    <t>RV0805FR-07360KL</t>
  </si>
  <si>
    <t>C873380</t>
  </si>
  <si>
    <t>RV0805FR-07680KL</t>
  </si>
  <si>
    <t>C326984</t>
  </si>
  <si>
    <t>RV0805FR-07750KL</t>
  </si>
  <si>
    <t>C873432</t>
  </si>
  <si>
    <t>RES SM 0805 255K High voltage</t>
  </si>
  <si>
    <t>RES SM 0805 274K High voltage</t>
  </si>
  <si>
    <t>274K</t>
  </si>
  <si>
    <t>255K</t>
  </si>
  <si>
    <t>13-RV0805FR-0710KLCT-ND</t>
  </si>
  <si>
    <t>13-RV0805FR-0775KL-ND</t>
  </si>
  <si>
    <t>13-RV0805FR-07100KLCT-ND</t>
  </si>
  <si>
    <t>RV0805FR-07220KL-ND</t>
  </si>
  <si>
    <t>311-255KNGTR-ND</t>
  </si>
  <si>
    <t>RV0805FR-07274KL-ND</t>
  </si>
  <si>
    <t>RV0805FR-07360KL-ND</t>
  </si>
  <si>
    <t>RV0805FR-07680KL-ND</t>
  </si>
  <si>
    <t>311-750KNGCT-ND</t>
  </si>
  <si>
    <t>TCA9554 TSSOP16</t>
  </si>
  <si>
    <t>https://www.ti.com/lit/ds/symlink/tca9554.pdf</t>
  </si>
  <si>
    <t>TCA9554PWR</t>
  </si>
  <si>
    <t>296-30135-1-ND</t>
  </si>
  <si>
    <t>C477924</t>
  </si>
  <si>
    <t>TCA9554 Low Voltage 8-Bit I2C and SMBus Low-Power I/O Expander With Interrupt Output and Configuration Registers</t>
  </si>
  <si>
    <t>20P/0805/50V/C0G</t>
  </si>
  <si>
    <t>CAP SM 0805 20pF 50V C0G</t>
  </si>
  <si>
    <t>20pF</t>
  </si>
  <si>
    <t>CAP0805_C0G</t>
  </si>
  <si>
    <t>https://weblib.samsungsem.com/mlcc/mlcc-ec-data-sheet.do?partNumber=CL21C200JBANNN</t>
  </si>
  <si>
    <t>CL21C200JBANNNC</t>
  </si>
  <si>
    <t>1276-1829-2-ND</t>
  </si>
  <si>
    <t>C1798</t>
  </si>
  <si>
    <t>C137758</t>
  </si>
  <si>
    <t>C137753</t>
  </si>
  <si>
    <t>C128060</t>
  </si>
  <si>
    <t>BZT52C68V</t>
  </si>
  <si>
    <t>C5365518</t>
  </si>
  <si>
    <t>Preci-Dip</t>
  </si>
  <si>
    <t>803-87-024-10-001101</t>
  </si>
  <si>
    <t>1212-1252-ND</t>
  </si>
  <si>
    <t>Sullins Connector Solutions</t>
  </si>
  <si>
    <t>PRPC012DAAN-RC</t>
  </si>
  <si>
    <t>S2011EC-12-ND</t>
  </si>
  <si>
    <t>SOCK_254_2X12_700</t>
  </si>
  <si>
    <t>HEAD_254_2X12_834_250</t>
  </si>
  <si>
    <t>Header_2x12_8.34mm_2.5mm</t>
  </si>
  <si>
    <t>Header 100 mil 2x12, Height 8.34mm, flange height 2.5mm</t>
  </si>
  <si>
    <t>Socket 2.100mil 2x12, height 7mm</t>
  </si>
  <si>
    <t>Socket_2x12_7mm</t>
  </si>
  <si>
    <t>Socket_2x12</t>
  </si>
  <si>
    <t>SLB4-F6.3 GREEN-YELLOW-1MM-UP</t>
  </si>
  <si>
    <t>SLB4-F6.3 BLACK-1MM-UP</t>
  </si>
  <si>
    <t>SLB4-F6.3 RED-1MM-UP</t>
  </si>
  <si>
    <t>SLB4-F6.3 BLUE-1MM-UP</t>
  </si>
  <si>
    <t>SLB4-F6.3 YELLOW-1MM-UP</t>
  </si>
  <si>
    <t>SLB4-F6.3 GREEN-1MM-UP</t>
  </si>
  <si>
    <t>SLB4-F6.3 PURPLE-1MM-UP</t>
  </si>
  <si>
    <t>SLB4-F6.3 BROWN-1MM-UP</t>
  </si>
  <si>
    <t>SLB4-F6.3 GREY-1MM-UP</t>
  </si>
  <si>
    <t>SLB4-F6.3 WHITE-1MM-UP</t>
  </si>
  <si>
    <t>PCB/Stäubli-1MM-UP.PcbLib</t>
  </si>
  <si>
    <t>SLB4-F6.3 GREEN-YELLOW-1.5MM-UP</t>
  </si>
  <si>
    <t>PCB/Stäubli-1.5MM-UP.PcbLib</t>
  </si>
  <si>
    <t>SLB4-F6.3 BLACK-1.5MM-UP</t>
  </si>
  <si>
    <t>SLB4-F6.3 RED-1.5MM-UP</t>
  </si>
  <si>
    <t>SLB4-F6.3 BLUE-1.5MM-UP</t>
  </si>
  <si>
    <t>SLB4-F6.3 YELLOW-1.5MM-UP</t>
  </si>
  <si>
    <t>SLB4-F6.3 GREEN-1.5MM-UP</t>
  </si>
  <si>
    <t>SLB4-F6.3 PURPLE-1.5MM-UP</t>
  </si>
  <si>
    <t>SLB4-F6.3 BROWN-1.5MM-UP</t>
  </si>
  <si>
    <t>SLB4-F6.3 GREY-1.5MM-UP</t>
  </si>
  <si>
    <t>SLB4-F6.3 WHITE-1.5MM-UP</t>
  </si>
  <si>
    <t>SLB4-F6.3 GREEN-YELLOW-2MM-UP</t>
  </si>
  <si>
    <t>PCB/Stäubli-2MM-UP.PcbLib</t>
  </si>
  <si>
    <t>SLB4-F6.3 BLACK-2MM-UP</t>
  </si>
  <si>
    <t>SLB4-F6.3 RED-2MM-UP</t>
  </si>
  <si>
    <t>SLB4-F6.3 BLUE-2MM-UP</t>
  </si>
  <si>
    <t>SLB4-F6.3 YELLOW-2MM-UP</t>
  </si>
  <si>
    <t>SLB4-F6.3 GREEN-2MM-UP</t>
  </si>
  <si>
    <t>SLB4-F6.3 PURPLE-2MM-UP</t>
  </si>
  <si>
    <t>SLB4-F6.3 BROWN-2MM-UP</t>
  </si>
  <si>
    <t>SLB4-F6.3 GREY-2MM-UP</t>
  </si>
  <si>
    <t>SLB4-F6.3 WHITE-2MM-UP</t>
  </si>
  <si>
    <t>SLB4-F6.3 GREEN-YELLOW-1MM-DOWN</t>
  </si>
  <si>
    <t>PCB/Stäubli-1MM-DOWN.PcbLib</t>
  </si>
  <si>
    <t>SLB4-F6.3 BLACK-1MM-DOWN</t>
  </si>
  <si>
    <t>SLB4-F6.3 RED-1MM-DOWN</t>
  </si>
  <si>
    <t>SLB4-F6.3 BLUE-1MM-DOWN</t>
  </si>
  <si>
    <t>SLB4-F6.3 YELLOW-1MM-DOWN</t>
  </si>
  <si>
    <t>SLB4-F6.3 GREEN-1MM-DOWN</t>
  </si>
  <si>
    <t>SLB4-F6.3 PURPLE-1MM-DOWN</t>
  </si>
  <si>
    <t>SLB4-F6.3 BROWN-1MM-DOWN</t>
  </si>
  <si>
    <t>SLB4-F6.3 GREY-1MM-DOWN</t>
  </si>
  <si>
    <t>SLB4-F6.3 WHITE-1MM-DOWN</t>
  </si>
  <si>
    <t>SLB4-F6.3 GREEN-YELLOW-2MM-DOWN</t>
  </si>
  <si>
    <t>PCB/Stäubli-2MM-DOWN.PcbLib</t>
  </si>
  <si>
    <t>SLB4-F6.3 BLACK-2MM-DOWN</t>
  </si>
  <si>
    <t>SLB4-F6.3 RED-2MM-DOWN</t>
  </si>
  <si>
    <t>SLB4-F6.3 BLUE-2MM-DOWN</t>
  </si>
  <si>
    <t>SLB4-F6.3 YELLOW-2MM-DOWN</t>
  </si>
  <si>
    <t>SLB4-F6.3 GREEN-2MM-DOWN</t>
  </si>
  <si>
    <t>SLB4-F6.3 PURPLE-2MM-DOWN</t>
  </si>
  <si>
    <t>SLB4-F6.3 BROWN-2MM-DOWN</t>
  </si>
  <si>
    <t>SLB4-F6.3 GREY-2MM-DOWN</t>
  </si>
  <si>
    <t>SLB4-F6.3 WHITE-2MM-DOWN</t>
  </si>
  <si>
    <t>1:2.5/200UH/MXPP8</t>
  </si>
  <si>
    <t>MXPP8 Push-Pull Transformer, Turns ratio 1:2.5, 200uH, Size MXPP8</t>
  </si>
  <si>
    <t>C1644</t>
  </si>
  <si>
    <t>CL10B105KB8NQNC</t>
  </si>
  <si>
    <t>C5199872</t>
  </si>
  <si>
    <t>FH</t>
  </si>
  <si>
    <t>0603B682K500NT</t>
  </si>
  <si>
    <t>C1631</t>
  </si>
  <si>
    <t>0603WAF100JT5E</t>
  </si>
  <si>
    <t>C22859</t>
  </si>
  <si>
    <t>C107054</t>
  </si>
  <si>
    <t>1M/1206/HV</t>
  </si>
  <si>
    <t>RES SM 1206 1M High voltage</t>
  </si>
  <si>
    <t>RV1206FR-071ML</t>
  </si>
  <si>
    <t>311-1MNICT-ND</t>
  </si>
  <si>
    <t>C706459</t>
  </si>
  <si>
    <t>0603WAF6201T5E</t>
  </si>
  <si>
    <t>C4260</t>
  </si>
  <si>
    <t>RC0603FR-07430RL</t>
  </si>
  <si>
    <t>C137721</t>
  </si>
  <si>
    <t>0603WAF4700T5E</t>
  </si>
  <si>
    <t>C23179</t>
  </si>
  <si>
    <t>0603WAF6801T5E</t>
  </si>
  <si>
    <t>C23212</t>
  </si>
  <si>
    <t>0603WAF1802T5E</t>
  </si>
  <si>
    <t>C25810</t>
  </si>
  <si>
    <t>RC0603FR-0716KL</t>
  </si>
  <si>
    <t>C137788</t>
  </si>
  <si>
    <t>RC0603FR-0743KL</t>
  </si>
  <si>
    <t>C137719</t>
  </si>
  <si>
    <t>C163432</t>
  </si>
  <si>
    <t>C137672</t>
  </si>
  <si>
    <t>C114524</t>
  </si>
  <si>
    <t>C137739</t>
  </si>
  <si>
    <t>ADS7046</t>
  </si>
  <si>
    <t>12-Bit  3-MSPS Single-Ended Input Small-Size Low-Power SAR ADC</t>
  </si>
  <si>
    <t>https://www.ti.com/lit/ds/symlink/ads7046.pdf</t>
  </si>
  <si>
    <t>296-48818-1-ND</t>
  </si>
  <si>
    <t>ADS7046IRUGR</t>
  </si>
  <si>
    <t>C543003</t>
  </si>
  <si>
    <t>MAX40100</t>
  </si>
  <si>
    <t>maxim Integrated</t>
  </si>
  <si>
    <t>BGA</t>
  </si>
  <si>
    <t>OPA_OB3_PB1_NB2_VCCA2_VEEA1_SHA3</t>
  </si>
  <si>
    <t>BGA006C035P2X3_072X107X050</t>
  </si>
  <si>
    <t>https://www.analog.com/media/en/technical-documentation/data-sheets/MAX40100.pdf</t>
  </si>
  <si>
    <t>maxim integrated</t>
  </si>
  <si>
    <t>MAX40100ANT+T</t>
  </si>
  <si>
    <t>MAX40100ANT+TCT-ND</t>
  </si>
  <si>
    <t>C2057616</t>
  </si>
  <si>
    <t>Precision Low-Power and Low-Noise Op Amp with RRIO</t>
  </si>
  <si>
    <t>AD8605ACBZ-REEL7</t>
  </si>
  <si>
    <t>AD8606ACBZ-REEL7</t>
  </si>
  <si>
    <t>AD8606ACBZ</t>
  </si>
  <si>
    <t>AD8605ACBZ</t>
  </si>
  <si>
    <t>Single Precision Low Noise CMOS Rail-to-Rail Input/Output Operational Amplifiers</t>
  </si>
  <si>
    <t>Dual Precision Low Noise CMOS Rail-to-Rail Input/Output Operational Amplifiers</t>
  </si>
  <si>
    <t>OPA2_OA1-A3_PC1-C3_NB1-B3_VCCA2_VEEC2</t>
  </si>
  <si>
    <t>BGA005C050P2X3_090X129X055</t>
  </si>
  <si>
    <t>BGA008C050P3X3_143X177X059</t>
  </si>
  <si>
    <t>https://www.analog.com/media/en/technical-documentation/data-sheets/ad8605_8606_8608.pdf</t>
  </si>
  <si>
    <t>505-AD8605ACBZ-REEL7CT-ND</t>
  </si>
  <si>
    <t>505-AD8606ACBZ-REEL7CT-ND</t>
  </si>
  <si>
    <t>C143895</t>
  </si>
  <si>
    <t>C206677</t>
  </si>
  <si>
    <t>QFN040P140X180X050-10</t>
  </si>
  <si>
    <t>NX3L2267</t>
  </si>
  <si>
    <t>Low-ohmic dual single-pole double-throw analog switch</t>
  </si>
  <si>
    <t>NXP Semiconductors</t>
  </si>
  <si>
    <t>XQFN10</t>
  </si>
  <si>
    <t>NX3L2267_XQFN10</t>
  </si>
  <si>
    <t>https://www.nxp.com/docs/en/data-sheet/NX3L2267.pdf</t>
  </si>
  <si>
    <t>568-8411-1-ND</t>
  </si>
  <si>
    <t>C2673419</t>
  </si>
  <si>
    <t>LT6370IS8E</t>
  </si>
  <si>
    <t>LT6370IMS8</t>
  </si>
  <si>
    <t>LT6370IDD</t>
  </si>
  <si>
    <t>25µV 0.3µV/°C Low Noise Instrumentation Amplifier</t>
  </si>
  <si>
    <t>https://www.analog.com/media/en/technical-documentation/data-sheets/lt6370.pdf</t>
  </si>
  <si>
    <t>LT6370_DD</t>
  </si>
  <si>
    <t>LT6370_S8</t>
  </si>
  <si>
    <t>DFN050P300X300X075-8-EP238X165</t>
  </si>
  <si>
    <t>505-LT6370IS8E#PBF-ND</t>
  </si>
  <si>
    <t>LT6370IS8E#PBF</t>
  </si>
  <si>
    <t>505-LT6370HMS8#TRPBFCT-ND</t>
  </si>
  <si>
    <t>LT6370HMS8#TRPBF</t>
  </si>
  <si>
    <t>505-LT6370IDD#TRPBFCT-ND</t>
  </si>
  <si>
    <t>LT6370IDD#TRPBF</t>
  </si>
  <si>
    <t>DFN-10</t>
  </si>
  <si>
    <t>C673100</t>
  </si>
  <si>
    <t>LT6370IMS8#PBF</t>
  </si>
  <si>
    <t>BGA016C035P4X4_140X140X045</t>
  </si>
  <si>
    <t>220-2228-1-ND</t>
  </si>
  <si>
    <t>ICE40UL1K-SWG16ITR1K</t>
  </si>
  <si>
    <t>Lattice Semiconductor Corporation</t>
  </si>
  <si>
    <t>ICE40UL1K-SWG16</t>
  </si>
  <si>
    <t>iCE40 UltraLite FPGA</t>
  </si>
  <si>
    <t>https://www.latticesemi.com/view_document?document_id=50945</t>
  </si>
  <si>
    <t>LTC1799</t>
  </si>
  <si>
    <t>1kHz to 33MHz Resistor Set SOT-23 Oscillator</t>
  </si>
  <si>
    <t>LTC1799CS5#TRPBFCT-ND</t>
  </si>
  <si>
    <t>LTC1799CS5#TRPBF</t>
  </si>
  <si>
    <t>https://www.analog.com/media/en/technical-documentation/data-sheets/LTC1799.pdf</t>
  </si>
  <si>
    <t>SN74LVC1G34</t>
  </si>
  <si>
    <t>SN74LVC1G34 Single Buffer Gate BGA - YFP</t>
  </si>
  <si>
    <t>GATE BUF 1X1 BGA</t>
  </si>
  <si>
    <t>BGA004C040P2X2_079X079X050</t>
  </si>
  <si>
    <t>https://www.ti.com/lit/ds/symlink/sn74lvc1g34.pdf</t>
  </si>
  <si>
    <t>C2676158</t>
  </si>
  <si>
    <t>SN74LVC1G34YFPR</t>
  </si>
  <si>
    <t>296-23862-1-ND</t>
  </si>
  <si>
    <t>TPS7A2018PYCKR</t>
  </si>
  <si>
    <t>TPS7A2012PYCJR</t>
  </si>
  <si>
    <t>TPS7A2033PYCJR</t>
  </si>
  <si>
    <t>TPS7A2025PYCJR</t>
  </si>
  <si>
    <t>TPS7A2011PYCKR</t>
  </si>
  <si>
    <t>TPS7A20285PYCKR</t>
  </si>
  <si>
    <t>TPS7A2020PYCKR</t>
  </si>
  <si>
    <t>TPS7A2028PYCJR</t>
  </si>
  <si>
    <t>TPS7A2027PYCJR</t>
  </si>
  <si>
    <t>TPS7A20185PYCKR</t>
  </si>
  <si>
    <t>TPS7A20C285PYCKR</t>
  </si>
  <si>
    <t>TPS7A20C22PYCKR</t>
  </si>
  <si>
    <t>TPS7A20C25PYCKR</t>
  </si>
  <si>
    <t>TPS7A202275PYCKR</t>
  </si>
  <si>
    <t>TPS7A2016YCKR</t>
  </si>
  <si>
    <t>TPS7A2030YCKR</t>
  </si>
  <si>
    <t>TPS7A2033YCKR</t>
  </si>
  <si>
    <t>TPS7A2018YCKR</t>
  </si>
  <si>
    <t>296-TPS7A2018PYCKRCT-ND</t>
  </si>
  <si>
    <t>296-TPS7A2012PYCJRCT-ND</t>
  </si>
  <si>
    <t>296-TPS7A2033PYCJRCT-ND</t>
  </si>
  <si>
    <t>296-TPS7A2025PYCJRCT-ND</t>
  </si>
  <si>
    <t>296-TPS7A2011PYCKRCT-ND</t>
  </si>
  <si>
    <t>296-TPS7A20285PYCKRCT-ND</t>
  </si>
  <si>
    <t>296-TPS7A2020PYCKRCT-ND</t>
  </si>
  <si>
    <t>296-TPS7A2028PYCJRCT-ND</t>
  </si>
  <si>
    <t>296-TPS7A2027PYCJRCT-ND</t>
  </si>
  <si>
    <t>296-TPS7A20185PYCKRCT-ND</t>
  </si>
  <si>
    <t>296-TPS7A20C285PYCKRCT-ND</t>
  </si>
  <si>
    <t>296-TPS7A20C22PYCKRCT-ND</t>
  </si>
  <si>
    <t>296-TPS7A20C25PYCKRCT-ND</t>
  </si>
  <si>
    <t>296-TPS7A202275PYCKRCT-ND</t>
  </si>
  <si>
    <t>296-TPS7A2016YCKRCT-ND</t>
  </si>
  <si>
    <t>296-TPS7A2030YCKRCT-ND</t>
  </si>
  <si>
    <t>296-TPS7A2033YCKRCT-ND</t>
  </si>
  <si>
    <t>296-TPS7A2018YCKRCT-ND</t>
  </si>
  <si>
    <t>IC REG LINEAR 1.8V 300MA 4-DSBGA</t>
  </si>
  <si>
    <t>IC REG LINEAR 1.2V 300MA 4-DSBGA</t>
  </si>
  <si>
    <t>IC REG LINEAR 3.3V 300MA 4-DSBGA</t>
  </si>
  <si>
    <t>IC REG LINEAR 2.5V 300MA 4-DSBGA</t>
  </si>
  <si>
    <t>IC REG LINEAR 1.1V 300MA 4-DSBGA</t>
  </si>
  <si>
    <t>IC REG LIN 2.85V 300MA 4-DSBGA</t>
  </si>
  <si>
    <t>IC REG LINEAR 2V 300MA 4-DSBGA</t>
  </si>
  <si>
    <t>IC REG LINEAR 2.8V 300MA 4-DSBGA</t>
  </si>
  <si>
    <t>IC REG LINEAR 2.7V 300MA 4-DSBGA</t>
  </si>
  <si>
    <t>IC REG LIN 1.85V 300MA 4-DSBGA</t>
  </si>
  <si>
    <t>IC REG LINEAR 2.2V 300MA 4-DSBGA</t>
  </si>
  <si>
    <t>IC REG LIN 2.275V 300MA 4-DSBGA</t>
  </si>
  <si>
    <t>IC REG LINEAR 1.6V 300MA 4-DSBGA</t>
  </si>
  <si>
    <t>IC REG LINEAR 3V 300MA 4-DSBGA</t>
  </si>
  <si>
    <t>TPS7A20 BGA</t>
  </si>
  <si>
    <t>BGA004C035P2X2_063X063X033</t>
  </si>
  <si>
    <t>https://www.ti.com/lit/ds/symlink/tps7a20.pdf</t>
  </si>
  <si>
    <t>https://www.ti.com/lit/ds/symlink/tps22991.pdf</t>
  </si>
  <si>
    <t>TPS22991CRAAR</t>
  </si>
  <si>
    <t>TPS22991BRAAR</t>
  </si>
  <si>
    <t>TPS22991CNRAAR</t>
  </si>
  <si>
    <t>TPS22991BNRAAR</t>
  </si>
  <si>
    <t>TPS22991IBNRAAR</t>
  </si>
  <si>
    <t>TPS22991ICNRAAR</t>
  </si>
  <si>
    <t>TPS22991IBRAAR</t>
  </si>
  <si>
    <t>TPS22991ICRAAR</t>
  </si>
  <si>
    <t>296-TPS22991CRAARCT-ND</t>
  </si>
  <si>
    <t>296-TPS22991BRAARCT-ND</t>
  </si>
  <si>
    <t>296-TPS22991CNRAARCT-ND</t>
  </si>
  <si>
    <t>296-TPS22991BNRAARCT-ND</t>
  </si>
  <si>
    <t>296-TPS22991IBNRAARCT-ND</t>
  </si>
  <si>
    <t>296-TPS22991ICNRAARCT-ND</t>
  </si>
  <si>
    <t>296-TPS22991IBRAARCT-ND</t>
  </si>
  <si>
    <t>296-TPS22991ICRAARCT-ND</t>
  </si>
  <si>
    <t>5V 3A 25M Load Switch with Discharge</t>
  </si>
  <si>
    <t>5V 3A 25M Fast Load Switch with Discharge</t>
  </si>
  <si>
    <t>5V 3A 25M Load Switch</t>
  </si>
  <si>
    <t>5V 3A 25M Fast Load Switch</t>
  </si>
  <si>
    <t xml:space="preserve">5.5V 2.7A 28M Fast Load Switch </t>
  </si>
  <si>
    <t xml:space="preserve">5.5V 2.7A 28M Load Switch </t>
  </si>
  <si>
    <t>5.5V 2.7A 28M Fast Load Switch with Discharge</t>
  </si>
  <si>
    <t>5.5V 2.7A 28M Load Switch with Discharge</t>
  </si>
  <si>
    <t>TPS22991C</t>
  </si>
  <si>
    <t>TPS22991B</t>
  </si>
  <si>
    <t>TPS22991CN</t>
  </si>
  <si>
    <t>TPS22991BN</t>
  </si>
  <si>
    <t>TPS22991IBN</t>
  </si>
  <si>
    <t>TPS22991ICN</t>
  </si>
  <si>
    <t>TPS22991IB</t>
  </si>
  <si>
    <t>TPS22991IC</t>
  </si>
  <si>
    <t>UQFN-HR</t>
  </si>
  <si>
    <t>TPS22991</t>
  </si>
  <si>
    <t>QFN040P080X090X050-4</t>
  </si>
  <si>
    <t>C49307573</t>
  </si>
  <si>
    <t>C42113540</t>
  </si>
  <si>
    <t>C49307567</t>
  </si>
  <si>
    <t>C49454445</t>
  </si>
  <si>
    <t>C49454446</t>
  </si>
  <si>
    <t>C5220161</t>
  </si>
  <si>
    <t>C5220159</t>
  </si>
  <si>
    <t>C3746252</t>
  </si>
  <si>
    <t>C6290384</t>
  </si>
  <si>
    <t>C7401711</t>
  </si>
  <si>
    <t>C3025023</t>
  </si>
  <si>
    <t>C5220162</t>
  </si>
  <si>
    <t>C6719128</t>
  </si>
  <si>
    <t>C7073376</t>
  </si>
  <si>
    <t>C5220160</t>
  </si>
  <si>
    <t>C42064755</t>
  </si>
  <si>
    <t>C41589305</t>
  </si>
  <si>
    <t>C42038768</t>
  </si>
  <si>
    <t>C41613873</t>
  </si>
  <si>
    <t>1R/0201</t>
  </si>
  <si>
    <t xml:space="preserve">RES SM 0201 1R </t>
  </si>
  <si>
    <t>0201</t>
  </si>
  <si>
    <t>https://yageogroup.com/content/datasheet/asset/file/PYU-RC_GROUP_51_ROHS_L</t>
  </si>
  <si>
    <t>RC0201FR-071RL</t>
  </si>
  <si>
    <t>YAG3368CT-ND</t>
  </si>
  <si>
    <t>1R2/0201</t>
  </si>
  <si>
    <t xml:space="preserve">RES SM 0201 1R2 </t>
  </si>
  <si>
    <t>RC0201FR-071R2L</t>
  </si>
  <si>
    <t>13-RC0201FR-071R2LCT-ND</t>
  </si>
  <si>
    <t>1R3/0201</t>
  </si>
  <si>
    <t xml:space="preserve">RES SM 0201 1R3 </t>
  </si>
  <si>
    <t>RC0201FR-071R3L</t>
  </si>
  <si>
    <t>13-RC0201FR-071R3LCT-ND</t>
  </si>
  <si>
    <t>1R5/0201</t>
  </si>
  <si>
    <t xml:space="preserve">RES SM 0201 1R5 </t>
  </si>
  <si>
    <t>RC0201FR-071R5L</t>
  </si>
  <si>
    <t>13-RC0201FR-071R5LCT-ND</t>
  </si>
  <si>
    <t>1R8/0201</t>
  </si>
  <si>
    <t xml:space="preserve">RES SM 0201 1R8 </t>
  </si>
  <si>
    <t>RC0201FR-071R8L</t>
  </si>
  <si>
    <t>13-RC0201FR-071R8LCT-ND</t>
  </si>
  <si>
    <t>2R/0201</t>
  </si>
  <si>
    <t xml:space="preserve">RES SM 0201 2R </t>
  </si>
  <si>
    <t>RC0201FR-072RL</t>
  </si>
  <si>
    <t>13-RC0201FR-072RLCT-ND</t>
  </si>
  <si>
    <t>2R2/0201</t>
  </si>
  <si>
    <t xml:space="preserve">RES SM 0201 2R2 </t>
  </si>
  <si>
    <t>RC0201FR-072R2L</t>
  </si>
  <si>
    <t>13-RC0201FR-072R2LCT-ND</t>
  </si>
  <si>
    <t>2R7/0201</t>
  </si>
  <si>
    <t xml:space="preserve">RES SM 0201 2R7 </t>
  </si>
  <si>
    <t>RC0201FR-072R7L</t>
  </si>
  <si>
    <t>13-RC0201FR-072R7LCT-ND</t>
  </si>
  <si>
    <t>3R/0201</t>
  </si>
  <si>
    <t xml:space="preserve">RES SM 0201 3R </t>
  </si>
  <si>
    <t>RC0201FR-073RL</t>
  </si>
  <si>
    <t>13-RC0201FR-073RLCT-ND</t>
  </si>
  <si>
    <t>3R3/0201</t>
  </si>
  <si>
    <t xml:space="preserve">RES SM 0201 3R3 </t>
  </si>
  <si>
    <t>RC0201FR-073R3L</t>
  </si>
  <si>
    <t>13-RC0201FR-073R3LCT-ND</t>
  </si>
  <si>
    <t>3R9/0201</t>
  </si>
  <si>
    <t xml:space="preserve">RES SM 0201 3R9 </t>
  </si>
  <si>
    <t>RC0201FR-073R9L</t>
  </si>
  <si>
    <t>13-RC0201FR-073R9LCT-ND</t>
  </si>
  <si>
    <t>4R3/0201</t>
  </si>
  <si>
    <t xml:space="preserve">RES SM 0201 4R3 </t>
  </si>
  <si>
    <t>RC0201FR-074R3L</t>
  </si>
  <si>
    <t>13-RC0201FR-074R3LCT-ND</t>
  </si>
  <si>
    <t>4R7/0201</t>
  </si>
  <si>
    <t xml:space="preserve">RES SM 0201 4R7 </t>
  </si>
  <si>
    <t>RC0201FR-074R7L</t>
  </si>
  <si>
    <t>13-RC0201FR-074R7LCT-ND</t>
  </si>
  <si>
    <t>5R1/0201</t>
  </si>
  <si>
    <t xml:space="preserve">RES SM 0201 5R1 </t>
  </si>
  <si>
    <t>RC0201FR-075R1L</t>
  </si>
  <si>
    <t>13-RC0201FR-075R1LCT-ND</t>
  </si>
  <si>
    <t>5R6/0201</t>
  </si>
  <si>
    <t xml:space="preserve">RES SM 0201 5R6 </t>
  </si>
  <si>
    <t>RC0201FR-075R6L</t>
  </si>
  <si>
    <t>13-RC0201FR-075R6LCT-ND</t>
  </si>
  <si>
    <t>6R2/0201</t>
  </si>
  <si>
    <t xml:space="preserve">RES SM 0201 6R2 </t>
  </si>
  <si>
    <t>RC0201FR-076R2L</t>
  </si>
  <si>
    <t>13-RC0201FR-076R2LCT-ND</t>
  </si>
  <si>
    <t>6R8/0201</t>
  </si>
  <si>
    <t xml:space="preserve">RES SM 0201 6R8 </t>
  </si>
  <si>
    <t>RC0201FR-076R8L</t>
  </si>
  <si>
    <t>13-RC0201FR-076R8LCT-ND</t>
  </si>
  <si>
    <t>7R5/0201</t>
  </si>
  <si>
    <t xml:space="preserve">RES SM 0201 7R5 </t>
  </si>
  <si>
    <t>RC0201FR-077R5L</t>
  </si>
  <si>
    <t>13-RC0201FR-077R5LCT-ND</t>
  </si>
  <si>
    <t>8R2/0201</t>
  </si>
  <si>
    <t xml:space="preserve">RES SM 0201 8R2 </t>
  </si>
  <si>
    <t>RC0201FR-078R2L</t>
  </si>
  <si>
    <t>13-RC0201FR-078R2LCT-ND</t>
  </si>
  <si>
    <t>9R1/0201</t>
  </si>
  <si>
    <t xml:space="preserve">RES SM 0201 9R1 </t>
  </si>
  <si>
    <t>RC0201FR-079R1L</t>
  </si>
  <si>
    <t>13-RC0201FR-079R1LCT-ND</t>
  </si>
  <si>
    <t>10R/0201</t>
  </si>
  <si>
    <t xml:space="preserve">RES SM 0201 10R </t>
  </si>
  <si>
    <t>RC0201FR-0710RL</t>
  </si>
  <si>
    <t>311-10.0MCT-ND</t>
  </si>
  <si>
    <t>RC0201FR-1310RL</t>
  </si>
  <si>
    <t>13-RC0201FR-1310RLCT-ND</t>
  </si>
  <si>
    <t>11R/0201</t>
  </si>
  <si>
    <t xml:space="preserve">RES SM 0201 11R </t>
  </si>
  <si>
    <t>RC0201FR-0711RL</t>
  </si>
  <si>
    <t>YAG2392CT-ND</t>
  </si>
  <si>
    <t>12R/0201</t>
  </si>
  <si>
    <t xml:space="preserve">RES SM 0201 12R </t>
  </si>
  <si>
    <t>RC0201FR-0712RL</t>
  </si>
  <si>
    <t>311-12.0MCT-ND</t>
  </si>
  <si>
    <t>13R/0201</t>
  </si>
  <si>
    <t xml:space="preserve">RES SM 0201 13R </t>
  </si>
  <si>
    <t>RC0201FR-0713RL</t>
  </si>
  <si>
    <t>YAG2404CT-ND</t>
  </si>
  <si>
    <t>15R/0201</t>
  </si>
  <si>
    <t xml:space="preserve">RES SM 0201 15R </t>
  </si>
  <si>
    <t>RC0201FR-0715RL</t>
  </si>
  <si>
    <t>311-15.0MCT-ND</t>
  </si>
  <si>
    <t>16R/0201</t>
  </si>
  <si>
    <t xml:space="preserve">RES SM 0201 16R </t>
  </si>
  <si>
    <t>RC0201FR-0716RL</t>
  </si>
  <si>
    <t>YAG2441CT-ND</t>
  </si>
  <si>
    <t>18R/0201</t>
  </si>
  <si>
    <t xml:space="preserve">RES SM 0201 18R </t>
  </si>
  <si>
    <t>RC0201FR-0718RL</t>
  </si>
  <si>
    <t>YAG2459CT-ND</t>
  </si>
  <si>
    <t>20R/0201</t>
  </si>
  <si>
    <t xml:space="preserve">RES SM 0201 20R </t>
  </si>
  <si>
    <t>RC0201FR-0720RL</t>
  </si>
  <si>
    <t>YAG2500CT-ND</t>
  </si>
  <si>
    <t>22R/0201</t>
  </si>
  <si>
    <t xml:space="preserve">RES SM 0201 22R </t>
  </si>
  <si>
    <t>RC0201FR-0722RL</t>
  </si>
  <si>
    <t>YAG2518CT-ND</t>
  </si>
  <si>
    <t>RC0201FR-1322RL</t>
  </si>
  <si>
    <t>13-RC0201FR-1322RLCT-ND</t>
  </si>
  <si>
    <t>24R/0201</t>
  </si>
  <si>
    <t xml:space="preserve">RES SM 0201 24R </t>
  </si>
  <si>
    <t>RC0201FR-0724RL</t>
  </si>
  <si>
    <t>YAG2535CT-ND</t>
  </si>
  <si>
    <t>27R/0201</t>
  </si>
  <si>
    <t xml:space="preserve">RES SM 0201 27R </t>
  </si>
  <si>
    <t>RC0201FR-0727RL</t>
  </si>
  <si>
    <t>YAG2554CT-ND</t>
  </si>
  <si>
    <t>30R/0201</t>
  </si>
  <si>
    <t xml:space="preserve">RES SM 0201 30R </t>
  </si>
  <si>
    <t>RC0201FR-0730RL</t>
  </si>
  <si>
    <t>YAG2594CT-ND</t>
  </si>
  <si>
    <t>RC0201FR-1330RL</t>
  </si>
  <si>
    <t>13-RC0201FR-1330RLCT-ND</t>
  </si>
  <si>
    <t>33R/0201</t>
  </si>
  <si>
    <t xml:space="preserve">RES SM 0201 33R </t>
  </si>
  <si>
    <t>RC0201FR-0733RL</t>
  </si>
  <si>
    <t>311-33.0MCT-ND</t>
  </si>
  <si>
    <t>RC0201FR-1333RL</t>
  </si>
  <si>
    <t>13-RC0201FR-1333RLCT-ND</t>
  </si>
  <si>
    <t>36R/0201</t>
  </si>
  <si>
    <t xml:space="preserve">RES SM 0201 36R </t>
  </si>
  <si>
    <t>RC0201FR-0736RL</t>
  </si>
  <si>
    <t>YAG2628CT-ND</t>
  </si>
  <si>
    <t>39R/0201</t>
  </si>
  <si>
    <t xml:space="preserve">RES SM 0201 39R </t>
  </si>
  <si>
    <t>RC0201FR-0739RL</t>
  </si>
  <si>
    <t>YAG2643CT-ND</t>
  </si>
  <si>
    <t>RC0201FR-1339RL</t>
  </si>
  <si>
    <t>13-RC0201FR-1339RLCT-ND</t>
  </si>
  <si>
    <t>43R/0201</t>
  </si>
  <si>
    <t xml:space="preserve">RES SM 0201 43R </t>
  </si>
  <si>
    <t>RC0201FR-0743RL</t>
  </si>
  <si>
    <t>YAG2675CT-ND</t>
  </si>
  <si>
    <t>47R/0201</t>
  </si>
  <si>
    <t xml:space="preserve">RES SM 0201 47R </t>
  </si>
  <si>
    <t>RC0201FR-0747RL</t>
  </si>
  <si>
    <t>YAG2694CT-ND</t>
  </si>
  <si>
    <t>RC0201FR-1347RL</t>
  </si>
  <si>
    <t>13-RC0201FR-1347RLCT-ND</t>
  </si>
  <si>
    <t>51R/0201</t>
  </si>
  <si>
    <t xml:space="preserve">RES SM 0201 51R </t>
  </si>
  <si>
    <t>RC0201FR-0751RL</t>
  </si>
  <si>
    <t>YAG2288CT-ND</t>
  </si>
  <si>
    <t>56R/0201</t>
  </si>
  <si>
    <t xml:space="preserve">RES SM 0201 56R </t>
  </si>
  <si>
    <t>RC0201FR-0756RL</t>
  </si>
  <si>
    <t>YAG2344CT-ND</t>
  </si>
  <si>
    <t>62R/0201</t>
  </si>
  <si>
    <t xml:space="preserve">RES SM 0201 62R </t>
  </si>
  <si>
    <t>RC0201FR-0762RL</t>
  </si>
  <si>
    <t>YAG2755CT-ND</t>
  </si>
  <si>
    <t>68R/0201</t>
  </si>
  <si>
    <t xml:space="preserve">RES SM 0201 68R </t>
  </si>
  <si>
    <t>RC0201FR-0768RL</t>
  </si>
  <si>
    <t>YAG2773CT-ND</t>
  </si>
  <si>
    <t>75R/0201</t>
  </si>
  <si>
    <t xml:space="preserve">RES SM 0201 75R </t>
  </si>
  <si>
    <t>RC0201FR-0775RL</t>
  </si>
  <si>
    <t>YAG2289CT-ND</t>
  </si>
  <si>
    <t>82R/0201</t>
  </si>
  <si>
    <t xml:space="preserve">RES SM 0201 82R </t>
  </si>
  <si>
    <t>RC0201FR-0782RL</t>
  </si>
  <si>
    <t>YAG2818CT-ND</t>
  </si>
  <si>
    <t>91R/0201</t>
  </si>
  <si>
    <t xml:space="preserve">RES SM 0201 91R </t>
  </si>
  <si>
    <t>RC0201FR-0791RL</t>
  </si>
  <si>
    <t>YAG2843CT-ND</t>
  </si>
  <si>
    <t>100R/0201</t>
  </si>
  <si>
    <t xml:space="preserve">RES SM 0201 100R </t>
  </si>
  <si>
    <t>RC0201FR-13100RL</t>
  </si>
  <si>
    <t>13-RC0201FR-13100RLCT-ND</t>
  </si>
  <si>
    <t>RC0201FR-07100RL</t>
  </si>
  <si>
    <t>311-100MCT-ND</t>
  </si>
  <si>
    <t>110R/0201</t>
  </si>
  <si>
    <t xml:space="preserve">RES SM 0201 110R </t>
  </si>
  <si>
    <t>RC0201FR-07110RL</t>
  </si>
  <si>
    <t>YAG2379CT-ND</t>
  </si>
  <si>
    <t>120R/0201</t>
  </si>
  <si>
    <t xml:space="preserve">RES SM 0201 120R </t>
  </si>
  <si>
    <t>RC0201FR-13120RL</t>
  </si>
  <si>
    <t>13-RC0201FR-13120RLCT-ND</t>
  </si>
  <si>
    <t>RC0201FR-07120RL</t>
  </si>
  <si>
    <t>311-120MCT-ND</t>
  </si>
  <si>
    <t>130R/0201</t>
  </si>
  <si>
    <t xml:space="preserve">RES SM 0201 130R </t>
  </si>
  <si>
    <t>RC0201FR-07130RL</t>
  </si>
  <si>
    <t>YAG2394CT-ND</t>
  </si>
  <si>
    <t>150R/0201</t>
  </si>
  <si>
    <t xml:space="preserve">RES SM 0201 150R </t>
  </si>
  <si>
    <t>RC0201FR-07150RL</t>
  </si>
  <si>
    <t>YAG2273CT-ND</t>
  </si>
  <si>
    <t>RC0201FR-13150RL</t>
  </si>
  <si>
    <t>13-RC0201FR-13150RLCT-ND</t>
  </si>
  <si>
    <t>160R/0201</t>
  </si>
  <si>
    <t xml:space="preserve">RES SM 0201 160R </t>
  </si>
  <si>
    <t>RC0201FR-07160RL</t>
  </si>
  <si>
    <t>YAG2427CT-ND</t>
  </si>
  <si>
    <t>180R/0201</t>
  </si>
  <si>
    <t xml:space="preserve">RES SM 0201 180R </t>
  </si>
  <si>
    <t>RC0201FR-07180RL</t>
  </si>
  <si>
    <t>YAG2450CT-ND</t>
  </si>
  <si>
    <t>200R/0201</t>
  </si>
  <si>
    <t xml:space="preserve">RES SM 0201 200R </t>
  </si>
  <si>
    <t>RC0201FR-13200RL</t>
  </si>
  <si>
    <t>13-RC0201FR-13200RLCT-ND</t>
  </si>
  <si>
    <t>RC0201FR-07200RL</t>
  </si>
  <si>
    <t>YAG2495CT-ND</t>
  </si>
  <si>
    <t>220R/0201</t>
  </si>
  <si>
    <t xml:space="preserve">RES SM 0201 220R </t>
  </si>
  <si>
    <t>RC0201FR-13220RL</t>
  </si>
  <si>
    <t>13-RC0201FR-13220RLCT-ND</t>
  </si>
  <si>
    <t>RC0201FR-07220RL</t>
  </si>
  <si>
    <t>YAG2509CT-ND</t>
  </si>
  <si>
    <t>240R/0201</t>
  </si>
  <si>
    <t xml:space="preserve">RES SM 0201 240R </t>
  </si>
  <si>
    <t>RC0201FR-07240RL</t>
  </si>
  <si>
    <t>YAG2528CT-ND</t>
  </si>
  <si>
    <t>RC0201FR-13240RL</t>
  </si>
  <si>
    <t>13-RC0201FR-13240RLCT-ND</t>
  </si>
  <si>
    <t>270R/0201</t>
  </si>
  <si>
    <t xml:space="preserve">RES SM 0201 270R </t>
  </si>
  <si>
    <t>RC0201FR-07270RL</t>
  </si>
  <si>
    <t>YAG2337CT-ND</t>
  </si>
  <si>
    <t>300R/0201</t>
  </si>
  <si>
    <t xml:space="preserve">RES SM 0201 300R </t>
  </si>
  <si>
    <t>RC0201FR-13300RL</t>
  </si>
  <si>
    <t>13-RC0201FR-13300RLCT-ND</t>
  </si>
  <si>
    <t>RC0201FR-07300RL</t>
  </si>
  <si>
    <t>YAG2339CT-ND</t>
  </si>
  <si>
    <t>330R/0201</t>
  </si>
  <si>
    <t xml:space="preserve">RES SM 0201 330R </t>
  </si>
  <si>
    <t>RC0201FR-07330RL</t>
  </si>
  <si>
    <t>YAG2604CT-ND</t>
  </si>
  <si>
    <t>360R/0201</t>
  </si>
  <si>
    <t xml:space="preserve">RES SM 0201 360R </t>
  </si>
  <si>
    <t>RC0201FR-07360RL</t>
  </si>
  <si>
    <t>YAG2622CT-ND</t>
  </si>
  <si>
    <t>390R/0201</t>
  </si>
  <si>
    <t xml:space="preserve">RES SM 0201 390R </t>
  </si>
  <si>
    <t>RC0201FR-07390RL</t>
  </si>
  <si>
    <t>YAG2283CT-ND</t>
  </si>
  <si>
    <t>RC0201FR-13390RL</t>
  </si>
  <si>
    <t>13-RC0201FR-13390RLCT-ND</t>
  </si>
  <si>
    <t>430R/0201</t>
  </si>
  <si>
    <t xml:space="preserve">RES SM 0201 430R </t>
  </si>
  <si>
    <t>RC0201FR-07430RL</t>
  </si>
  <si>
    <t>YAG2669CT-ND</t>
  </si>
  <si>
    <t>470R/0201</t>
  </si>
  <si>
    <t xml:space="preserve">RES SM 0201 470R </t>
  </si>
  <si>
    <t>RC0201FR-07470RL</t>
  </si>
  <si>
    <t>YAG2689CT-ND</t>
  </si>
  <si>
    <t>RC0201FR-13470RL</t>
  </si>
  <si>
    <t>13-RC0201FR-13470RLCT-ND</t>
  </si>
  <si>
    <t>510R/0201</t>
  </si>
  <si>
    <t xml:space="preserve">RES SM 0201 510R </t>
  </si>
  <si>
    <t>RC0201FR-07510RL</t>
  </si>
  <si>
    <t>YAG2714CT-ND</t>
  </si>
  <si>
    <t>560R/0201</t>
  </si>
  <si>
    <t xml:space="preserve">RES SM 0201 560R </t>
  </si>
  <si>
    <t>RC0201FR-07560RL</t>
  </si>
  <si>
    <t>YAG2343CT-ND</t>
  </si>
  <si>
    <t>620R/0201</t>
  </si>
  <si>
    <t xml:space="preserve">RES SM 0201 620R </t>
  </si>
  <si>
    <t>RC0201FR-07620RL</t>
  </si>
  <si>
    <t>YAG2348CT-ND</t>
  </si>
  <si>
    <t>680R/0201</t>
  </si>
  <si>
    <t xml:space="preserve">RES SM 0201 680R </t>
  </si>
  <si>
    <t>RC0201FR-07680RL</t>
  </si>
  <si>
    <t>YAG2769CT-ND</t>
  </si>
  <si>
    <t>750R/0201</t>
  </si>
  <si>
    <t xml:space="preserve">RES SM 0201 750R </t>
  </si>
  <si>
    <t>RC0201FR-07750RL</t>
  </si>
  <si>
    <t>YAG2794CT-ND</t>
  </si>
  <si>
    <t>820R/0201</t>
  </si>
  <si>
    <t xml:space="preserve">RES SM 0201 820R </t>
  </si>
  <si>
    <t>RC0201FR-07820RL</t>
  </si>
  <si>
    <t>YAG2352CT-ND</t>
  </si>
  <si>
    <t>910R/0201</t>
  </si>
  <si>
    <t xml:space="preserve">RES SM 0201 910R </t>
  </si>
  <si>
    <t>RC0201FR-07910RL</t>
  </si>
  <si>
    <t>YAG2841CT-ND</t>
  </si>
  <si>
    <t>1K/0201</t>
  </si>
  <si>
    <t xml:space="preserve">RES SM 0201 1K </t>
  </si>
  <si>
    <t>RC0201FR-071KL</t>
  </si>
  <si>
    <t>311-1KMCT-ND</t>
  </si>
  <si>
    <t>RC0201FR-131KL</t>
  </si>
  <si>
    <t>13-RC0201FR-131KLCT-ND</t>
  </si>
  <si>
    <t>1K1/0201</t>
  </si>
  <si>
    <t xml:space="preserve">RES SM 0201 1K1 </t>
  </si>
  <si>
    <t>RC0201FR-071K1L</t>
  </si>
  <si>
    <t>YAG2474CT-ND</t>
  </si>
  <si>
    <t>RC0201FR-131K1L</t>
  </si>
  <si>
    <t>13-RC0201FR-131K1LCT-ND</t>
  </si>
  <si>
    <t>1K2/0201</t>
  </si>
  <si>
    <t xml:space="preserve">RES SM 0201 1K2 </t>
  </si>
  <si>
    <t>RC0201FR-071K2L</t>
  </si>
  <si>
    <t>YAG2478CT-ND</t>
  </si>
  <si>
    <t>1K3/0201</t>
  </si>
  <si>
    <t xml:space="preserve">RES SM 0201 1K3 </t>
  </si>
  <si>
    <t>RC0201FR-071K3L</t>
  </si>
  <si>
    <t>YAG2333CT-ND</t>
  </si>
  <si>
    <t>1K5/0201</t>
  </si>
  <si>
    <t xml:space="preserve">RES SM 0201 1K5 </t>
  </si>
  <si>
    <t>RC0201FR-071K5L</t>
  </si>
  <si>
    <t>YAG2274CT-ND</t>
  </si>
  <si>
    <t>RC0201FR-131K5L</t>
  </si>
  <si>
    <t>13-RC0201FR-131K5LCT-ND</t>
  </si>
  <si>
    <t>1K6/0201</t>
  </si>
  <si>
    <t xml:space="preserve">RES SM 0201 1K6 </t>
  </si>
  <si>
    <t>RC0201FR-071K6L</t>
  </si>
  <si>
    <t>YAG2488CT-ND</t>
  </si>
  <si>
    <t>1K8/0201</t>
  </si>
  <si>
    <t xml:space="preserve">RES SM 0201 1K8 </t>
  </si>
  <si>
    <t>RC0201FR-071K8L</t>
  </si>
  <si>
    <t>YAG2492CT-ND</t>
  </si>
  <si>
    <t>2K/0201</t>
  </si>
  <si>
    <t xml:space="preserve">RES SM 0201 2K </t>
  </si>
  <si>
    <t>RC0201FR-072KL</t>
  </si>
  <si>
    <t>YAG2280CT-ND</t>
  </si>
  <si>
    <t>RC0201FR-132KL</t>
  </si>
  <si>
    <t>13-RC0201FR-132KLCT-ND</t>
  </si>
  <si>
    <t>2K2/0201</t>
  </si>
  <si>
    <t xml:space="preserve">RES SM 0201 2K2 </t>
  </si>
  <si>
    <t>RC0201FR-072K2L</t>
  </si>
  <si>
    <t>YAG2572CT-ND</t>
  </si>
  <si>
    <t>RC0201FR-132K2L</t>
  </si>
  <si>
    <t>13-RC0201FR-132K2LCT-ND</t>
  </si>
  <si>
    <t>2K4/0201</t>
  </si>
  <si>
    <t xml:space="preserve">RES SM 0201 2K4 </t>
  </si>
  <si>
    <t>RC0201FR-072K4L</t>
  </si>
  <si>
    <t>YAG2576CT-ND</t>
  </si>
  <si>
    <t>2K7/0201</t>
  </si>
  <si>
    <t xml:space="preserve">RES SM 0201 2K7 </t>
  </si>
  <si>
    <t>RC0201FR-072K7L</t>
  </si>
  <si>
    <t>YAG2581CT-ND</t>
  </si>
  <si>
    <t>3K/0201</t>
  </si>
  <si>
    <t xml:space="preserve">RES SM 0201 3K </t>
  </si>
  <si>
    <t>RC0201FR-073KL</t>
  </si>
  <si>
    <t>YAG2656CT-ND</t>
  </si>
  <si>
    <t>3K3/0201</t>
  </si>
  <si>
    <t xml:space="preserve">RES SM 0201 3K3 </t>
  </si>
  <si>
    <t>RC0201FR-073K3L</t>
  </si>
  <si>
    <t>YAG2285CT-ND</t>
  </si>
  <si>
    <t>RC0201FR-133K3L</t>
  </si>
  <si>
    <t>13-RC0201FR-133K3LCT-ND</t>
  </si>
  <si>
    <t>3K6/0201</t>
  </si>
  <si>
    <t xml:space="preserve">RES SM 0201 3K6 </t>
  </si>
  <si>
    <t>RC0201FR-073K6L</t>
  </si>
  <si>
    <t>YAG2651CT-ND</t>
  </si>
  <si>
    <t>3K9/0201</t>
  </si>
  <si>
    <t xml:space="preserve">RES SM 0201 3K9 </t>
  </si>
  <si>
    <t>RC0201FR-073K9L</t>
  </si>
  <si>
    <t>YAG2655CT-ND</t>
  </si>
  <si>
    <t>4K3/0201</t>
  </si>
  <si>
    <t xml:space="preserve">RES SM 0201 4K3 </t>
  </si>
  <si>
    <t>RC0201FR-074K3L</t>
  </si>
  <si>
    <t>YAG2706CT-ND</t>
  </si>
  <si>
    <t>4K7/0201</t>
  </si>
  <si>
    <t xml:space="preserve">RES SM 0201 4K7 </t>
  </si>
  <si>
    <t>RC0201FR-074K7L</t>
  </si>
  <si>
    <t>311-4.70KMCT-ND</t>
  </si>
  <si>
    <t>RC0201FR-134K7L</t>
  </si>
  <si>
    <t>13-RC0201FR-134K7LCT-ND</t>
  </si>
  <si>
    <t>5K1/0201</t>
  </si>
  <si>
    <t xml:space="preserve">RES SM 0201 5K1 </t>
  </si>
  <si>
    <t>RC0201FR-135K1L</t>
  </si>
  <si>
    <t>13-RC0201FR-135K1LCT-ND</t>
  </si>
  <si>
    <t>RC0201FR-075K1L</t>
  </si>
  <si>
    <t>YAG2741CT-ND</t>
  </si>
  <si>
    <t>5K6/0201</t>
  </si>
  <si>
    <t xml:space="preserve">RES SM 0201 5K6 </t>
  </si>
  <si>
    <t>RC0201FR-075K6L</t>
  </si>
  <si>
    <t>YAG2346CT-ND</t>
  </si>
  <si>
    <t>RC0201FR-135K6L</t>
  </si>
  <si>
    <t>13-RC0201FR-135K6LCT-ND</t>
  </si>
  <si>
    <t>6K2/0201</t>
  </si>
  <si>
    <t xml:space="preserve">RES SM 0201 6K2 </t>
  </si>
  <si>
    <t>RC0201FR-076K2L</t>
  </si>
  <si>
    <t>YAG2780CT-ND</t>
  </si>
  <si>
    <t>6K8/0201</t>
  </si>
  <si>
    <t xml:space="preserve">RES SM 0201 6K8 </t>
  </si>
  <si>
    <t>RC0201FR-076K8L</t>
  </si>
  <si>
    <t>YAG2351CT-ND</t>
  </si>
  <si>
    <t>7K5/0201</t>
  </si>
  <si>
    <t xml:space="preserve">RES SM 0201 7K5 </t>
  </si>
  <si>
    <t>RC0201FR-077K5L</t>
  </si>
  <si>
    <t>13-RC0201FR-077K5LCT-ND</t>
  </si>
  <si>
    <t>8K2/0201</t>
  </si>
  <si>
    <t xml:space="preserve">RES SM 0201 8K2 </t>
  </si>
  <si>
    <t>RC0201FR-078K2L</t>
  </si>
  <si>
    <t>YAG2353CT-ND</t>
  </si>
  <si>
    <t>9K1/0201</t>
  </si>
  <si>
    <t xml:space="preserve">RES SM 0201 9K1 </t>
  </si>
  <si>
    <t>RC0201FR-079K1L</t>
  </si>
  <si>
    <t>YAG2857CT-ND</t>
  </si>
  <si>
    <t>10K/0201</t>
  </si>
  <si>
    <t xml:space="preserve">RES SM 0201 10K </t>
  </si>
  <si>
    <t>RC0201FR-0710KL</t>
  </si>
  <si>
    <t>311-10.0KMCT-ND</t>
  </si>
  <si>
    <t>RC0201FR-1310KL</t>
  </si>
  <si>
    <t>13-RC0201FR-1310KLCT-ND</t>
  </si>
  <si>
    <t>11K/0201</t>
  </si>
  <si>
    <t xml:space="preserve">RES SM 0201 11K </t>
  </si>
  <si>
    <t>RC0201FR-0711KL</t>
  </si>
  <si>
    <t>YAG2332CT-ND</t>
  </si>
  <si>
    <t>12K/0201</t>
  </si>
  <si>
    <t xml:space="preserve">RES SM 0201 12K </t>
  </si>
  <si>
    <t>RC0201FR-0712KL</t>
  </si>
  <si>
    <t>311-12.0KMCT-ND</t>
  </si>
  <si>
    <t>13K/0201</t>
  </si>
  <si>
    <t xml:space="preserve">RES SM 0201 13K </t>
  </si>
  <si>
    <t>RC0201FR-0713KL</t>
  </si>
  <si>
    <t>YAG2401CT-ND</t>
  </si>
  <si>
    <t>15K/0201</t>
  </si>
  <si>
    <t xml:space="preserve">RES SM 0201 15K </t>
  </si>
  <si>
    <t>RC0201FR-0715KL</t>
  </si>
  <si>
    <t>YAG2423CT-ND</t>
  </si>
  <si>
    <t>RC0201FR-1315KL</t>
  </si>
  <si>
    <t>13-RC0201FR-1315KLCT-ND</t>
  </si>
  <si>
    <t>16K/0201</t>
  </si>
  <si>
    <t xml:space="preserve">RES SM 0201 16K </t>
  </si>
  <si>
    <t>RC0201FR-0716KL</t>
  </si>
  <si>
    <t>YAG2437CT-ND</t>
  </si>
  <si>
    <t>18K/0201</t>
  </si>
  <si>
    <t xml:space="preserve">RES SM 0201 18K </t>
  </si>
  <si>
    <t>RC0201FR-0718KL</t>
  </si>
  <si>
    <t>311-18.0KMCT-ND</t>
  </si>
  <si>
    <t>20K/0201</t>
  </si>
  <si>
    <t xml:space="preserve">RES SM 0201 20K </t>
  </si>
  <si>
    <t>RC0201FR-0720KL</t>
  </si>
  <si>
    <t>YAG2276CT-ND</t>
  </si>
  <si>
    <t>RC0201FR-1320KL</t>
  </si>
  <si>
    <t>13-RC0201FR-1320KLCT-ND</t>
  </si>
  <si>
    <t>22K/0201</t>
  </si>
  <si>
    <t xml:space="preserve">RES SM 0201 22K </t>
  </si>
  <si>
    <t>RC0201FR-0722KL</t>
  </si>
  <si>
    <t>YAG2278CT-ND</t>
  </si>
  <si>
    <t>RC0201FR-1322KL</t>
  </si>
  <si>
    <t>13-RC0201FR-1322KLCT-ND</t>
  </si>
  <si>
    <t>24K/0201</t>
  </si>
  <si>
    <t xml:space="preserve">RES SM 0201 24K </t>
  </si>
  <si>
    <t>RC0201FR-0724KL</t>
  </si>
  <si>
    <t>YAG2336CT-ND</t>
  </si>
  <si>
    <t>27K/0201</t>
  </si>
  <si>
    <t xml:space="preserve">RES SM 0201 27K </t>
  </si>
  <si>
    <t>RC0201FR-0727KL</t>
  </si>
  <si>
    <t>YAG2552CT-ND</t>
  </si>
  <si>
    <t>RC0201FR-1327KL</t>
  </si>
  <si>
    <t>13-RC0201FR-1327KLCT-ND</t>
  </si>
  <si>
    <t>30K/0201</t>
  </si>
  <si>
    <t xml:space="preserve">RES SM 0201 30K </t>
  </si>
  <si>
    <t>RC0201FR-0730KL</t>
  </si>
  <si>
    <t>YAG2281CT-ND</t>
  </si>
  <si>
    <t>RC0201FR-1330KL</t>
  </si>
  <si>
    <t>13-RC0201FR-1330KLCT-ND</t>
  </si>
  <si>
    <t>33K/0201</t>
  </si>
  <si>
    <t xml:space="preserve">RES SM 0201 33K </t>
  </si>
  <si>
    <t>RC0201FR-0733KL</t>
  </si>
  <si>
    <t>YAG2282CT-ND</t>
  </si>
  <si>
    <t>RC0201FR-1333KL</t>
  </si>
  <si>
    <t>13-RC0201FR-1333KLCT-ND</t>
  </si>
  <si>
    <t>36K/0201</t>
  </si>
  <si>
    <t xml:space="preserve">RES SM 0201 36K </t>
  </si>
  <si>
    <t>RC0201FR-0736KL</t>
  </si>
  <si>
    <t>YAG2626CT-ND</t>
  </si>
  <si>
    <t>39K/0201</t>
  </si>
  <si>
    <t xml:space="preserve">RES SM 0201 39K </t>
  </si>
  <si>
    <t>RC0201FR-0739KL</t>
  </si>
  <si>
    <t>YAG2641CT-ND</t>
  </si>
  <si>
    <t>RC0201FR-1339KL</t>
  </si>
  <si>
    <t>13-RC0201FR-1339KLCT-ND</t>
  </si>
  <si>
    <t>43K/0201</t>
  </si>
  <si>
    <t xml:space="preserve">RES SM 0201 43K </t>
  </si>
  <si>
    <t>RC0201FR-0743KL</t>
  </si>
  <si>
    <t>YAG2673CT-ND</t>
  </si>
  <si>
    <t>47K/0201</t>
  </si>
  <si>
    <t xml:space="preserve">RES SM 0201 47K </t>
  </si>
  <si>
    <t>RC0201FR-0747KL</t>
  </si>
  <si>
    <t>311-47KMCT-ND</t>
  </si>
  <si>
    <t>RC0201FR-1347KL</t>
  </si>
  <si>
    <t>13-RC0201FR-1347KLCT-ND</t>
  </si>
  <si>
    <t>51K/0201</t>
  </si>
  <si>
    <t xml:space="preserve">RES SM 0201 51K </t>
  </si>
  <si>
    <t>RC0201FR-0751KL</t>
  </si>
  <si>
    <t>311-51.0KMCT-ND</t>
  </si>
  <si>
    <t>RC0201FR-1351KL</t>
  </si>
  <si>
    <t>13-RC0201FR-1351KLCT-ND</t>
  </si>
  <si>
    <t>56K/0201</t>
  </si>
  <si>
    <t xml:space="preserve">RES SM 0201 56K </t>
  </si>
  <si>
    <t>RC0201FR-0756KL</t>
  </si>
  <si>
    <t>YAG2732CT-ND</t>
  </si>
  <si>
    <t>RC0201FR-1356KL</t>
  </si>
  <si>
    <t>13-RC0201FR-1356KLCT-ND</t>
  </si>
  <si>
    <t>62K/0201</t>
  </si>
  <si>
    <t xml:space="preserve">RES SM 0201 62K </t>
  </si>
  <si>
    <t>RC0201FR-0762KL</t>
  </si>
  <si>
    <t>YAG2754CT-ND</t>
  </si>
  <si>
    <t>68K/0201</t>
  </si>
  <si>
    <t xml:space="preserve">RES SM 0201 68K </t>
  </si>
  <si>
    <t>RC0201FR-0768KL</t>
  </si>
  <si>
    <t>YAG2772CT-ND</t>
  </si>
  <si>
    <t>RC0201FR-1368KL</t>
  </si>
  <si>
    <t>13-RC0201FR-1368KLCT-ND</t>
  </si>
  <si>
    <t>75K/0201</t>
  </si>
  <si>
    <t xml:space="preserve">RES SM 0201 75K </t>
  </si>
  <si>
    <t>RC0201FR-0775KL</t>
  </si>
  <si>
    <t>YAG2795CT-ND</t>
  </si>
  <si>
    <t>RC0201FR-1375KL</t>
  </si>
  <si>
    <t>13-RC0201FR-1375KLCT-ND</t>
  </si>
  <si>
    <t>82K/0201</t>
  </si>
  <si>
    <t xml:space="preserve">RES SM 0201 82K </t>
  </si>
  <si>
    <t>RC0201FR-0782KL</t>
  </si>
  <si>
    <t>YAG2816CT-ND</t>
  </si>
  <si>
    <t>91K/0201</t>
  </si>
  <si>
    <t xml:space="preserve">RES SM 0201 91K </t>
  </si>
  <si>
    <t>RC0201FR-0791KL</t>
  </si>
  <si>
    <t>YAG2842CT-ND</t>
  </si>
  <si>
    <t>100K/0201</t>
  </si>
  <si>
    <t xml:space="preserve">RES SM 0201 100K </t>
  </si>
  <si>
    <t>RC0201FR-07100KL</t>
  </si>
  <si>
    <t>311-100KMCT-ND</t>
  </si>
  <si>
    <t>RC0201FR-13100KL</t>
  </si>
  <si>
    <t>13-RC0201FR-13100KLCT-ND</t>
  </si>
  <si>
    <t>110K/0201</t>
  </si>
  <si>
    <t xml:space="preserve">RES SM 0201 110K </t>
  </si>
  <si>
    <t>RC0201FR-07110KL</t>
  </si>
  <si>
    <t>YAG2378CT-ND</t>
  </si>
  <si>
    <t>120K/0201</t>
  </si>
  <si>
    <t xml:space="preserve">RES SM 0201 120K </t>
  </si>
  <si>
    <t>RC0201FR-07120KL</t>
  </si>
  <si>
    <t>311-120KMCT-ND</t>
  </si>
  <si>
    <t>RC0201FR-13120KL</t>
  </si>
  <si>
    <t>13-RC0201FR-13120KLCT-ND</t>
  </si>
  <si>
    <t>130K/0201</t>
  </si>
  <si>
    <t xml:space="preserve">RES SM 0201 130K </t>
  </si>
  <si>
    <t>RC0201FR-07130KL</t>
  </si>
  <si>
    <t>YAG2393CT-ND</t>
  </si>
  <si>
    <t>150K/0201</t>
  </si>
  <si>
    <t xml:space="preserve">RES SM 0201 150K </t>
  </si>
  <si>
    <t>RC0201FR-07150KL</t>
  </si>
  <si>
    <t>YAG2272CT-ND</t>
  </si>
  <si>
    <t>RC0201FR-13150KL</t>
  </si>
  <si>
    <t>13-RC0201FR-13150KLCT-ND</t>
  </si>
  <si>
    <t>160K/0201</t>
  </si>
  <si>
    <t xml:space="preserve">RES SM 0201 160K </t>
  </si>
  <si>
    <t>RC0201FR-07160KL</t>
  </si>
  <si>
    <t>YAG2426CT-ND</t>
  </si>
  <si>
    <t>180K/0201</t>
  </si>
  <si>
    <t xml:space="preserve">RES SM 0201 180K </t>
  </si>
  <si>
    <t>RC0201FR-07180KL</t>
  </si>
  <si>
    <t>YAG2449CT-ND</t>
  </si>
  <si>
    <t>200K/0201</t>
  </si>
  <si>
    <t xml:space="preserve">RES SM 0201 200K </t>
  </si>
  <si>
    <t>RC0201FR-07200KL</t>
  </si>
  <si>
    <t>YAG2275CT-ND</t>
  </si>
  <si>
    <t>RC0201FR-13200KL</t>
  </si>
  <si>
    <t>13-RC0201FR-13200KLCT-ND</t>
  </si>
  <si>
    <t>220K/0201</t>
  </si>
  <si>
    <t xml:space="preserve">RES SM 0201 220K </t>
  </si>
  <si>
    <t>RC0201FR-07220KL</t>
  </si>
  <si>
    <t>YAG2277CT-ND</t>
  </si>
  <si>
    <t>240K/0201</t>
  </si>
  <si>
    <t xml:space="preserve">RES SM 0201 240K </t>
  </si>
  <si>
    <t>RC0201FR-07240KL</t>
  </si>
  <si>
    <t>YAG2527CT-ND</t>
  </si>
  <si>
    <t>270K/0201</t>
  </si>
  <si>
    <t xml:space="preserve">RES SM 0201 270K </t>
  </si>
  <si>
    <t>RC0201FR-07270KL</t>
  </si>
  <si>
    <t>YAG2548CT-ND</t>
  </si>
  <si>
    <t>300K/0201</t>
  </si>
  <si>
    <t xml:space="preserve">RES SM 0201 300K </t>
  </si>
  <si>
    <t>RC0201FR-07300KL</t>
  </si>
  <si>
    <t>YAG2585CT-ND</t>
  </si>
  <si>
    <t>330K/0201</t>
  </si>
  <si>
    <t xml:space="preserve">RES SM 0201 330K </t>
  </si>
  <si>
    <t>RC0201FR-07330KL</t>
  </si>
  <si>
    <t>YAG2603CT-ND</t>
  </si>
  <si>
    <t>360K/0201</t>
  </si>
  <si>
    <t xml:space="preserve">RES SM 0201 360K </t>
  </si>
  <si>
    <t>RC0201FR-07360KL</t>
  </si>
  <si>
    <t>YAG2621CT-ND</t>
  </si>
  <si>
    <t>390K/0201</t>
  </si>
  <si>
    <t xml:space="preserve">RES SM 0201 390K </t>
  </si>
  <si>
    <t>RC0201FR-07390KL</t>
  </si>
  <si>
    <t>YAG2637CT-ND</t>
  </si>
  <si>
    <t>430K/0201</t>
  </si>
  <si>
    <t xml:space="preserve">RES SM 0201 430K </t>
  </si>
  <si>
    <t>RC0201FR-07430KL</t>
  </si>
  <si>
    <t>YAG2668CT-ND</t>
  </si>
  <si>
    <t>470K/0201</t>
  </si>
  <si>
    <t xml:space="preserve">RES SM 0201 470K </t>
  </si>
  <si>
    <t>RC0201FR-13470KL</t>
  </si>
  <si>
    <t>13-RC0201FR-13470KLCT-ND</t>
  </si>
  <si>
    <t>RC0201FR-07470KL</t>
  </si>
  <si>
    <t>YAG2688CT-ND</t>
  </si>
  <si>
    <t>510K/0201</t>
  </si>
  <si>
    <t xml:space="preserve">RES SM 0201 510K </t>
  </si>
  <si>
    <t>RC0201FR-07510KL</t>
  </si>
  <si>
    <t>YAG2713CT-ND</t>
  </si>
  <si>
    <t>560K/0201</t>
  </si>
  <si>
    <t xml:space="preserve">RES SM 0201 560K </t>
  </si>
  <si>
    <t>RC0201FR-07560KL</t>
  </si>
  <si>
    <t>YAG2728CT-ND</t>
  </si>
  <si>
    <t>620K/0201</t>
  </si>
  <si>
    <t xml:space="preserve">RES SM 0201 620K </t>
  </si>
  <si>
    <t>RC0201FR-07620KL</t>
  </si>
  <si>
    <t>YAG2753CT-ND</t>
  </si>
  <si>
    <t>680K/0201</t>
  </si>
  <si>
    <t xml:space="preserve">RES SM 0201 680K </t>
  </si>
  <si>
    <t>RC0201FR-07680KL</t>
  </si>
  <si>
    <t>YAG2768CT-ND</t>
  </si>
  <si>
    <t>750K/0201</t>
  </si>
  <si>
    <t xml:space="preserve">RES SM 0201 750K </t>
  </si>
  <si>
    <t>RC0201FR-07750KL</t>
  </si>
  <si>
    <t>YAG2793CT-ND</t>
  </si>
  <si>
    <t>820K/0201</t>
  </si>
  <si>
    <t xml:space="preserve">RES SM 0201 820K </t>
  </si>
  <si>
    <t>RC0201FR-07820KL</t>
  </si>
  <si>
    <t>YAG2812CT-ND</t>
  </si>
  <si>
    <t>910K/0201</t>
  </si>
  <si>
    <t xml:space="preserve">RES SM 0201 910K </t>
  </si>
  <si>
    <t>RC0201FR-07910KL</t>
  </si>
  <si>
    <t>YAG2840CT-ND</t>
  </si>
  <si>
    <t>1M/0201</t>
  </si>
  <si>
    <t xml:space="preserve">RES SM 0201 1M </t>
  </si>
  <si>
    <t>RC0201FR-071ML</t>
  </si>
  <si>
    <t>311-1MMCT-ND</t>
  </si>
  <si>
    <t>RC0201FR-131ML</t>
  </si>
  <si>
    <t>13-RC0201FR-131MLCT-ND</t>
  </si>
  <si>
    <t>1M1/0201</t>
  </si>
  <si>
    <t xml:space="preserve">RES SM 0201 1M1 </t>
  </si>
  <si>
    <t>RC0201FR-071M1L</t>
  </si>
  <si>
    <t>13-RC0201FR-071M1LCT-ND</t>
  </si>
  <si>
    <t>1M2/0201</t>
  </si>
  <si>
    <t xml:space="preserve">RES SM 0201 1M2 </t>
  </si>
  <si>
    <t>RC0201FR-071M2L</t>
  </si>
  <si>
    <t>13-RC0201FR-071M2LCT-ND</t>
  </si>
  <si>
    <t>1M3/0201</t>
  </si>
  <si>
    <t xml:space="preserve">RES SM 0201 1M3 </t>
  </si>
  <si>
    <t>RC0201FR-071M3L</t>
  </si>
  <si>
    <t>13-RC0201FR-071M3LCT-ND</t>
  </si>
  <si>
    <t>1M5/0201</t>
  </si>
  <si>
    <t xml:space="preserve">RES SM 0201 1M5 </t>
  </si>
  <si>
    <t>RC0201FR-071M5L</t>
  </si>
  <si>
    <t>13-RC0201FR-071M5LCT-ND</t>
  </si>
  <si>
    <t>1M8/0201</t>
  </si>
  <si>
    <t xml:space="preserve">RES SM 0201 1M8 </t>
  </si>
  <si>
    <t>RC0201FR-071M8L</t>
  </si>
  <si>
    <t>13-RC0201FR-071M8LCT-ND</t>
  </si>
  <si>
    <t>2M/0201</t>
  </si>
  <si>
    <t xml:space="preserve">RES SM 0201 2M </t>
  </si>
  <si>
    <t>RC0201FR-072ML</t>
  </si>
  <si>
    <t>13-RC0201FR-072MLCT-ND</t>
  </si>
  <si>
    <t>2M2/0201</t>
  </si>
  <si>
    <t xml:space="preserve">RES SM 0201 2M2 </t>
  </si>
  <si>
    <t>RC0201FR-072M2L</t>
  </si>
  <si>
    <t>13-RC0201FR-072M2LCT-ND</t>
  </si>
  <si>
    <t>2M4/0201</t>
  </si>
  <si>
    <t xml:space="preserve">RES SM 0201 2M4 </t>
  </si>
  <si>
    <t>RC0201FR-072M4L</t>
  </si>
  <si>
    <t>13-RC0201FR-072M4LCT-ND</t>
  </si>
  <si>
    <t>2M7/0201</t>
  </si>
  <si>
    <t xml:space="preserve">RES SM 0201 2M7 </t>
  </si>
  <si>
    <t>RC0201FR-072M7L</t>
  </si>
  <si>
    <t>13-RC0201FR-072M7LCT-ND</t>
  </si>
  <si>
    <t>3M/0201</t>
  </si>
  <si>
    <t xml:space="preserve">RES SM 0201 3M </t>
  </si>
  <si>
    <t>RC0201FR-073ML</t>
  </si>
  <si>
    <t>13-RC0201FR-073MLCT-ND</t>
  </si>
  <si>
    <t>3M3/0201</t>
  </si>
  <si>
    <t xml:space="preserve">RES SM 0201 3M3 </t>
  </si>
  <si>
    <t>RC0201FR-073M3L</t>
  </si>
  <si>
    <t>13-RC0201FR-073M3LCT-ND</t>
  </si>
  <si>
    <t>3M6/0201</t>
  </si>
  <si>
    <t xml:space="preserve">RES SM 0201 3M6 </t>
  </si>
  <si>
    <t>RC0201FR-073M6L</t>
  </si>
  <si>
    <t>13-RC0201FR-073M6LCT-ND</t>
  </si>
  <si>
    <t>3M9/0201</t>
  </si>
  <si>
    <t xml:space="preserve">RES SM 0201 3M9 </t>
  </si>
  <si>
    <t>RC0201FR-073M9L</t>
  </si>
  <si>
    <t>13-RC0201FR-073M9LCT-ND</t>
  </si>
  <si>
    <t>4M3/0201</t>
  </si>
  <si>
    <t xml:space="preserve">RES SM 0201 4M3 </t>
  </si>
  <si>
    <t>RC0201FR-074M3L</t>
  </si>
  <si>
    <t>13-RC0201FR-074M3LCT-ND</t>
  </si>
  <si>
    <t>4M7/0201</t>
  </si>
  <si>
    <t xml:space="preserve">RES SM 0201 4M7 </t>
  </si>
  <si>
    <t>RC0201FR-074M7L</t>
  </si>
  <si>
    <t>13-RC0201FR-074M7LCT-ND</t>
  </si>
  <si>
    <t>5M1/0201</t>
  </si>
  <si>
    <t xml:space="preserve">RES SM 0201 5M1 </t>
  </si>
  <si>
    <t>RC0201FR-075M1L</t>
  </si>
  <si>
    <t>13-RC0201FR-075M1LCT-ND</t>
  </si>
  <si>
    <t>5M6/0201</t>
  </si>
  <si>
    <t xml:space="preserve">RES SM 0201 5M6 </t>
  </si>
  <si>
    <t>RC0201FR-075M6L</t>
  </si>
  <si>
    <t>13-RC0201FR-075M6LCT-ND</t>
  </si>
  <si>
    <t>9M1/0201</t>
  </si>
  <si>
    <t xml:space="preserve">RES SM 0201 9M1 </t>
  </si>
  <si>
    <t>RC0201FR-079M1L</t>
  </si>
  <si>
    <t>13-RC0201FR-079M1LCT-ND</t>
  </si>
  <si>
    <t>10M/0201</t>
  </si>
  <si>
    <t xml:space="preserve">RES SM 0201 10M </t>
  </si>
  <si>
    <t>RC0201FR-0710ML</t>
  </si>
  <si>
    <t>13-RC0201FR-0710MLCT-ND</t>
  </si>
  <si>
    <t>1.0P/0201/50V/C0G</t>
  </si>
  <si>
    <t xml:space="preserve">CAP SM 0201 1.0pF 50V C0G </t>
  </si>
  <si>
    <t>CAP0201_C0G</t>
  </si>
  <si>
    <t>https://www.yageo.com/en/Chart/Download/pdf/CC0201CRNPO9BN1R0</t>
  </si>
  <si>
    <t>CC0201CRNPO9BN1R0</t>
  </si>
  <si>
    <t>311-3304-1-ND</t>
  </si>
  <si>
    <t>1.2P/0201/50V/C0G</t>
  </si>
  <si>
    <t xml:space="preserve">CAP SM 0201 1.2pF 50V C0G </t>
  </si>
  <si>
    <t>https://www.yageo.com/en/Chart/Download/pdf/CC0201CRNPO9BN1R2</t>
  </si>
  <si>
    <t>CC0201CRNPO9BN1R2</t>
  </si>
  <si>
    <t>311-1580-1-ND</t>
  </si>
  <si>
    <t>1.5P/0201/50V/C0G</t>
  </si>
  <si>
    <t xml:space="preserve">CAP SM 0201 1.5pF 50V C0G </t>
  </si>
  <si>
    <t>https://www.yageo.com/en/Chart/Download/pdf/CC0201BRNPO9BN1R5</t>
  </si>
  <si>
    <t>CC0201BRNPO9BN1R5</t>
  </si>
  <si>
    <t>311-3663-1-ND</t>
  </si>
  <si>
    <t>1.8P/0201/50V/C0G</t>
  </si>
  <si>
    <t xml:space="preserve">CAP SM 0201 1.8pF 50V C0G </t>
  </si>
  <si>
    <t>https://www.yageo.com/en/Chart/Download/pdf/CC0201CRNPO9BN1R8</t>
  </si>
  <si>
    <t>CC0201CRNPO9BN1R8</t>
  </si>
  <si>
    <t>311-3305-1-ND</t>
  </si>
  <si>
    <t>2.2P/0201/50V/C0G</t>
  </si>
  <si>
    <t xml:space="preserve">CAP SM 0201 2.2pF 50V C0G </t>
  </si>
  <si>
    <t>https://www.yageo.com/en/Chart/Download/pdf/CC0201CRNPO9BN2R2</t>
  </si>
  <si>
    <t>CC0201CRNPO9BN2R2</t>
  </si>
  <si>
    <t>311-1582-1-ND</t>
  </si>
  <si>
    <t>2.7P/0201/50V/C0G</t>
  </si>
  <si>
    <t xml:space="preserve">CAP SM 0201 2.7pF 50V C0G </t>
  </si>
  <si>
    <t>https://www.yageo.com/en/Chart/Download/pdf/CC0201CRNPO9BN2R7</t>
  </si>
  <si>
    <t>CC0201CRNPO9BN2R7</t>
  </si>
  <si>
    <t>311-3307-1-ND</t>
  </si>
  <si>
    <t>3.3P/0201/50V/C0G</t>
  </si>
  <si>
    <t xml:space="preserve">CAP SM 0201 3.3pF 50V C0G </t>
  </si>
  <si>
    <t>https://www.yageo.com/en/Chart/Download/pdf/CC0201BRNPO9BN3R3</t>
  </si>
  <si>
    <t>CC0201BRNPO9BN3R3</t>
  </si>
  <si>
    <t>311-3295-1-ND</t>
  </si>
  <si>
    <t>3.9P/0201/50V/C0G</t>
  </si>
  <si>
    <t xml:space="preserve">CAP SM 0201 3.9pF 50V C0G </t>
  </si>
  <si>
    <t>https://www.yageo.com/en/Chart/Download/pdf/CC0201CRNPO9BN3R9</t>
  </si>
  <si>
    <t>CC0201CRNPO9BN3R9</t>
  </si>
  <si>
    <t>13-CC0201CRNPO9BN3R9CT-ND</t>
  </si>
  <si>
    <t>4.7P/0201/50V/C0G</t>
  </si>
  <si>
    <t xml:space="preserve">CAP SM 0201 4.7pF 50V C0G </t>
  </si>
  <si>
    <t>https://www.yageo.com/en/Chart/Download/pdf/CC0201BRNPO9BN4R7</t>
  </si>
  <si>
    <t>CC0201BRNPO9BN4R7</t>
  </si>
  <si>
    <t>311-3667-1-ND</t>
  </si>
  <si>
    <t>5.6P/0201/50V/C0G</t>
  </si>
  <si>
    <t xml:space="preserve">CAP SM 0201 5.6pF 50V C0G </t>
  </si>
  <si>
    <t>https://www.yageo.com/en/Chart/Download/pdf/CC0201CRNPO9BN5R6</t>
  </si>
  <si>
    <t>CC0201CRNPO9BN5R6</t>
  </si>
  <si>
    <t>311-3309-1-ND</t>
  </si>
  <si>
    <t>6.8P/0201/50V/C0G</t>
  </si>
  <si>
    <t xml:space="preserve">CAP SM 0201 6.8pF 50V C0G </t>
  </si>
  <si>
    <t>https://www.yageo.com/en/Chart/Download/pdf/CC0201CRNPO9BN6R8</t>
  </si>
  <si>
    <t>CC0201CRNPO9BN6R8</t>
  </si>
  <si>
    <t>311-3310-1-ND</t>
  </si>
  <si>
    <t>8.2P/0201/50V/C0G</t>
  </si>
  <si>
    <t xml:space="preserve">CAP SM 0201 8.2pF 50V C0G </t>
  </si>
  <si>
    <t>https://www.yageo.com/en/Chart/Download/pdf/CC0201CRNPO9BN8R2</t>
  </si>
  <si>
    <t>CC0201CRNPO9BN8R2</t>
  </si>
  <si>
    <t>311-3311-1-ND</t>
  </si>
  <si>
    <t>10P/0201/50V/C0G</t>
  </si>
  <si>
    <t xml:space="preserve">CAP SM 0201 10pF 50V C0G </t>
  </si>
  <si>
    <t>https://www.yageo.com/en/Chart/Download/pdf/CC0201JRNPO9BN100</t>
  </si>
  <si>
    <t>CC0201JRNPO9BN100</t>
  </si>
  <si>
    <t>311-1385-1-ND</t>
  </si>
  <si>
    <t>12P/0201/50V/C0G</t>
  </si>
  <si>
    <t xml:space="preserve">CAP SM 0201 12pF 50V C0G </t>
  </si>
  <si>
    <t>https://www.yageo.com/en/Chart/Download/pdf/CC0201JRNPO9BN120</t>
  </si>
  <si>
    <t>CC0201JRNPO9BN120</t>
  </si>
  <si>
    <t>311-1585-1-ND</t>
  </si>
  <si>
    <t>15P/0201/50V/C0G</t>
  </si>
  <si>
    <t xml:space="preserve">CAP SM 0201 15pF 50V C0G </t>
  </si>
  <si>
    <t>https://www.yageo.com/en/Chart/Download/pdf/CC0201JRNPO9BN150</t>
  </si>
  <si>
    <t>CC0201JRNPO9BN150</t>
  </si>
  <si>
    <t>311-1396-1-ND</t>
  </si>
  <si>
    <t>18P/0201/50V/C0G</t>
  </si>
  <si>
    <t xml:space="preserve">CAP SM 0201 18pF 50V C0G </t>
  </si>
  <si>
    <t>https://www.yageo.com/en/Chart/Download/pdf/CC0201JRNPO9BN180</t>
  </si>
  <si>
    <t>CC0201JRNPO9BN180</t>
  </si>
  <si>
    <t>311-1386-1-ND</t>
  </si>
  <si>
    <t>22P/0201/50V/C0G</t>
  </si>
  <si>
    <t xml:space="preserve">CAP SM 0201 22pF 50V C0G </t>
  </si>
  <si>
    <t>https://www.yageo.com/en/Chart/Download/pdf/CC0201JRNPO9BN220</t>
  </si>
  <si>
    <t>CC0201JRNPO9BN220</t>
  </si>
  <si>
    <t>311-1383-1-ND</t>
  </si>
  <si>
    <t>27P/0201/50V/C0G</t>
  </si>
  <si>
    <t xml:space="preserve">CAP SM 0201 27pF 50V C0G </t>
  </si>
  <si>
    <t>https://www.yageo.com/en/Chart/Download/pdf/CC0201GRNPO9BN270</t>
  </si>
  <si>
    <t>CC0201GRNPO9BN270</t>
  </si>
  <si>
    <t>13-CC0201GRNPO9BN270CT-ND</t>
  </si>
  <si>
    <t>33P/0201/50V/C0G</t>
  </si>
  <si>
    <t xml:space="preserve">CAP SM 0201 33pF 50V C0G </t>
  </si>
  <si>
    <t>https://www.yageo.com/en/Chart/Download/pdf/CC0201JRNPO9BN330</t>
  </si>
  <si>
    <t>CC0201JRNPO9BN330</t>
  </si>
  <si>
    <t>311-1586-1-ND</t>
  </si>
  <si>
    <t>39P/0201/50V/C0G</t>
  </si>
  <si>
    <t xml:space="preserve">CAP SM 0201 39pF 50V C0G </t>
  </si>
  <si>
    <t>https://www.yageo.com/en/Chart/Download/pdf/CC0201JRNPO9BN390</t>
  </si>
  <si>
    <t>CC0201JRNPO9BN390</t>
  </si>
  <si>
    <t>311-3683-1-ND</t>
  </si>
  <si>
    <t>47P/0201/50V/C0G</t>
  </si>
  <si>
    <t xml:space="preserve">CAP SM 0201 47pF 50V C0G </t>
  </si>
  <si>
    <t>https://www.yageo.com/en/Chart/Download/pdf/CC0201JRNPO9BN470</t>
  </si>
  <si>
    <t>CC0201JRNPO9BN470</t>
  </si>
  <si>
    <t>311-3317-1-ND</t>
  </si>
  <si>
    <t>56P/0201/50V/C0G</t>
  </si>
  <si>
    <t xml:space="preserve">CAP SM 0201 56pF 50V C0G </t>
  </si>
  <si>
    <t>https://www.yageo.com/en/Chart/Download/pdf/CC0201JRNPO9BN560</t>
  </si>
  <si>
    <t>CC0201JRNPO9BN560</t>
  </si>
  <si>
    <t>311-1587-1-ND</t>
  </si>
  <si>
    <t>68P/0201/50V/C0G</t>
  </si>
  <si>
    <t xml:space="preserve">CAP SM 0201 68pF 50V C0G </t>
  </si>
  <si>
    <t>https://www.yageo.com/en/Chart/Download/pdf/CC0201JRNPO9BN680</t>
  </si>
  <si>
    <t>CC0201JRNPO9BN680</t>
  </si>
  <si>
    <t>311-1588-1-ND</t>
  </si>
  <si>
    <t>82P/0201/50V/C0G</t>
  </si>
  <si>
    <t xml:space="preserve">CAP SM 0201 82pF 50V C0G </t>
  </si>
  <si>
    <t>https://www.yageo.com/en/Chart/Download/pdf/CC0201JRNPO9BN820</t>
  </si>
  <si>
    <t>CC0201JRNPO9BN820</t>
  </si>
  <si>
    <t>311-3684-1-ND</t>
  </si>
  <si>
    <t>100P/0201/50V/C0G</t>
  </si>
  <si>
    <t xml:space="preserve">CAP SM 0201 100pF 50V C0G </t>
  </si>
  <si>
    <t>https://www.yageo.com/en/Chart/Download/pdf/CC0201JRNPO9BN101</t>
  </si>
  <si>
    <t>CC0201JRNPO9BN101</t>
  </si>
  <si>
    <t>311-2080-1-ND</t>
  </si>
  <si>
    <t>150P/0201/50V/C0G</t>
  </si>
  <si>
    <t xml:space="preserve">CAP SM 0201 150pF 50V C0G </t>
  </si>
  <si>
    <t>https://www.yageo.com/en/Chart/Download/pdf/CC0201JRNPO9BN151</t>
  </si>
  <si>
    <t>CC0201JRNPO9BN151</t>
  </si>
  <si>
    <t>13-CC0201JRNPO9BN151CT-ND</t>
  </si>
  <si>
    <t>180P/0201/25V/C0G</t>
  </si>
  <si>
    <t xml:space="preserve">CAP SM 0201 180pF 25V C0G </t>
  </si>
  <si>
    <t>https://mm.digikey.com/Volume0/opasdata/d220001/medias/docus/8910/UPY_GP_NP0_16V_TO_250V.pdf</t>
  </si>
  <si>
    <t>CC0201JRNPO8BN181</t>
  </si>
  <si>
    <t>13-CC0201JRNPO8BN181CT-ND</t>
  </si>
  <si>
    <t>220P/0201/50V/C0G</t>
  </si>
  <si>
    <t xml:space="preserve">CAP SM 0201 220pF 50V C0G </t>
  </si>
  <si>
    <t>https://www.yageo.com/en/Chart/Download/pdf/CC0201JRNPO9BN221</t>
  </si>
  <si>
    <t>CC0201JRNPO9BN221</t>
  </si>
  <si>
    <t>13-CC0201JRNPO9BN221CT-ND</t>
  </si>
  <si>
    <t>47P/0201/50V/X7R</t>
  </si>
  <si>
    <t xml:space="preserve">CAP SM 0201 47pF 50V X7R </t>
  </si>
  <si>
    <t>CAP0201_X7R</t>
  </si>
  <si>
    <t>https://yageogroup.com/content/datasheet/asset/file/UPY-GPHC_X7R_6_3V-TO-250V</t>
  </si>
  <si>
    <t>CC0201KRX7R9BB470</t>
  </si>
  <si>
    <t>13-CC0201KRX7R9BB470CT-ND</t>
  </si>
  <si>
    <t>100P/0201/50V/X7R</t>
  </si>
  <si>
    <t xml:space="preserve">CAP SM 0201 100pF 50V X7R </t>
  </si>
  <si>
    <t>CC0201KRX7R9BB101</t>
  </si>
  <si>
    <t>311-1401-1-ND</t>
  </si>
  <si>
    <t>120P/0201/50V/X7R</t>
  </si>
  <si>
    <t xml:space="preserve">CAP SM 0201 120pF 50V X7R </t>
  </si>
  <si>
    <t>CC0201JRX7R9BB121</t>
  </si>
  <si>
    <t>13-CC0201JRX7R9BB121CT-ND</t>
  </si>
  <si>
    <t>150P/0201/50V/X7R</t>
  </si>
  <si>
    <t xml:space="preserve">CAP SM 0201 150pF 50V X7R </t>
  </si>
  <si>
    <t>CC0201KRX7R9BB151</t>
  </si>
  <si>
    <t>13-CC0201KRX7R9BB151CT-ND</t>
  </si>
  <si>
    <t>180P/0201/50V/X7R</t>
  </si>
  <si>
    <t xml:space="preserve">CAP SM 0201 180pF 50V X7R </t>
  </si>
  <si>
    <t>CC0201KRX7R9BB181</t>
  </si>
  <si>
    <t>13-CC0201KRX7R9BB181CT-ND</t>
  </si>
  <si>
    <t>220P/0201/50V/X7R</t>
  </si>
  <si>
    <t xml:space="preserve">CAP SM 0201 220pF 50V X7R </t>
  </si>
  <si>
    <t>CC0201KRX7R9BB221</t>
  </si>
  <si>
    <t>311-1402-1-ND</t>
  </si>
  <si>
    <t>270P/0201/50V/X7R</t>
  </si>
  <si>
    <t xml:space="preserve">CAP SM 0201 270pF 50V X7R </t>
  </si>
  <si>
    <t>CC0201KRX7R9BB271</t>
  </si>
  <si>
    <t>13-CC0201KRX7R9BB271CT-ND</t>
  </si>
  <si>
    <t>330P/0201/50V/X7R</t>
  </si>
  <si>
    <t xml:space="preserve">CAP SM 0201 330pF 50V X7R </t>
  </si>
  <si>
    <t>CC0201KRX7R9BB331</t>
  </si>
  <si>
    <t>13-CC0201KRX7R9BB331CT-ND</t>
  </si>
  <si>
    <t>390P/0201/50V/X7R</t>
  </si>
  <si>
    <t xml:space="preserve">CAP SM 0201 390pF 50V X7R </t>
  </si>
  <si>
    <t>CC0201KRX7R9BB391</t>
  </si>
  <si>
    <t>13-CC0201KRX7R9BB391CT-ND</t>
  </si>
  <si>
    <t>470P/0201/50V/X7R</t>
  </si>
  <si>
    <t xml:space="preserve">CAP SM 0201 470pF 50V X7R </t>
  </si>
  <si>
    <t>CC0201KRX7R9BB471</t>
  </si>
  <si>
    <t>311-3699-1-ND</t>
  </si>
  <si>
    <t>560P/0201/50V/X7R</t>
  </si>
  <si>
    <t xml:space="preserve">CAP SM 0201 560pF 50V X7R </t>
  </si>
  <si>
    <t>CC0201KRX7R9BB561</t>
  </si>
  <si>
    <t>13-CC0201KRX7R9BB561CT-ND</t>
  </si>
  <si>
    <t>680P/0201/50V/X7R</t>
  </si>
  <si>
    <t xml:space="preserve">CAP SM 0201 680pF 50V X7R </t>
  </si>
  <si>
    <t>CC0201KRX7R9BB681</t>
  </si>
  <si>
    <t>13-CC0201KRX7R9BB681CT-ND</t>
  </si>
  <si>
    <t>820P/0201/50V/X7R</t>
  </si>
  <si>
    <t xml:space="preserve">CAP SM 0201 820pF 50V X7R </t>
  </si>
  <si>
    <t>https://www.yageo.com/en/Chart/Download/pdf/CC0201KRX7R9BB821</t>
  </si>
  <si>
    <t>CC0201KRX7R9BB821</t>
  </si>
  <si>
    <t>13-CC0201KRX7R9BB821CT-ND</t>
  </si>
  <si>
    <t>1.0N/0201/50V/X7R</t>
  </si>
  <si>
    <t xml:space="preserve">CAP SM 0201 1.0nF 50V X7R </t>
  </si>
  <si>
    <t>CC0201KRX7R9BB102</t>
  </si>
  <si>
    <t>311-3319-1-ND</t>
  </si>
  <si>
    <t>1.2N/0201/25V/X7R</t>
  </si>
  <si>
    <t xml:space="preserve">CAP SM 0201 1.2nF 25V X7R </t>
  </si>
  <si>
    <t>CC0201KRX7R8BB122</t>
  </si>
  <si>
    <t>13-CC0201KRX7R8BB122CT-ND</t>
  </si>
  <si>
    <t>1.5N/0201/25V/X7R</t>
  </si>
  <si>
    <t xml:space="preserve">CAP SM 0201 1.5nF 25V X7R </t>
  </si>
  <si>
    <t>CC0201KRX7R8BB152</t>
  </si>
  <si>
    <t>311-1607-1-ND</t>
  </si>
  <si>
    <t>1.8N/0201/25V/X7R</t>
  </si>
  <si>
    <t xml:space="preserve">CAP SM 0201 1.8nF 25V X7R </t>
  </si>
  <si>
    <t>CC0201KRX7R8BB182</t>
  </si>
  <si>
    <t>13-CC0201KRX7R8BB182CT-ND</t>
  </si>
  <si>
    <t>2.2N/0201/25V/X7R</t>
  </si>
  <si>
    <t xml:space="preserve">CAP SM 0201 2.2nF 25V X7R </t>
  </si>
  <si>
    <t>CC0201KRX7R8BB222</t>
  </si>
  <si>
    <t>13-CC0201KRX7R8BB222CT-ND</t>
  </si>
  <si>
    <t>2.7N/0201/25V/X7R</t>
  </si>
  <si>
    <t xml:space="preserve">CAP SM 0201 2.7nF 25V X7R </t>
  </si>
  <si>
    <t>CC0201KRX7R8BB272</t>
  </si>
  <si>
    <t>13-CC0201KRX7R8BB272CT-ND</t>
  </si>
  <si>
    <t>3.3N/0201/25V/X7R</t>
  </si>
  <si>
    <t xml:space="preserve">CAP SM 0201 3.3nF 25V X7R </t>
  </si>
  <si>
    <t>CC0201KRX7R8BB332</t>
  </si>
  <si>
    <t>13-CC0201KRX7R8BB332CT-ND</t>
  </si>
  <si>
    <t>3.9N/0201/25V/X7R</t>
  </si>
  <si>
    <t xml:space="preserve">CAP SM 0201 3.9nF 25V X7R </t>
  </si>
  <si>
    <t>CC0201KRX7R8BB392</t>
  </si>
  <si>
    <t>13-CC0201KRX7R8BB392CT-ND</t>
  </si>
  <si>
    <t>4.7N/0201/25V/X7R</t>
  </si>
  <si>
    <t xml:space="preserve">CAP SM 0201 4.7nF 25V X7R </t>
  </si>
  <si>
    <t>CC0201KRX7R8BB472</t>
  </si>
  <si>
    <t>13-CC0201KRX7R8BB472CT-ND</t>
  </si>
  <si>
    <t>5.6N/0201/16V/X7R</t>
  </si>
  <si>
    <t xml:space="preserve">CAP SM 0201 5.6nF 16V X7R </t>
  </si>
  <si>
    <t>CC0201KRX7R7BB562</t>
  </si>
  <si>
    <t>13-CC0201KRX7R7BB562CT-ND</t>
  </si>
  <si>
    <t>6.8N/0201/25V/X7R</t>
  </si>
  <si>
    <t xml:space="preserve">CAP SM 0201 6.8nF 25V X7R </t>
  </si>
  <si>
    <t>CC0201KRX7R8BB682</t>
  </si>
  <si>
    <t>13-CC0201KRX7R8BB682CT-ND</t>
  </si>
  <si>
    <t>8.2N/0201/25V/X7R</t>
  </si>
  <si>
    <t xml:space="preserve">CAP SM 0201 8.2nF 25V X7R </t>
  </si>
  <si>
    <t>CC0201KRX7R8BB822</t>
  </si>
  <si>
    <t>13-CC0201KRX7R8BB822CT-ND</t>
  </si>
  <si>
    <t>10N/0201/25V/X7R</t>
  </si>
  <si>
    <t xml:space="preserve">CAP SM 0201 10nF 25V X7R </t>
  </si>
  <si>
    <t>CC0201KRX7R8BB103</t>
  </si>
  <si>
    <t>13-CC0201KRX7R8BB103CT-ND</t>
  </si>
  <si>
    <t>100N/0201/6.3V/X7R</t>
  </si>
  <si>
    <t xml:space="preserve">CAP SM 0201 100nF 6.3V X7R </t>
  </si>
  <si>
    <t>CC0201KRX7R5BB104</t>
  </si>
  <si>
    <t>13-CC0201KRX7R5BB104CT-ND</t>
  </si>
  <si>
    <t>R0201-0.23-WW</t>
  </si>
  <si>
    <t>CAP SM 0402 1uF 10V X7R</t>
  </si>
  <si>
    <t>1uF</t>
  </si>
  <si>
    <t>https://search.murata.co.jp/Ceramy/image/img/A01X/G101/ENG/GRM155Z71A105KE01-01.pdf</t>
  </si>
  <si>
    <t>490-GRM155Z71A105KE01DCT-ND</t>
  </si>
  <si>
    <t>GRM155Z71A105KE01D</t>
  </si>
  <si>
    <t>1U/0402/10V/X7R</t>
  </si>
  <si>
    <t>2.2U/0402/10V/X7R</t>
  </si>
  <si>
    <t>CAP SM 0402 2.2uF 10V X7R</t>
  </si>
  <si>
    <t>https://search.murata.co.jp/Ceramy/image/img/A01X/G101/ENG/GRM155Z71A225KE44-01A.pdf</t>
  </si>
  <si>
    <t>GRM155Z71A225KE44D</t>
  </si>
  <si>
    <t>490-GRM155Z71A225KE44DCT-ND</t>
  </si>
  <si>
    <t>SON050P140X110X040-4-EP060X080</t>
  </si>
  <si>
    <t>https://www.ti.com/lit/ds/symlink/tmag5253.pdf</t>
  </si>
  <si>
    <t>TMAG5253</t>
  </si>
  <si>
    <t>TMAG5253BA1</t>
  </si>
  <si>
    <t>TMAG5253BA2</t>
  </si>
  <si>
    <t>TMAG5253BA3</t>
  </si>
  <si>
    <t>TMAG5253BA4</t>
  </si>
  <si>
    <t>TMAG5253UA1</t>
  </si>
  <si>
    <t>TMAG5253UA2</t>
  </si>
  <si>
    <t>TMAG5253UA3</t>
  </si>
  <si>
    <t>TMAG5253UA4</t>
  </si>
  <si>
    <t>TMAG5253UA5</t>
  </si>
  <si>
    <t>Low-Power Linear Hall Effect Sensor With EN Pin ±20 mT</t>
  </si>
  <si>
    <t>Low-Power Linear Hall Effect Sensor With EN Pin ±40 mT</t>
  </si>
  <si>
    <t>Low-Power Linear Hall Effect Sensor With EN Pin ±80 mT</t>
  </si>
  <si>
    <t>Low-Power Linear Hall Effect Sensor With EN Pin ±160 mT</t>
  </si>
  <si>
    <t>Low-Power Linear Hall Effect Sensor With EN Pin +20 mT</t>
  </si>
  <si>
    <t>Low-Power Linear Hall Effect Sensor With EN Pin +39 mT</t>
  </si>
  <si>
    <t>Low-Power Linear Hall Effect Sensor With EN Pin +80 mT</t>
  </si>
  <si>
    <t>Low-Power Linear Hall Effect Sensor With EN Pin +160 mT</t>
  </si>
  <si>
    <t>Low-Power Linear Hall Effect Sensor With EN Pin +52 mT</t>
  </si>
  <si>
    <t>X2SON-4</t>
  </si>
  <si>
    <t>296-TMAG5253BA1IQDMRRCT-ND</t>
  </si>
  <si>
    <t>TMAG5253BA1IQDMRR</t>
  </si>
  <si>
    <t>296-TMAG5253BA2IQDMRRCT-ND</t>
  </si>
  <si>
    <t>TMAG5253BA2IQDMRR</t>
  </si>
  <si>
    <t>296-TMAG5253BA3IQDMRRCT-ND</t>
  </si>
  <si>
    <t>TMAG5253BA3IQDMRR</t>
  </si>
  <si>
    <t>296-TMAG5253BA4IQDMRRCT-ND</t>
  </si>
  <si>
    <t>TMAG5253BA4IQDMRR</t>
  </si>
  <si>
    <t>296-TMAG5253UA5IQDMRRCT-ND</t>
  </si>
  <si>
    <t>TMAG5253UA5IQDMRR</t>
  </si>
  <si>
    <t>ICE5LP1K-SWG36ITR1K</t>
  </si>
  <si>
    <t>ICE5LP1K-SWG36</t>
  </si>
  <si>
    <t>BGA036C035P6X6_208X208X045</t>
  </si>
  <si>
    <t>https://www.latticesemi.com/view_document?document_id=50666</t>
  </si>
  <si>
    <t>220-2216-2-ND</t>
  </si>
  <si>
    <t>4U7/0603/16V/X7R</t>
  </si>
  <si>
    <t>CAP SM 0603 4.7uF 16V X7R</t>
  </si>
  <si>
    <t>GRM188Z71C475KE21D</t>
  </si>
  <si>
    <t>490-GRM188Z71C475KE21DCT-ND</t>
  </si>
  <si>
    <t>https://search.murata.co.jp/Ceramy/image/img/A01X/G101/ENG/GRM188Z71C475KE21-01A.pdf</t>
  </si>
  <si>
    <t>0805X7R475K160NT</t>
  </si>
  <si>
    <t>AIDE CAPACITOR</t>
  </si>
  <si>
    <t>C49326719</t>
  </si>
  <si>
    <t>SN74LVC1G3157DBVR</t>
  </si>
  <si>
    <t>SN74LVC1G3157DSFR</t>
  </si>
  <si>
    <t>SN74LVC1G3157DTBR</t>
  </si>
  <si>
    <t>SN74LVC1G3157DRYR</t>
  </si>
  <si>
    <t>SN74LVC1G3157DRLR</t>
  </si>
  <si>
    <t>SN74LVC1G3157DCK</t>
  </si>
  <si>
    <t>SN74LVC1G3157DBV</t>
  </si>
  <si>
    <t>SN74LVC1G3157DSF</t>
  </si>
  <si>
    <t>SN74LVC1G3157DTB</t>
  </si>
  <si>
    <t>SN74LVC1G3157DRL</t>
  </si>
  <si>
    <t>SN74LVC1G3157DRY</t>
  </si>
  <si>
    <t>296-14908-1-ND</t>
  </si>
  <si>
    <t>296-29652-1-ND</t>
  </si>
  <si>
    <t>296-48164-1-ND</t>
  </si>
  <si>
    <t>296-21548-1-ND</t>
  </si>
  <si>
    <t>296-18015-1-ND</t>
  </si>
  <si>
    <t>https://www.ti.com/lit/ds/symlink/sn74lvc1g3157.pdf</t>
  </si>
  <si>
    <t>SC70-6</t>
  </si>
  <si>
    <t>6SON</t>
  </si>
  <si>
    <t>6X2SON</t>
  </si>
  <si>
    <t>SOT5X3</t>
  </si>
  <si>
    <t>SON035P100X100X040-6</t>
  </si>
  <si>
    <t>SON050P100X145X060-6</t>
  </si>
  <si>
    <t>SOT50P160X60-6-NW</t>
  </si>
  <si>
    <t>220-2125-1-ND</t>
  </si>
  <si>
    <t>https://www.latticesemi.com/~/media/LatticeSemi/Documents/DataSheets/MachXO23/MachXO2FamilyDataSheet.pdf</t>
  </si>
  <si>
    <t>BGA025C040P5X5_254X254X057</t>
  </si>
  <si>
    <t>SCH/Lattice.SchLib</t>
  </si>
  <si>
    <t>XO2-1200_WLCSP25</t>
  </si>
  <si>
    <t>WLCSP</t>
  </si>
  <si>
    <t>MachXO2 Feldprogrammierbares Gate-Array (FPGA) IC 18 65536 1280 25-WLCSP</t>
  </si>
  <si>
    <t>LCMXO2-1200ZE</t>
  </si>
  <si>
    <t>PAD-THT-0.2MM-0.6MM-ROUND</t>
  </si>
  <si>
    <t>Through-hole pad, 0.2mm drill, 0.6mm pad, round</t>
  </si>
  <si>
    <t>Crystal Oscillator 50 MHz SMD</t>
  </si>
  <si>
    <t>XTAL OSC XO 50.0000MHZ CMOS SMD</t>
  </si>
  <si>
    <t>Oscillator</t>
  </si>
  <si>
    <t>CYSMD100P160X120X060</t>
  </si>
  <si>
    <t>XC2834CT-ND</t>
  </si>
  <si>
    <t>ECS-1612MV-500-CN-TR</t>
  </si>
  <si>
    <t>https://ecsxtal.com/store/pdf/ECS-1612MV.pdf</t>
  </si>
  <si>
    <t>C50338460</t>
  </si>
  <si>
    <t>8N50000G13YC</t>
  </si>
  <si>
    <t>SJK</t>
  </si>
  <si>
    <t>330P/0201/25V/C0G</t>
  </si>
  <si>
    <t>360P/0201/25V/C0G</t>
  </si>
  <si>
    <t>390P/0201/25V/C0G</t>
  </si>
  <si>
    <t>430P/0201/25V/C0G</t>
  </si>
  <si>
    <t>470P/0201/25V/C0G</t>
  </si>
  <si>
    <t>510P/0201/25V/C0G</t>
  </si>
  <si>
    <t>560P/0201/25V/C0G</t>
  </si>
  <si>
    <t>620P/0201/25V/C0G</t>
  </si>
  <si>
    <t>680P/0201/25V/C0G</t>
  </si>
  <si>
    <t>750P/0201/25V/C0G</t>
  </si>
  <si>
    <t>820P/0201/25V/C0G</t>
  </si>
  <si>
    <t>910P/0201/25V/C0G</t>
  </si>
  <si>
    <t>1N/0201/25V/C0G</t>
  </si>
  <si>
    <t>CAP SM 0201 330pF 25V C0G</t>
  </si>
  <si>
    <t>CAP SM 0201 360pF 25V C0G</t>
  </si>
  <si>
    <t>CAP SM 0201 390pF 25V C0G</t>
  </si>
  <si>
    <t>CAP SM 0201 430pF 25V C0G</t>
  </si>
  <si>
    <t>CAP SM 0201 470pF 25V C0G</t>
  </si>
  <si>
    <t>CAP SM 0201 510pF 25V C0G</t>
  </si>
  <si>
    <t>CAP SM 0201 560pF 25V C0G</t>
  </si>
  <si>
    <t>CAP SM 0201 620pF 25V C0G</t>
  </si>
  <si>
    <t>CAP SM 0201 680pF 25V C0G</t>
  </si>
  <si>
    <t>CAP SM 0201 750pF 25V C0G</t>
  </si>
  <si>
    <t>CAP SM 0201 820pF 25V C0G</t>
  </si>
  <si>
    <t>CAP SM 0201 910pF 25V C0G</t>
  </si>
  <si>
    <t>CAP SM 0201 1nF 25V C0G</t>
  </si>
  <si>
    <t>360pF</t>
  </si>
  <si>
    <t>430pF</t>
  </si>
  <si>
    <t>510pF</t>
  </si>
  <si>
    <t>620pF</t>
  </si>
  <si>
    <t>750pF</t>
  </si>
  <si>
    <t>910pF</t>
  </si>
  <si>
    <t xml:space="preserve">1nF  </t>
  </si>
  <si>
    <t>//mm.digikey.com/Volume0/opasdata/d220001/medias/docus/2312/TMK063CG331JT-F_SS.pdf</t>
  </si>
  <si>
    <t>//mm.digikey.com/Volume0/opasdata/d220001/medias/docus/2179/TMK063CG361JT-F_SS.pdf</t>
  </si>
  <si>
    <t>//mm.digikey.com/Volume0/opasdata/d220001/medias/docus/2261/TMK063CG391JT-F_SS.pdf</t>
  </si>
  <si>
    <t>//mm.digikey.com/Volume0/opasdata/d220001/medias/docus/2363/TMK063CG431JT-F_SS.pdf</t>
  </si>
  <si>
    <t>//mm.digikey.com/Volume0/opasdata/d220001/medias/docus/2295/TMK063CG471JT-F_SS.pdf</t>
  </si>
  <si>
    <t>//mm.digikey.com/Volume0/opasdata/d220001/medias/docus/2354/TMK063CG511JT-F_SS.pdf</t>
  </si>
  <si>
    <t>//mm.digikey.com/Volume0/opasdata/d220001/medias/docus/2281/TMK063CG561JT-F_SS.pdf</t>
  </si>
  <si>
    <t>//mm.digikey.com/Volume0/opasdata/d220001/medias/docus/2318/TMK063CG621JT-F_SS.pdf</t>
  </si>
  <si>
    <t>//mm.digikey.com/Volume0/opasdata/d220001/medias/docus/2171/TMK063CG681JT-F_SS.pdf</t>
  </si>
  <si>
    <t>//mm.digikey.com/Volume0/opasdata/d220001/medias/docus/2349/TMK063CG751JT-F_SS.pdf</t>
  </si>
  <si>
    <t>//mm.digikey.com/Volume0/opasdata/d220001/medias/docus/2258/TMK063CG821JT-F_SS.pdf</t>
  </si>
  <si>
    <t>//mm.digikey.com/Volume0/opasdata/d220001/medias/docus/2194/TMK063CG911JT-F_SS.pdf</t>
  </si>
  <si>
    <t>//mm.digikey.com/Volume0/opasdata/d220001/medias/docus/2090/TMK063CG102JT-F_SS.pdf</t>
  </si>
  <si>
    <t>TMK063CG331JT-F</t>
  </si>
  <si>
    <t>TMK063CG361JT-F</t>
  </si>
  <si>
    <t>TMK063CG391JT-F</t>
  </si>
  <si>
    <t>TMK063CG431JT-F</t>
  </si>
  <si>
    <t>TMK063CG471JT-F</t>
  </si>
  <si>
    <t>TMK063CG511JT-F</t>
  </si>
  <si>
    <t>TMK063CG561JT-F</t>
  </si>
  <si>
    <t>TMK063CG621JT-F</t>
  </si>
  <si>
    <t>TMK063CG681JT-F</t>
  </si>
  <si>
    <t>TMK063CG751JT-F</t>
  </si>
  <si>
    <t>TMK063CG821JT-F</t>
  </si>
  <si>
    <t>TMK063CG911JT-F</t>
  </si>
  <si>
    <t>TMK063CG102JT-F</t>
  </si>
  <si>
    <t>587-5285-1-ND</t>
  </si>
  <si>
    <t>587-5286-1-ND</t>
  </si>
  <si>
    <t>587-5287-1-ND</t>
  </si>
  <si>
    <t>587-5288-1-ND</t>
  </si>
  <si>
    <t>587-5289-1-ND</t>
  </si>
  <si>
    <t>587-5290-1-ND</t>
  </si>
  <si>
    <t>587-5291-1-ND</t>
  </si>
  <si>
    <t>587-5292-1-ND</t>
  </si>
  <si>
    <t>587-5293-1-ND</t>
  </si>
  <si>
    <t>587-5294-1-ND</t>
  </si>
  <si>
    <t>587-5295-1-ND</t>
  </si>
  <si>
    <t>587-5296-1-ND</t>
  </si>
  <si>
    <t>587-5297-1-ND</t>
  </si>
  <si>
    <t>Header_1x1 50 mil</t>
  </si>
  <si>
    <t>Header 50 mil 1x1</t>
  </si>
  <si>
    <t>PCB/Header_127.PcbLib</t>
  </si>
  <si>
    <t>HEAD_127_1X1</t>
  </si>
  <si>
    <t>Header_1x2 50 mil</t>
  </si>
  <si>
    <t>Header 50 mil 1x2</t>
  </si>
  <si>
    <t>HEAD_127_1X2</t>
  </si>
  <si>
    <t>Header_1x3 50 mil</t>
  </si>
  <si>
    <t>Header 50 mil 1x3</t>
  </si>
  <si>
    <t>HEAD_127_1X3</t>
  </si>
  <si>
    <t>Header_1x4 50 mil</t>
  </si>
  <si>
    <t>Header 50 mil 1x4</t>
  </si>
  <si>
    <t>HEAD_127_1X4</t>
  </si>
  <si>
    <t>Header_1x5 50 mil</t>
  </si>
  <si>
    <t>Header 50 mil 1x5</t>
  </si>
  <si>
    <t>HEAD_127_1X5</t>
  </si>
  <si>
    <t>Header_1x6 50 mil</t>
  </si>
  <si>
    <t>Header 50 mil 1x6</t>
  </si>
  <si>
    <t>HEAD_127_1X6</t>
  </si>
  <si>
    <t>Header_1x7 50 mil</t>
  </si>
  <si>
    <t>Header 50 mil 1x7</t>
  </si>
  <si>
    <t>HEAD_127_1X7</t>
  </si>
  <si>
    <t>Header_1x8 50 mil</t>
  </si>
  <si>
    <t>Header 50 mil 1x8</t>
  </si>
  <si>
    <t>HEAD_127_1X8</t>
  </si>
  <si>
    <t>Header_1x9 50 mil</t>
  </si>
  <si>
    <t>Header 50 mil 1x9</t>
  </si>
  <si>
    <t>HEAD_127_1X9</t>
  </si>
  <si>
    <t>Header_1x10 50 mil</t>
  </si>
  <si>
    <t>Header 50 mil 1x10</t>
  </si>
  <si>
    <t>HEAD_127_1X10</t>
  </si>
  <si>
    <t>Header_1x11 50 mil</t>
  </si>
  <si>
    <t>Header 50 mil 1x11</t>
  </si>
  <si>
    <t>HEAD_127_1X11</t>
  </si>
  <si>
    <t>Header_1x12 50 mil</t>
  </si>
  <si>
    <t>Header 50 mil 1x12</t>
  </si>
  <si>
    <t>HEAD_127_1X12</t>
  </si>
  <si>
    <t>Header_1x13 50 mil</t>
  </si>
  <si>
    <t>Header 50 mil 1x13</t>
  </si>
  <si>
    <t>HEAD_127_1X13</t>
  </si>
  <si>
    <t>Header_1x14 50 mil</t>
  </si>
  <si>
    <t>Header 50 mil 1x14</t>
  </si>
  <si>
    <t>HEAD_127_1X14</t>
  </si>
  <si>
    <t>Header_1x15 50 mil</t>
  </si>
  <si>
    <t>Header 50 mil 1x15</t>
  </si>
  <si>
    <t>HEAD_127_1X15</t>
  </si>
  <si>
    <t>Header_1x16 50 mil</t>
  </si>
  <si>
    <t>Header 50 mil 1x16</t>
  </si>
  <si>
    <t>HEAD_127_1X16</t>
  </si>
  <si>
    <t>Header_1x17 50 mil</t>
  </si>
  <si>
    <t>Header 50 mil 1x17</t>
  </si>
  <si>
    <t>HEAD_127_1X17</t>
  </si>
  <si>
    <t>Header_1x18 50 mil</t>
  </si>
  <si>
    <t>Header 50 mil 1x18</t>
  </si>
  <si>
    <t>HEAD_127_1X18</t>
  </si>
  <si>
    <t>Header_1x19 50 mil</t>
  </si>
  <si>
    <t>Header 50 mil 1x19</t>
  </si>
  <si>
    <t>HEAD_127_1X19</t>
  </si>
  <si>
    <t>Header_1x20 50 mil</t>
  </si>
  <si>
    <t>Header 50 mil 1x20</t>
  </si>
  <si>
    <t>HEAD_127_1X20</t>
  </si>
  <si>
    <t>Header_1x21 50 mil</t>
  </si>
  <si>
    <t>Header 50 mil 1x21</t>
  </si>
  <si>
    <t>HEAD_127_1X21</t>
  </si>
  <si>
    <t>Header_1x22 50 mil</t>
  </si>
  <si>
    <t>Header 50 mil 1x22</t>
  </si>
  <si>
    <t>HEAD_127_1X22</t>
  </si>
  <si>
    <t>Header_1x23 50 mil</t>
  </si>
  <si>
    <t>Header 50 mil 1x23</t>
  </si>
  <si>
    <t>HEAD_127_1X23</t>
  </si>
  <si>
    <t>Header_1x24 50 mil</t>
  </si>
  <si>
    <t>Header 50 mil 1x24</t>
  </si>
  <si>
    <t>HEAD_127_1X24</t>
  </si>
  <si>
    <t>Header_1x25 50 mil</t>
  </si>
  <si>
    <t>Header 50 mil 1x25</t>
  </si>
  <si>
    <t>HEAD_127_1X25</t>
  </si>
  <si>
    <t>Header_1x26 50 mil</t>
  </si>
  <si>
    <t>Header 50 mil 1x26</t>
  </si>
  <si>
    <t>HEAD_127_1X26</t>
  </si>
  <si>
    <t>Header_1x27 50 mil</t>
  </si>
  <si>
    <t>Header 50 mil 1x27</t>
  </si>
  <si>
    <t>HEAD_127_1X27</t>
  </si>
  <si>
    <t>Header_1x28 50 mil</t>
  </si>
  <si>
    <t>Header 50 mil 1x28</t>
  </si>
  <si>
    <t>HEAD_127_1X28</t>
  </si>
  <si>
    <t>Header_1x29 50 mil</t>
  </si>
  <si>
    <t>Header 50 mil 1x29</t>
  </si>
  <si>
    <t>HEAD_127_1X29</t>
  </si>
  <si>
    <t>Header_1x30 50 mil</t>
  </si>
  <si>
    <t>Header 50 mil 1x30</t>
  </si>
  <si>
    <t>HEAD_127_1X30</t>
  </si>
  <si>
    <t>Header_1x31 50 mil</t>
  </si>
  <si>
    <t>Header 50 mil 1x31</t>
  </si>
  <si>
    <t>HEAD_127_1X31</t>
  </si>
  <si>
    <t>Header_1x32 50 mil</t>
  </si>
  <si>
    <t>Header 50 mil 1x32</t>
  </si>
  <si>
    <t>HEAD_127_1X32</t>
  </si>
  <si>
    <t>Header_1x33 50 mil</t>
  </si>
  <si>
    <t>Header 50 mil 1x33</t>
  </si>
  <si>
    <t>HEAD_127_1X33</t>
  </si>
  <si>
    <t>Header_1x34 50 mil</t>
  </si>
  <si>
    <t>Header 50 mil 1x34</t>
  </si>
  <si>
    <t>HEAD_127_1X34</t>
  </si>
  <si>
    <t>Header_1x35 50 mil</t>
  </si>
  <si>
    <t>Header 50 mil 1x35</t>
  </si>
  <si>
    <t>HEAD_127_1X35</t>
  </si>
  <si>
    <t>Header_1x36 50 mil</t>
  </si>
  <si>
    <t>Header 50 mil 1x36</t>
  </si>
  <si>
    <t>HEAD_127_1X36</t>
  </si>
  <si>
    <t>Header_1x37 50 mil</t>
  </si>
  <si>
    <t>Header 50 mil 1x37</t>
  </si>
  <si>
    <t>HEAD_127_1X37</t>
  </si>
  <si>
    <t>Header_1x38 50 mil</t>
  </si>
  <si>
    <t>Header 50 mil 1x38</t>
  </si>
  <si>
    <t>HEAD_127_1X38</t>
  </si>
  <si>
    <t>Header_1x39 50 mil</t>
  </si>
  <si>
    <t>Header 50 mil 1x39</t>
  </si>
  <si>
    <t>HEAD_127_1X39</t>
  </si>
  <si>
    <t>Header_1x40 50 mil</t>
  </si>
  <si>
    <t>Header 50 mil 1x40</t>
  </si>
  <si>
    <t>HEAD_127_1X40</t>
  </si>
  <si>
    <t>Header_1x41 50 mil</t>
  </si>
  <si>
    <t>Header 50 mil 1x41</t>
  </si>
  <si>
    <t>HEAD_127_1X41</t>
  </si>
  <si>
    <t>Header_1x42 50 mil</t>
  </si>
  <si>
    <t>Header 50 mil 1x42</t>
  </si>
  <si>
    <t>HEAD_127_1X42</t>
  </si>
  <si>
    <t>Header_1x43 50 mil</t>
  </si>
  <si>
    <t>Header 50 mil 1x43</t>
  </si>
  <si>
    <t>HEAD_127_1X43</t>
  </si>
  <si>
    <t>Header_1x44 50 mil</t>
  </si>
  <si>
    <t>Header 50 mil 1x44</t>
  </si>
  <si>
    <t>HEAD_127_1X44</t>
  </si>
  <si>
    <t>Header_1x45 50 mil</t>
  </si>
  <si>
    <t>Header 50 mil 1x45</t>
  </si>
  <si>
    <t>HEAD_127_1X45</t>
  </si>
  <si>
    <t>Header_1x46 50 mil</t>
  </si>
  <si>
    <t>Header 50 mil 1x46</t>
  </si>
  <si>
    <t>HEAD_127_1X46</t>
  </si>
  <si>
    <t>Header_1x47 50 mil</t>
  </si>
  <si>
    <t>Header 50 mil 1x47</t>
  </si>
  <si>
    <t>HEAD_127_1X47</t>
  </si>
  <si>
    <t>Header_1x48 50 mil</t>
  </si>
  <si>
    <t>Header 50 mil 1x48</t>
  </si>
  <si>
    <t>HEAD_127_1X48</t>
  </si>
  <si>
    <t>Header_1x49 50 mil</t>
  </si>
  <si>
    <t>Header 50 mil 1x49</t>
  </si>
  <si>
    <t>HEAD_127_1X49</t>
  </si>
  <si>
    <t>Header_1x50 50 mil</t>
  </si>
  <si>
    <t>Header 50 mil 1x50</t>
  </si>
  <si>
    <t>HEAD_127_1X50</t>
  </si>
  <si>
    <t>Header_2x1 50 mil</t>
  </si>
  <si>
    <t>Header 50 mil 2x1</t>
  </si>
  <si>
    <t>HEAD_127_2X1</t>
  </si>
  <si>
    <t>Header_2x2 50 mil</t>
  </si>
  <si>
    <t>Header 50 mil 2x2</t>
  </si>
  <si>
    <t>HEAD_127_2X2</t>
  </si>
  <si>
    <t>Header_2x3 50 mil</t>
  </si>
  <si>
    <t>Header 50 mil 2x3</t>
  </si>
  <si>
    <t>HEAD_127_2X3</t>
  </si>
  <si>
    <t>Header_2x4 50 mil</t>
  </si>
  <si>
    <t>Header 50 mil 2x4</t>
  </si>
  <si>
    <t>HEAD_127_2X4</t>
  </si>
  <si>
    <t>Header_2x5 50 mil</t>
  </si>
  <si>
    <t>Header 50 mil 2x5</t>
  </si>
  <si>
    <t>HEAD_127_2X5</t>
  </si>
  <si>
    <t>Header_2x6 50 mil</t>
  </si>
  <si>
    <t>Header 50 mil 2x6</t>
  </si>
  <si>
    <t>HEAD_127_2X6</t>
  </si>
  <si>
    <t>Header_2x7 50 mil</t>
  </si>
  <si>
    <t>Header 50 mil 2x7</t>
  </si>
  <si>
    <t>HEAD_127_2X7</t>
  </si>
  <si>
    <t>Header_2x8 50 mil</t>
  </si>
  <si>
    <t>Header 50 mil 2x8</t>
  </si>
  <si>
    <t>HEAD_127_2X8</t>
  </si>
  <si>
    <t>Header_2x9 50 mil</t>
  </si>
  <si>
    <t>Header 50 mil 2x9</t>
  </si>
  <si>
    <t>HEAD_127_2X9</t>
  </si>
  <si>
    <t>Header_2x10 50 mil</t>
  </si>
  <si>
    <t>Header 50 mil 2x10</t>
  </si>
  <si>
    <t>HEAD_127_2X10</t>
  </si>
  <si>
    <t>CB2518T102K</t>
  </si>
  <si>
    <t>CB2518T681K</t>
  </si>
  <si>
    <t>CBC2518T681K</t>
  </si>
  <si>
    <t>CB2518T471K</t>
  </si>
  <si>
    <t>CB2518T331K</t>
  </si>
  <si>
    <t>CB2518T221K</t>
  </si>
  <si>
    <t>CBC2518T221M</t>
  </si>
  <si>
    <t>CB2518T151K</t>
  </si>
  <si>
    <t>CB2518T101K</t>
  </si>
  <si>
    <t>CBC2518T680K</t>
  </si>
  <si>
    <t>CB2518T470K</t>
  </si>
  <si>
    <t>CBC2518T330K</t>
  </si>
  <si>
    <t>CB2518T330K</t>
  </si>
  <si>
    <t>CBC2518T330M</t>
  </si>
  <si>
    <t>CB2518T220K</t>
  </si>
  <si>
    <t>CB2518T220KV</t>
  </si>
  <si>
    <t>CB2518T150K</t>
  </si>
  <si>
    <t>CB2518T100K</t>
  </si>
  <si>
    <t>CB2518T6R8M</t>
  </si>
  <si>
    <t>CB2518T4R7MR</t>
  </si>
  <si>
    <t>CB2518T4R7M</t>
  </si>
  <si>
    <t>CB2518T3R3M</t>
  </si>
  <si>
    <t>CB2518T2R2M</t>
  </si>
  <si>
    <t>CB2518T1R0M</t>
  </si>
  <si>
    <t>587-2195-1-ND</t>
  </si>
  <si>
    <t>587-3041-1-ND</t>
  </si>
  <si>
    <t>587-3063-1-ND</t>
  </si>
  <si>
    <t>587-2194-1-ND</t>
  </si>
  <si>
    <t>587-3039-1-ND</t>
  </si>
  <si>
    <t>587-2193-1-ND</t>
  </si>
  <si>
    <t>587-1617-1-ND</t>
  </si>
  <si>
    <t>587-3037-1-ND</t>
  </si>
  <si>
    <t>587-2192-1-ND</t>
  </si>
  <si>
    <t>587-3062-1-ND</t>
  </si>
  <si>
    <t>587-2191-1-ND</t>
  </si>
  <si>
    <t>587-3058-1-ND</t>
  </si>
  <si>
    <t>587-3038-1-ND</t>
  </si>
  <si>
    <t>587-CBC2518T330MCT-ND</t>
  </si>
  <si>
    <t>587-2190-1-ND</t>
  </si>
  <si>
    <t>587-3690-1-ND</t>
  </si>
  <si>
    <t>587-3036-1-ND</t>
  </si>
  <si>
    <t>587-2189-1-ND</t>
  </si>
  <si>
    <t>587-2188-1-ND</t>
  </si>
  <si>
    <t>587-2187-1-ND</t>
  </si>
  <si>
    <t>587-CB2518T4R7MCT-ND</t>
  </si>
  <si>
    <t>587-2186-1-ND</t>
  </si>
  <si>
    <t>587-2244-1-ND</t>
  </si>
  <si>
    <t>587-2184-1-ND</t>
  </si>
  <si>
    <t>587-3689-1-ND</t>
  </si>
  <si>
    <t>//mm.digikey.com/Volume0/opasdata/d220001/medias/docus/4467/CB2518T102K_SS.pdf</t>
  </si>
  <si>
    <t>//mm.digikey.com/Volume0/opasdata/d220001/medias/docus/4128/CB2518T681K_SS.pdf</t>
  </si>
  <si>
    <t>//mm.digikey.com/Volume0/opasdata/d220001/medias/docus/4165/CBC2518T681K_SS.pdf</t>
  </si>
  <si>
    <t>//mm.digikey.com/Volume0/opasdata/d220001/medias/docus/4470/CB2518T471K_SS.pdf</t>
  </si>
  <si>
    <t>//mm.digikey.com/Volume0/opasdata/d220001/medias/docus/4284/CB2518T331K_SS.pdf</t>
  </si>
  <si>
    <t>//mm.digikey.com/Volume0/opasdata/d220001/medias/docus/4142/CB2518T221K_SS.pdf</t>
  </si>
  <si>
    <t>//mm.digikey.com/Volume0/opasdata/d220001/medias/docus/4583/CBC2518T221M_SS.pdf</t>
  </si>
  <si>
    <t>//mm.digikey.com/Volume0/opasdata/d220001/medias/docus/4110/CB2518T151K_SS.pdf</t>
  </si>
  <si>
    <t>//mm.digikey.com/Volume0/opasdata/d220001/medias/docus/4147/CB2518T101K_SS.pdf</t>
  </si>
  <si>
    <t>//mm.digikey.com/Volume0/opasdata/d220001/medias/docus/4280/CBC2518T680K_SS.pdf</t>
  </si>
  <si>
    <t>//mm.digikey.com/Volume0/opasdata/d220001/medias/docus/4291/CB2518T470K_SS.pdf</t>
  </si>
  <si>
    <t>//mm.digikey.com/Volume0/opasdata/d220001/medias/docus/4554/CBC2518T330K_SS.pdf</t>
  </si>
  <si>
    <t>//mm.digikey.com/Volume0/opasdata/d220001/medias/docus/4195/CB2518T330K_SS.pdf</t>
  </si>
  <si>
    <t>//mm.digikey.com/Volume0/opasdata/d220001/medias/docus/4586/CBC2518T330M_SS.pdf</t>
  </si>
  <si>
    <t>//mm.digikey.com/Volume0/opasdata/d220001/medias/docus/4274/CB2518T220K_SS.pdf</t>
  </si>
  <si>
    <t>//mm.digikey.com/Volume0/opasdata/d220001/medias/docus/7317/587_wound02_e.pdf</t>
  </si>
  <si>
    <t>//mm.digikey.com/Volume0/opasdata/d220001/medias/docus/4221/CB2518T150K_SS.pdf</t>
  </si>
  <si>
    <t>//mm.digikey.com/Volume0/opasdata/d220001/medias/docus/4271/CB2518T100K_SS.pdf</t>
  </si>
  <si>
    <t>//mm.digikey.com/Volume0/opasdata/d220001/medias/docus/4092/CB2518T6R8M_SS.pdf</t>
  </si>
  <si>
    <t>//mm.digikey.com/Volume0/opasdata/d220001/medias/docus/4307/CB2518T4R7MR_SS.pdf</t>
  </si>
  <si>
    <t>//mm.digikey.com/Volume0/opasdata/d220001/medias/docus/4352/CB2518T4R7M_SS.pdf</t>
  </si>
  <si>
    <t>//mm.digikey.com/Volume0/opasdata/d220001/medias/docus/4302/CB2518T3R3M_SS.pdf</t>
  </si>
  <si>
    <t>//mm.digikey.com/Volume0/opasdata/d220001/medias/docus/4260/CB2518T2R2M_SS.pdf</t>
  </si>
  <si>
    <t>//mm.digikey.com/Volume0/opasdata/d220001/medias/docus/4104/CB2518T1R0M_SS.pdf</t>
  </si>
  <si>
    <t>CB2518T1R0MV</t>
  </si>
  <si>
    <t>1MH/2518</t>
  </si>
  <si>
    <t>680UH/2518</t>
  </si>
  <si>
    <t>470UH/2518</t>
  </si>
  <si>
    <t>330UH/2518</t>
  </si>
  <si>
    <t>220UH/2518</t>
  </si>
  <si>
    <t>150UH/2518</t>
  </si>
  <si>
    <t>100UH/2518</t>
  </si>
  <si>
    <t>68UH/2518</t>
  </si>
  <si>
    <t>47UH/2518</t>
  </si>
  <si>
    <t>33UH/2518</t>
  </si>
  <si>
    <t>22UH/2518</t>
  </si>
  <si>
    <t>15UH/2518</t>
  </si>
  <si>
    <t>10UH/2518</t>
  </si>
  <si>
    <t>6.8UH/2518</t>
  </si>
  <si>
    <t>4.7UH/2518</t>
  </si>
  <si>
    <t>3.3UH/2518</t>
  </si>
  <si>
    <t>2.2UH/2518</t>
  </si>
  <si>
    <t>1UH/2518</t>
  </si>
  <si>
    <t>Fixed Ind 1MH 75mA 31.2 Ohm SMD 2518</t>
  </si>
  <si>
    <t>Fixed Ind 680uH 90mA 22.1 Ohm SMD 2518</t>
  </si>
  <si>
    <t>Fixed Ind 680uH 60mA 36.4 Ohm SMD 2518</t>
  </si>
  <si>
    <t>Fixed Ind 470uH 120mA 13 Ohm SMD 2518</t>
  </si>
  <si>
    <t>Fixed Ind 330uH 140mA 9.1 Ohm SMD 2518</t>
  </si>
  <si>
    <t>Fixed Ind 220uH 180mA 5.85 Ohm SMD 2518</t>
  </si>
  <si>
    <t>Fixed Ind 220uH 110mA 10.92 Ohm SMD 2518</t>
  </si>
  <si>
    <t>Fixed Ind 150uH 210mA 4.16 Ohm SMD 2518</t>
  </si>
  <si>
    <t>Fixed Ind 100uH 260mA 2.73 Ohm SMD 2518</t>
  </si>
  <si>
    <t>Fixed Ind 68uH 200mA 3.64 Ohm SMD 2518</t>
  </si>
  <si>
    <t>Fixed Ind 47uH 420mA 1.235 Ohm SMD 2518</t>
  </si>
  <si>
    <t>Fixed Ind 33uH 320mA 1.95 Ohm SMD 2518</t>
  </si>
  <si>
    <t>Fixed Ind 33uH 460mA 910 mOhm SMD 2518</t>
  </si>
  <si>
    <t>Fixed Ind 22uH 580mA 650 mOhm SMD 2518</t>
  </si>
  <si>
    <t>Fixed Ind 22uH 390mA 650 mOhm SMD 2518</t>
  </si>
  <si>
    <t>Fixed Ind 15uH 650mA 416 mOhm SMD 2518</t>
  </si>
  <si>
    <t>Fixed Ind 10uH 820mA 325 mOhm SMD 2518</t>
  </si>
  <si>
    <t>Fixed Ind 6.8uH 930mA 195 mOhm SMD 2518</t>
  </si>
  <si>
    <t>Fixed Ind 4.7uH 1.2A 130 mOhm SMD 2518</t>
  </si>
  <si>
    <t>Fixed Ind 4.7uH 1.1A 169 mOhm SMD 2518</t>
  </si>
  <si>
    <t>Fixed Ind 3.3uH 1.2A 143 mOhm SMD 2518</t>
  </si>
  <si>
    <t>Fixed Ind 2.2uH 1.3A 117 mOhm SMD 2518</t>
  </si>
  <si>
    <t>Fixed Ind 1uH 1.5A 78 mOhm SMD 2518</t>
  </si>
  <si>
    <t>Fixed Ind 1uH 1.25A 78 mOhm SMD 2518</t>
  </si>
  <si>
    <t>1 mH</t>
  </si>
  <si>
    <t>680 µH</t>
  </si>
  <si>
    <t>470 µH</t>
  </si>
  <si>
    <t>330 µH</t>
  </si>
  <si>
    <t>220 µH</t>
  </si>
  <si>
    <t>150 µH</t>
  </si>
  <si>
    <t>100 µH</t>
  </si>
  <si>
    <t>68 µH</t>
  </si>
  <si>
    <t>47 µH</t>
  </si>
  <si>
    <t>33 µH</t>
  </si>
  <si>
    <t>22 µH</t>
  </si>
  <si>
    <t>15 µH</t>
  </si>
  <si>
    <t>10 µH</t>
  </si>
  <si>
    <t>6.8 µH</t>
  </si>
  <si>
    <t>4.7 µH</t>
  </si>
  <si>
    <t>3.3 µH</t>
  </si>
  <si>
    <t>2.2 µH</t>
  </si>
  <si>
    <t>1 µH</t>
  </si>
  <si>
    <t>IND2518</t>
  </si>
  <si>
    <t>//mm.digikey.com/Volume0/opasdata/d220001/medias/docus/610/CB2012T100KR_SS.pdf</t>
  </si>
  <si>
    <t>//mm.digikey.com/Volume0/opasdata/d220001/medias/docus/610/CB2012T470K_SS.pdf</t>
  </si>
  <si>
    <t>//mm.digikey.com/Volume0/opasdata/d220001/medias/docus/610/CB2012T100MR_SS.pdf</t>
  </si>
  <si>
    <t>//mm.digikey.com/Volume0/opasdata/d220001/medias/docus/610/CB2012T4R7M_SS.pdf</t>
  </si>
  <si>
    <t>//mm.digikey.com/Volume0/opasdata/d220001/medias/docus/610/CB2012T220K_SS.pdf</t>
  </si>
  <si>
    <t>//mm.digikey.com/Volume0/opasdata/d220001/medias/docus/610/CB2012T6R8M_SS.pdf</t>
  </si>
  <si>
    <t>//mm.digikey.com/Volume0/opasdata/d220001/medias/docus/610/CB2012T150K_SS.pdf</t>
  </si>
  <si>
    <t>//mm.digikey.com/Volume0/opasdata/d220001/medias/docus/610/CB2012T101K_SS.pdf</t>
  </si>
  <si>
    <t>//mm.digikey.com/Volume0/opasdata/d220001/medias/docus/610/CB2012T100K_SS.pdf</t>
  </si>
  <si>
    <t>//mm.digikey.com/Volume0/opasdata/d220001/medias/docus/610/CB2012T680K_SS.pdf</t>
  </si>
  <si>
    <t>//mm.digikey.com/Volume0/opasdata/d220001/medias/docus/610/CB2012T470M_SS.pdf</t>
  </si>
  <si>
    <t>//mm.digikey.com/Volume0/opasdata/d220001/medias/docus/610/CB2012T3R3M_SS.pdf</t>
  </si>
  <si>
    <t>//mm.digikey.com/Volume0/opasdata/d220001/medias/docus/610/CB2012T1R0M_SS.pdf</t>
  </si>
  <si>
    <t>//mm.digikey.com/Volume0/opasdata/d220001/medias/docus/2614/CBMF1608T3R3M_SS.pdf</t>
  </si>
  <si>
    <t>//mm.digikey.com/Volume0/opasdata/d220001/medias/docus/4383/CBL2012T2R2M_SS.pdf</t>
  </si>
  <si>
    <t>//mm.digikey.com/Volume0/opasdata/d220001/medias/docus/4589/CBL2012T1R0M_SS.pdf</t>
  </si>
  <si>
    <t>//mm.digikey.com/Volume0/opasdata/d220001/medias/docus/4200/CB2012T100KRV_Spec.pdf</t>
  </si>
  <si>
    <t>CB2012T100KR</t>
  </si>
  <si>
    <t>CB2012T470K</t>
  </si>
  <si>
    <t>CB2012T100MR</t>
  </si>
  <si>
    <t>CB2012T4R7M</t>
  </si>
  <si>
    <t>CB2012T220K</t>
  </si>
  <si>
    <t>CB2012T6R8M</t>
  </si>
  <si>
    <t>CB2012T150K</t>
  </si>
  <si>
    <t>CB2012T101K</t>
  </si>
  <si>
    <t>CB2012T100K</t>
  </si>
  <si>
    <t>CB2012T680K</t>
  </si>
  <si>
    <t>CB2012T470M</t>
  </si>
  <si>
    <t>CB2012T3R3M</t>
  </si>
  <si>
    <t>CB2012T1R0M</t>
  </si>
  <si>
    <t>CBMF1608T3R3M</t>
  </si>
  <si>
    <t>CBL2012T2R2M</t>
  </si>
  <si>
    <t>CB2012T1R0MV</t>
  </si>
  <si>
    <t>CBL2012T1R0M</t>
  </si>
  <si>
    <t>CB2012T4R7MV</t>
  </si>
  <si>
    <t>CB2012T100KRV</t>
  </si>
  <si>
    <t>587-2452-1-ND</t>
  </si>
  <si>
    <t>587-2456-1-ND</t>
  </si>
  <si>
    <t>587-5824-1-ND</t>
  </si>
  <si>
    <t>587-2527-1-ND</t>
  </si>
  <si>
    <t>587-2455-1-ND</t>
  </si>
  <si>
    <t>587-2459-1-ND</t>
  </si>
  <si>
    <t>587-CB2012T150KCT-ND</t>
  </si>
  <si>
    <t>587-2453-1-ND</t>
  </si>
  <si>
    <t>587-2457-1-ND</t>
  </si>
  <si>
    <t>587-2461-1-ND</t>
  </si>
  <si>
    <t>587-CB2012T470MCT-ND</t>
  </si>
  <si>
    <t>587-CB2012T3R3MCT-ND</t>
  </si>
  <si>
    <t>587-2454-1-ND</t>
  </si>
  <si>
    <t>587-CBMF1608T3R3MCT-ND</t>
  </si>
  <si>
    <t>587-1630-1-ND</t>
  </si>
  <si>
    <t>587-3676-1-ND</t>
  </si>
  <si>
    <t>587-1629-1-ND</t>
  </si>
  <si>
    <t>587-3678-1-ND</t>
  </si>
  <si>
    <t>587-3675-1-ND</t>
  </si>
  <si>
    <t>Fixed Ind 10uH 520mA 650 mOhm SMD 0805</t>
  </si>
  <si>
    <t>Fixed Ind 47uH 190mA 4.86 Ohm SMD 0805</t>
  </si>
  <si>
    <t>Fixed Ind 4.7uH 580mA 520 mOhm SMD 0805</t>
  </si>
  <si>
    <t>Fixed Ind 22uH 280mA 2.21 Ohm SMD 0805</t>
  </si>
  <si>
    <t>Fixed Ind 6.8uH 540mA 611 mOhm SMD 0805</t>
  </si>
  <si>
    <t>Fixed Ind 15uH 320mA 1.69 Ohm SMD 0805</t>
  </si>
  <si>
    <t>Fixed Ind 100uH 130mA 9.1 Ohm SMD 0805</t>
  </si>
  <si>
    <t>Fixed Ind 10uH 440mA 910 mOhm SMD 0805</t>
  </si>
  <si>
    <t>Fixed Ind 68uH 140mA 7.8 Ohm  SMD 0805</t>
  </si>
  <si>
    <t>Fixed Ind 47uH 190mA 4.81 Ohm SMD 0805</t>
  </si>
  <si>
    <t>Fixed Ind 3.3uH 650mA 390 mOhm SMD 0805</t>
  </si>
  <si>
    <t>Fixed Ind 1uH 900mA 195 mOhm  SMD 0805</t>
  </si>
  <si>
    <t>Fixed Ind 3.3uH 500mA 286 mOhm SMD 0805</t>
  </si>
  <si>
    <t>Fixed Ind 2.2uH 590mA 507 mOhm SMD 0805</t>
  </si>
  <si>
    <t>Fixed Ind 1uH 700mA 195 mOhm  SMD 0805</t>
  </si>
  <si>
    <t>Fixed Ind 1uH 950mA 195 mOhm SMD 0805</t>
  </si>
  <si>
    <t>Fixed Ind 4.7uH 430mA 520 mOhm SMD 0805</t>
  </si>
  <si>
    <t>Fixed Ind 10uH 300mA 650 mOhm SMD 0805</t>
  </si>
  <si>
    <t>IND0805</t>
  </si>
  <si>
    <t>10uH/0805</t>
  </si>
  <si>
    <t>47uH/0805</t>
  </si>
  <si>
    <t>4.7uH/0805</t>
  </si>
  <si>
    <t>22uH/0805</t>
  </si>
  <si>
    <t>6.8uH/0805</t>
  </si>
  <si>
    <t>15uH/0805</t>
  </si>
  <si>
    <t>100uH/0805</t>
  </si>
  <si>
    <t>68uH/0805</t>
  </si>
  <si>
    <t>3.3uH/0805</t>
  </si>
  <si>
    <t>1uH/0805</t>
  </si>
  <si>
    <t>2.2uH/0805</t>
  </si>
  <si>
    <t>C1608C0G1H103JT000N</t>
  </si>
  <si>
    <t>C76599</t>
  </si>
  <si>
    <t>C7500381</t>
  </si>
  <si>
    <t>CC0402KRX7R6BB105</t>
  </si>
  <si>
    <t>CGA0402X7R225K100GT</t>
  </si>
  <si>
    <t>C23692973</t>
  </si>
  <si>
    <t>C0201C0G100J500NTA</t>
  </si>
  <si>
    <t>EYANG(Shenzhen Eyang Tech Development)</t>
  </si>
  <si>
    <t>C115539</t>
  </si>
  <si>
    <t>GRM0335C1E681JA01D</t>
  </si>
  <si>
    <t>C384952</t>
  </si>
  <si>
    <t>C161408</t>
  </si>
  <si>
    <t>GRM0335C1H151JA01D</t>
  </si>
  <si>
    <t>C1882920</t>
  </si>
  <si>
    <t>C68035</t>
  </si>
  <si>
    <t>MLF2012C101KT000</t>
  </si>
  <si>
    <t>RC0201JR-072KL</t>
  </si>
  <si>
    <t>C138107</t>
  </si>
  <si>
    <t>C106224</t>
  </si>
  <si>
    <t>RC0201JR-071ML</t>
  </si>
  <si>
    <t>C163497</t>
  </si>
  <si>
    <t>C138165</t>
  </si>
  <si>
    <t>C474416</t>
  </si>
  <si>
    <t>C106225</t>
  </si>
  <si>
    <t>C469665</t>
  </si>
  <si>
    <t>C295775</t>
  </si>
  <si>
    <t>C22445458</t>
  </si>
  <si>
    <t>LCMXO2-1200ZE-1UWG25ITR1K</t>
  </si>
  <si>
    <t>Lattice</t>
  </si>
  <si>
    <t>C2651896</t>
  </si>
  <si>
    <t>CGA3E2C0G1H272JT0Y0N</t>
  </si>
  <si>
    <t>C694497</t>
  </si>
  <si>
    <t>C327393</t>
  </si>
  <si>
    <t>C474437</t>
  </si>
  <si>
    <t>C274877</t>
  </si>
  <si>
    <t>C155737</t>
  </si>
  <si>
    <t>C273275</t>
  </si>
  <si>
    <t>C295774</t>
  </si>
  <si>
    <t>C25177</t>
  </si>
  <si>
    <t>0402WGJ0681TCE</t>
  </si>
  <si>
    <t>TPS7A2018PDBVR</t>
  </si>
  <si>
    <t>TPS7A2011PDBVR</t>
  </si>
  <si>
    <t>TPS7A20285PDBVR</t>
  </si>
  <si>
    <t>TPS7A2020PDBVR</t>
  </si>
  <si>
    <t>TPS7A20185PDBVR</t>
  </si>
  <si>
    <t>TPS7A20C285PDBVR</t>
  </si>
  <si>
    <t>TPS7A20C22PDBVR</t>
  </si>
  <si>
    <t>TPS7A20C25PDBVR</t>
  </si>
  <si>
    <t>TPS7A202275PDBVR</t>
  </si>
  <si>
    <t>TPS7A2016DBVR</t>
  </si>
  <si>
    <t>TPS7A2030DBVR</t>
  </si>
  <si>
    <t>TPS7A2033DBVR</t>
  </si>
  <si>
    <t>TPS7A2018DBVR</t>
  </si>
  <si>
    <t>IC REG LINEAR 1.8V 300MA SOT-23</t>
  </si>
  <si>
    <t>IC REG LINEAR 1.2V 300MA SOT-23</t>
  </si>
  <si>
    <t>IC REG LINEAR 3.3V 300MA SOT-23</t>
  </si>
  <si>
    <t>IC REG LINEAR 2.5V 300MA SOT-23</t>
  </si>
  <si>
    <t>IC REG LINEAR 1.1V 300MA SOT-23</t>
  </si>
  <si>
    <t>IC REG LIN 2.85V 300MA SOT-23</t>
  </si>
  <si>
    <t>IC REG LINEAR 2V 300MA SOT-23</t>
  </si>
  <si>
    <t>IC REG LINEAR 2.8V 300MA SOT-23</t>
  </si>
  <si>
    <t>IC REG LINEAR 2.7V 300MA SOT-23</t>
  </si>
  <si>
    <t>IC REG LIN 1.85V 300MA SOT-23</t>
  </si>
  <si>
    <t>IC REG LINEAR 2.2V 300MA SOT-23</t>
  </si>
  <si>
    <t>IC REG LIN 2.275V 300MA SOT-23</t>
  </si>
  <si>
    <t>IC REG LINEAR 1.6V 300MA SOT-23</t>
  </si>
  <si>
    <t>IC REG LINEAR 3V 300MA SOT-23</t>
  </si>
  <si>
    <t>296-TPS7A2018PDBVRCT-ND</t>
  </si>
  <si>
    <t>296-TPS7A2011PDBVRCT-ND</t>
  </si>
  <si>
    <t>296-TPS7A20285PDBVRCT-ND</t>
  </si>
  <si>
    <t>296-TPS7A2020PDBVRCT-ND</t>
  </si>
  <si>
    <t>296-TPS7A20185PDBVRCT-ND</t>
  </si>
  <si>
    <t>296-TPS7A20C285PDBVRCT-ND</t>
  </si>
  <si>
    <t>296-TPS7A20C22PDBVRCT-ND</t>
  </si>
  <si>
    <t>296-TPS7A20C25PDBVRCT-ND</t>
  </si>
  <si>
    <t>296-TPS7A202275PDBVRCT-ND</t>
  </si>
  <si>
    <t>296-TPS7A2016DBVRCT-ND</t>
  </si>
  <si>
    <t>296-TPS7A2030DBVRCT-ND</t>
  </si>
  <si>
    <t>296-TPS7A2033DBVRCT-ND</t>
  </si>
  <si>
    <t>296-TPS7A2018DBVRCT-ND</t>
  </si>
  <si>
    <t>296-TPS7A2012PDBVRCT-ND</t>
  </si>
  <si>
    <t>296-TPS7A2033PDBVRCT-ND</t>
  </si>
  <si>
    <t>296-TPS7A2025PDBVRCT-ND</t>
  </si>
  <si>
    <t>296-TPS7A2028PDBVRCT-ND</t>
  </si>
  <si>
    <t>296-TPS7A2027PDBVRCT-ND</t>
  </si>
  <si>
    <t>TPS7A2012PDBVR</t>
  </si>
  <si>
    <t>TPS7A2033PDBVR</t>
  </si>
  <si>
    <t>TPS7A2025PDBVR</t>
  </si>
  <si>
    <t>TPS7A2028PDBVR</t>
  </si>
  <si>
    <t>TPS7A2027PDBVR</t>
  </si>
  <si>
    <t>C963430</t>
  </si>
  <si>
    <t>C49452307</t>
  </si>
  <si>
    <t>C2862740</t>
  </si>
  <si>
    <t>C2869949</t>
  </si>
  <si>
    <t>C2866495</t>
  </si>
  <si>
    <t>C2864504</t>
  </si>
  <si>
    <t>C49452003</t>
  </si>
  <si>
    <t>C2877857</t>
  </si>
  <si>
    <t>C963429</t>
  </si>
  <si>
    <t>TPS7A2030PDBVR</t>
  </si>
  <si>
    <t>REL_DPDT_POL</t>
  </si>
  <si>
    <t>INA181A1 SOT23</t>
  </si>
  <si>
    <t>INA181A2 SOT23</t>
  </si>
  <si>
    <t>INA181A3 SOT23</t>
  </si>
  <si>
    <t>INA181A4 SOT23</t>
  </si>
  <si>
    <t>INA181A1 SC70</t>
  </si>
  <si>
    <t>INA181A2 SC70</t>
  </si>
  <si>
    <t>INA181A3 SC70</t>
  </si>
  <si>
    <t>INA181A4 SC70</t>
  </si>
  <si>
    <t>CSA_O1_P3_N4_REF5_VCC6_VEE2</t>
  </si>
  <si>
    <t>CSA_O6_P4_N5_REF1_VCC3_VEE2</t>
  </si>
  <si>
    <t>SOT2395P280X125-6-SE</t>
  </si>
  <si>
    <t>https://www.ti.com/lit/ds/symlink/ina181.pdf</t>
  </si>
  <si>
    <t>INA181A1IDBVR</t>
  </si>
  <si>
    <t>296-47656-1-ND</t>
  </si>
  <si>
    <t>INA181A1IDBVT</t>
  </si>
  <si>
    <t>296-46634-1-ND</t>
  </si>
  <si>
    <t>INA181A2IDBVR</t>
  </si>
  <si>
    <t>296-47657-1-ND</t>
  </si>
  <si>
    <t>INA181A2IDBVT</t>
  </si>
  <si>
    <t>296-46635-1-ND</t>
  </si>
  <si>
    <t>INA181A3IDBVR</t>
  </si>
  <si>
    <t>296-47658-1-ND</t>
  </si>
  <si>
    <t>INA181A3IDBVT</t>
  </si>
  <si>
    <t>296-46636-1-ND</t>
  </si>
  <si>
    <t>INA181A4IDBVR</t>
  </si>
  <si>
    <t>296-47659-1-ND</t>
  </si>
  <si>
    <t>INA181A4IDBVT</t>
  </si>
  <si>
    <t>296-46637-1-ND</t>
  </si>
  <si>
    <t>C2058943</t>
  </si>
  <si>
    <t>Manufacturer 4</t>
  </si>
  <si>
    <t>Manufacturer Part Number 4</t>
  </si>
  <si>
    <t>Supplier 4</t>
  </si>
  <si>
    <t>Supplier Part Number 4</t>
  </si>
  <si>
    <t>C2861997</t>
  </si>
  <si>
    <t>C2058784</t>
  </si>
  <si>
    <t>C116200</t>
  </si>
  <si>
    <t>C2652255</t>
  </si>
  <si>
    <t>C129285</t>
  </si>
  <si>
    <t>C2058842</t>
  </si>
  <si>
    <t>C2060053</t>
  </si>
  <si>
    <t>INA181A1IDCKR</t>
  </si>
  <si>
    <t>296-INA181A1IDCKRCT-ND</t>
  </si>
  <si>
    <t>INA181A2IDCKR</t>
  </si>
  <si>
    <t>296-INA181A2IDCKRCT-ND</t>
  </si>
  <si>
    <t>INA181A3IDCKR</t>
  </si>
  <si>
    <t>296-INA181A3IDCKRCT-ND</t>
  </si>
  <si>
    <t>INA181A4IDCKR</t>
  </si>
  <si>
    <t>296-INA181A4IDCKRTR-ND</t>
  </si>
  <si>
    <t>C22443503</t>
  </si>
  <si>
    <t>C22453196</t>
  </si>
  <si>
    <t>C32077329</t>
  </si>
  <si>
    <t>C36915106</t>
  </si>
  <si>
    <t>KT05-1A-40L-SMD</t>
  </si>
  <si>
    <t>KT12-1A-40L-SMD</t>
  </si>
  <si>
    <t>KT24-1A-40L-SMD</t>
  </si>
  <si>
    <t>KT03-1A-40L-SMD</t>
  </si>
  <si>
    <t>Standex</t>
  </si>
  <si>
    <t>KT</t>
  </si>
  <si>
    <t>STANDEX-KT-SMD</t>
  </si>
  <si>
    <t>https://standexdetect.com/wp-content/uploads/sites/2/2025/09/datasheet-reed-relay-series-kt.pdf</t>
  </si>
  <si>
    <t>Standex-Meder Electronics</t>
  </si>
  <si>
    <t>374-1356-1-ND</t>
  </si>
  <si>
    <t>374-1358-1-ND</t>
  </si>
  <si>
    <t>374-1364-1-ND</t>
  </si>
  <si>
    <t>https://cototechnology.com/library/datasheet/cotoclassic-9105-series-reed-relay-datasheet.pdf</t>
  </si>
  <si>
    <t>9105-05</t>
  </si>
  <si>
    <t>9105-12</t>
  </si>
  <si>
    <t>Standex KT series reed relay, 1000V, 1A, 100W, coil voltage 3V</t>
  </si>
  <si>
    <t>Standex KT series reed relay, 1000V, 1A, 100W, coil voltage 5V</t>
  </si>
  <si>
    <t>Standex KT series reed relay, 1000V, 1A, 100W, coil voltage 12V</t>
  </si>
  <si>
    <t>Standex KT series reed relay, 1000V, 1A, 100W, coil voltage 24V</t>
  </si>
  <si>
    <t>Coto 9105 series reed relay, 1000V, 1A, 100W, coil voltage 5V</t>
  </si>
  <si>
    <t>Coto 9105 series reed relay, 1000V, 1A, 100W, coil voltage 12V</t>
  </si>
  <si>
    <t>Coto</t>
  </si>
  <si>
    <t>COTO-9105-SMD</t>
  </si>
  <si>
    <t>Coto Technology</t>
  </si>
  <si>
    <t>9105-05-00</t>
  </si>
  <si>
    <t>306-9105-05-00-ND</t>
  </si>
  <si>
    <t>9105-05-00TR</t>
  </si>
  <si>
    <t>306-9105-05-00TRCT-ND</t>
  </si>
  <si>
    <t>9105-12-00</t>
  </si>
  <si>
    <t>306-9105-12-00-ND</t>
  </si>
  <si>
    <t>9105-12-00TR</t>
  </si>
  <si>
    <t>306-9105-12-00TR-ND</t>
  </si>
  <si>
    <t>HVR1A05-SMD</t>
  </si>
  <si>
    <t>HVR1A12-SMD</t>
  </si>
  <si>
    <t>HVR1A24-SMD</t>
  </si>
  <si>
    <t>HVR series reed relay, 1500V, 1A, 100W, coil voltage 5V</t>
  </si>
  <si>
    <t>HVR series reed relay, 1500V, 1A, 100W, coil voltage 12V</t>
  </si>
  <si>
    <t>HVR series reed relay, 1500V, 1A, 100W, coil voltage 24V</t>
  </si>
  <si>
    <t>MiRelay</t>
  </si>
  <si>
    <t>HVR</t>
  </si>
  <si>
    <t>https://www.lcsc.com/datasheet/C22388636.pdf</t>
  </si>
  <si>
    <t>https://www.lcsc.com/datasheet/C22388635.pdf</t>
  </si>
  <si>
    <t>https://www.lcsc.com/datasheet/C22388637.pdf</t>
  </si>
  <si>
    <t>C22388635</t>
  </si>
  <si>
    <t>C22388636</t>
  </si>
  <si>
    <t>C22388637</t>
  </si>
  <si>
    <t>10U/1210/100V/X7R</t>
  </si>
  <si>
    <t>CAP SM 1210 10uF 100V X7R</t>
  </si>
  <si>
    <t>https://product.tdk.com/system/files/dam/doc/product/capacitor/ceramic/mlcc/catalog/mlcc_commercial_midvoltage_en.pdf</t>
  </si>
  <si>
    <t>C3225X7R2A106K250AC</t>
  </si>
  <si>
    <t>445-C3225X7R2A106K250ACCT-ND</t>
  </si>
  <si>
    <t>4U7/0805/100V/X5R</t>
  </si>
  <si>
    <t>CAP SM 0805 4.7uF 100V X5R</t>
  </si>
  <si>
    <t>C2012X5R2A475K125AC</t>
  </si>
  <si>
    <t>445-C2012X5R2A475K125ACCT-ND</t>
  </si>
  <si>
    <t>10U/0603/35V/X5R</t>
  </si>
  <si>
    <t>CAP SM 0603 10uF 35V X5R</t>
  </si>
  <si>
    <t>https://calchip.com/wp-content/uploads/2025/05/GMC-Series-3.pdf</t>
  </si>
  <si>
    <t>GMC10X5R106M35NT</t>
  </si>
  <si>
    <t>4713-GMC10X5R106M35NTCT-ND</t>
  </si>
  <si>
    <t>UMK105CBJ105MV-F</t>
  </si>
  <si>
    <t>587-6278-1-ND</t>
  </si>
  <si>
    <t>https://mm.digikey.com/Volume0/opasdata/d220001/medias/docus/2589/Multilayer%20Ceramic%20Capacitors.pdf</t>
  </si>
  <si>
    <t>1U/0402/50V/X5R</t>
  </si>
  <si>
    <t>CAP SM 0402 1uF 50V X5R</t>
  </si>
  <si>
    <t>4.7U/0805/100V/X5R</t>
  </si>
  <si>
    <t>22U/0603/16V/X5R</t>
  </si>
  <si>
    <t>CAP SM 0603 22uF 16V X5R</t>
  </si>
  <si>
    <t>GMC10X5R226M16NT</t>
  </si>
  <si>
    <t>4713-GMC10X5R226M16NTCT-ND</t>
  </si>
  <si>
    <t>311-1417-1-ND</t>
  </si>
  <si>
    <t>CC0402JRNPO9BN200</t>
  </si>
  <si>
    <t>https://yageogroup.com/download/specsheet/CC0402JRNPO9BN200</t>
  </si>
  <si>
    <t>CAP SM 0402 20pF 50V C0G</t>
  </si>
  <si>
    <t>20P/0402/50V/C0G</t>
  </si>
  <si>
    <t>220N/0402/25V/X7R</t>
  </si>
  <si>
    <t>CAP SM 0402 220nF 25V X7R</t>
  </si>
  <si>
    <t>https://mm.digikey.com/Volume0/opasdata/d220001/medias/docus/2249/TMK105B7224KV-FR_SS.pdf</t>
  </si>
  <si>
    <t>TMK105B7224KV-FR</t>
  </si>
  <si>
    <t>587-6021-1-ND</t>
  </si>
  <si>
    <t>2m</t>
  </si>
  <si>
    <t>https://www.vishay.com/docs/30417/wfcp.pdf</t>
  </si>
  <si>
    <t>Vishay Dale</t>
  </si>
  <si>
    <t>WFCP06032L000FE66</t>
  </si>
  <si>
    <t>541-WFCP06032L000FE66CT-ND</t>
  </si>
  <si>
    <t>1K62/0402</t>
  </si>
  <si>
    <t>RES SM 0402 1K62</t>
  </si>
  <si>
    <t>1K62</t>
  </si>
  <si>
    <t>13-RC0603FR-101K62LCT-ND</t>
  </si>
  <si>
    <t>RC0603FR-101K62L</t>
  </si>
  <si>
    <t>0R002/0603</t>
  </si>
  <si>
    <t>RES SM 0603 0R002</t>
  </si>
  <si>
    <t>10N/0402/25V/C0G</t>
  </si>
  <si>
    <t>CAP SM 0402 210nF 25V C0G</t>
  </si>
  <si>
    <t>https://pim.murata.com/asset/pim4/ceramicCapacitorSMD/GRM1555C1E103GE01-01A-EN_PDF_CERAMICCAPACITORSMD</t>
  </si>
  <si>
    <t>GRM1555C1E103GE01D</t>
  </si>
  <si>
    <t>490-GRM1555C1E103GE01DCT-ND</t>
  </si>
  <si>
    <t>SN74AUP1G74DCUR</t>
  </si>
  <si>
    <t>SN74AUP1G74DCU</t>
  </si>
  <si>
    <t>FF D-TYPE 1-ELE 1-BIT 8-VSSOP</t>
  </si>
  <si>
    <t>SWITCH SPDT X 1 15OHM SOT23-6</t>
  </si>
  <si>
    <t>SWITCH SPDT X 1 15OHM 6SON</t>
  </si>
  <si>
    <t>SWITCH SPDT X 1 15OHM 6X2SON</t>
  </si>
  <si>
    <t>SWITCH SPDT X 1 15OHM SOT5X3</t>
  </si>
  <si>
    <t>SN74AUP1G74RSE</t>
  </si>
  <si>
    <t>296-19761-1-ND</t>
  </si>
  <si>
    <t>https://www.ti.com/general/docs/suppproductinfo.tsp?distId=10&amp;gotoUrl=https%3A%2F%2Fwww.ti.com%2Flit%2Fgpn%2Fsn74aup1g74</t>
  </si>
  <si>
    <t>296-27280-1-ND</t>
  </si>
  <si>
    <t>https://www.ti.com/general/docs/suppproductinfo.tsp?distId=10&amp;gotoUrl=https%3A%2F%2Fwww.ti.com%2Flit%2Fgpn%2Fsn74aup1g75</t>
  </si>
  <si>
    <t>FF D SC 1X1_UQFN</t>
  </si>
  <si>
    <t>FF D SC 1X1_VSSOP</t>
  </si>
  <si>
    <t>UQFN-8</t>
  </si>
  <si>
    <t>FF D-TYPE 1-ELE 1-BIT 8-UQFN</t>
  </si>
  <si>
    <t>SOP050P310X090-8NW</t>
  </si>
  <si>
    <t>QFN050P150X150X055-8</t>
  </si>
  <si>
    <t>SN74AUP1G79DRLR</t>
  </si>
  <si>
    <t>SN74AUP1G79DRL</t>
  </si>
  <si>
    <t>https://www.ti.com/lit/ds/symlink/sn74aup1g79.pdf</t>
  </si>
  <si>
    <t>296-19594-1-ND</t>
  </si>
  <si>
    <t>FF D 1X1</t>
  </si>
  <si>
    <t>SN74AUP1G79DBV</t>
  </si>
  <si>
    <t>FF D-TYPE 1-ELE 1-BIT SOT-23</t>
  </si>
  <si>
    <t>FF D-TYPE 1-ELE 1-BIT SC-70</t>
  </si>
  <si>
    <t>FF D-TYPE 1-ELE 1-BIT SOT-5X3</t>
  </si>
  <si>
    <t>SN74AUP1G79DCK</t>
  </si>
  <si>
    <t>SOT-23-5</t>
  </si>
  <si>
    <t>SC70</t>
  </si>
  <si>
    <t>SN74AUP1G79DCKR</t>
  </si>
  <si>
    <t>296-17660-1-ND</t>
  </si>
  <si>
    <t>296-17659-1-ND</t>
  </si>
  <si>
    <t>SN74AUP1G79DBVR</t>
  </si>
  <si>
    <t>SISS05DN-T1-GE3</t>
  </si>
  <si>
    <t>SISS05DN-T1-GE3CT-ND</t>
  </si>
  <si>
    <t>https://www.vishay.com/docs/77029/siss05dn.pdf</t>
  </si>
  <si>
    <t>MOSFET P-CH 30V 29.4A/108A PPAK</t>
  </si>
  <si>
    <t>NSR05F20NXT5G</t>
  </si>
  <si>
    <t>DIODE SCHOTTKY 20V 500MA 2DSN</t>
  </si>
  <si>
    <t>NSR05F20NXT5GOSCT-ND</t>
  </si>
  <si>
    <t>SOD1006X030</t>
  </si>
  <si>
    <t>RN242SMT2R</t>
  </si>
  <si>
    <t>30V 100MA, SINGLE, LOW RF PIN DI</t>
  </si>
  <si>
    <t>Rohm Semiconductor</t>
  </si>
  <si>
    <t>DSN2</t>
  </si>
  <si>
    <t>https://www.rohm.com/datasheet?p=RN242SM&amp;dist=Digi-Key&amp;media=referral&amp;source=digi-key.com&amp;campaign=Digi-Key</t>
  </si>
  <si>
    <t>846-RN242SMT2RCT-ND</t>
  </si>
  <si>
    <t>https://www.onsemi.cn/download/data-sheet/pdf/nsr05f20-d.pdf</t>
  </si>
  <si>
    <t>296-INA296A5IDDFRCT-ND</t>
  </si>
  <si>
    <t>INA296A5IDDFR</t>
  </si>
  <si>
    <t>CSA_O5_P8_N1_REF7_3_VCC6_VEE2_4</t>
  </si>
  <si>
    <t>1A 76V Adj High-Efficiency MAXPower Step-Down DC-DC Converter</t>
  </si>
  <si>
    <t>PCA2129T/Q900/251</t>
  </si>
  <si>
    <t>3 kV rms Signal and Power Isolated CAN Transceivers for CAN FD</t>
  </si>
  <si>
    <t>Quad-Port IEEE 802.3af/at PSE Controller for Power over Ethernet</t>
  </si>
  <si>
    <t>3.8-V to 28-V 3-A Synchronous Buck Converter in SOT583 Package</t>
  </si>
  <si>
    <t>SIMPLE SWITCHER® power converter 4.5-V to 36-V 2-A synchronous buck with 40-µA IQ</t>
  </si>
  <si>
    <t>INA232 48-V 16-Bit Current Voltage and Power Monitor With an I2C Interface</t>
  </si>
  <si>
    <t>TA75S393FLF</t>
  </si>
  <si>
    <t>TA75S393FLF(T</t>
  </si>
  <si>
    <t>MT8691AT Uni-polar Nano Power Hall-Effect Switch IC</t>
  </si>
  <si>
    <t>FTDI Future Technology Devices International Ltd</t>
  </si>
  <si>
    <t>OPT3004DNPR OPT3004 Ambient Light Sensor (ALS) With Excellent Angular IR Rejection USON8</t>
  </si>
  <si>
    <t>OPT3004DTSR OPT3004 Ambient Light Sensor (ALS) With Excellent Angular IR Rejection SOT-5X3</t>
  </si>
  <si>
    <t>4-CHANNEL 320MA/CH LED DRIVER</t>
  </si>
  <si>
    <t>STM32F334K4T Arm ® Cortex ® -M4 32b MCU+FPU16KB Flash16KB SRAM 2 ADCs3 DACs2 comp.op-amp 217ps 10-ch (HRTIM1)</t>
  </si>
  <si>
    <t>STM32F334K6T Arm ® Cortex ® -M4 32b MCU+FPU32KB Flash16KB SRAM 2 ADCs3 DACs2 comp.op-amp 217ps 10-ch (HRTIM1)</t>
  </si>
  <si>
    <t>STM32F334K8T Arm ® Cortex ® -M4 32b MCU+FPU64KB Flash16KB SRAM 2 ADCs3 DACs2 comp.op-amp 217ps 10-ch (HRTIM1)</t>
  </si>
  <si>
    <t>STM32F334K4U Arm ® Cortex ® -M4 32b MCU+FPU16KB Flash16KB SRAM 2 ADCs3 DACs2 comp.op-amp 217ps 10-ch (HRTIM1)</t>
  </si>
  <si>
    <t>STM32F334K6U Arm ® Cortex ® -M4 32b MCU+FPU32KB Flash16KB SRAM 2 ADCs3 DACs2 comp.op-amp 217ps 10-ch (HRTIM1)</t>
  </si>
  <si>
    <t>STM32F334K8U Arm ® Cortex ® -M4 32b MCU+FPU64KB Flash16KB SRAM 2 ADCs3 DACs2 comp.op-amp 217ps 10-ch (HRTIM1)</t>
  </si>
  <si>
    <t>STM32F334C4T Arm ® Cortex ® -M4 32b MCU+FPU16KB Flash16KB SRAM 2 ADCs3 DACs3 comp.op-amp 217ps 10-ch (HRTIM1)</t>
  </si>
  <si>
    <t>STM32F334C6T Arm ® Cortex ® -M4 32b MCU+FPU32KB Flash16KB SRAM 2 ADCs3 DACs3 comp.op-amp 217ps 10-ch (HRTIM1)</t>
  </si>
  <si>
    <t>STM32F334C8T Arm ® Cortex ® -M4 32b MCU+FPU64KB Flash16KB SRAM 2 ADCs3 DACs3 comp.op-amp 217ps 10-ch (HRTIM1)</t>
  </si>
  <si>
    <t>STM32F334C4Y Arm ® Cortex ® -M4 32b MCU+FPU16KB Flash16KB SRAM 2 ADCs3 DACs3 comp.op-amp 217ps 10-ch (HRTIM1)</t>
  </si>
  <si>
    <t>STM32F334C6Y Arm ® Cortex ® -M4 32b MCU+FPU32KB Flash16KB SRAM 2 ADCs3 DACs3 comp.op-amp 217ps 10-ch (HRTIM1)</t>
  </si>
  <si>
    <t>STM32F334C8Y Arm ® Cortex ® -M4 32b MCU+FPU64KB Flash16KB SRAM 2 ADCs3 DACs3 comp.op-amp 217ps 10-ch (HRTIM1)</t>
  </si>
  <si>
    <t>STM32F334R6T Arm ® Cortex ® -M4 32b MCU+FPU32KB Flash16KB SRAM 2 ADCs3 DACs3 comp.op-amp 217ps 10-ch (HRTIM1)</t>
  </si>
  <si>
    <t>STM32F334R8T Arm ® Cortex ® -M4 32b MCU+FPU64KB Flash16KB SRAM 2 ADCs3 DACs3 comp.op-amp 217ps 10-ch (HRTIM1)</t>
  </si>
  <si>
    <t>ADS131M02 2-Channel Simultaneously-Sampling 24-Bit Delta-Sigma ADC</t>
  </si>
  <si>
    <t>ADS131M03 3-Channel Simultaneously-Sampling 24-Bit Delta-Sigma ADC</t>
  </si>
  <si>
    <t>ADS131M04 4-Channel Simultaneously-Sampling 24-Bit Delta-Sigma ADC</t>
  </si>
  <si>
    <t>BQ76905 2-Series to 5-Series High Accuracy Battery Monitor and Protector for Li-Ion Li-Polymer LiFePO4 (LFP) and LTO Battery Packs</t>
  </si>
  <si>
    <t>BQ76907 2-Series to 7-Series High Accuracy Battery Monitor and Protector for Li-Ion Li-Polymer LiFePO4 (LFP) and LTO Battery Packs</t>
  </si>
  <si>
    <t>MCP6N11-001 500 kHz 800 μA Instrumentation Amplifier SO-8</t>
  </si>
  <si>
    <t>MCP6N11-002 500 kHz 800 μA Instrumentation Amplifier SO-8</t>
  </si>
  <si>
    <t>MCP6N11-005 500 kHz 800 μA Instrumentation Amplifier SO-8</t>
  </si>
  <si>
    <t>MCP6N11-010 500 kHz 800 μA Instrumentation Amplifier SO-8</t>
  </si>
  <si>
    <t>MCP6N11-100 500 kHz 800 μA Instrumentation Amplifier SO-8</t>
  </si>
  <si>
    <t>MCP6N11-001 500 kHz 800 μA Instrumentation Amplifier DFN</t>
  </si>
  <si>
    <t>MCP6N11-002 500 kHz 800 μA Instrumentation Amplifier DFN</t>
  </si>
  <si>
    <t>MCP6N11-005 500 kHz 800 μA Instrumentation Amplifier DFN</t>
  </si>
  <si>
    <t>MCP6N11-010 500 kHz 800 μA Instrumentation Amplifier DFN</t>
  </si>
  <si>
    <t>MCP6N11-100 500 kHz 800 μA Instrumentation Amplifier DFN</t>
  </si>
  <si>
    <t>TLV314 3-MHz Low-Power Internal EMI Filter RRIO Operational Amplifier</t>
  </si>
  <si>
    <t>TLV2314 3-MHz Low-Power Internal EMI Filter RRIO Operational Amplifier</t>
  </si>
  <si>
    <t>TLV1701 2.2-V to 36-V microPower Comparato</t>
  </si>
  <si>
    <t>TLV1702 2.2-V to 36-V microPower Comparato</t>
  </si>
  <si>
    <t>TLV1704 2.2-V to 36-V microPower Comparato</t>
  </si>
  <si>
    <t xml:space="preserve"> 0.3A 120V Absolute Maximum Step-Down Converter With Fly-Buck™ Converter Capability</t>
  </si>
  <si>
    <t>0.3A 120V Absolute Maximum Step-Down Converter With Fly-Buck™ Converter Capability Fixed PWM</t>
  </si>
  <si>
    <t>0.65A 120V Absolute Maximum Step-Down Converter With Fly-Buck™ Converter Capability</t>
  </si>
  <si>
    <t>0.65A 120V Absolute Maximum Step-Down Converter With Fly-Buck™ Converter Capability Fixed PWM</t>
  </si>
  <si>
    <t>4-V to 36-V 600-mA Synchronous Step-Down Converter</t>
  </si>
  <si>
    <t>PCA9554D118</t>
  </si>
  <si>
    <t>PCA9554DB118</t>
  </si>
  <si>
    <t>PCA9554PW118</t>
  </si>
  <si>
    <t>PCA9554BS118</t>
  </si>
  <si>
    <t>PCA9554AD118</t>
  </si>
  <si>
    <t>PCA9554ADB118</t>
  </si>
  <si>
    <t>PCA9554APW118</t>
  </si>
  <si>
    <t>PCA9554ABS118</t>
  </si>
  <si>
    <t>PCA9554ABS3118</t>
  </si>
  <si>
    <t>PCA9554BS3118</t>
  </si>
  <si>
    <t>OPA197 36-V Precision Rail-to-Rail Input/Output Low Offset Voltage Operational Amplifiers</t>
  </si>
  <si>
    <t>OPA2197 36-V Precision Rail-to-Rail Input/Output Low Offset Voltage Operational Amplifiers</t>
  </si>
  <si>
    <t>OPA4197 36-V Precision Rail-to-Rail Input/Output Low Offset Voltage Operational Amplifiers</t>
  </si>
  <si>
    <t>RFID-Reader/Transponder IC 1356MHz FeliCa ISO 14443 MIFARE NFC I2C SPI UART 27V bis 55V 40-VFQFN mit freiliegendem Pad</t>
  </si>
  <si>
    <t>PN5321A3HN/C10655</t>
  </si>
  <si>
    <t>Mehrphasig Motortreiber NMOS Analog I2C PWM 40-VQFN (7x5)</t>
  </si>
  <si>
    <t>Mehrzweck Digitale Isolatoren 3000Vrms 2 Kanal 150MBits/s 75kV/µs CMTI 8-SOIC (0154" 390mm Breite)</t>
  </si>
  <si>
    <t>STM32G474CBT Arm® Cortex®-M4 32-bit MCU+FPU 170 MHz / 213 DMIPS 128 kB flash 128 KB SRAM rich analog math acc 184 ps 12 chan Hi-res timer QFP-48</t>
  </si>
  <si>
    <t>STM32G474CCT Arm® Cortex®-M4 32-bit MCU+FPU 170 MHz / 213 DMIPS 256 kB flash 128 KB SRAM rich analog math acc 184 ps 12 chan Hi-res timer QFP-48</t>
  </si>
  <si>
    <t>STM32G474CET Arm® Cortex®-M4 32-bit MCU+FPU 170 MHz / 213 DMIPS 512 kB flash 128 KB SRAM rich analog math acc 184 ps 12 chan Hi-res timer QFP-48</t>
  </si>
  <si>
    <t>STM32G474RBT Arm® Cortex®-M4 32-bit MCU+FPU 170 MHz / 213 DMIPS 128 kB flash 128 KB SRAM rich analog math acc 184 ps 12 chan Hi-res timer QFP-64</t>
  </si>
  <si>
    <t>STM32G474RCT Arm® Cortex®-M4 32-bit MCU+FPU 170 MHz / 213 DMIPS 256 kB flash 128 KB SRAM rich analog math acc 184 ps 12 chan Hi-res timer QFP-64</t>
  </si>
  <si>
    <t>STM32G474RET Arm® Cortex®-M4 32-bit MCU+FPU 170 MHz / 213 DMIPS 512 kB flash 128 KB SRAM rich analog math acc 184 ps 12 chan Hi-res timer QFP-64</t>
  </si>
  <si>
    <t>STM32G474MBT Arm® Cortex®-M4 32-bit MCU+FPU 170 MHz / 213 DMIPS 128 kB flash 128 KB SRAM rich analog math acc 184 ps 12 chan Hi-res timer QFP-80</t>
  </si>
  <si>
    <t>STM32G474MCT Arm® Cortex®-M4 32-bit MCU+FPU 170 MHz / 213 DMIPS 256 kB flash 128 KB SRAM rich analog math acc 184 ps 12 chan Hi-res timer QFP-80</t>
  </si>
  <si>
    <t>STM32G474MET Arm® Cortex®-M4 32-bit MCU+FPU 170 MHz / 213 DMIPS 512 kB flash 128 KB SRAM rich analog math acc 184 ps 12 chan Hi-res timer QFP-80</t>
  </si>
  <si>
    <t>STM32G474VBT Arm® Cortex®-M4 32-bit MCU+FPU 170 MHz / 213 DMIPS 128 kB flash 128 KB SRAM rich analog math acc 184 ps 12 chan Hi-res timer QFP-100</t>
  </si>
  <si>
    <t>STM32G474VCT Arm® Cortex®-M4 32-bit MCU+FPU 170 MHz / 213 DMIPS 256 kB flash 128 KB SRAM rich analog math acc 184 ps 12 chan Hi-res timer QFP-100</t>
  </si>
  <si>
    <t>STM32G474VET Arm® Cortex®-M4 32-bit MCU+FPU 170 MHz / 213 DMIPS 512 kB flash 128 KB SRAM rich analog math acc 184 ps 12 chan Hi-res timer QFP-100</t>
  </si>
  <si>
    <t>STM32G474QBT Arm® Cortex®-M4 32-bit MCU+FPU 170 MHz / 213 DMIPS 128 kB flash 128 KB SRAM rich analog math acc 184 ps 12 chan Hi-res timer QFP-128</t>
  </si>
  <si>
    <t>STM32G474QCT Arm® Cortex®-M4 32-bit MCU+FPU 170 MHz / 213 DMIPS 256 kB flash 128 KB SRAM rich analog math acc 184 ps 12 chan Hi-res timer QFP-128</t>
  </si>
  <si>
    <t>STM32G474QET Arm® Cortex®-M4 32-bit MCU+FPU 170 MHz / 213 DMIPS 512 kB flash 128 KB SRAM rich analog math acc 184 ps 12 chan Hi-res timer QFP-128</t>
  </si>
  <si>
    <t>STM32G474CBU Arm® Cortex®-M4 32-bit MCU+FPU 170 MHz / 213 DMIPS 128 kB flash 128 KB SRAM rich analog math acc 184 ps 12 chan Hi-res timer QFN-48</t>
  </si>
  <si>
    <t>STM32G474CCU Arm® Cortex®-M4 32-bit MCU+FPU 170 MHz / 213 DMIPS 256 kB flash 128 KB SRAM rich analog math acc 184 ps 12 chan Hi-res timer QFN-48</t>
  </si>
  <si>
    <t>STM32G474CEU Arm® Cortex®-M4 32-bit MCU+FPU 170 MHz / 213 DMIPS 512 kB flash 128 KB SRAM rich analog math acc 184 ps 12 chan Hi-res timer QFN-48</t>
  </si>
  <si>
    <t>STM32G474MBY Arm® Cortex®-M4 32-bit MCU+FPU 170 MHz / 213 DMIPS 128 kB flash 128 KB SRAM rich analog math acc 184 ps 12 chan Hi-res timer CSP-81</t>
  </si>
  <si>
    <t>STM32G474MCY Arm® Cortex®-M4 32-bit MCU+FPU 170 MHz / 213 DMIPS 256 kB flash 128 KB SRAM rich analog math acc 184 ps 12 chan Hi-res timer CSP-81</t>
  </si>
  <si>
    <t>STM32G474MEY Arm® Cortex®-M4 32-bit MCU+FPU 170 MHz / 213 DMIPS 512 kB flash 128 KB SRAM rich analog math acc 184 ps 12 chan Hi-res timer CSP-81</t>
  </si>
  <si>
    <t>STM32G474VBH Arm® Cortex®-M4 32-bit MCU+FPU 170 MHz / 213 DMIPS 128 kB flash 128 KB SRAM rich analog math acc 184 ps 12 chan Hi-res timer BGA-100</t>
  </si>
  <si>
    <t>STM32G474VCH Arm® Cortex®-M4 32-bit MCU+FPU 170 MHz / 213 DMIPS 256 kB flash 128 KB SRAM rich analog math acc 184 ps 12 chan Hi-res timer BGA-100</t>
  </si>
  <si>
    <t>STM32G474VEH Arm® Cortex®-M4 32-bit MCU+FPU 170 MHz / 213 DMIPS 512 kB flash 128 KB SRAM rich analog math acc 184 ps 12 chan Hi-res timer BGA-100</t>
  </si>
  <si>
    <t>STM32G474PBI Arm® Cortex®-M4 32-bit MCU+FPU 170 MHz / 213 DMIPS 128 kB flash 128 KB SRAM rich analog math acc 184 ps 12 chan Hi-res timer BGA-128</t>
  </si>
  <si>
    <t>STM32G474PCI Arm® Cortex®-M4 32-bit MCU+FPU 170 MHz / 213 DMIPS 256 kB flash 128 KB SRAM rich analog math acc 184 ps 12 chan Hi-res timer BGA-128</t>
  </si>
  <si>
    <t>STM32G474PEI Arm® Cortex®-M4 32-bit MCU+FPU 170 MHz / 213 DMIPS 512 kB flash 128 KB SRAM rich analog math acc 184 ps 12 chan Hi-res timer BGA-128</t>
  </si>
  <si>
    <t>LMG2100R044 100V 35A GaN Half-Bridge Power Stage</t>
  </si>
  <si>
    <t>LP2985 150mA Low-Noise Low-Dropout Regulator With Shutdown 1.0V</t>
  </si>
  <si>
    <t>LP2985 150mA Low-Noise Low-Dropout Regulator With Shutdown 1.8V</t>
  </si>
  <si>
    <t>LP2985 150mA Low-Noise Low-Dropout Regulator With Shutdown 2.5V</t>
  </si>
  <si>
    <t>LP2985 150mA Low-Noise Low-Dropout Regulator With Shutdown 2.8V</t>
  </si>
  <si>
    <t>LP2985 150mA Low-Noise Low-Dropout Regulator With Shutdown 2.9V</t>
  </si>
  <si>
    <t>Positive Fixed 3.3V SOT-89-3 Voltage Regulators - Linear Low Drop Out (LDO) Regulators RoHS</t>
  </si>
  <si>
    <t>NX3L2267GU115</t>
  </si>
  <si>
    <t>iCE40 Ultra™ Feldprogrammierbares Gate-Array (FPGA) IC 26 65536 1100 36-XFBGA WLCSP</t>
  </si>
  <si>
    <t>INA181A1 Bidirectional Low- and High-Side Voltage Output Current-Sense Amplifier 20 V/V SOT23</t>
  </si>
  <si>
    <t>INA181A2 Bidirectional Low- and High-Side Voltage Output Current-Sense Amplifier 50 V/V SOT23</t>
  </si>
  <si>
    <t>INA181A3 Bidirectional Low- and High-Side Voltage Output Current-Sense Amplifier 100 V/V SOT23</t>
  </si>
  <si>
    <t>INA181A4 Bidirectional Low- and High-Side Voltage Output Current-Sense Amplifier 200 V/V SOT23</t>
  </si>
  <si>
    <t>INA181A1 Bidirectional Low- and High-Side Voltage Output Current-Sense Amplifier 20 V/V SC70</t>
  </si>
  <si>
    <t>INA181A2 Bidirectional Low- and High-Side Voltage Output Current-Sense Amplifier 50 V/V SC70</t>
  </si>
  <si>
    <t>INA181A3 Bidirectional Low- and High-Side Voltage Output Current-Sense Amplifier 100 V/V SC70</t>
  </si>
  <si>
    <t>INA181A4 Bidirectional Low- and High-Side Voltage Output Current-Sense Amplifier 200 V/V SC70</t>
  </si>
  <si>
    <t>INA296x –5V to 110V Bidirectional 1.1MHz 8V/μs Ultra-Precise Current Sense Amplifier</t>
  </si>
  <si>
    <t>1U/0201/6.3V/X5R</t>
  </si>
  <si>
    <t>CAP SM 0201 1uF 6.3V X5R</t>
  </si>
  <si>
    <t>490-16305-1-ND</t>
  </si>
  <si>
    <t>GRT033R60J105ME13D</t>
  </si>
  <si>
    <t>https://pim.murata.com/asset/pim4/ceramicCapacitorSMD/GRT033R60J105ME13-01A-EN_PDF_CERAMICCAPACITORSMD</t>
  </si>
  <si>
    <t>C5142566</t>
  </si>
  <si>
    <t>TCC0201X5R105K6R3ZT</t>
  </si>
  <si>
    <t>TP_SMD_0.5</t>
  </si>
  <si>
    <t>SMD Test Point 0.5mm</t>
  </si>
  <si>
    <t>2U2/0201/6.3V/X5R</t>
  </si>
  <si>
    <t>CAP SM 0201 2.2uF 6.3V X5R</t>
  </si>
  <si>
    <t>587-MEASJ063BB5225MF1A01CT-ND</t>
  </si>
  <si>
    <t>MEASJ063BB5225MF1A01</t>
  </si>
  <si>
    <t>ADS7056</t>
  </si>
  <si>
    <t>14-Bit  2.5-MSPS Single-Ended Input Small-Size Low-Power SAR ADC</t>
  </si>
  <si>
    <t>https://www.ti.com/lit/ds/symlink/ads7056.pdf</t>
  </si>
  <si>
    <t>ADS7056IRUGR</t>
  </si>
  <si>
    <t>296-47123-1-ND</t>
  </si>
  <si>
    <t>C2669798</t>
  </si>
  <si>
    <t>SN74AUP1G32DPWR</t>
  </si>
  <si>
    <t>IC OR 1-CIR 2-IN 4-X2SON</t>
  </si>
  <si>
    <t>X2SON</t>
  </si>
  <si>
    <t>GATE OR 1X2</t>
  </si>
  <si>
    <t>SON048P080X080X040-5</t>
  </si>
  <si>
    <t>https://www.ti.com/lit/ds/symlink/sn74lvc1g32.pdf</t>
  </si>
  <si>
    <t>296-38022-1-ND</t>
  </si>
  <si>
    <t>C2867584</t>
  </si>
  <si>
    <t>22U/0402/6.3V/X5R</t>
  </si>
  <si>
    <t>CAP SM 0402 22uF 6.3V X5R</t>
  </si>
  <si>
    <t>https://yageogroup.com/content/datasheet/asset/file/UPY-GPHC_X5R_4V-TO-50V</t>
  </si>
  <si>
    <t>13-CC0402MRX5R5BB226CT-ND</t>
  </si>
  <si>
    <t>CC0402MRX5R5BB226</t>
  </si>
  <si>
    <t>CGA0402X5R226M6R3GT</t>
  </si>
  <si>
    <t>C6119784</t>
  </si>
  <si>
    <t>SN74AUP1G08DPWR</t>
  </si>
  <si>
    <t>Single 2-input AND Gate</t>
  </si>
  <si>
    <t>GATE AND 1X2</t>
  </si>
  <si>
    <t>https://www.ti.com/general/docs/suppproductinfo.tsp?distId=10&amp;gotoUrl=https%3A%2F%2Fwww.ti.com%2Flit%2Fgpn%2Fsn74aup1g08</t>
  </si>
  <si>
    <t>296-38021-1-ND</t>
  </si>
  <si>
    <t>C2872914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</si>
</sst>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2"/>
      <color rgb="FF000000"/>
      <name val="Calibri"/>
      <family val="2"/>
      <charset val="1"/>
    </font>
    <font>
      <sz val="8"/>
      <name val="Calibri"/>
      <family val="2"/>
      <scheme val="minor"/>
    </font>
    <font>
      <sz val="7"/>
      <color rgb="FF333333"/>
      <name val="Arial"/>
      <family val="2"/>
    </font>
    <font>
      <sz val="10"/>
      <color rgb="FF333333"/>
      <name val="HarmonyOS Sans SC"/>
    </font>
    <font>
      <sz val="8"/>
      <color rgb="FF222222"/>
      <name val="Microsoft YaHei"/>
      <family val="2"/>
    </font>
    <font>
      <sz val="11"/>
      <color rgb="FF222222"/>
      <name val="Microsoft YaHei"/>
      <family val="2"/>
    </font>
    <font>
      <sz val="12"/>
      <color rgb="FF333333"/>
      <name val="HarmonyOS Sans SC"/>
    </font>
    <font>
      <sz val="11"/>
      <color rgb="FF000000"/>
      <name val="Calibri"/>
      <family val="2"/>
      <scheme val="minor"/>
    </font>
    <font>
      <sz val="9"/>
      <color rgb="FF222222"/>
      <name val="Roboto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444444"/>
      <name val="Roboto"/>
    </font>
    <font>
      <sz val="11"/>
      <color rgb="FF333333"/>
      <name val="HarmonyOS Sans SC"/>
    </font>
    <font>
      <u/>
      <sz val="11"/>
      <color theme="10"/>
      <name val="Calibri"/>
      <family val="2"/>
      <scheme val="minor"/>
    </font>
    <font>
      <sz val="9"/>
      <color rgb="FF444444"/>
      <name val="Roboto"/>
    </font>
    <font>
      <sz val="11"/>
      <color rgb="FF4D4D4D"/>
      <name val="Fira Sans"/>
      <family val="2"/>
    </font>
    <font>
      <sz val="8"/>
      <color rgb="FF333333"/>
      <name val="HarmonyOS Sans"/>
    </font>
    <font>
      <sz val="11"/>
      <color rgb="FF666666"/>
      <name val="Microsoft YaHei"/>
      <family val="2"/>
    </font>
    <font>
      <sz val="12"/>
      <color rgb="FF333333"/>
      <name val="HarmonyOS Sans"/>
    </font>
    <font>
      <sz val="11"/>
      <color rgb="FF222222"/>
      <name val="Roboto"/>
    </font>
    <font>
      <sz val="11"/>
      <color rgb="FF222222"/>
      <name val="Calibri"/>
      <family val="2"/>
      <scheme val="minor"/>
    </font>
    <font>
      <sz val="11"/>
      <color rgb="FF33333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4" fillId="0" borderId="0" applyNumberFormat="0" applyFill="0" applyBorder="0" applyAlignment="0" applyProtection="0"/>
  </cellStyleXfs>
  <cellXfs count="52">
    <xf numFmtId="0" fontId="0" fillId="0" borderId="0" xfId="0"/>
    <xf numFmtId="49" fontId="1" fillId="0" borderId="0" xfId="1" applyNumberFormat="1"/>
    <xf numFmtId="49" fontId="1" fillId="0" borderId="0" xfId="0" applyNumberFormat="1" applyFont="1"/>
    <xf numFmtId="11" fontId="0" fillId="0" borderId="0" xfId="0" applyNumberFormat="1"/>
    <xf numFmtId="0" fontId="3" fillId="0" borderId="0" xfId="0" applyFont="1"/>
    <xf numFmtId="0" fontId="4" fillId="0" borderId="0" xfId="0" applyFont="1"/>
    <xf numFmtId="0" fontId="0" fillId="2" borderId="0" xfId="0" applyFill="1" applyAlignment="1">
      <alignment horizontal="left" vertical="center"/>
    </xf>
    <xf numFmtId="0" fontId="0" fillId="0" borderId="0" xfId="0" applyAlignment="1">
      <alignment vertical="center"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0" fillId="3" borderId="0" xfId="0" applyFill="1"/>
    <xf numFmtId="0" fontId="4" fillId="2" borderId="0" xfId="0" applyFont="1" applyFill="1" applyAlignment="1">
      <alignment vertical="center" wrapText="1"/>
    </xf>
    <xf numFmtId="0" fontId="8" fillId="0" borderId="0" xfId="0" applyFont="1"/>
    <xf numFmtId="49" fontId="0" fillId="0" borderId="0" xfId="0" applyNumberFormat="1"/>
    <xf numFmtId="0" fontId="9" fillId="2" borderId="0" xfId="0" applyFont="1" applyFill="1" applyAlignment="1">
      <alignment horizontal="left" vertical="top"/>
    </xf>
    <xf numFmtId="49" fontId="11" fillId="0" borderId="0" xfId="1" applyNumberFormat="1" applyFont="1"/>
    <xf numFmtId="0" fontId="10" fillId="0" borderId="0" xfId="0" applyFont="1"/>
    <xf numFmtId="49" fontId="11" fillId="0" borderId="0" xfId="0" applyNumberFormat="1" applyFont="1"/>
    <xf numFmtId="0" fontId="11" fillId="0" borderId="0" xfId="1" applyFont="1"/>
    <xf numFmtId="11" fontId="11" fillId="0" borderId="0" xfId="1" applyNumberFormat="1" applyFont="1"/>
    <xf numFmtId="11" fontId="10" fillId="0" borderId="0" xfId="0" applyNumberFormat="1" applyFont="1"/>
    <xf numFmtId="0" fontId="12" fillId="0" borderId="0" xfId="0" applyFont="1"/>
    <xf numFmtId="0" fontId="13" fillId="0" borderId="0" xfId="0" applyFont="1"/>
    <xf numFmtId="49" fontId="10" fillId="0" borderId="0" xfId="0" applyNumberFormat="1" applyFont="1"/>
    <xf numFmtId="0" fontId="0" fillId="0" borderId="0" xfId="0" quotePrefix="1"/>
    <xf numFmtId="0" fontId="14" fillId="0" borderId="0" xfId="2"/>
    <xf numFmtId="0" fontId="15" fillId="0" borderId="0" xfId="0" applyFont="1"/>
    <xf numFmtId="0" fontId="14" fillId="0" borderId="0" xfId="2" applyFill="1"/>
    <xf numFmtId="0" fontId="14" fillId="0" borderId="0" xfId="2" applyFill="1" applyAlignment="1">
      <alignment vertical="center" wrapText="1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0" fillId="2" borderId="0" xfId="0" applyFill="1"/>
    <xf numFmtId="0" fontId="19" fillId="2" borderId="0" xfId="0" applyFont="1" applyFill="1" applyAlignment="1">
      <alignment vertical="center" wrapText="1"/>
    </xf>
    <xf numFmtId="49" fontId="11" fillId="0" borderId="0" xfId="1" quotePrefix="1" applyNumberFormat="1" applyFont="1"/>
    <xf numFmtId="49" fontId="10" fillId="0" borderId="0" xfId="0" quotePrefix="1" applyNumberFormat="1" applyFont="1"/>
    <xf numFmtId="0" fontId="11" fillId="0" borderId="0" xfId="0" applyFont="1"/>
    <xf numFmtId="0" fontId="0" fillId="4" borderId="0" xfId="0" applyFill="1"/>
    <xf numFmtId="49" fontId="11" fillId="4" borderId="0" xfId="1" applyNumberFormat="1" applyFont="1" applyFill="1"/>
    <xf numFmtId="0" fontId="10" fillId="4" borderId="0" xfId="0" applyFont="1" applyFill="1"/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20" fillId="0" borderId="0" xfId="0" applyFont="1"/>
    <xf numFmtId="0" fontId="20" fillId="0" borderId="0" xfId="0" applyFont="1" applyAlignment="1">
      <alignment horizontal="left" vertical="center"/>
    </xf>
    <xf numFmtId="48" fontId="0" fillId="0" borderId="0" xfId="0" applyNumberFormat="1"/>
    <xf numFmtId="2" fontId="0" fillId="0" borderId="0" xfId="0" applyNumberFormat="1"/>
    <xf numFmtId="0" fontId="21" fillId="0" borderId="0" xfId="0" applyFont="1"/>
    <xf numFmtId="49" fontId="8" fillId="0" borderId="0" xfId="1" applyNumberFormat="1" applyFont="1"/>
    <xf numFmtId="0" fontId="22" fillId="0" borderId="0" xfId="0" applyFont="1"/>
    <xf numFmtId="0" fontId="21" fillId="0" borderId="0" xfId="0" applyFont="1" applyAlignment="1">
      <alignment horizontal="left" vertical="center"/>
    </xf>
  </cellXfs>
  <cellStyles count="3">
    <cellStyle name="Hyperlink" xfId="2" builtinId="8"/>
    <cellStyle name="Normal" xfId="0" builtinId="0"/>
    <cellStyle name="Standard 2" xfId="1" xr:uid="{EF57721B-36C4-46B1-A33C-AE929CF977C4}"/>
  </cellStyles>
  <dxfs count="7">
    <dxf>
      <fill>
        <patternFill>
          <bgColor rgb="FFFF7F7F"/>
        </patternFill>
      </fill>
    </dxf>
    <dxf>
      <fill>
        <patternFill>
          <bgColor rgb="FFFF7F7F"/>
        </patternFill>
      </fill>
    </dxf>
    <dxf>
      <fill>
        <patternFill>
          <bgColor rgb="FFFF7F7F"/>
        </patternFill>
      </fill>
    </dxf>
    <dxf>
      <fill>
        <patternFill>
          <bgColor rgb="FFFF7F7F"/>
        </patternFill>
      </fill>
    </dxf>
    <dxf>
      <fill>
        <patternFill>
          <bgColor rgb="FFFF7F7F"/>
        </patternFill>
      </fill>
    </dxf>
    <dxf>
      <fill>
        <patternFill>
          <bgColor rgb="FFFF7F7F"/>
        </patternFill>
      </fill>
    </dxf>
    <dxf>
      <fill>
        <patternFill>
          <bgColor rgb="FFFF7F7F"/>
        </patternFill>
      </fill>
    </dxf>
  </dxfs>
  <tableStyles count="0" defaultTableStyle="TableStyleMedium2" defaultPivotStyle="PivotStyleLight16"/>
  <colors>
    <mruColors>
      <color rgb="FFFF7F7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product.tdk.com/system/files/dam/doc/product/protection/current/ntc-limiter/data_sheet/50/db/icl_16/s236.pdf" TargetMode="External"/><Relationship Id="rId2" Type="http://schemas.openxmlformats.org/officeDocument/2006/relationships/hyperlink" Target="https://www.schurter.com/en/datasheet/typ_OGN.pdf" TargetMode="External"/><Relationship Id="rId1" Type="http://schemas.openxmlformats.org/officeDocument/2006/relationships/hyperlink" Target="https://www.lcsc.com/brand-detail/111.html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industrial.panasonic.com/cdbs/www-data/pdf/AWA0000/AWA0000C1.pdf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ourns.com/docs/product-datasheets/srp1245c.pdf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s://www.bourns.com/docs/product-datasheets/srp1510ca.pdf" TargetMode="External"/><Relationship Id="rId1" Type="http://schemas.openxmlformats.org/officeDocument/2006/relationships/hyperlink" Target="https://productfinder.pulseelectronics.com/api/open/part-attachments/datasheet/BMRA000606303R3MA1" TargetMode="External"/><Relationship Id="rId6" Type="http://schemas.openxmlformats.org/officeDocument/2006/relationships/hyperlink" Target="https://www.eaton.com/content/dam/eaton/products/electronic-components/resources/data-sheet/eaton-dr-high-power-density-high-efficiency-shielded-drum-core-power-inductors-data-sheet.pdf" TargetMode="External"/><Relationship Id="rId5" Type="http://schemas.openxmlformats.org/officeDocument/2006/relationships/hyperlink" Target="https://productfinder.pulseelectronics.com/api/open/part-attachments/datasheet/BMRA00060630R22MA1" TargetMode="External"/><Relationship Id="rId4" Type="http://schemas.openxmlformats.org/officeDocument/2006/relationships/hyperlink" Target="https://www.schurter.com/en/datasheet/typ_DFKH.pdf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lcsc.com/product-detail/Schottky-Barrier-Diodes-SBD_Slkor-SLKORMICRO-Elec-SS26_C513477.html" TargetMode="Externa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infineon.com/dgdl/BSC123N08NS3G_rev2.5.pdf?folderId=db3a304313b8b5a60113cee8763b02d7&amp;fileId=db3a30431add1d95011ae80eb8555625&amp;fileId=db3a30431add1d95011ae80eb8555625" TargetMode="External"/><Relationship Id="rId2" Type="http://schemas.openxmlformats.org/officeDocument/2006/relationships/hyperlink" Target="https://www.onsemi.com/pdf/datasheet/fdd4141_f085-d.pdf" TargetMode="External"/><Relationship Id="rId1" Type="http://schemas.openxmlformats.org/officeDocument/2006/relationships/hyperlink" Target="https://www.lcsc.com/product-detail/MOSFETs_FUXINSEMI-SI2302_C6807797.html" TargetMode="External"/><Relationship Id="rId4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lex.com/en-us/products/part-detail/5600200220" TargetMode="External"/><Relationship Id="rId3" Type="http://schemas.openxmlformats.org/officeDocument/2006/relationships/hyperlink" Target="https://www.schurter.com/de/datasheet/GSP1" TargetMode="External"/><Relationship Id="rId7" Type="http://schemas.openxmlformats.org/officeDocument/2006/relationships/hyperlink" Target="https://tools.molex.com/pdm_docs/ps/PS-43045.pdf" TargetMode="External"/><Relationship Id="rId12" Type="http://schemas.openxmlformats.org/officeDocument/2006/relationships/printerSettings" Target="../printerSettings/printerSettings6.bin"/><Relationship Id="rId2" Type="http://schemas.openxmlformats.org/officeDocument/2006/relationships/hyperlink" Target="https://www.we-online.com/components/products/datasheet/615008160421.pdf" TargetMode="External"/><Relationship Id="rId1" Type="http://schemas.openxmlformats.org/officeDocument/2006/relationships/hyperlink" Target="https://www.we-online.com/components/products/datasheet/615008160121.pdf" TargetMode="External"/><Relationship Id="rId6" Type="http://schemas.openxmlformats.org/officeDocument/2006/relationships/hyperlink" Target="https://tools.molex.com/pdm_docs/sd/430450412_sd.pdf" TargetMode="External"/><Relationship Id="rId11" Type="http://schemas.openxmlformats.org/officeDocument/2006/relationships/hyperlink" Target="https://www.molex.com/en-us/products/part-detail/5023520200" TargetMode="External"/><Relationship Id="rId5" Type="http://schemas.openxmlformats.org/officeDocument/2006/relationships/hyperlink" Target="https://www.lcsc.com/brand-detail/109.html" TargetMode="External"/><Relationship Id="rId10" Type="http://schemas.openxmlformats.org/officeDocument/2006/relationships/hyperlink" Target="https://b2b.harting.com/files/download/PRD/PDF_DS/PDF_DS_21033811418_EN.pdf" TargetMode="External"/><Relationship Id="rId4" Type="http://schemas.openxmlformats.org/officeDocument/2006/relationships/hyperlink" Target="https://www.te.com/usa-en/product-1217861-1.datasheet.pdf" TargetMode="External"/><Relationship Id="rId9" Type="http://schemas.openxmlformats.org/officeDocument/2006/relationships/hyperlink" Target="https://www.molex.com/en-us/products/part-detail/5600200820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ti.com/lit/ds/symlink/sn74lvc08a.pdf" TargetMode="External"/><Relationship Id="rId1" Type="http://schemas.openxmlformats.org/officeDocument/2006/relationships/hyperlink" Target="https://assets.nexperia.com/documents/data-sheet/74HC_HCT1G04.pdf" TargetMode="External"/></Relationships>
</file>

<file path=xl/worksheets/_rels/sheet1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t.com/resource/en/datasheet/stm32g474mb.pdf" TargetMode="External"/><Relationship Id="rId18" Type="http://schemas.openxmlformats.org/officeDocument/2006/relationships/hyperlink" Target="https://www.st.com/resource/en/datasheet/stm32g474ve.pdf" TargetMode="External"/><Relationship Id="rId26" Type="http://schemas.openxmlformats.org/officeDocument/2006/relationships/hyperlink" Target="https://www.st.com/resource/en/datasheet/stm32g474mc.pdf" TargetMode="External"/><Relationship Id="rId3" Type="http://schemas.openxmlformats.org/officeDocument/2006/relationships/hyperlink" Target="https://www.ti.com/lit/ds/symlink/tps43060.pdf" TargetMode="External"/><Relationship Id="rId21" Type="http://schemas.openxmlformats.org/officeDocument/2006/relationships/hyperlink" Target="https://www.st.com/resource/en/datasheet/stm32g474qe.pdf" TargetMode="External"/><Relationship Id="rId34" Type="http://schemas.openxmlformats.org/officeDocument/2006/relationships/hyperlink" Target="https://www.ti.com/lit/ds/symlink/ads7056.pdf" TargetMode="External"/><Relationship Id="rId7" Type="http://schemas.openxmlformats.org/officeDocument/2006/relationships/hyperlink" Target="https://www.st.com/resource/en/datasheet/stm32g474cb.pdf" TargetMode="External"/><Relationship Id="rId12" Type="http://schemas.openxmlformats.org/officeDocument/2006/relationships/hyperlink" Target="https://www.st.com/resource/en/datasheet/stm32g474re.pdf" TargetMode="External"/><Relationship Id="rId17" Type="http://schemas.openxmlformats.org/officeDocument/2006/relationships/hyperlink" Target="https://www.st.com/resource/en/datasheet/stm32g474vc.pdf" TargetMode="External"/><Relationship Id="rId25" Type="http://schemas.openxmlformats.org/officeDocument/2006/relationships/hyperlink" Target="https://www.st.com/resource/en/datasheet/stm32g474mb.pdf" TargetMode="External"/><Relationship Id="rId33" Type="http://schemas.openxmlformats.org/officeDocument/2006/relationships/hyperlink" Target="https://www.st.com/resource/en/datasheet/stm32g474pe.pdf" TargetMode="External"/><Relationship Id="rId2" Type="http://schemas.openxmlformats.org/officeDocument/2006/relationships/hyperlink" Target="https://www.monolithicpower.com/en/documentview/productdocument/index/version/2/document_type/Datasheet/lang/en/sku/MP3924GU/document_id/9919/" TargetMode="External"/><Relationship Id="rId16" Type="http://schemas.openxmlformats.org/officeDocument/2006/relationships/hyperlink" Target="https://www.st.com/resource/en/datasheet/stm32g474vb.pdf" TargetMode="External"/><Relationship Id="rId20" Type="http://schemas.openxmlformats.org/officeDocument/2006/relationships/hyperlink" Target="https://www.st.com/resource/en/datasheet/stm32g474qc.pdf" TargetMode="External"/><Relationship Id="rId29" Type="http://schemas.openxmlformats.org/officeDocument/2006/relationships/hyperlink" Target="https://www.st.com/resource/en/datasheet/stm32g474vc.pdf" TargetMode="External"/><Relationship Id="rId1" Type="http://schemas.openxmlformats.org/officeDocument/2006/relationships/hyperlink" Target="https://www.lcsc.com/product-detail/Light-Emitting-Diodes-LED_Worldsemi-WS2812B-Mini_C527089.html" TargetMode="External"/><Relationship Id="rId6" Type="http://schemas.openxmlformats.org/officeDocument/2006/relationships/hyperlink" Target="https://toshiba.semicon-storage.com/info/TA75S393F_datasheet_en_20220525.pdf?did=20981&amp;prodName=TA75S393F" TargetMode="External"/><Relationship Id="rId11" Type="http://schemas.openxmlformats.org/officeDocument/2006/relationships/hyperlink" Target="https://www.st.com/resource/en/datasheet/stm32g474rc.pdf" TargetMode="External"/><Relationship Id="rId24" Type="http://schemas.openxmlformats.org/officeDocument/2006/relationships/hyperlink" Target="https://www.st.com/resource/en/datasheet/stm32g474ce.pdf" TargetMode="External"/><Relationship Id="rId32" Type="http://schemas.openxmlformats.org/officeDocument/2006/relationships/hyperlink" Target="https://www.st.com/resource/en/datasheet/stm32g474pc.pdf" TargetMode="External"/><Relationship Id="rId5" Type="http://schemas.openxmlformats.org/officeDocument/2006/relationships/hyperlink" Target="https://www.ti.com/lit/ds/symlink/ina232.pdf" TargetMode="External"/><Relationship Id="rId15" Type="http://schemas.openxmlformats.org/officeDocument/2006/relationships/hyperlink" Target="https://www.st.com/resource/en/datasheet/stm32g474me.pdf" TargetMode="External"/><Relationship Id="rId23" Type="http://schemas.openxmlformats.org/officeDocument/2006/relationships/hyperlink" Target="https://www.st.com/resource/en/datasheet/stm32g474cc.pdf" TargetMode="External"/><Relationship Id="rId28" Type="http://schemas.openxmlformats.org/officeDocument/2006/relationships/hyperlink" Target="https://www.st.com/resource/en/datasheet/stm32g474vb.pdf" TargetMode="External"/><Relationship Id="rId10" Type="http://schemas.openxmlformats.org/officeDocument/2006/relationships/hyperlink" Target="https://www.st.com/resource/en/datasheet/stm32g474rb.pdf" TargetMode="External"/><Relationship Id="rId19" Type="http://schemas.openxmlformats.org/officeDocument/2006/relationships/hyperlink" Target="https://www.st.com/resource/en/datasheet/stm32g474qb.pdf" TargetMode="External"/><Relationship Id="rId31" Type="http://schemas.openxmlformats.org/officeDocument/2006/relationships/hyperlink" Target="https://www.st.com/resource/en/datasheet/stm32g474pb.pdf" TargetMode="External"/><Relationship Id="rId4" Type="http://schemas.openxmlformats.org/officeDocument/2006/relationships/hyperlink" Target="https://www.monolithicpower.com/en/documentview/productdocument/index/version/2/document_type/Datasheet/lang/en/sku/MP2659/document_id/6973/" TargetMode="External"/><Relationship Id="rId9" Type="http://schemas.openxmlformats.org/officeDocument/2006/relationships/hyperlink" Target="https://www.st.com/resource/en/datasheet/stm32g474ce.pdf" TargetMode="External"/><Relationship Id="rId14" Type="http://schemas.openxmlformats.org/officeDocument/2006/relationships/hyperlink" Target="https://www.st.com/resource/en/datasheet/stm32g474mc.pdf" TargetMode="External"/><Relationship Id="rId22" Type="http://schemas.openxmlformats.org/officeDocument/2006/relationships/hyperlink" Target="https://www.st.com/resource/en/datasheet/stm32g474cb.pdf" TargetMode="External"/><Relationship Id="rId27" Type="http://schemas.openxmlformats.org/officeDocument/2006/relationships/hyperlink" Target="https://www.st.com/resource/en/datasheet/stm32g474me.pdf" TargetMode="External"/><Relationship Id="rId30" Type="http://schemas.openxmlformats.org/officeDocument/2006/relationships/hyperlink" Target="https://www.st.com/resource/en/datasheet/stm32g474ve.pdf" TargetMode="External"/><Relationship Id="rId35" Type="http://schemas.openxmlformats.org/officeDocument/2006/relationships/printerSettings" Target="../printerSettings/printerSettings7.bin"/><Relationship Id="rId8" Type="http://schemas.openxmlformats.org/officeDocument/2006/relationships/hyperlink" Target="https://www.st.com/resource/en/datasheet/stm32g474cc.pdf" TargetMode="Externa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azettler.com/pdfs/az2150.pdf" TargetMode="External"/><Relationship Id="rId3" Type="http://schemas.openxmlformats.org/officeDocument/2006/relationships/hyperlink" Target="https://www.azettler.com/pdfs/az2150.pdf" TargetMode="External"/><Relationship Id="rId7" Type="http://schemas.openxmlformats.org/officeDocument/2006/relationships/hyperlink" Target="https://www.azettler.com/pdfs/az822.pdf" TargetMode="External"/><Relationship Id="rId2" Type="http://schemas.openxmlformats.org/officeDocument/2006/relationships/hyperlink" Target="https://www.azettler.com/pdfs/az2150.pdf" TargetMode="External"/><Relationship Id="rId1" Type="http://schemas.openxmlformats.org/officeDocument/2006/relationships/hyperlink" Target="https://www.hirose.com/product/document?clcode=CL0609-0033-6-00&amp;productname=DM3AT-SF-PEJ2M5&amp;series=DM3&amp;documenttype=Catalog&amp;lang=en&amp;documentid=D49662_en" TargetMode="External"/><Relationship Id="rId6" Type="http://schemas.openxmlformats.org/officeDocument/2006/relationships/hyperlink" Target="https://www.azettler.com/pdfs/az822.pdf" TargetMode="External"/><Relationship Id="rId5" Type="http://schemas.openxmlformats.org/officeDocument/2006/relationships/hyperlink" Target="https://www.azettler.com/pdfs/az822.pdf" TargetMode="External"/><Relationship Id="rId4" Type="http://schemas.openxmlformats.org/officeDocument/2006/relationships/hyperlink" Target="https://www.azettler.com/pdfs/az822.pdf" TargetMode="External"/><Relationship Id="rId9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1C041-8921-4AFD-BA29-DDEA3EB18923}">
  <dimension ref="A1:C45"/>
  <sheetViews>
    <sheetView workbookViewId="0">
      <selection activeCell="E18" sqref="E18"/>
    </sheetView>
  </sheetViews>
  <sheetFormatPr defaultColWidth="11.5703125" defaultRowHeight="15"/>
  <cols>
    <col min="1" max="1" width="13.28515625" customWidth="1"/>
    <col min="2" max="2" width="14.28515625" customWidth="1"/>
  </cols>
  <sheetData>
    <row r="1" spans="1:2">
      <c r="A1" t="s">
        <v>420</v>
      </c>
    </row>
    <row r="3" spans="1:2">
      <c r="A3" t="s">
        <v>421</v>
      </c>
    </row>
    <row r="6" spans="1:2">
      <c r="A6" t="s">
        <v>423</v>
      </c>
    </row>
    <row r="7" spans="1:2">
      <c r="A7" t="s">
        <v>457</v>
      </c>
      <c r="B7" t="s">
        <v>460</v>
      </c>
    </row>
    <row r="8" spans="1:2">
      <c r="A8" t="s">
        <v>458</v>
      </c>
      <c r="B8" t="s">
        <v>459</v>
      </c>
    </row>
    <row r="9" spans="1:2">
      <c r="A9" t="s">
        <v>419</v>
      </c>
      <c r="B9" t="s">
        <v>428</v>
      </c>
    </row>
    <row r="10" spans="1:2">
      <c r="A10" t="s">
        <v>425</v>
      </c>
      <c r="B10" t="s">
        <v>429</v>
      </c>
    </row>
    <row r="11" spans="1:2">
      <c r="A11" t="s">
        <v>424</v>
      </c>
      <c r="B11" t="s">
        <v>430</v>
      </c>
    </row>
    <row r="12" spans="1:2">
      <c r="A12" t="s">
        <v>426</v>
      </c>
      <c r="B12" t="s">
        <v>431</v>
      </c>
    </row>
    <row r="13" spans="1:2">
      <c r="A13" t="s">
        <v>427</v>
      </c>
      <c r="B13" t="s">
        <v>467</v>
      </c>
    </row>
    <row r="14" spans="1:2">
      <c r="A14" t="s">
        <v>468</v>
      </c>
      <c r="B14" t="s">
        <v>468</v>
      </c>
    </row>
    <row r="15" spans="1:2">
      <c r="A15" t="s">
        <v>469</v>
      </c>
      <c r="B15" t="s">
        <v>470</v>
      </c>
    </row>
    <row r="16" spans="1:2">
      <c r="A16" t="s">
        <v>471</v>
      </c>
      <c r="B16" t="s">
        <v>472</v>
      </c>
    </row>
    <row r="17" spans="1:3">
      <c r="A17" t="s">
        <v>4305</v>
      </c>
      <c r="B17" t="s">
        <v>4306</v>
      </c>
    </row>
    <row r="19" spans="1:3">
      <c r="A19" t="s">
        <v>422</v>
      </c>
    </row>
    <row r="20" spans="1:3">
      <c r="A20" t="s">
        <v>0</v>
      </c>
      <c r="C20" t="s">
        <v>432</v>
      </c>
    </row>
    <row r="21" spans="1:3">
      <c r="A21" t="s">
        <v>1</v>
      </c>
      <c r="C21" t="s">
        <v>433</v>
      </c>
    </row>
    <row r="22" spans="1:3">
      <c r="A22" t="s">
        <v>2</v>
      </c>
      <c r="C22" t="s">
        <v>434</v>
      </c>
    </row>
    <row r="23" spans="1:3">
      <c r="A23" t="s">
        <v>3</v>
      </c>
      <c r="C23" t="s">
        <v>3</v>
      </c>
    </row>
    <row r="24" spans="1:3">
      <c r="A24" t="s">
        <v>4</v>
      </c>
      <c r="C24" t="s">
        <v>435</v>
      </c>
    </row>
    <row r="25" spans="1:3">
      <c r="A25" t="s">
        <v>5</v>
      </c>
    </row>
    <row r="26" spans="1:3">
      <c r="A26" t="s">
        <v>6</v>
      </c>
      <c r="C26" t="s">
        <v>436</v>
      </c>
    </row>
    <row r="27" spans="1:3">
      <c r="A27" t="s">
        <v>7</v>
      </c>
      <c r="C27" t="s">
        <v>437</v>
      </c>
    </row>
    <row r="28" spans="1:3">
      <c r="A28" t="s">
        <v>8</v>
      </c>
      <c r="C28" t="s">
        <v>438</v>
      </c>
    </row>
    <row r="29" spans="1:3">
      <c r="A29" t="s">
        <v>9</v>
      </c>
      <c r="C29" t="s">
        <v>439</v>
      </c>
    </row>
    <row r="30" spans="1:3">
      <c r="A30" t="s">
        <v>10</v>
      </c>
    </row>
    <row r="31" spans="1:3">
      <c r="A31" t="s">
        <v>11</v>
      </c>
      <c r="C31" t="s">
        <v>440</v>
      </c>
    </row>
    <row r="32" spans="1:3">
      <c r="A32" t="s">
        <v>12</v>
      </c>
      <c r="C32" t="s">
        <v>441</v>
      </c>
    </row>
    <row r="33" spans="1:3">
      <c r="A33" t="s">
        <v>13</v>
      </c>
      <c r="C33" t="s">
        <v>443</v>
      </c>
    </row>
    <row r="34" spans="1:3">
      <c r="A34" t="s">
        <v>14</v>
      </c>
      <c r="C34" t="s">
        <v>442</v>
      </c>
    </row>
    <row r="35" spans="1:3">
      <c r="A35" t="s">
        <v>15</v>
      </c>
      <c r="C35" t="s">
        <v>444</v>
      </c>
    </row>
    <row r="36" spans="1:3">
      <c r="A36" t="s">
        <v>16</v>
      </c>
      <c r="C36" t="s">
        <v>445</v>
      </c>
    </row>
    <row r="37" spans="1:3">
      <c r="A37" t="s">
        <v>17</v>
      </c>
      <c r="C37" t="s">
        <v>446</v>
      </c>
    </row>
    <row r="38" spans="1:3">
      <c r="A38" t="s">
        <v>18</v>
      </c>
      <c r="C38" t="s">
        <v>447</v>
      </c>
    </row>
    <row r="39" spans="1:3">
      <c r="A39" t="s">
        <v>19</v>
      </c>
      <c r="C39" t="s">
        <v>448</v>
      </c>
    </row>
    <row r="43" spans="1:3">
      <c r="A43" t="s">
        <v>2649</v>
      </c>
    </row>
    <row r="44" spans="1:3">
      <c r="A44" t="s">
        <v>2651</v>
      </c>
    </row>
    <row r="45" spans="1:3">
      <c r="A45" t="s">
        <v>2650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149AA-59BF-4D6F-A40F-A3CEECDB0B6B}">
  <dimension ref="A1:B142"/>
  <sheetViews>
    <sheetView workbookViewId="0">
      <selection activeCell="D8" sqref="D8"/>
    </sheetView>
  </sheetViews>
  <sheetFormatPr defaultColWidth="11.5703125" defaultRowHeight="15"/>
  <cols>
    <col min="1" max="1" width="18.7109375" customWidth="1"/>
    <col min="2" max="2" width="15.7109375" bestFit="1" customWidth="1"/>
  </cols>
  <sheetData>
    <row r="1" spans="1:2">
      <c r="A1" t="s">
        <v>449</v>
      </c>
    </row>
    <row r="3" spans="1:2">
      <c r="A3" t="s">
        <v>450</v>
      </c>
      <c r="B3" t="s">
        <v>463</v>
      </c>
    </row>
    <row r="4" spans="1:2">
      <c r="A4" t="s">
        <v>455</v>
      </c>
      <c r="B4" t="s">
        <v>4817</v>
      </c>
    </row>
    <row r="5" spans="1:2">
      <c r="A5" t="s">
        <v>451</v>
      </c>
      <c r="B5" t="s">
        <v>4537</v>
      </c>
    </row>
    <row r="6" spans="1:2">
      <c r="A6" t="s">
        <v>456</v>
      </c>
      <c r="B6" t="s">
        <v>4449</v>
      </c>
    </row>
    <row r="7" spans="1:2">
      <c r="A7" t="s">
        <v>465</v>
      </c>
      <c r="B7" t="s">
        <v>4430</v>
      </c>
    </row>
    <row r="8" spans="1:2">
      <c r="A8" t="s">
        <v>11092</v>
      </c>
      <c r="B8" t="s">
        <v>11093</v>
      </c>
    </row>
    <row r="100" spans="1:2">
      <c r="A100" t="s">
        <v>452</v>
      </c>
      <c r="B100" t="s">
        <v>463</v>
      </c>
    </row>
    <row r="101" spans="1:2">
      <c r="B101" t="s">
        <v>464</v>
      </c>
    </row>
    <row r="110" spans="1:2">
      <c r="A110" t="s">
        <v>453</v>
      </c>
      <c r="B110" t="s">
        <v>4817</v>
      </c>
    </row>
    <row r="111" spans="1:2">
      <c r="B111" t="s">
        <v>4818</v>
      </c>
    </row>
    <row r="120" spans="1:2">
      <c r="A120" t="s">
        <v>454</v>
      </c>
      <c r="B120" t="s">
        <v>4456</v>
      </c>
    </row>
    <row r="121" spans="1:2">
      <c r="B121" t="s">
        <v>4537</v>
      </c>
    </row>
    <row r="130" spans="1:2">
      <c r="A130" t="s">
        <v>456</v>
      </c>
      <c r="B130" t="s">
        <v>4449</v>
      </c>
    </row>
    <row r="131" spans="1:2">
      <c r="B131" t="s">
        <v>4450</v>
      </c>
    </row>
    <row r="132" spans="1:2">
      <c r="B132" t="s">
        <v>4451</v>
      </c>
    </row>
    <row r="140" spans="1:2">
      <c r="A140" t="s">
        <v>465</v>
      </c>
      <c r="B140" t="s">
        <v>466</v>
      </c>
    </row>
    <row r="141" spans="1:2">
      <c r="B141" t="s">
        <v>8878</v>
      </c>
    </row>
    <row r="142" spans="1:2">
      <c r="B142" t="s">
        <v>4430</v>
      </c>
    </row>
  </sheetData>
  <dataValidations count="5">
    <dataValidation type="list" allowBlank="1" showInputMessage="1" showErrorMessage="1" sqref="B3" xr:uid="{DDCBCC3E-6119-4612-A72D-0A6F23C83CDE}">
      <formula1>$B$100:$B$109</formula1>
    </dataValidation>
    <dataValidation type="list" allowBlank="1" showInputMessage="1" showErrorMessage="1" sqref="B4" xr:uid="{AC5F3795-D61C-4045-97E1-B2257FDDF3CA}">
      <formula1>$B$110:$B$119</formula1>
    </dataValidation>
    <dataValidation type="list" allowBlank="1" showInputMessage="1" showErrorMessage="1" sqref="B5" xr:uid="{C4BE5507-AD67-4BAA-A3DF-4132231C02D8}">
      <formula1>$B$120:$B$129</formula1>
    </dataValidation>
    <dataValidation type="list" allowBlank="1" showInputMessage="1" showErrorMessage="1" sqref="B6" xr:uid="{F3F27010-6339-410A-8F86-6AE26D653F3B}">
      <formula1>$B$130:$B$139</formula1>
    </dataValidation>
    <dataValidation type="list" allowBlank="1" showInputMessage="1" showErrorMessage="1" sqref="B7" xr:uid="{397147F5-9A1C-4183-A765-B5A2EB1E55C4}">
      <formula1>$B$140:$B$149</formula1>
    </dataValidation>
  </dataValidations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72BB5-555B-4C95-9DE0-D4036F268B3F}">
  <dimension ref="A1:AB2048"/>
  <sheetViews>
    <sheetView workbookViewId="0">
      <pane xSplit="2" ySplit="1" topLeftCell="C2007" activePane="bottomRight" state="frozen"/>
      <selection pane="topRight" activeCell="C1" sqref="C1"/>
      <selection pane="bottomLeft" activeCell="A2" sqref="A2"/>
      <selection pane="bottomRight" activeCell="C2048" sqref="C2048"/>
    </sheetView>
  </sheetViews>
  <sheetFormatPr defaultColWidth="11.5703125" defaultRowHeight="15"/>
  <cols>
    <col min="1" max="2" width="24.140625" bestFit="1" customWidth="1"/>
    <col min="3" max="3" width="66.140625" customWidth="1"/>
    <col min="4" max="4" width="13.5703125" bestFit="1" customWidth="1"/>
    <col min="5" max="5" width="8.5703125" style="14" bestFit="1" customWidth="1"/>
    <col min="6" max="6" width="6.42578125" bestFit="1" customWidth="1"/>
    <col min="7" max="7" width="18.42578125" bestFit="1" customWidth="1"/>
    <col min="8" max="8" width="16.85546875" bestFit="1" customWidth="1"/>
    <col min="9" max="9" width="21.5703125" bestFit="1" customWidth="1"/>
    <col min="10" max="10" width="25.140625" bestFit="1" customWidth="1"/>
    <col min="11" max="11" width="15.7109375" bestFit="1" customWidth="1"/>
    <col min="12" max="12" width="15.140625" bestFit="1" customWidth="1"/>
    <col min="14" max="14" width="11.5703125" customWidth="1"/>
    <col min="18" max="18" width="21.7109375" customWidth="1"/>
    <col min="19" max="19" width="18.28515625" customWidth="1"/>
    <col min="20" max="20" width="25.5703125" customWidth="1"/>
  </cols>
  <sheetData>
    <row r="1" spans="1:2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14655</v>
      </c>
      <c r="L1" s="16" t="s">
        <v>14656</v>
      </c>
      <c r="M1" s="16" t="s">
        <v>10</v>
      </c>
      <c r="N1" s="16" t="s">
        <v>11</v>
      </c>
      <c r="O1" s="16" t="s">
        <v>12</v>
      </c>
      <c r="P1" s="16" t="s">
        <v>13</v>
      </c>
      <c r="Q1" s="16" t="s">
        <v>14</v>
      </c>
      <c r="R1" s="16" t="s">
        <v>15</v>
      </c>
      <c r="S1" s="16" t="s">
        <v>16</v>
      </c>
      <c r="T1" s="16" t="s">
        <v>17</v>
      </c>
      <c r="U1" s="16" t="s">
        <v>18</v>
      </c>
      <c r="V1" s="16" t="s">
        <v>19</v>
      </c>
      <c r="W1" s="16" t="s">
        <v>4593</v>
      </c>
      <c r="X1" s="16" t="s">
        <v>4594</v>
      </c>
      <c r="Y1" s="16" t="s">
        <v>4595</v>
      </c>
      <c r="Z1" s="16" t="s">
        <v>4596</v>
      </c>
      <c r="AA1" s="16" t="s">
        <v>4726</v>
      </c>
      <c r="AB1" s="16" t="s">
        <v>6443</v>
      </c>
    </row>
    <row r="2" spans="1:28">
      <c r="A2" s="16" t="s">
        <v>8879</v>
      </c>
      <c r="B2" s="16" t="s">
        <v>8879</v>
      </c>
      <c r="C2" s="16" t="s">
        <v>8880</v>
      </c>
      <c r="D2" s="16" t="s">
        <v>21</v>
      </c>
      <c r="E2" s="16" t="s">
        <v>6447</v>
      </c>
      <c r="F2" s="16" t="s">
        <v>23</v>
      </c>
      <c r="G2" s="17" t="str">
        <f>Config!$B$3</f>
        <v>SCH/R_IEC.SchLib</v>
      </c>
      <c r="H2" s="16" t="s">
        <v>419</v>
      </c>
      <c r="I2" s="18" t="s">
        <v>461</v>
      </c>
      <c r="J2" s="17" t="s">
        <v>4821</v>
      </c>
      <c r="K2" s="17"/>
      <c r="L2" s="17"/>
      <c r="M2" s="19">
        <v>0</v>
      </c>
      <c r="N2" s="17" t="s">
        <v>13979</v>
      </c>
      <c r="O2" s="16" t="s">
        <v>477</v>
      </c>
      <c r="P2" s="17" t="s">
        <v>8881</v>
      </c>
      <c r="Q2" s="16" t="s">
        <v>25</v>
      </c>
      <c r="R2" s="17" t="s">
        <v>10577</v>
      </c>
      <c r="S2" s="16"/>
      <c r="T2" s="17"/>
      <c r="U2" s="16"/>
      <c r="V2" s="16"/>
      <c r="W2" s="17"/>
      <c r="X2" s="17"/>
      <c r="Y2" s="16"/>
      <c r="Z2" s="17"/>
      <c r="AA2" s="17"/>
      <c r="AB2" s="17" t="str">
        <f>"GPR"&amp;E2&amp;F2</f>
        <v>GPR04020R</v>
      </c>
    </row>
    <row r="3" spans="1:28">
      <c r="A3" s="17" t="s">
        <v>4819</v>
      </c>
      <c r="B3" s="17" t="s">
        <v>4819</v>
      </c>
      <c r="C3" s="17" t="s">
        <v>4820</v>
      </c>
      <c r="D3" s="17" t="s">
        <v>21</v>
      </c>
      <c r="E3" s="24" t="s">
        <v>6447</v>
      </c>
      <c r="F3" s="17" t="s">
        <v>29</v>
      </c>
      <c r="G3" s="17" t="str">
        <f>Config!$B$3</f>
        <v>SCH/R_IEC.SchLib</v>
      </c>
      <c r="H3" s="17" t="s">
        <v>419</v>
      </c>
      <c r="I3" s="17" t="s">
        <v>461</v>
      </c>
      <c r="J3" s="17" t="s">
        <v>4821</v>
      </c>
      <c r="K3" s="17"/>
      <c r="L3" s="17"/>
      <c r="M3" s="17">
        <v>1</v>
      </c>
      <c r="N3" s="17" t="s">
        <v>13979</v>
      </c>
      <c r="O3" s="17" t="s">
        <v>477</v>
      </c>
      <c r="P3" s="17" t="s">
        <v>4822</v>
      </c>
      <c r="Q3" s="17" t="s">
        <v>25</v>
      </c>
      <c r="R3" s="17" t="s">
        <v>4823</v>
      </c>
      <c r="S3" s="17" t="s">
        <v>477</v>
      </c>
      <c r="T3" s="17" t="s">
        <v>4824</v>
      </c>
      <c r="U3" s="17" t="s">
        <v>25</v>
      </c>
      <c r="V3" s="17" t="s">
        <v>4825</v>
      </c>
      <c r="W3" s="17"/>
      <c r="X3" s="17"/>
      <c r="Y3" s="17"/>
      <c r="Z3" s="17"/>
      <c r="AA3" s="17"/>
      <c r="AB3" s="17" t="str">
        <f t="shared" ref="AB3:AB66" si="0">"GPR"&amp;E3&amp;F3</f>
        <v>GPR04021R</v>
      </c>
    </row>
    <row r="4" spans="1:28">
      <c r="A4" s="17" t="s">
        <v>4826</v>
      </c>
      <c r="B4" s="17" t="s">
        <v>4826</v>
      </c>
      <c r="C4" s="17" t="s">
        <v>4827</v>
      </c>
      <c r="D4" s="17" t="s">
        <v>21</v>
      </c>
      <c r="E4" s="24" t="s">
        <v>6447</v>
      </c>
      <c r="F4" s="17" t="s">
        <v>1042</v>
      </c>
      <c r="G4" s="17" t="str">
        <f>Config!$B$3</f>
        <v>SCH/R_IEC.SchLib</v>
      </c>
      <c r="H4" s="17" t="s">
        <v>419</v>
      </c>
      <c r="I4" s="17" t="s">
        <v>461</v>
      </c>
      <c r="J4" s="17" t="s">
        <v>4821</v>
      </c>
      <c r="K4" s="17"/>
      <c r="L4" s="17"/>
      <c r="M4" s="17">
        <v>1.1000000000000001</v>
      </c>
      <c r="N4" s="17" t="s">
        <v>13979</v>
      </c>
      <c r="O4" s="17" t="s">
        <v>477</v>
      </c>
      <c r="P4" s="17" t="s">
        <v>4828</v>
      </c>
      <c r="Q4" s="17" t="s">
        <v>25</v>
      </c>
      <c r="R4" s="17" t="s">
        <v>4829</v>
      </c>
      <c r="S4" s="17"/>
      <c r="T4" s="17"/>
      <c r="U4" s="17"/>
      <c r="V4" s="17"/>
      <c r="W4" s="17"/>
      <c r="X4" s="17"/>
      <c r="Y4" s="17"/>
      <c r="Z4" s="17"/>
      <c r="AA4" s="17"/>
      <c r="AB4" s="17" t="str">
        <f t="shared" si="0"/>
        <v>GPR04021R1</v>
      </c>
    </row>
    <row r="5" spans="1:28">
      <c r="A5" s="17" t="s">
        <v>4830</v>
      </c>
      <c r="B5" s="17" t="s">
        <v>4830</v>
      </c>
      <c r="C5" s="17" t="s">
        <v>4831</v>
      </c>
      <c r="D5" s="17" t="s">
        <v>21</v>
      </c>
      <c r="E5" s="24" t="s">
        <v>6447</v>
      </c>
      <c r="F5" s="17" t="s">
        <v>31</v>
      </c>
      <c r="G5" s="17" t="str">
        <f>Config!$B$3</f>
        <v>SCH/R_IEC.SchLib</v>
      </c>
      <c r="H5" s="17" t="s">
        <v>419</v>
      </c>
      <c r="I5" s="17" t="s">
        <v>461</v>
      </c>
      <c r="J5" s="17" t="s">
        <v>4821</v>
      </c>
      <c r="K5" s="17"/>
      <c r="L5" s="17"/>
      <c r="M5" s="17">
        <v>1.2</v>
      </c>
      <c r="N5" s="17" t="s">
        <v>13979</v>
      </c>
      <c r="O5" s="17" t="s">
        <v>477</v>
      </c>
      <c r="P5" s="17" t="s">
        <v>4832</v>
      </c>
      <c r="Q5" s="17" t="s">
        <v>25</v>
      </c>
      <c r="R5" s="17" t="s">
        <v>4833</v>
      </c>
      <c r="S5" s="17" t="s">
        <v>477</v>
      </c>
      <c r="T5" s="17" t="s">
        <v>4834</v>
      </c>
      <c r="U5" s="17" t="s">
        <v>25</v>
      </c>
      <c r="V5" s="17" t="s">
        <v>4835</v>
      </c>
      <c r="W5" s="17"/>
      <c r="X5" s="17"/>
      <c r="Y5" s="17"/>
      <c r="Z5" s="17"/>
      <c r="AA5" s="17"/>
      <c r="AB5" s="17" t="str">
        <f t="shared" si="0"/>
        <v>GPR04021R2</v>
      </c>
    </row>
    <row r="6" spans="1:28">
      <c r="A6" s="17" t="s">
        <v>4836</v>
      </c>
      <c r="B6" s="17" t="s">
        <v>4836</v>
      </c>
      <c r="C6" s="17" t="s">
        <v>4837</v>
      </c>
      <c r="D6" s="17" t="s">
        <v>21</v>
      </c>
      <c r="E6" s="24" t="s">
        <v>6447</v>
      </c>
      <c r="F6" s="17" t="s">
        <v>1052</v>
      </c>
      <c r="G6" s="17" t="str">
        <f>Config!$B$3</f>
        <v>SCH/R_IEC.SchLib</v>
      </c>
      <c r="H6" s="17" t="s">
        <v>419</v>
      </c>
      <c r="I6" s="17" t="s">
        <v>461</v>
      </c>
      <c r="J6" s="17" t="s">
        <v>4821</v>
      </c>
      <c r="K6" s="17"/>
      <c r="L6" s="17"/>
      <c r="M6" s="17">
        <v>1.3</v>
      </c>
      <c r="N6" s="17" t="s">
        <v>13979</v>
      </c>
      <c r="O6" s="17" t="s">
        <v>477</v>
      </c>
      <c r="P6" s="17" t="s">
        <v>4838</v>
      </c>
      <c r="Q6" s="17" t="s">
        <v>25</v>
      </c>
      <c r="R6" s="17" t="s">
        <v>4839</v>
      </c>
      <c r="S6" s="17"/>
      <c r="T6" s="17"/>
      <c r="U6" s="17"/>
      <c r="V6" s="17"/>
      <c r="W6" s="17"/>
      <c r="X6" s="17"/>
      <c r="Y6" s="17"/>
      <c r="Z6" s="17"/>
      <c r="AA6" s="17"/>
      <c r="AB6" s="17" t="str">
        <f t="shared" si="0"/>
        <v>GPR04021R3</v>
      </c>
    </row>
    <row r="7" spans="1:28">
      <c r="A7" s="17" t="s">
        <v>4840</v>
      </c>
      <c r="B7" s="17" t="s">
        <v>4840</v>
      </c>
      <c r="C7" s="17" t="s">
        <v>4841</v>
      </c>
      <c r="D7" s="17" t="s">
        <v>21</v>
      </c>
      <c r="E7" s="24" t="s">
        <v>6447</v>
      </c>
      <c r="F7" s="17" t="s">
        <v>33</v>
      </c>
      <c r="G7" s="17" t="str">
        <f>Config!$B$3</f>
        <v>SCH/R_IEC.SchLib</v>
      </c>
      <c r="H7" s="17" t="s">
        <v>419</v>
      </c>
      <c r="I7" s="17" t="s">
        <v>461</v>
      </c>
      <c r="J7" s="17" t="s">
        <v>4821</v>
      </c>
      <c r="K7" s="17"/>
      <c r="L7" s="17"/>
      <c r="M7" s="17">
        <v>1.5</v>
      </c>
      <c r="N7" s="17" t="s">
        <v>13979</v>
      </c>
      <c r="O7" s="17" t="s">
        <v>477</v>
      </c>
      <c r="P7" s="17" t="s">
        <v>4842</v>
      </c>
      <c r="Q7" s="17" t="s">
        <v>25</v>
      </c>
      <c r="R7" s="17" t="s">
        <v>4843</v>
      </c>
      <c r="S7" s="17"/>
      <c r="T7" s="17"/>
      <c r="U7" s="17"/>
      <c r="V7" s="17"/>
      <c r="W7" s="17"/>
      <c r="X7" s="17"/>
      <c r="Y7" s="17"/>
      <c r="Z7" s="17"/>
      <c r="AA7" s="17"/>
      <c r="AB7" s="17" t="str">
        <f t="shared" si="0"/>
        <v>GPR04021R5</v>
      </c>
    </row>
    <row r="8" spans="1:28">
      <c r="A8" s="17" t="s">
        <v>4844</v>
      </c>
      <c r="B8" s="17" t="s">
        <v>4844</v>
      </c>
      <c r="C8" s="17" t="s">
        <v>4845</v>
      </c>
      <c r="D8" s="17" t="s">
        <v>21</v>
      </c>
      <c r="E8" s="24" t="s">
        <v>6447</v>
      </c>
      <c r="F8" s="17" t="s">
        <v>1062</v>
      </c>
      <c r="G8" s="17" t="str">
        <f>Config!$B$3</f>
        <v>SCH/R_IEC.SchLib</v>
      </c>
      <c r="H8" s="17" t="s">
        <v>419</v>
      </c>
      <c r="I8" s="17" t="s">
        <v>461</v>
      </c>
      <c r="J8" s="17" t="s">
        <v>4821</v>
      </c>
      <c r="K8" s="17"/>
      <c r="L8" s="17"/>
      <c r="M8" s="17">
        <v>1.6</v>
      </c>
      <c r="N8" s="17" t="s">
        <v>13979</v>
      </c>
      <c r="O8" s="17" t="s">
        <v>477</v>
      </c>
      <c r="P8" s="17" t="s">
        <v>4846</v>
      </c>
      <c r="Q8" s="17" t="s">
        <v>25</v>
      </c>
      <c r="R8" s="17" t="s">
        <v>4847</v>
      </c>
      <c r="S8" s="17"/>
      <c r="T8" s="17"/>
      <c r="U8" s="17"/>
      <c r="V8" s="17"/>
      <c r="W8" s="17"/>
      <c r="X8" s="17"/>
      <c r="Y8" s="17"/>
      <c r="Z8" s="17"/>
      <c r="AA8" s="17"/>
      <c r="AB8" s="17" t="str">
        <f t="shared" si="0"/>
        <v>GPR04021R6</v>
      </c>
    </row>
    <row r="9" spans="1:28">
      <c r="A9" s="17" t="s">
        <v>4848</v>
      </c>
      <c r="B9" s="17" t="s">
        <v>4848</v>
      </c>
      <c r="C9" s="17" t="s">
        <v>4849</v>
      </c>
      <c r="D9" s="17" t="s">
        <v>21</v>
      </c>
      <c r="E9" s="24" t="s">
        <v>6447</v>
      </c>
      <c r="F9" s="17" t="s">
        <v>35</v>
      </c>
      <c r="G9" s="17" t="str">
        <f>Config!$B$3</f>
        <v>SCH/R_IEC.SchLib</v>
      </c>
      <c r="H9" s="17" t="s">
        <v>419</v>
      </c>
      <c r="I9" s="17" t="s">
        <v>461</v>
      </c>
      <c r="J9" s="17" t="s">
        <v>4821</v>
      </c>
      <c r="K9" s="17"/>
      <c r="L9" s="17"/>
      <c r="M9" s="17">
        <v>1.8</v>
      </c>
      <c r="N9" s="17" t="s">
        <v>13979</v>
      </c>
      <c r="O9" s="17" t="s">
        <v>477</v>
      </c>
      <c r="P9" s="17" t="s">
        <v>4850</v>
      </c>
      <c r="Q9" s="17" t="s">
        <v>25</v>
      </c>
      <c r="R9" s="17" t="s">
        <v>4851</v>
      </c>
      <c r="S9" s="17"/>
      <c r="T9" s="17"/>
      <c r="U9" s="17"/>
      <c r="V9" s="17"/>
      <c r="W9" s="17"/>
      <c r="X9" s="17"/>
      <c r="Y9" s="17"/>
      <c r="Z9" s="17"/>
      <c r="AA9" s="17"/>
      <c r="AB9" s="17" t="str">
        <f t="shared" si="0"/>
        <v>GPR04021R8</v>
      </c>
    </row>
    <row r="10" spans="1:28">
      <c r="A10" s="17" t="s">
        <v>4852</v>
      </c>
      <c r="B10" s="17" t="s">
        <v>4852</v>
      </c>
      <c r="C10" s="17" t="s">
        <v>4853</v>
      </c>
      <c r="D10" s="17" t="s">
        <v>21</v>
      </c>
      <c r="E10" s="24" t="s">
        <v>6447</v>
      </c>
      <c r="F10" s="17" t="s">
        <v>1070</v>
      </c>
      <c r="G10" s="17" t="str">
        <f>Config!$B$3</f>
        <v>SCH/R_IEC.SchLib</v>
      </c>
      <c r="H10" s="17" t="s">
        <v>419</v>
      </c>
      <c r="I10" s="17" t="s">
        <v>461</v>
      </c>
      <c r="J10" s="17" t="s">
        <v>4821</v>
      </c>
      <c r="K10" s="17"/>
      <c r="L10" s="17"/>
      <c r="M10" s="17">
        <v>2</v>
      </c>
      <c r="N10" s="17" t="s">
        <v>13979</v>
      </c>
      <c r="O10" s="17" t="s">
        <v>477</v>
      </c>
      <c r="P10" s="17" t="s">
        <v>4854</v>
      </c>
      <c r="Q10" s="17" t="s">
        <v>25</v>
      </c>
      <c r="R10" s="17" t="s">
        <v>4855</v>
      </c>
      <c r="S10" s="17"/>
      <c r="T10" s="17"/>
      <c r="U10" s="17"/>
      <c r="V10" s="17"/>
      <c r="W10" s="17"/>
      <c r="X10" s="17"/>
      <c r="Y10" s="17"/>
      <c r="Z10" s="17"/>
      <c r="AA10" s="17"/>
      <c r="AB10" s="17" t="str">
        <f t="shared" si="0"/>
        <v>GPR04022R</v>
      </c>
    </row>
    <row r="11" spans="1:28">
      <c r="A11" s="17" t="s">
        <v>4856</v>
      </c>
      <c r="B11" s="17" t="s">
        <v>4856</v>
      </c>
      <c r="C11" s="17" t="s">
        <v>4857</v>
      </c>
      <c r="D11" s="17" t="s">
        <v>21</v>
      </c>
      <c r="E11" s="24" t="s">
        <v>6447</v>
      </c>
      <c r="F11" s="17" t="s">
        <v>37</v>
      </c>
      <c r="G11" s="17" t="str">
        <f>Config!$B$3</f>
        <v>SCH/R_IEC.SchLib</v>
      </c>
      <c r="H11" s="17" t="s">
        <v>419</v>
      </c>
      <c r="I11" s="17" t="s">
        <v>461</v>
      </c>
      <c r="J11" s="17" t="s">
        <v>4821</v>
      </c>
      <c r="K11" s="17"/>
      <c r="L11" s="17"/>
      <c r="M11" s="17">
        <v>2.2000000000000002</v>
      </c>
      <c r="N11" s="17" t="s">
        <v>13979</v>
      </c>
      <c r="O11" s="17" t="s">
        <v>477</v>
      </c>
      <c r="P11" s="17" t="s">
        <v>4858</v>
      </c>
      <c r="Q11" s="17" t="s">
        <v>25</v>
      </c>
      <c r="R11" s="17" t="s">
        <v>4859</v>
      </c>
      <c r="S11" s="17" t="s">
        <v>477</v>
      </c>
      <c r="T11" s="17" t="s">
        <v>4860</v>
      </c>
      <c r="U11" s="17" t="s">
        <v>25</v>
      </c>
      <c r="V11" s="17" t="s">
        <v>4861</v>
      </c>
      <c r="W11" s="17"/>
      <c r="X11" s="17"/>
      <c r="Y11" s="17"/>
      <c r="Z11" s="17"/>
      <c r="AA11" s="17"/>
      <c r="AB11" s="17" t="str">
        <f t="shared" si="0"/>
        <v>GPR04022R2</v>
      </c>
    </row>
    <row r="12" spans="1:28">
      <c r="A12" s="17" t="s">
        <v>4862</v>
      </c>
      <c r="B12" s="17" t="s">
        <v>4862</v>
      </c>
      <c r="C12" s="17" t="s">
        <v>4863</v>
      </c>
      <c r="D12" s="17" t="s">
        <v>21</v>
      </c>
      <c r="E12" s="24" t="s">
        <v>6447</v>
      </c>
      <c r="F12" s="17" t="s">
        <v>1080</v>
      </c>
      <c r="G12" s="17" t="str">
        <f>Config!$B$3</f>
        <v>SCH/R_IEC.SchLib</v>
      </c>
      <c r="H12" s="17" t="s">
        <v>419</v>
      </c>
      <c r="I12" s="17" t="s">
        <v>461</v>
      </c>
      <c r="J12" s="17" t="s">
        <v>4821</v>
      </c>
      <c r="K12" s="17"/>
      <c r="L12" s="17"/>
      <c r="M12" s="17">
        <v>2.4</v>
      </c>
      <c r="N12" s="17" t="s">
        <v>13979</v>
      </c>
      <c r="O12" s="17" t="s">
        <v>477</v>
      </c>
      <c r="P12" s="17" t="s">
        <v>4864</v>
      </c>
      <c r="Q12" s="17" t="s">
        <v>25</v>
      </c>
      <c r="R12" s="17" t="s">
        <v>4865</v>
      </c>
      <c r="S12" s="17"/>
      <c r="T12" s="17"/>
      <c r="U12" s="17"/>
      <c r="V12" s="17"/>
      <c r="W12" s="17"/>
      <c r="X12" s="17"/>
      <c r="Y12" s="17"/>
      <c r="Z12" s="17"/>
      <c r="AA12" s="17"/>
      <c r="AB12" s="17" t="str">
        <f t="shared" si="0"/>
        <v>GPR04022R4</v>
      </c>
    </row>
    <row r="13" spans="1:28">
      <c r="A13" s="17" t="s">
        <v>4866</v>
      </c>
      <c r="B13" s="17" t="s">
        <v>4866</v>
      </c>
      <c r="C13" s="17" t="s">
        <v>4867</v>
      </c>
      <c r="D13" s="17" t="s">
        <v>21</v>
      </c>
      <c r="E13" s="24" t="s">
        <v>6447</v>
      </c>
      <c r="F13" s="17" t="s">
        <v>39</v>
      </c>
      <c r="G13" s="17" t="str">
        <f>Config!$B$3</f>
        <v>SCH/R_IEC.SchLib</v>
      </c>
      <c r="H13" s="17" t="s">
        <v>419</v>
      </c>
      <c r="I13" s="17" t="s">
        <v>461</v>
      </c>
      <c r="J13" s="17" t="s">
        <v>4821</v>
      </c>
      <c r="K13" s="17"/>
      <c r="L13" s="17"/>
      <c r="M13" s="17">
        <v>2.7</v>
      </c>
      <c r="N13" s="17" t="s">
        <v>13979</v>
      </c>
      <c r="O13" s="17" t="s">
        <v>477</v>
      </c>
      <c r="P13" s="17" t="s">
        <v>4868</v>
      </c>
      <c r="Q13" s="17" t="s">
        <v>25</v>
      </c>
      <c r="R13" s="17" t="s">
        <v>4869</v>
      </c>
      <c r="S13" s="17" t="s">
        <v>477</v>
      </c>
      <c r="T13" s="17" t="s">
        <v>4870</v>
      </c>
      <c r="U13" s="17" t="s">
        <v>25</v>
      </c>
      <c r="V13" s="17" t="s">
        <v>4871</v>
      </c>
      <c r="W13" s="17"/>
      <c r="X13" s="17"/>
      <c r="Y13" s="17"/>
      <c r="Z13" s="17"/>
      <c r="AA13" s="17"/>
      <c r="AB13" s="17" t="str">
        <f t="shared" si="0"/>
        <v>GPR04022R7</v>
      </c>
    </row>
    <row r="14" spans="1:28">
      <c r="A14" s="17" t="s">
        <v>4872</v>
      </c>
      <c r="B14" s="17" t="s">
        <v>4872</v>
      </c>
      <c r="C14" s="17" t="s">
        <v>4873</v>
      </c>
      <c r="D14" s="17" t="s">
        <v>21</v>
      </c>
      <c r="E14" s="24" t="s">
        <v>6447</v>
      </c>
      <c r="F14" s="17" t="s">
        <v>1088</v>
      </c>
      <c r="G14" s="17" t="str">
        <f>Config!$B$3</f>
        <v>SCH/R_IEC.SchLib</v>
      </c>
      <c r="H14" s="17" t="s">
        <v>419</v>
      </c>
      <c r="I14" s="17" t="s">
        <v>461</v>
      </c>
      <c r="J14" s="17" t="s">
        <v>4821</v>
      </c>
      <c r="K14" s="17"/>
      <c r="L14" s="17"/>
      <c r="M14" s="17">
        <v>3</v>
      </c>
      <c r="N14" s="17" t="s">
        <v>13979</v>
      </c>
      <c r="O14" s="17" t="s">
        <v>477</v>
      </c>
      <c r="P14" s="17" t="s">
        <v>4874</v>
      </c>
      <c r="Q14" s="17" t="s">
        <v>25</v>
      </c>
      <c r="R14" s="17" t="s">
        <v>4875</v>
      </c>
      <c r="S14" s="17" t="s">
        <v>477</v>
      </c>
      <c r="T14" s="17" t="s">
        <v>4876</v>
      </c>
      <c r="U14" s="17" t="s">
        <v>25</v>
      </c>
      <c r="V14" s="17" t="s">
        <v>4877</v>
      </c>
      <c r="W14" s="17"/>
      <c r="X14" s="17"/>
      <c r="Y14" s="17"/>
      <c r="Z14" s="17"/>
      <c r="AA14" s="17"/>
      <c r="AB14" s="17" t="str">
        <f t="shared" si="0"/>
        <v>GPR04023R</v>
      </c>
    </row>
    <row r="15" spans="1:28">
      <c r="A15" s="17" t="s">
        <v>4878</v>
      </c>
      <c r="B15" s="17" t="s">
        <v>4878</v>
      </c>
      <c r="C15" s="17" t="s">
        <v>4879</v>
      </c>
      <c r="D15" s="17" t="s">
        <v>21</v>
      </c>
      <c r="E15" s="24" t="s">
        <v>6447</v>
      </c>
      <c r="F15" s="17" t="s">
        <v>41</v>
      </c>
      <c r="G15" s="17" t="str">
        <f>Config!$B$3</f>
        <v>SCH/R_IEC.SchLib</v>
      </c>
      <c r="H15" s="17" t="s">
        <v>419</v>
      </c>
      <c r="I15" s="17" t="s">
        <v>461</v>
      </c>
      <c r="J15" s="17" t="s">
        <v>4821</v>
      </c>
      <c r="K15" s="17"/>
      <c r="L15" s="17"/>
      <c r="M15" s="17">
        <v>3.3</v>
      </c>
      <c r="N15" s="17" t="s">
        <v>13979</v>
      </c>
      <c r="O15" s="17" t="s">
        <v>477</v>
      </c>
      <c r="P15" s="17" t="s">
        <v>4880</v>
      </c>
      <c r="Q15" s="17" t="s">
        <v>25</v>
      </c>
      <c r="R15" s="17" t="s">
        <v>4881</v>
      </c>
      <c r="S15" s="17" t="s">
        <v>477</v>
      </c>
      <c r="T15" s="17" t="s">
        <v>4882</v>
      </c>
      <c r="U15" s="17" t="s">
        <v>25</v>
      </c>
      <c r="V15" s="17" t="s">
        <v>4883</v>
      </c>
      <c r="W15" s="17"/>
      <c r="X15" s="17"/>
      <c r="Y15" s="17"/>
      <c r="Z15" s="17"/>
      <c r="AA15" s="17"/>
      <c r="AB15" s="17" t="str">
        <f t="shared" si="0"/>
        <v>GPR04023R3</v>
      </c>
    </row>
    <row r="16" spans="1:28">
      <c r="A16" s="17" t="s">
        <v>4884</v>
      </c>
      <c r="B16" s="17" t="s">
        <v>4884</v>
      </c>
      <c r="C16" s="17" t="s">
        <v>4885</v>
      </c>
      <c r="D16" s="17" t="s">
        <v>21</v>
      </c>
      <c r="E16" s="24" t="s">
        <v>6447</v>
      </c>
      <c r="F16" s="17" t="s">
        <v>1098</v>
      </c>
      <c r="G16" s="17" t="str">
        <f>Config!$B$3</f>
        <v>SCH/R_IEC.SchLib</v>
      </c>
      <c r="H16" s="17" t="s">
        <v>419</v>
      </c>
      <c r="I16" s="17" t="s">
        <v>461</v>
      </c>
      <c r="J16" s="17" t="s">
        <v>4821</v>
      </c>
      <c r="K16" s="17"/>
      <c r="L16" s="17"/>
      <c r="M16" s="17">
        <v>3.6</v>
      </c>
      <c r="N16" s="17" t="s">
        <v>13979</v>
      </c>
      <c r="O16" s="17" t="s">
        <v>477</v>
      </c>
      <c r="P16" s="17" t="s">
        <v>4886</v>
      </c>
      <c r="Q16" s="17" t="s">
        <v>25</v>
      </c>
      <c r="R16" s="17" t="s">
        <v>4887</v>
      </c>
      <c r="S16" s="17"/>
      <c r="T16" s="17"/>
      <c r="U16" s="17"/>
      <c r="V16" s="17"/>
      <c r="W16" s="17"/>
      <c r="X16" s="17"/>
      <c r="Y16" s="17"/>
      <c r="Z16" s="17"/>
      <c r="AA16" s="17"/>
      <c r="AB16" s="17" t="str">
        <f t="shared" si="0"/>
        <v>GPR04023R6</v>
      </c>
    </row>
    <row r="17" spans="1:28">
      <c r="A17" s="17" t="s">
        <v>4888</v>
      </c>
      <c r="B17" s="17" t="s">
        <v>4888</v>
      </c>
      <c r="C17" s="17" t="s">
        <v>4889</v>
      </c>
      <c r="D17" s="17" t="s">
        <v>21</v>
      </c>
      <c r="E17" s="24" t="s">
        <v>6447</v>
      </c>
      <c r="F17" s="17" t="s">
        <v>43</v>
      </c>
      <c r="G17" s="17" t="str">
        <f>Config!$B$3</f>
        <v>SCH/R_IEC.SchLib</v>
      </c>
      <c r="H17" s="17" t="s">
        <v>419</v>
      </c>
      <c r="I17" s="17" t="s">
        <v>461</v>
      </c>
      <c r="J17" s="17" t="s">
        <v>4821</v>
      </c>
      <c r="K17" s="17"/>
      <c r="L17" s="17"/>
      <c r="M17" s="17">
        <v>3.9</v>
      </c>
      <c r="N17" s="17" t="s">
        <v>13979</v>
      </c>
      <c r="O17" s="17" t="s">
        <v>477</v>
      </c>
      <c r="P17" s="17" t="s">
        <v>4890</v>
      </c>
      <c r="Q17" s="17" t="s">
        <v>25</v>
      </c>
      <c r="R17" s="17" t="s">
        <v>4891</v>
      </c>
      <c r="S17" s="17"/>
      <c r="T17" s="17"/>
      <c r="U17" s="17"/>
      <c r="V17" s="17"/>
      <c r="W17" s="17"/>
      <c r="X17" s="17"/>
      <c r="Y17" s="17"/>
      <c r="Z17" s="17"/>
      <c r="AA17" s="17"/>
      <c r="AB17" s="17" t="str">
        <f t="shared" si="0"/>
        <v>GPR04023R9</v>
      </c>
    </row>
    <row r="18" spans="1:28">
      <c r="A18" s="17" t="s">
        <v>4892</v>
      </c>
      <c r="B18" s="17" t="s">
        <v>4892</v>
      </c>
      <c r="C18" s="17" t="s">
        <v>4893</v>
      </c>
      <c r="D18" s="17" t="s">
        <v>21</v>
      </c>
      <c r="E18" s="24" t="s">
        <v>6447</v>
      </c>
      <c r="F18" s="17" t="s">
        <v>1106</v>
      </c>
      <c r="G18" s="17" t="str">
        <f>Config!$B$3</f>
        <v>SCH/R_IEC.SchLib</v>
      </c>
      <c r="H18" s="17" t="s">
        <v>419</v>
      </c>
      <c r="I18" s="17" t="s">
        <v>461</v>
      </c>
      <c r="J18" s="17" t="s">
        <v>4821</v>
      </c>
      <c r="K18" s="17"/>
      <c r="L18" s="17"/>
      <c r="M18" s="17">
        <v>4.3</v>
      </c>
      <c r="N18" s="17" t="s">
        <v>13979</v>
      </c>
      <c r="O18" s="17" t="s">
        <v>477</v>
      </c>
      <c r="P18" s="17" t="s">
        <v>4894</v>
      </c>
      <c r="Q18" s="17" t="s">
        <v>25</v>
      </c>
      <c r="R18" s="17" t="s">
        <v>4895</v>
      </c>
      <c r="S18" s="17"/>
      <c r="T18" s="17"/>
      <c r="U18" s="17"/>
      <c r="V18" s="17"/>
      <c r="W18" s="17"/>
      <c r="X18" s="17"/>
      <c r="Y18" s="17"/>
      <c r="Z18" s="17"/>
      <c r="AA18" s="17"/>
      <c r="AB18" s="17" t="str">
        <f t="shared" si="0"/>
        <v>GPR04024R3</v>
      </c>
    </row>
    <row r="19" spans="1:28">
      <c r="A19" s="17" t="s">
        <v>4896</v>
      </c>
      <c r="B19" s="17" t="s">
        <v>4896</v>
      </c>
      <c r="C19" s="17" t="s">
        <v>4897</v>
      </c>
      <c r="D19" s="17" t="s">
        <v>21</v>
      </c>
      <c r="E19" s="24" t="s">
        <v>6447</v>
      </c>
      <c r="F19" s="17" t="s">
        <v>45</v>
      </c>
      <c r="G19" s="17" t="str">
        <f>Config!$B$3</f>
        <v>SCH/R_IEC.SchLib</v>
      </c>
      <c r="H19" s="17" t="s">
        <v>419</v>
      </c>
      <c r="I19" s="17" t="s">
        <v>461</v>
      </c>
      <c r="J19" s="17" t="s">
        <v>4821</v>
      </c>
      <c r="K19" s="17"/>
      <c r="L19" s="17"/>
      <c r="M19" s="17">
        <v>4.7</v>
      </c>
      <c r="N19" s="17" t="s">
        <v>13979</v>
      </c>
      <c r="O19" s="17" t="s">
        <v>477</v>
      </c>
      <c r="P19" s="17" t="s">
        <v>4898</v>
      </c>
      <c r="Q19" s="17" t="s">
        <v>25</v>
      </c>
      <c r="R19" s="17" t="s">
        <v>4899</v>
      </c>
      <c r="S19" s="17" t="s">
        <v>477</v>
      </c>
      <c r="T19" s="17" t="s">
        <v>4900</v>
      </c>
      <c r="U19" s="17" t="s">
        <v>25</v>
      </c>
      <c r="V19" s="17" t="s">
        <v>4901</v>
      </c>
      <c r="W19" s="17"/>
      <c r="X19" s="17"/>
      <c r="Y19" s="17"/>
      <c r="Z19" s="17"/>
      <c r="AA19" s="17"/>
      <c r="AB19" s="17" t="str">
        <f t="shared" si="0"/>
        <v>GPR04024R7</v>
      </c>
    </row>
    <row r="20" spans="1:28">
      <c r="A20" s="17" t="s">
        <v>4902</v>
      </c>
      <c r="B20" s="17" t="s">
        <v>4902</v>
      </c>
      <c r="C20" s="17" t="s">
        <v>4903</v>
      </c>
      <c r="D20" s="17" t="s">
        <v>21</v>
      </c>
      <c r="E20" s="24" t="s">
        <v>6447</v>
      </c>
      <c r="F20" s="17" t="s">
        <v>1116</v>
      </c>
      <c r="G20" s="17" t="str">
        <f>Config!$B$3</f>
        <v>SCH/R_IEC.SchLib</v>
      </c>
      <c r="H20" s="17" t="s">
        <v>419</v>
      </c>
      <c r="I20" s="17" t="s">
        <v>461</v>
      </c>
      <c r="J20" s="17" t="s">
        <v>4821</v>
      </c>
      <c r="K20" s="17"/>
      <c r="L20" s="17"/>
      <c r="M20" s="17">
        <v>5.0999999999999996</v>
      </c>
      <c r="N20" s="17" t="s">
        <v>13979</v>
      </c>
      <c r="O20" s="17" t="s">
        <v>477</v>
      </c>
      <c r="P20" s="17" t="s">
        <v>4904</v>
      </c>
      <c r="Q20" s="17" t="s">
        <v>25</v>
      </c>
      <c r="R20" s="17" t="s">
        <v>4905</v>
      </c>
      <c r="S20" s="17"/>
      <c r="T20" s="17"/>
      <c r="U20" s="17"/>
      <c r="V20" s="17"/>
      <c r="W20" s="17"/>
      <c r="X20" s="17"/>
      <c r="Y20" s="17"/>
      <c r="Z20" s="17"/>
      <c r="AA20" s="17"/>
      <c r="AB20" s="17" t="str">
        <f t="shared" si="0"/>
        <v>GPR04025R1</v>
      </c>
    </row>
    <row r="21" spans="1:28">
      <c r="A21" s="17" t="s">
        <v>4906</v>
      </c>
      <c r="B21" s="17" t="s">
        <v>4906</v>
      </c>
      <c r="C21" s="17" t="s">
        <v>4907</v>
      </c>
      <c r="D21" s="17" t="s">
        <v>21</v>
      </c>
      <c r="E21" s="24" t="s">
        <v>6447</v>
      </c>
      <c r="F21" s="17" t="s">
        <v>47</v>
      </c>
      <c r="G21" s="17" t="str">
        <f>Config!$B$3</f>
        <v>SCH/R_IEC.SchLib</v>
      </c>
      <c r="H21" s="17" t="s">
        <v>419</v>
      </c>
      <c r="I21" s="17" t="s">
        <v>461</v>
      </c>
      <c r="J21" s="17" t="s">
        <v>4821</v>
      </c>
      <c r="K21" s="17"/>
      <c r="L21" s="17"/>
      <c r="M21" s="17">
        <v>5.6</v>
      </c>
      <c r="N21" s="17" t="s">
        <v>13979</v>
      </c>
      <c r="O21" s="17" t="s">
        <v>477</v>
      </c>
      <c r="P21" s="17" t="s">
        <v>4908</v>
      </c>
      <c r="Q21" s="17" t="s">
        <v>25</v>
      </c>
      <c r="R21" s="17" t="s">
        <v>4909</v>
      </c>
      <c r="S21" s="17"/>
      <c r="T21" s="17"/>
      <c r="U21" s="17"/>
      <c r="V21" s="17"/>
      <c r="W21" s="17"/>
      <c r="X21" s="17"/>
      <c r="Y21" s="17"/>
      <c r="Z21" s="17"/>
      <c r="AA21" s="17"/>
      <c r="AB21" s="17" t="str">
        <f t="shared" si="0"/>
        <v>GPR04025R6</v>
      </c>
    </row>
    <row r="22" spans="1:28">
      <c r="A22" s="17" t="s">
        <v>4910</v>
      </c>
      <c r="B22" s="17" t="s">
        <v>4910</v>
      </c>
      <c r="C22" s="17" t="s">
        <v>4911</v>
      </c>
      <c r="D22" s="17" t="s">
        <v>21</v>
      </c>
      <c r="E22" s="24" t="s">
        <v>6447</v>
      </c>
      <c r="F22" s="17" t="s">
        <v>1128</v>
      </c>
      <c r="G22" s="17" t="str">
        <f>Config!$B$3</f>
        <v>SCH/R_IEC.SchLib</v>
      </c>
      <c r="H22" s="17" t="s">
        <v>419</v>
      </c>
      <c r="I22" s="17" t="s">
        <v>461</v>
      </c>
      <c r="J22" s="17" t="s">
        <v>4821</v>
      </c>
      <c r="K22" s="17"/>
      <c r="L22" s="17"/>
      <c r="M22" s="17">
        <v>6.2</v>
      </c>
      <c r="N22" s="17" t="s">
        <v>13979</v>
      </c>
      <c r="O22" s="17" t="s">
        <v>477</v>
      </c>
      <c r="P22" s="17" t="s">
        <v>4912</v>
      </c>
      <c r="Q22" s="17" t="s">
        <v>25</v>
      </c>
      <c r="R22" s="17" t="s">
        <v>4913</v>
      </c>
      <c r="S22" s="17"/>
      <c r="T22" s="17"/>
      <c r="U22" s="17"/>
      <c r="V22" s="17"/>
      <c r="W22" s="17"/>
      <c r="X22" s="17"/>
      <c r="Y22" s="17"/>
      <c r="Z22" s="17"/>
      <c r="AA22" s="17"/>
      <c r="AB22" s="17" t="str">
        <f t="shared" si="0"/>
        <v>GPR04026R2</v>
      </c>
    </row>
    <row r="23" spans="1:28">
      <c r="A23" s="17" t="s">
        <v>4914</v>
      </c>
      <c r="B23" s="17" t="s">
        <v>4914</v>
      </c>
      <c r="C23" s="17" t="s">
        <v>4915</v>
      </c>
      <c r="D23" s="17" t="s">
        <v>21</v>
      </c>
      <c r="E23" s="24" t="s">
        <v>6447</v>
      </c>
      <c r="F23" s="17" t="s">
        <v>49</v>
      </c>
      <c r="G23" s="17" t="str">
        <f>Config!$B$3</f>
        <v>SCH/R_IEC.SchLib</v>
      </c>
      <c r="H23" s="17" t="s">
        <v>419</v>
      </c>
      <c r="I23" s="17" t="s">
        <v>461</v>
      </c>
      <c r="J23" s="17" t="s">
        <v>4821</v>
      </c>
      <c r="K23" s="17"/>
      <c r="L23" s="17"/>
      <c r="M23" s="17">
        <v>6.8</v>
      </c>
      <c r="N23" s="17" t="s">
        <v>13979</v>
      </c>
      <c r="O23" s="17" t="s">
        <v>477</v>
      </c>
      <c r="P23" s="17" t="s">
        <v>4916</v>
      </c>
      <c r="Q23" s="17" t="s">
        <v>25</v>
      </c>
      <c r="R23" s="17" t="s">
        <v>4917</v>
      </c>
      <c r="S23" s="17"/>
      <c r="T23" s="17"/>
      <c r="U23" s="17"/>
      <c r="V23" s="17"/>
      <c r="W23" s="17"/>
      <c r="X23" s="17"/>
      <c r="Y23" s="17"/>
      <c r="Z23" s="17"/>
      <c r="AA23" s="17"/>
      <c r="AB23" s="17" t="str">
        <f t="shared" si="0"/>
        <v>GPR04026R8</v>
      </c>
    </row>
    <row r="24" spans="1:28">
      <c r="A24" s="17" t="s">
        <v>4918</v>
      </c>
      <c r="B24" s="17" t="s">
        <v>4918</v>
      </c>
      <c r="C24" s="17" t="s">
        <v>4919</v>
      </c>
      <c r="D24" s="17" t="s">
        <v>21</v>
      </c>
      <c r="E24" s="24" t="s">
        <v>6447</v>
      </c>
      <c r="F24" s="17" t="s">
        <v>1138</v>
      </c>
      <c r="G24" s="17" t="str">
        <f>Config!$B$3</f>
        <v>SCH/R_IEC.SchLib</v>
      </c>
      <c r="H24" s="17" t="s">
        <v>419</v>
      </c>
      <c r="I24" s="17" t="s">
        <v>461</v>
      </c>
      <c r="J24" s="17" t="s">
        <v>4821</v>
      </c>
      <c r="K24" s="17"/>
      <c r="L24" s="17"/>
      <c r="M24" s="17">
        <v>7.5</v>
      </c>
      <c r="N24" s="17" t="s">
        <v>13979</v>
      </c>
      <c r="O24" s="17" t="s">
        <v>477</v>
      </c>
      <c r="P24" s="17" t="s">
        <v>4920</v>
      </c>
      <c r="Q24" s="17" t="s">
        <v>25</v>
      </c>
      <c r="R24" s="17" t="s">
        <v>4921</v>
      </c>
      <c r="S24" s="17"/>
      <c r="T24" s="17"/>
      <c r="U24" s="17"/>
      <c r="V24" s="17"/>
      <c r="W24" s="17"/>
      <c r="X24" s="17"/>
      <c r="Y24" s="17"/>
      <c r="Z24" s="17"/>
      <c r="AA24" s="17"/>
      <c r="AB24" s="17" t="str">
        <f t="shared" si="0"/>
        <v>GPR04027R5</v>
      </c>
    </row>
    <row r="25" spans="1:28">
      <c r="A25" s="17" t="s">
        <v>4922</v>
      </c>
      <c r="B25" s="17" t="s">
        <v>4922</v>
      </c>
      <c r="C25" s="17" t="s">
        <v>4923</v>
      </c>
      <c r="D25" s="17" t="s">
        <v>21</v>
      </c>
      <c r="E25" s="24" t="s">
        <v>6447</v>
      </c>
      <c r="F25" s="17" t="s">
        <v>51</v>
      </c>
      <c r="G25" s="17" t="str">
        <f>Config!$B$3</f>
        <v>SCH/R_IEC.SchLib</v>
      </c>
      <c r="H25" s="17" t="s">
        <v>419</v>
      </c>
      <c r="I25" s="17" t="s">
        <v>461</v>
      </c>
      <c r="J25" s="17" t="s">
        <v>4821</v>
      </c>
      <c r="K25" s="17"/>
      <c r="L25" s="17"/>
      <c r="M25" s="17">
        <v>8.1999999999999993</v>
      </c>
      <c r="N25" s="17" t="s">
        <v>13979</v>
      </c>
      <c r="O25" s="17" t="s">
        <v>477</v>
      </c>
      <c r="P25" s="17" t="s">
        <v>4924</v>
      </c>
      <c r="Q25" s="17" t="s">
        <v>25</v>
      </c>
      <c r="R25" s="17" t="s">
        <v>4925</v>
      </c>
      <c r="S25" s="17"/>
      <c r="T25" s="17"/>
      <c r="U25" s="17"/>
      <c r="V25" s="17"/>
      <c r="W25" s="17"/>
      <c r="X25" s="17"/>
      <c r="Y25" s="17"/>
      <c r="Z25" s="17"/>
      <c r="AA25" s="17"/>
      <c r="AB25" s="17" t="str">
        <f t="shared" si="0"/>
        <v>GPR04028R2</v>
      </c>
    </row>
    <row r="26" spans="1:28">
      <c r="A26" s="17" t="s">
        <v>4926</v>
      </c>
      <c r="B26" s="17" t="s">
        <v>4926</v>
      </c>
      <c r="C26" s="17" t="s">
        <v>4927</v>
      </c>
      <c r="D26" s="17" t="s">
        <v>21</v>
      </c>
      <c r="E26" s="24" t="s">
        <v>6447</v>
      </c>
      <c r="F26" s="17" t="s">
        <v>1148</v>
      </c>
      <c r="G26" s="17" t="str">
        <f>Config!$B$3</f>
        <v>SCH/R_IEC.SchLib</v>
      </c>
      <c r="H26" s="17" t="s">
        <v>419</v>
      </c>
      <c r="I26" s="17" t="s">
        <v>461</v>
      </c>
      <c r="J26" s="17" t="s">
        <v>4821</v>
      </c>
      <c r="K26" s="17"/>
      <c r="L26" s="17"/>
      <c r="M26" s="17">
        <v>9.1</v>
      </c>
      <c r="N26" s="17" t="s">
        <v>13979</v>
      </c>
      <c r="O26" s="17" t="s">
        <v>477</v>
      </c>
      <c r="P26" s="17" t="s">
        <v>4928</v>
      </c>
      <c r="Q26" s="17" t="s">
        <v>25</v>
      </c>
      <c r="R26" s="17" t="s">
        <v>4929</v>
      </c>
      <c r="S26" s="17"/>
      <c r="T26" s="17"/>
      <c r="U26" s="17"/>
      <c r="V26" s="17"/>
      <c r="W26" s="17"/>
      <c r="X26" s="17"/>
      <c r="Y26" s="17"/>
      <c r="Z26" s="17"/>
      <c r="AA26" s="17"/>
      <c r="AB26" s="17" t="str">
        <f t="shared" si="0"/>
        <v>GPR04029R1</v>
      </c>
    </row>
    <row r="27" spans="1:28">
      <c r="A27" s="17" t="s">
        <v>4930</v>
      </c>
      <c r="B27" s="17" t="s">
        <v>4930</v>
      </c>
      <c r="C27" s="17" t="s">
        <v>4931</v>
      </c>
      <c r="D27" s="17" t="s">
        <v>21</v>
      </c>
      <c r="E27" s="24" t="s">
        <v>6447</v>
      </c>
      <c r="F27" s="17" t="s">
        <v>53</v>
      </c>
      <c r="G27" s="17" t="str">
        <f>Config!$B$3</f>
        <v>SCH/R_IEC.SchLib</v>
      </c>
      <c r="H27" s="17" t="s">
        <v>419</v>
      </c>
      <c r="I27" s="17" t="s">
        <v>461</v>
      </c>
      <c r="J27" s="17" t="s">
        <v>4821</v>
      </c>
      <c r="K27" s="17"/>
      <c r="L27" s="17"/>
      <c r="M27" s="21">
        <v>10</v>
      </c>
      <c r="N27" s="17" t="s">
        <v>13979</v>
      </c>
      <c r="O27" s="17" t="s">
        <v>477</v>
      </c>
      <c r="P27" s="17" t="s">
        <v>4932</v>
      </c>
      <c r="Q27" s="17" t="s">
        <v>25</v>
      </c>
      <c r="R27" s="17" t="s">
        <v>4933</v>
      </c>
      <c r="S27" s="17" t="s">
        <v>477</v>
      </c>
      <c r="T27" s="17" t="s">
        <v>4934</v>
      </c>
      <c r="U27" s="17" t="s">
        <v>25</v>
      </c>
      <c r="V27" s="17" t="s">
        <v>4935</v>
      </c>
      <c r="W27" s="17"/>
      <c r="X27" s="17"/>
      <c r="Y27" s="17"/>
      <c r="Z27" s="17"/>
      <c r="AA27" s="17"/>
      <c r="AB27" s="17" t="str">
        <f t="shared" si="0"/>
        <v>GPR040210R</v>
      </c>
    </row>
    <row r="28" spans="1:28">
      <c r="A28" s="17" t="s">
        <v>4936</v>
      </c>
      <c r="B28" s="17" t="s">
        <v>4936</v>
      </c>
      <c r="C28" s="17" t="s">
        <v>4937</v>
      </c>
      <c r="D28" s="17" t="s">
        <v>21</v>
      </c>
      <c r="E28" s="24" t="s">
        <v>6447</v>
      </c>
      <c r="F28" s="17" t="s">
        <v>57</v>
      </c>
      <c r="G28" s="17" t="str">
        <f>Config!$B$3</f>
        <v>SCH/R_IEC.SchLib</v>
      </c>
      <c r="H28" s="17" t="s">
        <v>419</v>
      </c>
      <c r="I28" s="17" t="s">
        <v>461</v>
      </c>
      <c r="J28" s="17" t="s">
        <v>4821</v>
      </c>
      <c r="K28" s="17"/>
      <c r="L28" s="17"/>
      <c r="M28" s="21">
        <v>11</v>
      </c>
      <c r="N28" s="17" t="s">
        <v>13979</v>
      </c>
      <c r="O28" s="17" t="s">
        <v>477</v>
      </c>
      <c r="P28" s="17" t="s">
        <v>4938</v>
      </c>
      <c r="Q28" s="17" t="s">
        <v>25</v>
      </c>
      <c r="R28" s="17" t="s">
        <v>4939</v>
      </c>
      <c r="S28" s="17"/>
      <c r="T28" s="17"/>
      <c r="U28" s="17"/>
      <c r="V28" s="17"/>
      <c r="W28" s="17"/>
      <c r="X28" s="17"/>
      <c r="Y28" s="17"/>
      <c r="Z28" s="17"/>
      <c r="AA28" s="17"/>
      <c r="AB28" s="17" t="str">
        <f t="shared" si="0"/>
        <v>GPR040211R</v>
      </c>
    </row>
    <row r="29" spans="1:28">
      <c r="A29" s="17" t="s">
        <v>4940</v>
      </c>
      <c r="B29" s="17" t="s">
        <v>4940</v>
      </c>
      <c r="C29" s="17" t="s">
        <v>4941</v>
      </c>
      <c r="D29" s="17" t="s">
        <v>21</v>
      </c>
      <c r="E29" s="24" t="s">
        <v>6447</v>
      </c>
      <c r="F29" s="17" t="s">
        <v>59</v>
      </c>
      <c r="G29" s="17" t="str">
        <f>Config!$B$3</f>
        <v>SCH/R_IEC.SchLib</v>
      </c>
      <c r="H29" s="17" t="s">
        <v>419</v>
      </c>
      <c r="I29" s="17" t="s">
        <v>461</v>
      </c>
      <c r="J29" s="17" t="s">
        <v>4821</v>
      </c>
      <c r="K29" s="17"/>
      <c r="L29" s="17"/>
      <c r="M29" s="21">
        <v>12</v>
      </c>
      <c r="N29" s="17" t="s">
        <v>13979</v>
      </c>
      <c r="O29" s="17" t="s">
        <v>477</v>
      </c>
      <c r="P29" s="17" t="s">
        <v>4942</v>
      </c>
      <c r="Q29" s="17" t="s">
        <v>25</v>
      </c>
      <c r="R29" s="17" t="s">
        <v>4943</v>
      </c>
      <c r="S29" s="17" t="s">
        <v>477</v>
      </c>
      <c r="T29" s="17" t="s">
        <v>4944</v>
      </c>
      <c r="U29" s="17" t="s">
        <v>25</v>
      </c>
      <c r="V29" s="17" t="s">
        <v>4945</v>
      </c>
      <c r="W29" s="17"/>
      <c r="X29" s="17"/>
      <c r="Y29" s="17"/>
      <c r="Z29" s="17"/>
      <c r="AA29" s="17"/>
      <c r="AB29" s="17" t="str">
        <f t="shared" si="0"/>
        <v>GPR040212R</v>
      </c>
    </row>
    <row r="30" spans="1:28">
      <c r="A30" s="17" t="s">
        <v>4946</v>
      </c>
      <c r="B30" s="17" t="s">
        <v>4946</v>
      </c>
      <c r="C30" s="17" t="s">
        <v>4947</v>
      </c>
      <c r="D30" s="17" t="s">
        <v>21</v>
      </c>
      <c r="E30" s="24" t="s">
        <v>6447</v>
      </c>
      <c r="F30" s="17" t="s">
        <v>61</v>
      </c>
      <c r="G30" s="17" t="str">
        <f>Config!$B$3</f>
        <v>SCH/R_IEC.SchLib</v>
      </c>
      <c r="H30" s="17" t="s">
        <v>419</v>
      </c>
      <c r="I30" s="17" t="s">
        <v>461</v>
      </c>
      <c r="J30" s="17" t="s">
        <v>4821</v>
      </c>
      <c r="K30" s="17"/>
      <c r="L30" s="17"/>
      <c r="M30" s="21">
        <v>13</v>
      </c>
      <c r="N30" s="17" t="s">
        <v>13979</v>
      </c>
      <c r="O30" s="17" t="s">
        <v>477</v>
      </c>
      <c r="P30" s="17" t="s">
        <v>4948</v>
      </c>
      <c r="Q30" s="17" t="s">
        <v>25</v>
      </c>
      <c r="R30" s="17" t="s">
        <v>4949</v>
      </c>
      <c r="S30" s="17"/>
      <c r="T30" s="17"/>
      <c r="U30" s="17"/>
      <c r="V30" s="17"/>
      <c r="W30" s="17"/>
      <c r="X30" s="17"/>
      <c r="Y30" s="17"/>
      <c r="Z30" s="17"/>
      <c r="AA30" s="17"/>
      <c r="AB30" s="17" t="str">
        <f t="shared" si="0"/>
        <v>GPR040213R</v>
      </c>
    </row>
    <row r="31" spans="1:28">
      <c r="A31" s="17" t="s">
        <v>4950</v>
      </c>
      <c r="B31" s="17" t="s">
        <v>4950</v>
      </c>
      <c r="C31" s="17" t="s">
        <v>4951</v>
      </c>
      <c r="D31" s="17" t="s">
        <v>21</v>
      </c>
      <c r="E31" s="24" t="s">
        <v>6447</v>
      </c>
      <c r="F31" s="17" t="s">
        <v>63</v>
      </c>
      <c r="G31" s="17" t="str">
        <f>Config!$B$3</f>
        <v>SCH/R_IEC.SchLib</v>
      </c>
      <c r="H31" s="17" t="s">
        <v>419</v>
      </c>
      <c r="I31" s="17" t="s">
        <v>461</v>
      </c>
      <c r="J31" s="17" t="s">
        <v>4821</v>
      </c>
      <c r="K31" s="17"/>
      <c r="L31" s="17"/>
      <c r="M31" s="21">
        <v>15</v>
      </c>
      <c r="N31" s="17" t="s">
        <v>13979</v>
      </c>
      <c r="O31" s="17" t="s">
        <v>477</v>
      </c>
      <c r="P31" s="17" t="s">
        <v>4952</v>
      </c>
      <c r="Q31" s="17" t="s">
        <v>25</v>
      </c>
      <c r="R31" s="17" t="s">
        <v>4953</v>
      </c>
      <c r="S31" s="17" t="s">
        <v>477</v>
      </c>
      <c r="T31" s="17" t="s">
        <v>4954</v>
      </c>
      <c r="U31" s="17" t="s">
        <v>25</v>
      </c>
      <c r="V31" s="17" t="s">
        <v>4955</v>
      </c>
      <c r="W31" s="17"/>
      <c r="X31" s="17"/>
      <c r="Y31" s="17"/>
      <c r="Z31" s="17"/>
      <c r="AA31" s="17"/>
      <c r="AB31" s="17" t="str">
        <f t="shared" si="0"/>
        <v>GPR040215R</v>
      </c>
    </row>
    <row r="32" spans="1:28">
      <c r="A32" s="17" t="s">
        <v>4956</v>
      </c>
      <c r="B32" s="17" t="s">
        <v>4956</v>
      </c>
      <c r="C32" s="17" t="s">
        <v>4957</v>
      </c>
      <c r="D32" s="17" t="s">
        <v>21</v>
      </c>
      <c r="E32" s="24" t="s">
        <v>6447</v>
      </c>
      <c r="F32" s="17" t="s">
        <v>65</v>
      </c>
      <c r="G32" s="17" t="str">
        <f>Config!$B$3</f>
        <v>SCH/R_IEC.SchLib</v>
      </c>
      <c r="H32" s="17" t="s">
        <v>419</v>
      </c>
      <c r="I32" s="17" t="s">
        <v>461</v>
      </c>
      <c r="J32" s="17" t="s">
        <v>4821</v>
      </c>
      <c r="K32" s="17"/>
      <c r="L32" s="17"/>
      <c r="M32" s="21">
        <v>16</v>
      </c>
      <c r="N32" s="17" t="s">
        <v>13979</v>
      </c>
      <c r="O32" s="17" t="s">
        <v>477</v>
      </c>
      <c r="P32" s="17" t="s">
        <v>4958</v>
      </c>
      <c r="Q32" s="17" t="s">
        <v>25</v>
      </c>
      <c r="R32" s="17" t="s">
        <v>4959</v>
      </c>
      <c r="S32" s="17"/>
      <c r="T32" s="17"/>
      <c r="U32" s="17"/>
      <c r="V32" s="17"/>
      <c r="W32" s="17"/>
      <c r="X32" s="17"/>
      <c r="Y32" s="17"/>
      <c r="Z32" s="17"/>
      <c r="AA32" s="17"/>
      <c r="AB32" s="17" t="str">
        <f t="shared" si="0"/>
        <v>GPR040216R</v>
      </c>
    </row>
    <row r="33" spans="1:28">
      <c r="A33" s="17" t="s">
        <v>4960</v>
      </c>
      <c r="B33" s="17" t="s">
        <v>4960</v>
      </c>
      <c r="C33" s="17" t="s">
        <v>4961</v>
      </c>
      <c r="D33" s="17" t="s">
        <v>21</v>
      </c>
      <c r="E33" s="24" t="s">
        <v>6447</v>
      </c>
      <c r="F33" s="17" t="s">
        <v>67</v>
      </c>
      <c r="G33" s="17" t="str">
        <f>Config!$B$3</f>
        <v>SCH/R_IEC.SchLib</v>
      </c>
      <c r="H33" s="17" t="s">
        <v>419</v>
      </c>
      <c r="I33" s="17" t="s">
        <v>461</v>
      </c>
      <c r="J33" s="17" t="s">
        <v>4821</v>
      </c>
      <c r="K33" s="17"/>
      <c r="L33" s="17"/>
      <c r="M33" s="21">
        <v>18</v>
      </c>
      <c r="N33" s="17" t="s">
        <v>13979</v>
      </c>
      <c r="O33" s="17" t="s">
        <v>477</v>
      </c>
      <c r="P33" s="17" t="s">
        <v>4962</v>
      </c>
      <c r="Q33" s="17" t="s">
        <v>25</v>
      </c>
      <c r="R33" s="17" t="s">
        <v>4963</v>
      </c>
      <c r="S33" s="17" t="s">
        <v>477</v>
      </c>
      <c r="T33" s="17" t="s">
        <v>4964</v>
      </c>
      <c r="U33" s="17" t="s">
        <v>25</v>
      </c>
      <c r="V33" s="17" t="s">
        <v>4965</v>
      </c>
      <c r="W33" s="17"/>
      <c r="X33" s="17"/>
      <c r="Y33" s="17"/>
      <c r="Z33" s="17"/>
      <c r="AA33" s="17"/>
      <c r="AB33" s="17" t="str">
        <f t="shared" si="0"/>
        <v>GPR040218R</v>
      </c>
    </row>
    <row r="34" spans="1:28">
      <c r="A34" s="17" t="s">
        <v>4966</v>
      </c>
      <c r="B34" s="17" t="s">
        <v>4966</v>
      </c>
      <c r="C34" s="17" t="s">
        <v>4967</v>
      </c>
      <c r="D34" s="17" t="s">
        <v>21</v>
      </c>
      <c r="E34" s="24" t="s">
        <v>6447</v>
      </c>
      <c r="F34" s="17" t="s">
        <v>69</v>
      </c>
      <c r="G34" s="17" t="str">
        <f>Config!$B$3</f>
        <v>SCH/R_IEC.SchLib</v>
      </c>
      <c r="H34" s="17" t="s">
        <v>419</v>
      </c>
      <c r="I34" s="17" t="s">
        <v>461</v>
      </c>
      <c r="J34" s="17" t="s">
        <v>4821</v>
      </c>
      <c r="K34" s="17"/>
      <c r="L34" s="17"/>
      <c r="M34" s="21">
        <v>20</v>
      </c>
      <c r="N34" s="17" t="s">
        <v>13979</v>
      </c>
      <c r="O34" s="17" t="s">
        <v>477</v>
      </c>
      <c r="P34" s="17" t="s">
        <v>4968</v>
      </c>
      <c r="Q34" s="17" t="s">
        <v>25</v>
      </c>
      <c r="R34" s="17" t="s">
        <v>4969</v>
      </c>
      <c r="S34" s="17" t="s">
        <v>477</v>
      </c>
      <c r="T34" s="17" t="s">
        <v>4970</v>
      </c>
      <c r="U34" s="17" t="s">
        <v>25</v>
      </c>
      <c r="V34" s="17" t="s">
        <v>4971</v>
      </c>
      <c r="W34" s="17"/>
      <c r="X34" s="17"/>
      <c r="Y34" s="17"/>
      <c r="Z34" s="17"/>
      <c r="AA34" s="17"/>
      <c r="AB34" s="17" t="str">
        <f t="shared" si="0"/>
        <v>GPR040220R</v>
      </c>
    </row>
    <row r="35" spans="1:28">
      <c r="A35" s="17" t="s">
        <v>4972</v>
      </c>
      <c r="B35" s="17" t="s">
        <v>4972</v>
      </c>
      <c r="C35" s="17" t="s">
        <v>4973</v>
      </c>
      <c r="D35" s="17" t="s">
        <v>21</v>
      </c>
      <c r="E35" s="24" t="s">
        <v>6447</v>
      </c>
      <c r="F35" s="17" t="s">
        <v>71</v>
      </c>
      <c r="G35" s="17" t="str">
        <f>Config!$B$3</f>
        <v>SCH/R_IEC.SchLib</v>
      </c>
      <c r="H35" s="17" t="s">
        <v>419</v>
      </c>
      <c r="I35" s="17" t="s">
        <v>461</v>
      </c>
      <c r="J35" s="17" t="s">
        <v>4821</v>
      </c>
      <c r="K35" s="17"/>
      <c r="L35" s="17"/>
      <c r="M35" s="21">
        <v>22</v>
      </c>
      <c r="N35" s="17" t="s">
        <v>13979</v>
      </c>
      <c r="O35" s="17" t="s">
        <v>477</v>
      </c>
      <c r="P35" s="17" t="s">
        <v>4974</v>
      </c>
      <c r="Q35" s="17" t="s">
        <v>25</v>
      </c>
      <c r="R35" s="17" t="s">
        <v>4975</v>
      </c>
      <c r="S35" s="17" t="s">
        <v>477</v>
      </c>
      <c r="T35" s="17" t="s">
        <v>4976</v>
      </c>
      <c r="U35" s="17" t="s">
        <v>25</v>
      </c>
      <c r="V35" s="17" t="s">
        <v>4977</v>
      </c>
      <c r="W35" s="17"/>
      <c r="X35" s="17"/>
      <c r="Y35" s="17"/>
      <c r="Z35" s="17"/>
      <c r="AA35" s="17"/>
      <c r="AB35" s="17" t="str">
        <f t="shared" si="0"/>
        <v>GPR040222R</v>
      </c>
    </row>
    <row r="36" spans="1:28">
      <c r="A36" s="17" t="s">
        <v>4978</v>
      </c>
      <c r="B36" s="17" t="s">
        <v>4978</v>
      </c>
      <c r="C36" s="17" t="s">
        <v>4979</v>
      </c>
      <c r="D36" s="17" t="s">
        <v>21</v>
      </c>
      <c r="E36" s="24" t="s">
        <v>6447</v>
      </c>
      <c r="F36" s="17" t="s">
        <v>75</v>
      </c>
      <c r="G36" s="17" t="str">
        <f>Config!$B$3</f>
        <v>SCH/R_IEC.SchLib</v>
      </c>
      <c r="H36" s="17" t="s">
        <v>419</v>
      </c>
      <c r="I36" s="17" t="s">
        <v>461</v>
      </c>
      <c r="J36" s="17" t="s">
        <v>4821</v>
      </c>
      <c r="K36" s="17"/>
      <c r="L36" s="17"/>
      <c r="M36" s="21">
        <v>24</v>
      </c>
      <c r="N36" s="17" t="s">
        <v>13979</v>
      </c>
      <c r="O36" s="17" t="s">
        <v>477</v>
      </c>
      <c r="P36" s="17" t="s">
        <v>4980</v>
      </c>
      <c r="Q36" s="17" t="s">
        <v>25</v>
      </c>
      <c r="R36" s="17" t="s">
        <v>4981</v>
      </c>
      <c r="S36" s="17" t="s">
        <v>477</v>
      </c>
      <c r="T36" s="17" t="s">
        <v>4982</v>
      </c>
      <c r="U36" s="17" t="s">
        <v>25</v>
      </c>
      <c r="V36" s="17" t="s">
        <v>4983</v>
      </c>
      <c r="W36" s="17"/>
      <c r="X36" s="17"/>
      <c r="Y36" s="17"/>
      <c r="Z36" s="17"/>
      <c r="AA36" s="17"/>
      <c r="AB36" s="17" t="str">
        <f t="shared" si="0"/>
        <v>GPR040224R</v>
      </c>
    </row>
    <row r="37" spans="1:28">
      <c r="A37" s="17" t="s">
        <v>4984</v>
      </c>
      <c r="B37" s="17" t="s">
        <v>4984</v>
      </c>
      <c r="C37" s="17" t="s">
        <v>4985</v>
      </c>
      <c r="D37" s="17" t="s">
        <v>21</v>
      </c>
      <c r="E37" s="24" t="s">
        <v>6447</v>
      </c>
      <c r="F37" s="17" t="s">
        <v>77</v>
      </c>
      <c r="G37" s="17" t="str">
        <f>Config!$B$3</f>
        <v>SCH/R_IEC.SchLib</v>
      </c>
      <c r="H37" s="17" t="s">
        <v>419</v>
      </c>
      <c r="I37" s="17" t="s">
        <v>461</v>
      </c>
      <c r="J37" s="17" t="s">
        <v>4821</v>
      </c>
      <c r="K37" s="17"/>
      <c r="L37" s="17"/>
      <c r="M37" s="21">
        <v>27</v>
      </c>
      <c r="N37" s="17" t="s">
        <v>13979</v>
      </c>
      <c r="O37" s="17" t="s">
        <v>477</v>
      </c>
      <c r="P37" s="17" t="s">
        <v>4986</v>
      </c>
      <c r="Q37" s="17" t="s">
        <v>25</v>
      </c>
      <c r="R37" s="17" t="s">
        <v>4987</v>
      </c>
      <c r="S37" s="17" t="s">
        <v>477</v>
      </c>
      <c r="T37" s="17" t="s">
        <v>4988</v>
      </c>
      <c r="U37" s="17" t="s">
        <v>25</v>
      </c>
      <c r="V37" s="17" t="s">
        <v>4989</v>
      </c>
      <c r="W37" s="17"/>
      <c r="X37" s="17"/>
      <c r="Y37" s="17"/>
      <c r="Z37" s="17"/>
      <c r="AA37" s="17"/>
      <c r="AB37" s="17" t="str">
        <f t="shared" si="0"/>
        <v>GPR040227R</v>
      </c>
    </row>
    <row r="38" spans="1:28">
      <c r="A38" s="17" t="s">
        <v>4990</v>
      </c>
      <c r="B38" s="17" t="s">
        <v>4990</v>
      </c>
      <c r="C38" s="17" t="s">
        <v>4991</v>
      </c>
      <c r="D38" s="17" t="s">
        <v>21</v>
      </c>
      <c r="E38" s="24" t="s">
        <v>6447</v>
      </c>
      <c r="F38" s="17" t="s">
        <v>79</v>
      </c>
      <c r="G38" s="17" t="str">
        <f>Config!$B$3</f>
        <v>SCH/R_IEC.SchLib</v>
      </c>
      <c r="H38" s="17" t="s">
        <v>419</v>
      </c>
      <c r="I38" s="17" t="s">
        <v>461</v>
      </c>
      <c r="J38" s="17" t="s">
        <v>4821</v>
      </c>
      <c r="K38" s="17"/>
      <c r="L38" s="17"/>
      <c r="M38" s="21">
        <v>30</v>
      </c>
      <c r="N38" s="17" t="s">
        <v>13979</v>
      </c>
      <c r="O38" s="17" t="s">
        <v>477</v>
      </c>
      <c r="P38" s="17" t="s">
        <v>4992</v>
      </c>
      <c r="Q38" s="17" t="s">
        <v>25</v>
      </c>
      <c r="R38" s="17" t="s">
        <v>4993</v>
      </c>
      <c r="S38" s="17" t="s">
        <v>477</v>
      </c>
      <c r="T38" s="17" t="s">
        <v>4994</v>
      </c>
      <c r="U38" s="17" t="s">
        <v>25</v>
      </c>
      <c r="V38" s="17" t="s">
        <v>4995</v>
      </c>
      <c r="W38" s="17"/>
      <c r="X38" s="17"/>
      <c r="Y38" s="17"/>
      <c r="Z38" s="17"/>
      <c r="AA38" s="17"/>
      <c r="AB38" s="17" t="str">
        <f t="shared" si="0"/>
        <v>GPR040230R</v>
      </c>
    </row>
    <row r="39" spans="1:28">
      <c r="A39" s="17" t="s">
        <v>4996</v>
      </c>
      <c r="B39" s="17" t="s">
        <v>4996</v>
      </c>
      <c r="C39" s="17" t="s">
        <v>4997</v>
      </c>
      <c r="D39" s="17" t="s">
        <v>21</v>
      </c>
      <c r="E39" s="24" t="s">
        <v>6447</v>
      </c>
      <c r="F39" s="17" t="s">
        <v>81</v>
      </c>
      <c r="G39" s="17" t="str">
        <f>Config!$B$3</f>
        <v>SCH/R_IEC.SchLib</v>
      </c>
      <c r="H39" s="17" t="s">
        <v>419</v>
      </c>
      <c r="I39" s="17" t="s">
        <v>461</v>
      </c>
      <c r="J39" s="17" t="s">
        <v>4821</v>
      </c>
      <c r="K39" s="17"/>
      <c r="L39" s="17"/>
      <c r="M39" s="21">
        <v>33</v>
      </c>
      <c r="N39" s="17" t="s">
        <v>13979</v>
      </c>
      <c r="O39" s="17" t="s">
        <v>477</v>
      </c>
      <c r="P39" s="17" t="s">
        <v>4998</v>
      </c>
      <c r="Q39" s="17" t="s">
        <v>25</v>
      </c>
      <c r="R39" s="17" t="s">
        <v>4999</v>
      </c>
      <c r="S39" s="17" t="s">
        <v>477</v>
      </c>
      <c r="T39" s="17" t="s">
        <v>5000</v>
      </c>
      <c r="U39" s="17" t="s">
        <v>25</v>
      </c>
      <c r="V39" s="17" t="s">
        <v>5001</v>
      </c>
      <c r="W39" s="17"/>
      <c r="X39" s="17"/>
      <c r="Y39" s="17"/>
      <c r="Z39" s="17"/>
      <c r="AA39" s="17"/>
      <c r="AB39" s="17" t="str">
        <f t="shared" si="0"/>
        <v>GPR040233R</v>
      </c>
    </row>
    <row r="40" spans="1:28">
      <c r="A40" s="17" t="s">
        <v>5002</v>
      </c>
      <c r="B40" s="17" t="s">
        <v>5002</v>
      </c>
      <c r="C40" s="17" t="s">
        <v>5003</v>
      </c>
      <c r="D40" s="17" t="s">
        <v>21</v>
      </c>
      <c r="E40" s="24" t="s">
        <v>6447</v>
      </c>
      <c r="F40" s="17" t="s">
        <v>83</v>
      </c>
      <c r="G40" s="17" t="str">
        <f>Config!$B$3</f>
        <v>SCH/R_IEC.SchLib</v>
      </c>
      <c r="H40" s="17" t="s">
        <v>419</v>
      </c>
      <c r="I40" s="17" t="s">
        <v>461</v>
      </c>
      <c r="J40" s="17" t="s">
        <v>4821</v>
      </c>
      <c r="K40" s="17"/>
      <c r="L40" s="17"/>
      <c r="M40" s="21">
        <v>36</v>
      </c>
      <c r="N40" s="17" t="s">
        <v>13979</v>
      </c>
      <c r="O40" s="17" t="s">
        <v>477</v>
      </c>
      <c r="P40" s="17" t="s">
        <v>5004</v>
      </c>
      <c r="Q40" s="17" t="s">
        <v>25</v>
      </c>
      <c r="R40" s="17" t="s">
        <v>5005</v>
      </c>
      <c r="S40" s="17" t="s">
        <v>477</v>
      </c>
      <c r="T40" s="17" t="s">
        <v>5006</v>
      </c>
      <c r="U40" s="17" t="s">
        <v>25</v>
      </c>
      <c r="V40" s="17" t="s">
        <v>5007</v>
      </c>
      <c r="W40" s="17"/>
      <c r="X40" s="17"/>
      <c r="Y40" s="17"/>
      <c r="Z40" s="17"/>
      <c r="AA40" s="17"/>
      <c r="AB40" s="17" t="str">
        <f t="shared" si="0"/>
        <v>GPR040236R</v>
      </c>
    </row>
    <row r="41" spans="1:28">
      <c r="A41" s="17" t="s">
        <v>5008</v>
      </c>
      <c r="B41" s="17" t="s">
        <v>5008</v>
      </c>
      <c r="C41" s="17" t="s">
        <v>5009</v>
      </c>
      <c r="D41" s="17" t="s">
        <v>21</v>
      </c>
      <c r="E41" s="24" t="s">
        <v>6447</v>
      </c>
      <c r="F41" s="17" t="s">
        <v>85</v>
      </c>
      <c r="G41" s="17" t="str">
        <f>Config!$B$3</f>
        <v>SCH/R_IEC.SchLib</v>
      </c>
      <c r="H41" s="17" t="s">
        <v>419</v>
      </c>
      <c r="I41" s="17" t="s">
        <v>461</v>
      </c>
      <c r="J41" s="17" t="s">
        <v>4821</v>
      </c>
      <c r="K41" s="17"/>
      <c r="L41" s="17"/>
      <c r="M41" s="21">
        <v>39</v>
      </c>
      <c r="N41" s="17" t="s">
        <v>13979</v>
      </c>
      <c r="O41" s="17" t="s">
        <v>477</v>
      </c>
      <c r="P41" s="17" t="s">
        <v>5010</v>
      </c>
      <c r="Q41" s="17" t="s">
        <v>25</v>
      </c>
      <c r="R41" s="17" t="s">
        <v>5011</v>
      </c>
      <c r="S41" s="17" t="s">
        <v>477</v>
      </c>
      <c r="T41" s="17" t="s">
        <v>5012</v>
      </c>
      <c r="U41" s="17" t="s">
        <v>25</v>
      </c>
      <c r="V41" s="17" t="s">
        <v>5013</v>
      </c>
      <c r="W41" s="17"/>
      <c r="X41" s="17"/>
      <c r="Y41" s="17"/>
      <c r="Z41" s="17"/>
      <c r="AA41" s="17"/>
      <c r="AB41" s="17" t="str">
        <f t="shared" si="0"/>
        <v>GPR040239R</v>
      </c>
    </row>
    <row r="42" spans="1:28">
      <c r="A42" s="17" t="s">
        <v>5014</v>
      </c>
      <c r="B42" s="17" t="s">
        <v>5014</v>
      </c>
      <c r="C42" s="17" t="s">
        <v>5015</v>
      </c>
      <c r="D42" s="17" t="s">
        <v>21</v>
      </c>
      <c r="E42" s="24" t="s">
        <v>6447</v>
      </c>
      <c r="F42" s="17" t="s">
        <v>87</v>
      </c>
      <c r="G42" s="17" t="str">
        <f>Config!$B$3</f>
        <v>SCH/R_IEC.SchLib</v>
      </c>
      <c r="H42" s="17" t="s">
        <v>419</v>
      </c>
      <c r="I42" s="17" t="s">
        <v>461</v>
      </c>
      <c r="J42" s="17" t="s">
        <v>4821</v>
      </c>
      <c r="K42" s="17"/>
      <c r="L42" s="17"/>
      <c r="M42" s="21">
        <v>43</v>
      </c>
      <c r="N42" s="17" t="s">
        <v>13979</v>
      </c>
      <c r="O42" s="17" t="s">
        <v>477</v>
      </c>
      <c r="P42" s="17" t="s">
        <v>5016</v>
      </c>
      <c r="Q42" s="17" t="s">
        <v>25</v>
      </c>
      <c r="R42" s="17" t="s">
        <v>5017</v>
      </c>
      <c r="S42" s="17"/>
      <c r="T42" s="17"/>
      <c r="U42" s="17"/>
      <c r="V42" s="17"/>
      <c r="W42" s="17"/>
      <c r="X42" s="17"/>
      <c r="Y42" s="17"/>
      <c r="Z42" s="17"/>
      <c r="AA42" s="17"/>
      <c r="AB42" s="17" t="str">
        <f t="shared" si="0"/>
        <v>GPR040243R</v>
      </c>
    </row>
    <row r="43" spans="1:28">
      <c r="A43" s="17" t="s">
        <v>5018</v>
      </c>
      <c r="B43" s="17" t="s">
        <v>5018</v>
      </c>
      <c r="C43" s="17" t="s">
        <v>5019</v>
      </c>
      <c r="D43" s="17" t="s">
        <v>21</v>
      </c>
      <c r="E43" s="24" t="s">
        <v>6447</v>
      </c>
      <c r="F43" s="17" t="s">
        <v>89</v>
      </c>
      <c r="G43" s="17" t="str">
        <f>Config!$B$3</f>
        <v>SCH/R_IEC.SchLib</v>
      </c>
      <c r="H43" s="17" t="s">
        <v>419</v>
      </c>
      <c r="I43" s="17" t="s">
        <v>461</v>
      </c>
      <c r="J43" s="17" t="s">
        <v>4821</v>
      </c>
      <c r="K43" s="17"/>
      <c r="L43" s="17"/>
      <c r="M43" s="21">
        <v>47</v>
      </c>
      <c r="N43" s="17" t="s">
        <v>13979</v>
      </c>
      <c r="O43" s="17" t="s">
        <v>477</v>
      </c>
      <c r="P43" s="17" t="s">
        <v>5020</v>
      </c>
      <c r="Q43" s="17" t="s">
        <v>25</v>
      </c>
      <c r="R43" s="17" t="s">
        <v>5021</v>
      </c>
      <c r="S43" s="17" t="s">
        <v>477</v>
      </c>
      <c r="T43" s="17" t="s">
        <v>5022</v>
      </c>
      <c r="U43" s="17" t="s">
        <v>25</v>
      </c>
      <c r="V43" s="17" t="s">
        <v>5023</v>
      </c>
      <c r="W43" s="17"/>
      <c r="X43" s="17"/>
      <c r="Y43" s="17"/>
      <c r="Z43" s="17"/>
      <c r="AA43" s="17"/>
      <c r="AB43" s="17" t="str">
        <f t="shared" si="0"/>
        <v>GPR040247R</v>
      </c>
    </row>
    <row r="44" spans="1:28">
      <c r="A44" s="17" t="s">
        <v>5024</v>
      </c>
      <c r="B44" s="17" t="s">
        <v>5024</v>
      </c>
      <c r="C44" s="17" t="s">
        <v>5025</v>
      </c>
      <c r="D44" s="17" t="s">
        <v>21</v>
      </c>
      <c r="E44" s="24" t="s">
        <v>6447</v>
      </c>
      <c r="F44" s="17" t="s">
        <v>91</v>
      </c>
      <c r="G44" s="17" t="str">
        <f>Config!$B$3</f>
        <v>SCH/R_IEC.SchLib</v>
      </c>
      <c r="H44" s="17" t="s">
        <v>419</v>
      </c>
      <c r="I44" s="17" t="s">
        <v>461</v>
      </c>
      <c r="J44" s="17" t="s">
        <v>4821</v>
      </c>
      <c r="K44" s="17"/>
      <c r="L44" s="17"/>
      <c r="M44" s="21">
        <v>51</v>
      </c>
      <c r="N44" s="17" t="s">
        <v>13979</v>
      </c>
      <c r="O44" s="17" t="s">
        <v>477</v>
      </c>
      <c r="P44" s="17" t="s">
        <v>5026</v>
      </c>
      <c r="Q44" s="17" t="s">
        <v>25</v>
      </c>
      <c r="R44" s="17" t="s">
        <v>5027</v>
      </c>
      <c r="S44" s="17" t="s">
        <v>477</v>
      </c>
      <c r="T44" s="17" t="s">
        <v>5028</v>
      </c>
      <c r="U44" s="17" t="s">
        <v>25</v>
      </c>
      <c r="V44" s="17" t="s">
        <v>5029</v>
      </c>
      <c r="W44" s="17"/>
      <c r="X44" s="17"/>
      <c r="Y44" s="17"/>
      <c r="Z44" s="17"/>
      <c r="AA44" s="17"/>
      <c r="AB44" s="17" t="str">
        <f t="shared" si="0"/>
        <v>GPR040251R</v>
      </c>
    </row>
    <row r="45" spans="1:28">
      <c r="A45" s="17" t="s">
        <v>5030</v>
      </c>
      <c r="B45" s="17" t="s">
        <v>5030</v>
      </c>
      <c r="C45" s="17" t="s">
        <v>5031</v>
      </c>
      <c r="D45" s="17" t="s">
        <v>21</v>
      </c>
      <c r="E45" s="24" t="s">
        <v>6447</v>
      </c>
      <c r="F45" s="17" t="s">
        <v>93</v>
      </c>
      <c r="G45" s="17" t="str">
        <f>Config!$B$3</f>
        <v>SCH/R_IEC.SchLib</v>
      </c>
      <c r="H45" s="17" t="s">
        <v>419</v>
      </c>
      <c r="I45" s="17" t="s">
        <v>461</v>
      </c>
      <c r="J45" s="17" t="s">
        <v>4821</v>
      </c>
      <c r="K45" s="17"/>
      <c r="L45" s="17"/>
      <c r="M45" s="21">
        <v>56</v>
      </c>
      <c r="N45" s="17" t="s">
        <v>13979</v>
      </c>
      <c r="O45" s="17" t="s">
        <v>477</v>
      </c>
      <c r="P45" s="17" t="s">
        <v>5032</v>
      </c>
      <c r="Q45" s="17" t="s">
        <v>25</v>
      </c>
      <c r="R45" s="17" t="s">
        <v>5033</v>
      </c>
      <c r="S45" s="17" t="s">
        <v>477</v>
      </c>
      <c r="T45" s="17" t="s">
        <v>5034</v>
      </c>
      <c r="U45" s="17" t="s">
        <v>25</v>
      </c>
      <c r="V45" s="17" t="s">
        <v>5035</v>
      </c>
      <c r="W45" s="17"/>
      <c r="X45" s="17"/>
      <c r="Y45" s="17"/>
      <c r="Z45" s="17"/>
      <c r="AA45" s="17"/>
      <c r="AB45" s="17" t="str">
        <f t="shared" si="0"/>
        <v>GPR040256R</v>
      </c>
    </row>
    <row r="46" spans="1:28">
      <c r="A46" s="17" t="s">
        <v>5036</v>
      </c>
      <c r="B46" s="17" t="s">
        <v>5036</v>
      </c>
      <c r="C46" s="17" t="s">
        <v>5037</v>
      </c>
      <c r="D46" s="17" t="s">
        <v>21</v>
      </c>
      <c r="E46" s="24" t="s">
        <v>6447</v>
      </c>
      <c r="F46" s="17" t="s">
        <v>95</v>
      </c>
      <c r="G46" s="17" t="str">
        <f>Config!$B$3</f>
        <v>SCH/R_IEC.SchLib</v>
      </c>
      <c r="H46" s="17" t="s">
        <v>419</v>
      </c>
      <c r="I46" s="17" t="s">
        <v>461</v>
      </c>
      <c r="J46" s="17" t="s">
        <v>4821</v>
      </c>
      <c r="K46" s="17"/>
      <c r="L46" s="17"/>
      <c r="M46" s="21">
        <v>62</v>
      </c>
      <c r="N46" s="17" t="s">
        <v>13979</v>
      </c>
      <c r="O46" s="17" t="s">
        <v>477</v>
      </c>
      <c r="P46" s="17" t="s">
        <v>5038</v>
      </c>
      <c r="Q46" s="17" t="s">
        <v>25</v>
      </c>
      <c r="R46" s="17" t="s">
        <v>5039</v>
      </c>
      <c r="S46" s="17" t="s">
        <v>477</v>
      </c>
      <c r="T46" s="17" t="s">
        <v>5040</v>
      </c>
      <c r="U46" s="17" t="s">
        <v>25</v>
      </c>
      <c r="V46" s="17" t="s">
        <v>5041</v>
      </c>
      <c r="W46" s="17"/>
      <c r="X46" s="17"/>
      <c r="Y46" s="17"/>
      <c r="Z46" s="17"/>
      <c r="AA46" s="17"/>
      <c r="AB46" s="17" t="str">
        <f t="shared" si="0"/>
        <v>GPR040262R</v>
      </c>
    </row>
    <row r="47" spans="1:28">
      <c r="A47" s="17" t="s">
        <v>5042</v>
      </c>
      <c r="B47" s="17" t="s">
        <v>5042</v>
      </c>
      <c r="C47" s="17" t="s">
        <v>5043</v>
      </c>
      <c r="D47" s="17" t="s">
        <v>21</v>
      </c>
      <c r="E47" s="24" t="s">
        <v>6447</v>
      </c>
      <c r="F47" s="17" t="s">
        <v>97</v>
      </c>
      <c r="G47" s="17" t="str">
        <f>Config!$B$3</f>
        <v>SCH/R_IEC.SchLib</v>
      </c>
      <c r="H47" s="17" t="s">
        <v>419</v>
      </c>
      <c r="I47" s="17" t="s">
        <v>461</v>
      </c>
      <c r="J47" s="17" t="s">
        <v>4821</v>
      </c>
      <c r="K47" s="17"/>
      <c r="L47" s="17"/>
      <c r="M47" s="21">
        <v>68</v>
      </c>
      <c r="N47" s="17" t="s">
        <v>13979</v>
      </c>
      <c r="O47" s="17" t="s">
        <v>477</v>
      </c>
      <c r="P47" s="17" t="s">
        <v>5044</v>
      </c>
      <c r="Q47" s="17" t="s">
        <v>25</v>
      </c>
      <c r="R47" s="17" t="s">
        <v>5045</v>
      </c>
      <c r="S47" s="17" t="s">
        <v>477</v>
      </c>
      <c r="T47" s="17" t="s">
        <v>5046</v>
      </c>
      <c r="U47" s="17" t="s">
        <v>25</v>
      </c>
      <c r="V47" s="17" t="s">
        <v>5047</v>
      </c>
      <c r="W47" s="17"/>
      <c r="X47" s="17"/>
      <c r="Y47" s="17"/>
      <c r="Z47" s="17"/>
      <c r="AA47" s="17"/>
      <c r="AB47" s="17" t="str">
        <f t="shared" si="0"/>
        <v>GPR040268R</v>
      </c>
    </row>
    <row r="48" spans="1:28">
      <c r="A48" s="17" t="s">
        <v>5048</v>
      </c>
      <c r="B48" s="17" t="s">
        <v>5048</v>
      </c>
      <c r="C48" s="17" t="s">
        <v>5049</v>
      </c>
      <c r="D48" s="17" t="s">
        <v>21</v>
      </c>
      <c r="E48" s="24" t="s">
        <v>6447</v>
      </c>
      <c r="F48" s="17" t="s">
        <v>99</v>
      </c>
      <c r="G48" s="17" t="str">
        <f>Config!$B$3</f>
        <v>SCH/R_IEC.SchLib</v>
      </c>
      <c r="H48" s="17" t="s">
        <v>419</v>
      </c>
      <c r="I48" s="17" t="s">
        <v>461</v>
      </c>
      <c r="J48" s="17" t="s">
        <v>4821</v>
      </c>
      <c r="K48" s="17"/>
      <c r="L48" s="17"/>
      <c r="M48" s="21">
        <v>75</v>
      </c>
      <c r="N48" s="17" t="s">
        <v>13979</v>
      </c>
      <c r="O48" s="17" t="s">
        <v>477</v>
      </c>
      <c r="P48" s="17" t="s">
        <v>5050</v>
      </c>
      <c r="Q48" s="17" t="s">
        <v>25</v>
      </c>
      <c r="R48" s="17" t="s">
        <v>5051</v>
      </c>
      <c r="S48" s="17" t="s">
        <v>477</v>
      </c>
      <c r="T48" s="17" t="s">
        <v>5052</v>
      </c>
      <c r="U48" s="17" t="s">
        <v>25</v>
      </c>
      <c r="V48" s="17" t="s">
        <v>5053</v>
      </c>
      <c r="W48" s="17"/>
      <c r="X48" s="17"/>
      <c r="Y48" s="17"/>
      <c r="Z48" s="17"/>
      <c r="AA48" s="17"/>
      <c r="AB48" s="17" t="str">
        <f t="shared" si="0"/>
        <v>GPR040275R</v>
      </c>
    </row>
    <row r="49" spans="1:28">
      <c r="A49" s="17" t="s">
        <v>5054</v>
      </c>
      <c r="B49" s="17" t="s">
        <v>5054</v>
      </c>
      <c r="C49" s="17" t="s">
        <v>5055</v>
      </c>
      <c r="D49" s="17" t="s">
        <v>21</v>
      </c>
      <c r="E49" s="24" t="s">
        <v>6447</v>
      </c>
      <c r="F49" s="17" t="s">
        <v>101</v>
      </c>
      <c r="G49" s="17" t="str">
        <f>Config!$B$3</f>
        <v>SCH/R_IEC.SchLib</v>
      </c>
      <c r="H49" s="17" t="s">
        <v>419</v>
      </c>
      <c r="I49" s="17" t="s">
        <v>461</v>
      </c>
      <c r="J49" s="17" t="s">
        <v>4821</v>
      </c>
      <c r="K49" s="17"/>
      <c r="L49" s="17"/>
      <c r="M49" s="21">
        <v>82</v>
      </c>
      <c r="N49" s="17" t="s">
        <v>13979</v>
      </c>
      <c r="O49" s="17" t="s">
        <v>477</v>
      </c>
      <c r="P49" s="17" t="s">
        <v>5056</v>
      </c>
      <c r="Q49" s="17" t="s">
        <v>25</v>
      </c>
      <c r="R49" s="17" t="s">
        <v>5057</v>
      </c>
      <c r="S49" s="17" t="s">
        <v>477</v>
      </c>
      <c r="T49" s="17" t="s">
        <v>5058</v>
      </c>
      <c r="U49" s="17" t="s">
        <v>25</v>
      </c>
      <c r="V49" s="17" t="s">
        <v>5059</v>
      </c>
      <c r="W49" s="17"/>
      <c r="X49" s="17"/>
      <c r="Y49" s="17"/>
      <c r="Z49" s="17"/>
      <c r="AA49" s="17"/>
      <c r="AB49" s="17" t="str">
        <f t="shared" si="0"/>
        <v>GPR040282R</v>
      </c>
    </row>
    <row r="50" spans="1:28">
      <c r="A50" s="17" t="s">
        <v>5060</v>
      </c>
      <c r="B50" s="17" t="s">
        <v>5060</v>
      </c>
      <c r="C50" s="17" t="s">
        <v>5061</v>
      </c>
      <c r="D50" s="17" t="s">
        <v>21</v>
      </c>
      <c r="E50" s="24" t="s">
        <v>6447</v>
      </c>
      <c r="F50" s="17" t="s">
        <v>103</v>
      </c>
      <c r="G50" s="17" t="str">
        <f>Config!$B$3</f>
        <v>SCH/R_IEC.SchLib</v>
      </c>
      <c r="H50" s="17" t="s">
        <v>419</v>
      </c>
      <c r="I50" s="17" t="s">
        <v>461</v>
      </c>
      <c r="J50" s="17" t="s">
        <v>4821</v>
      </c>
      <c r="K50" s="17"/>
      <c r="L50" s="17"/>
      <c r="M50" s="21">
        <v>91</v>
      </c>
      <c r="N50" s="17" t="s">
        <v>13979</v>
      </c>
      <c r="O50" s="17" t="s">
        <v>477</v>
      </c>
      <c r="P50" s="17" t="s">
        <v>5062</v>
      </c>
      <c r="Q50" s="17" t="s">
        <v>25</v>
      </c>
      <c r="R50" s="17" t="s">
        <v>5063</v>
      </c>
      <c r="S50" s="17" t="s">
        <v>477</v>
      </c>
      <c r="T50" s="17" t="s">
        <v>5064</v>
      </c>
      <c r="U50" s="17" t="s">
        <v>25</v>
      </c>
      <c r="V50" s="17" t="s">
        <v>5065</v>
      </c>
      <c r="W50" s="17"/>
      <c r="X50" s="17"/>
      <c r="Y50" s="17"/>
      <c r="Z50" s="17"/>
      <c r="AA50" s="17"/>
      <c r="AB50" s="17" t="str">
        <f t="shared" si="0"/>
        <v>GPR040291R</v>
      </c>
    </row>
    <row r="51" spans="1:28">
      <c r="A51" s="17" t="s">
        <v>5066</v>
      </c>
      <c r="B51" s="17" t="s">
        <v>5066</v>
      </c>
      <c r="C51" s="17" t="s">
        <v>5067</v>
      </c>
      <c r="D51" s="17" t="s">
        <v>21</v>
      </c>
      <c r="E51" s="24" t="s">
        <v>6447</v>
      </c>
      <c r="F51" s="17" t="s">
        <v>105</v>
      </c>
      <c r="G51" s="17" t="str">
        <f>Config!$B$3</f>
        <v>SCH/R_IEC.SchLib</v>
      </c>
      <c r="H51" s="17" t="s">
        <v>419</v>
      </c>
      <c r="I51" s="17" t="s">
        <v>461</v>
      </c>
      <c r="J51" s="17" t="s">
        <v>4821</v>
      </c>
      <c r="K51" s="17"/>
      <c r="L51" s="17"/>
      <c r="M51" s="21">
        <v>100</v>
      </c>
      <c r="N51" s="17" t="s">
        <v>13979</v>
      </c>
      <c r="O51" s="17" t="s">
        <v>477</v>
      </c>
      <c r="P51" s="17" t="s">
        <v>5068</v>
      </c>
      <c r="Q51" s="17" t="s">
        <v>25</v>
      </c>
      <c r="R51" s="17" t="s">
        <v>5069</v>
      </c>
      <c r="S51" s="17" t="s">
        <v>477</v>
      </c>
      <c r="T51" s="17" t="s">
        <v>5070</v>
      </c>
      <c r="U51" s="17" t="s">
        <v>25</v>
      </c>
      <c r="V51" s="17" t="s">
        <v>5071</v>
      </c>
      <c r="W51" s="17"/>
      <c r="X51" s="17"/>
      <c r="Y51" s="17"/>
      <c r="Z51" s="17"/>
      <c r="AA51" s="17"/>
      <c r="AB51" s="17" t="str">
        <f t="shared" si="0"/>
        <v>GPR0402100R</v>
      </c>
    </row>
    <row r="52" spans="1:28">
      <c r="A52" s="17" t="s">
        <v>5072</v>
      </c>
      <c r="B52" s="17" t="s">
        <v>5072</v>
      </c>
      <c r="C52" s="17" t="s">
        <v>5073</v>
      </c>
      <c r="D52" s="17" t="s">
        <v>21</v>
      </c>
      <c r="E52" s="24" t="s">
        <v>6447</v>
      </c>
      <c r="F52" s="17" t="s">
        <v>109</v>
      </c>
      <c r="G52" s="17" t="str">
        <f>Config!$B$3</f>
        <v>SCH/R_IEC.SchLib</v>
      </c>
      <c r="H52" s="17" t="s">
        <v>419</v>
      </c>
      <c r="I52" s="17" t="s">
        <v>461</v>
      </c>
      <c r="J52" s="17" t="s">
        <v>4821</v>
      </c>
      <c r="K52" s="17"/>
      <c r="L52" s="17"/>
      <c r="M52" s="21">
        <v>110</v>
      </c>
      <c r="N52" s="17" t="s">
        <v>13979</v>
      </c>
      <c r="O52" s="17" t="s">
        <v>477</v>
      </c>
      <c r="P52" s="17" t="s">
        <v>5074</v>
      </c>
      <c r="Q52" s="17" t="s">
        <v>25</v>
      </c>
      <c r="R52" s="17" t="s">
        <v>5075</v>
      </c>
      <c r="S52" s="17" t="s">
        <v>477</v>
      </c>
      <c r="T52" s="17" t="s">
        <v>5076</v>
      </c>
      <c r="U52" s="17" t="s">
        <v>25</v>
      </c>
      <c r="V52" s="17" t="s">
        <v>5077</v>
      </c>
      <c r="W52" s="17"/>
      <c r="X52" s="17"/>
      <c r="Y52" s="17"/>
      <c r="Z52" s="17"/>
      <c r="AA52" s="17"/>
      <c r="AB52" s="17" t="str">
        <f t="shared" si="0"/>
        <v>GPR0402110R</v>
      </c>
    </row>
    <row r="53" spans="1:28">
      <c r="A53" s="17" t="s">
        <v>5078</v>
      </c>
      <c r="B53" s="17" t="s">
        <v>5078</v>
      </c>
      <c r="C53" s="17" t="s">
        <v>5079</v>
      </c>
      <c r="D53" s="17" t="s">
        <v>21</v>
      </c>
      <c r="E53" s="24" t="s">
        <v>6447</v>
      </c>
      <c r="F53" s="17" t="s">
        <v>111</v>
      </c>
      <c r="G53" s="17" t="str">
        <f>Config!$B$3</f>
        <v>SCH/R_IEC.SchLib</v>
      </c>
      <c r="H53" s="17" t="s">
        <v>419</v>
      </c>
      <c r="I53" s="17" t="s">
        <v>461</v>
      </c>
      <c r="J53" s="17" t="s">
        <v>4821</v>
      </c>
      <c r="K53" s="17"/>
      <c r="L53" s="17"/>
      <c r="M53" s="21">
        <v>120</v>
      </c>
      <c r="N53" s="17" t="s">
        <v>13979</v>
      </c>
      <c r="O53" s="17" t="s">
        <v>477</v>
      </c>
      <c r="P53" s="17" t="s">
        <v>5080</v>
      </c>
      <c r="Q53" s="17" t="s">
        <v>25</v>
      </c>
      <c r="R53" s="17" t="s">
        <v>5081</v>
      </c>
      <c r="S53" s="17" t="s">
        <v>477</v>
      </c>
      <c r="T53" s="17" t="s">
        <v>5082</v>
      </c>
      <c r="U53" s="17" t="s">
        <v>25</v>
      </c>
      <c r="V53" s="17" t="s">
        <v>5083</v>
      </c>
      <c r="W53" s="17"/>
      <c r="X53" s="17"/>
      <c r="Y53" s="17"/>
      <c r="Z53" s="17"/>
      <c r="AA53" s="17"/>
      <c r="AB53" s="17" t="str">
        <f t="shared" si="0"/>
        <v>GPR0402120R</v>
      </c>
    </row>
    <row r="54" spans="1:28">
      <c r="A54" s="17" t="s">
        <v>5084</v>
      </c>
      <c r="B54" s="17" t="s">
        <v>5084</v>
      </c>
      <c r="C54" s="17" t="s">
        <v>5085</v>
      </c>
      <c r="D54" s="17" t="s">
        <v>21</v>
      </c>
      <c r="E54" s="24" t="s">
        <v>6447</v>
      </c>
      <c r="F54" s="17" t="s">
        <v>113</v>
      </c>
      <c r="G54" s="17" t="str">
        <f>Config!$B$3</f>
        <v>SCH/R_IEC.SchLib</v>
      </c>
      <c r="H54" s="17" t="s">
        <v>419</v>
      </c>
      <c r="I54" s="17" t="s">
        <v>461</v>
      </c>
      <c r="J54" s="17" t="s">
        <v>4821</v>
      </c>
      <c r="K54" s="17"/>
      <c r="L54" s="17"/>
      <c r="M54" s="21">
        <v>130</v>
      </c>
      <c r="N54" s="17" t="s">
        <v>13979</v>
      </c>
      <c r="O54" s="17" t="s">
        <v>477</v>
      </c>
      <c r="P54" s="17" t="s">
        <v>5086</v>
      </c>
      <c r="Q54" s="17" t="s">
        <v>25</v>
      </c>
      <c r="R54" s="17" t="s">
        <v>5087</v>
      </c>
      <c r="S54" s="17" t="s">
        <v>477</v>
      </c>
      <c r="T54" s="17" t="s">
        <v>5088</v>
      </c>
      <c r="U54" s="17" t="s">
        <v>25</v>
      </c>
      <c r="V54" s="17" t="s">
        <v>5089</v>
      </c>
      <c r="W54" s="17"/>
      <c r="X54" s="17"/>
      <c r="Y54" s="17"/>
      <c r="Z54" s="17"/>
      <c r="AA54" s="17"/>
      <c r="AB54" s="17" t="str">
        <f t="shared" si="0"/>
        <v>GPR0402130R</v>
      </c>
    </row>
    <row r="55" spans="1:28">
      <c r="A55" s="17" t="s">
        <v>5090</v>
      </c>
      <c r="B55" s="17" t="s">
        <v>5090</v>
      </c>
      <c r="C55" s="17" t="s">
        <v>5091</v>
      </c>
      <c r="D55" s="17" t="s">
        <v>21</v>
      </c>
      <c r="E55" s="24" t="s">
        <v>6447</v>
      </c>
      <c r="F55" s="17" t="s">
        <v>115</v>
      </c>
      <c r="G55" s="17" t="str">
        <f>Config!$B$3</f>
        <v>SCH/R_IEC.SchLib</v>
      </c>
      <c r="H55" s="17" t="s">
        <v>419</v>
      </c>
      <c r="I55" s="17" t="s">
        <v>461</v>
      </c>
      <c r="J55" s="17" t="s">
        <v>4821</v>
      </c>
      <c r="K55" s="17"/>
      <c r="L55" s="17"/>
      <c r="M55" s="21">
        <v>150</v>
      </c>
      <c r="N55" s="17" t="s">
        <v>13979</v>
      </c>
      <c r="O55" s="17" t="s">
        <v>477</v>
      </c>
      <c r="P55" s="17" t="s">
        <v>5092</v>
      </c>
      <c r="Q55" s="17" t="s">
        <v>25</v>
      </c>
      <c r="R55" s="17" t="s">
        <v>5093</v>
      </c>
      <c r="S55" s="17" t="s">
        <v>477</v>
      </c>
      <c r="T55" s="17" t="s">
        <v>5094</v>
      </c>
      <c r="U55" s="17" t="s">
        <v>25</v>
      </c>
      <c r="V55" s="17" t="s">
        <v>5095</v>
      </c>
      <c r="W55" s="17"/>
      <c r="X55" s="17"/>
      <c r="Y55" s="17"/>
      <c r="Z55" s="17"/>
      <c r="AA55" s="17"/>
      <c r="AB55" s="17" t="str">
        <f t="shared" si="0"/>
        <v>GPR0402150R</v>
      </c>
    </row>
    <row r="56" spans="1:28">
      <c r="A56" s="17" t="s">
        <v>5096</v>
      </c>
      <c r="B56" s="17" t="s">
        <v>5096</v>
      </c>
      <c r="C56" s="17" t="s">
        <v>5097</v>
      </c>
      <c r="D56" s="17" t="s">
        <v>21</v>
      </c>
      <c r="E56" s="24" t="s">
        <v>6447</v>
      </c>
      <c r="F56" s="17" t="s">
        <v>117</v>
      </c>
      <c r="G56" s="17" t="str">
        <f>Config!$B$3</f>
        <v>SCH/R_IEC.SchLib</v>
      </c>
      <c r="H56" s="17" t="s">
        <v>419</v>
      </c>
      <c r="I56" s="17" t="s">
        <v>461</v>
      </c>
      <c r="J56" s="17" t="s">
        <v>4821</v>
      </c>
      <c r="K56" s="17"/>
      <c r="L56" s="17"/>
      <c r="M56" s="21">
        <v>160</v>
      </c>
      <c r="N56" s="17" t="s">
        <v>13979</v>
      </c>
      <c r="O56" s="17" t="s">
        <v>477</v>
      </c>
      <c r="P56" s="17" t="s">
        <v>5098</v>
      </c>
      <c r="Q56" s="17" t="s">
        <v>25</v>
      </c>
      <c r="R56" s="17" t="s">
        <v>5099</v>
      </c>
      <c r="S56" s="17" t="s">
        <v>477</v>
      </c>
      <c r="T56" s="17" t="s">
        <v>5100</v>
      </c>
      <c r="U56" s="17" t="s">
        <v>25</v>
      </c>
      <c r="V56" s="17" t="s">
        <v>5101</v>
      </c>
      <c r="W56" s="17"/>
      <c r="X56" s="17"/>
      <c r="Y56" s="17"/>
      <c r="Z56" s="17"/>
      <c r="AA56" s="17"/>
      <c r="AB56" s="17" t="str">
        <f t="shared" si="0"/>
        <v>GPR0402160R</v>
      </c>
    </row>
    <row r="57" spans="1:28">
      <c r="A57" s="17" t="s">
        <v>5102</v>
      </c>
      <c r="B57" s="17" t="s">
        <v>5102</v>
      </c>
      <c r="C57" s="17" t="s">
        <v>5103</v>
      </c>
      <c r="D57" s="17" t="s">
        <v>21</v>
      </c>
      <c r="E57" s="24" t="s">
        <v>6447</v>
      </c>
      <c r="F57" s="17" t="s">
        <v>119</v>
      </c>
      <c r="G57" s="17" t="str">
        <f>Config!$B$3</f>
        <v>SCH/R_IEC.SchLib</v>
      </c>
      <c r="H57" s="17" t="s">
        <v>419</v>
      </c>
      <c r="I57" s="17" t="s">
        <v>461</v>
      </c>
      <c r="J57" s="17" t="s">
        <v>4821</v>
      </c>
      <c r="K57" s="17"/>
      <c r="L57" s="17"/>
      <c r="M57" s="21">
        <v>180</v>
      </c>
      <c r="N57" s="17" t="s">
        <v>13979</v>
      </c>
      <c r="O57" s="17" t="s">
        <v>477</v>
      </c>
      <c r="P57" s="17" t="s">
        <v>5104</v>
      </c>
      <c r="Q57" s="17" t="s">
        <v>25</v>
      </c>
      <c r="R57" s="17" t="s">
        <v>5105</v>
      </c>
      <c r="S57" s="17" t="s">
        <v>477</v>
      </c>
      <c r="T57" s="17" t="s">
        <v>5106</v>
      </c>
      <c r="U57" s="17" t="s">
        <v>25</v>
      </c>
      <c r="V57" s="17" t="s">
        <v>5107</v>
      </c>
      <c r="W57" s="17"/>
      <c r="X57" s="17"/>
      <c r="Y57" s="17"/>
      <c r="Z57" s="17"/>
      <c r="AA57" s="17"/>
      <c r="AB57" s="17" t="str">
        <f t="shared" si="0"/>
        <v>GPR0402180R</v>
      </c>
    </row>
    <row r="58" spans="1:28">
      <c r="A58" s="17" t="s">
        <v>5108</v>
      </c>
      <c r="B58" s="17" t="s">
        <v>5108</v>
      </c>
      <c r="C58" s="17" t="s">
        <v>5109</v>
      </c>
      <c r="D58" s="17" t="s">
        <v>21</v>
      </c>
      <c r="E58" s="24" t="s">
        <v>6447</v>
      </c>
      <c r="F58" s="17" t="s">
        <v>123</v>
      </c>
      <c r="G58" s="17" t="str">
        <f>Config!$B$3</f>
        <v>SCH/R_IEC.SchLib</v>
      </c>
      <c r="H58" s="17" t="s">
        <v>419</v>
      </c>
      <c r="I58" s="17" t="s">
        <v>461</v>
      </c>
      <c r="J58" s="17" t="s">
        <v>4821</v>
      </c>
      <c r="K58" s="17"/>
      <c r="L58" s="17"/>
      <c r="M58" s="21">
        <v>200</v>
      </c>
      <c r="N58" s="17" t="s">
        <v>13979</v>
      </c>
      <c r="O58" s="17" t="s">
        <v>477</v>
      </c>
      <c r="P58" s="17" t="s">
        <v>5110</v>
      </c>
      <c r="Q58" s="17" t="s">
        <v>25</v>
      </c>
      <c r="R58" s="17" t="s">
        <v>5111</v>
      </c>
      <c r="S58" s="17" t="s">
        <v>477</v>
      </c>
      <c r="T58" s="17" t="s">
        <v>5112</v>
      </c>
      <c r="U58" s="17" t="s">
        <v>25</v>
      </c>
      <c r="V58" s="17" t="s">
        <v>5113</v>
      </c>
      <c r="W58" s="17"/>
      <c r="X58" s="17"/>
      <c r="Y58" s="17"/>
      <c r="Z58" s="17"/>
      <c r="AA58" s="17"/>
      <c r="AB58" s="17" t="str">
        <f t="shared" si="0"/>
        <v>GPR0402200R</v>
      </c>
    </row>
    <row r="59" spans="1:28">
      <c r="A59" s="17" t="s">
        <v>5114</v>
      </c>
      <c r="B59" s="17" t="s">
        <v>5114</v>
      </c>
      <c r="C59" s="17" t="s">
        <v>5115</v>
      </c>
      <c r="D59" s="17" t="s">
        <v>21</v>
      </c>
      <c r="E59" s="24" t="s">
        <v>6447</v>
      </c>
      <c r="F59" s="17" t="s">
        <v>125</v>
      </c>
      <c r="G59" s="17" t="str">
        <f>Config!$B$3</f>
        <v>SCH/R_IEC.SchLib</v>
      </c>
      <c r="H59" s="17" t="s">
        <v>419</v>
      </c>
      <c r="I59" s="17" t="s">
        <v>461</v>
      </c>
      <c r="J59" s="17" t="s">
        <v>4821</v>
      </c>
      <c r="K59" s="17"/>
      <c r="L59" s="17"/>
      <c r="M59" s="21">
        <v>220</v>
      </c>
      <c r="N59" s="17" t="s">
        <v>13979</v>
      </c>
      <c r="O59" s="17" t="s">
        <v>477</v>
      </c>
      <c r="P59" s="17" t="s">
        <v>5116</v>
      </c>
      <c r="Q59" s="17" t="s">
        <v>25</v>
      </c>
      <c r="R59" s="17" t="s">
        <v>5117</v>
      </c>
      <c r="S59" s="17" t="s">
        <v>477</v>
      </c>
      <c r="T59" s="17" t="s">
        <v>5118</v>
      </c>
      <c r="U59" s="17" t="s">
        <v>25</v>
      </c>
      <c r="V59" s="17" t="s">
        <v>5119</v>
      </c>
      <c r="W59" s="17"/>
      <c r="X59" s="17"/>
      <c r="Y59" s="17"/>
      <c r="Z59" s="17"/>
      <c r="AA59" s="17"/>
      <c r="AB59" s="17" t="str">
        <f t="shared" si="0"/>
        <v>GPR0402220R</v>
      </c>
    </row>
    <row r="60" spans="1:28">
      <c r="A60" s="17" t="s">
        <v>5120</v>
      </c>
      <c r="B60" s="17" t="s">
        <v>5120</v>
      </c>
      <c r="C60" s="17" t="s">
        <v>5121</v>
      </c>
      <c r="D60" s="17" t="s">
        <v>21</v>
      </c>
      <c r="E60" s="24" t="s">
        <v>6447</v>
      </c>
      <c r="F60" s="17" t="s">
        <v>129</v>
      </c>
      <c r="G60" s="17" t="str">
        <f>Config!$B$3</f>
        <v>SCH/R_IEC.SchLib</v>
      </c>
      <c r="H60" s="17" t="s">
        <v>419</v>
      </c>
      <c r="I60" s="17" t="s">
        <v>461</v>
      </c>
      <c r="J60" s="17" t="s">
        <v>4821</v>
      </c>
      <c r="K60" s="17"/>
      <c r="L60" s="17"/>
      <c r="M60" s="21">
        <v>240</v>
      </c>
      <c r="N60" s="17" t="s">
        <v>13979</v>
      </c>
      <c r="O60" s="17" t="s">
        <v>477</v>
      </c>
      <c r="P60" s="17" t="s">
        <v>5122</v>
      </c>
      <c r="Q60" s="17" t="s">
        <v>25</v>
      </c>
      <c r="R60" s="17" t="s">
        <v>5123</v>
      </c>
      <c r="S60" s="17" t="s">
        <v>477</v>
      </c>
      <c r="T60" s="17" t="s">
        <v>5124</v>
      </c>
      <c r="U60" s="17" t="s">
        <v>25</v>
      </c>
      <c r="V60" s="17" t="s">
        <v>5125</v>
      </c>
      <c r="W60" s="17"/>
      <c r="X60" s="17"/>
      <c r="Y60" s="17"/>
      <c r="Z60" s="17"/>
      <c r="AA60" s="17"/>
      <c r="AB60" s="17" t="str">
        <f t="shared" si="0"/>
        <v>GPR0402240R</v>
      </c>
    </row>
    <row r="61" spans="1:28">
      <c r="A61" s="17" t="s">
        <v>5126</v>
      </c>
      <c r="B61" s="17" t="s">
        <v>5126</v>
      </c>
      <c r="C61" s="17" t="s">
        <v>5127</v>
      </c>
      <c r="D61" s="17" t="s">
        <v>21</v>
      </c>
      <c r="E61" s="24" t="s">
        <v>6447</v>
      </c>
      <c r="F61" s="17" t="s">
        <v>131</v>
      </c>
      <c r="G61" s="17" t="str">
        <f>Config!$B$3</f>
        <v>SCH/R_IEC.SchLib</v>
      </c>
      <c r="H61" s="17" t="s">
        <v>419</v>
      </c>
      <c r="I61" s="17" t="s">
        <v>461</v>
      </c>
      <c r="J61" s="17" t="s">
        <v>4821</v>
      </c>
      <c r="K61" s="17"/>
      <c r="L61" s="17"/>
      <c r="M61" s="21">
        <v>270</v>
      </c>
      <c r="N61" s="17" t="s">
        <v>13979</v>
      </c>
      <c r="O61" s="17" t="s">
        <v>477</v>
      </c>
      <c r="P61" s="17" t="s">
        <v>5128</v>
      </c>
      <c r="Q61" s="17" t="s">
        <v>25</v>
      </c>
      <c r="R61" s="17" t="s">
        <v>5129</v>
      </c>
      <c r="S61" s="17" t="s">
        <v>477</v>
      </c>
      <c r="T61" s="17" t="s">
        <v>5130</v>
      </c>
      <c r="U61" s="17" t="s">
        <v>25</v>
      </c>
      <c r="V61" s="17" t="s">
        <v>5131</v>
      </c>
      <c r="W61" s="17"/>
      <c r="X61" s="17"/>
      <c r="Y61" s="17"/>
      <c r="Z61" s="17"/>
      <c r="AA61" s="17"/>
      <c r="AB61" s="17" t="str">
        <f t="shared" si="0"/>
        <v>GPR0402270R</v>
      </c>
    </row>
    <row r="62" spans="1:28">
      <c r="A62" s="17" t="s">
        <v>5132</v>
      </c>
      <c r="B62" s="17" t="s">
        <v>5132</v>
      </c>
      <c r="C62" s="17" t="s">
        <v>5133</v>
      </c>
      <c r="D62" s="17" t="s">
        <v>21</v>
      </c>
      <c r="E62" s="24" t="s">
        <v>6447</v>
      </c>
      <c r="F62" s="17" t="s">
        <v>133</v>
      </c>
      <c r="G62" s="17" t="str">
        <f>Config!$B$3</f>
        <v>SCH/R_IEC.SchLib</v>
      </c>
      <c r="H62" s="17" t="s">
        <v>419</v>
      </c>
      <c r="I62" s="17" t="s">
        <v>461</v>
      </c>
      <c r="J62" s="17" t="s">
        <v>4821</v>
      </c>
      <c r="K62" s="17"/>
      <c r="L62" s="17"/>
      <c r="M62" s="21">
        <v>300</v>
      </c>
      <c r="N62" s="17" t="s">
        <v>13979</v>
      </c>
      <c r="O62" s="17" t="s">
        <v>477</v>
      </c>
      <c r="P62" s="17" t="s">
        <v>5134</v>
      </c>
      <c r="Q62" s="17" t="s">
        <v>25</v>
      </c>
      <c r="R62" s="17" t="s">
        <v>5135</v>
      </c>
      <c r="S62" s="17" t="s">
        <v>477</v>
      </c>
      <c r="T62" s="17" t="s">
        <v>5136</v>
      </c>
      <c r="U62" s="17" t="s">
        <v>25</v>
      </c>
      <c r="V62" s="17" t="s">
        <v>5137</v>
      </c>
      <c r="W62" s="17"/>
      <c r="X62" s="17"/>
      <c r="Y62" s="17"/>
      <c r="Z62" s="17"/>
      <c r="AA62" s="17"/>
      <c r="AB62" s="17" t="str">
        <f t="shared" si="0"/>
        <v>GPR0402300R</v>
      </c>
    </row>
    <row r="63" spans="1:28">
      <c r="A63" s="17" t="s">
        <v>5138</v>
      </c>
      <c r="B63" s="17" t="s">
        <v>5138</v>
      </c>
      <c r="C63" s="17" t="s">
        <v>5139</v>
      </c>
      <c r="D63" s="17" t="s">
        <v>21</v>
      </c>
      <c r="E63" s="24" t="s">
        <v>6447</v>
      </c>
      <c r="F63" s="17" t="s">
        <v>137</v>
      </c>
      <c r="G63" s="17" t="str">
        <f>Config!$B$3</f>
        <v>SCH/R_IEC.SchLib</v>
      </c>
      <c r="H63" s="17" t="s">
        <v>419</v>
      </c>
      <c r="I63" s="17" t="s">
        <v>461</v>
      </c>
      <c r="J63" s="17" t="s">
        <v>4821</v>
      </c>
      <c r="K63" s="17"/>
      <c r="L63" s="17"/>
      <c r="M63" s="21">
        <v>330</v>
      </c>
      <c r="N63" s="17" t="s">
        <v>13979</v>
      </c>
      <c r="O63" s="17" t="s">
        <v>477</v>
      </c>
      <c r="P63" s="17" t="s">
        <v>5140</v>
      </c>
      <c r="Q63" s="17" t="s">
        <v>25</v>
      </c>
      <c r="R63" s="17" t="s">
        <v>5141</v>
      </c>
      <c r="S63" s="17" t="s">
        <v>477</v>
      </c>
      <c r="T63" s="17" t="s">
        <v>5142</v>
      </c>
      <c r="U63" s="17" t="s">
        <v>25</v>
      </c>
      <c r="V63" s="17" t="s">
        <v>5143</v>
      </c>
      <c r="W63" s="17"/>
      <c r="X63" s="17"/>
      <c r="Y63" s="17"/>
      <c r="Z63" s="17"/>
      <c r="AA63" s="17"/>
      <c r="AB63" s="17" t="str">
        <f t="shared" si="0"/>
        <v>GPR0402330R</v>
      </c>
    </row>
    <row r="64" spans="1:28">
      <c r="A64" s="17" t="s">
        <v>5144</v>
      </c>
      <c r="B64" s="17" t="s">
        <v>5144</v>
      </c>
      <c r="C64" s="17" t="s">
        <v>5145</v>
      </c>
      <c r="D64" s="17" t="s">
        <v>21</v>
      </c>
      <c r="E64" s="24" t="s">
        <v>6447</v>
      </c>
      <c r="F64" s="17" t="s">
        <v>139</v>
      </c>
      <c r="G64" s="17" t="str">
        <f>Config!$B$3</f>
        <v>SCH/R_IEC.SchLib</v>
      </c>
      <c r="H64" s="17" t="s">
        <v>419</v>
      </c>
      <c r="I64" s="17" t="s">
        <v>461</v>
      </c>
      <c r="J64" s="17" t="s">
        <v>4821</v>
      </c>
      <c r="K64" s="17"/>
      <c r="L64" s="17"/>
      <c r="M64" s="21">
        <v>360</v>
      </c>
      <c r="N64" s="17" t="s">
        <v>13979</v>
      </c>
      <c r="O64" s="17" t="s">
        <v>477</v>
      </c>
      <c r="P64" s="17" t="s">
        <v>5146</v>
      </c>
      <c r="Q64" s="17" t="s">
        <v>25</v>
      </c>
      <c r="R64" s="17" t="s">
        <v>5147</v>
      </c>
      <c r="S64" s="17" t="s">
        <v>477</v>
      </c>
      <c r="T64" s="17" t="s">
        <v>5148</v>
      </c>
      <c r="U64" s="17" t="s">
        <v>25</v>
      </c>
      <c r="V64" s="17" t="s">
        <v>5149</v>
      </c>
      <c r="W64" s="17"/>
      <c r="X64" s="17"/>
      <c r="Y64" s="17"/>
      <c r="Z64" s="17"/>
      <c r="AA64" s="17"/>
      <c r="AB64" s="17" t="str">
        <f t="shared" si="0"/>
        <v>GPR0402360R</v>
      </c>
    </row>
    <row r="65" spans="1:28">
      <c r="A65" s="17" t="s">
        <v>5150</v>
      </c>
      <c r="B65" s="17" t="s">
        <v>5150</v>
      </c>
      <c r="C65" s="17" t="s">
        <v>5151</v>
      </c>
      <c r="D65" s="17" t="s">
        <v>21</v>
      </c>
      <c r="E65" s="24" t="s">
        <v>6447</v>
      </c>
      <c r="F65" s="17" t="s">
        <v>141</v>
      </c>
      <c r="G65" s="17" t="str">
        <f>Config!$B$3</f>
        <v>SCH/R_IEC.SchLib</v>
      </c>
      <c r="H65" s="17" t="s">
        <v>419</v>
      </c>
      <c r="I65" s="17" t="s">
        <v>461</v>
      </c>
      <c r="J65" s="17" t="s">
        <v>4821</v>
      </c>
      <c r="K65" s="17"/>
      <c r="L65" s="17"/>
      <c r="M65" s="21">
        <v>390</v>
      </c>
      <c r="N65" s="17" t="s">
        <v>13979</v>
      </c>
      <c r="O65" s="17" t="s">
        <v>477</v>
      </c>
      <c r="P65" s="17" t="s">
        <v>5152</v>
      </c>
      <c r="Q65" s="17" t="s">
        <v>25</v>
      </c>
      <c r="R65" s="17" t="s">
        <v>5153</v>
      </c>
      <c r="S65" s="17" t="s">
        <v>477</v>
      </c>
      <c r="T65" s="17" t="s">
        <v>5154</v>
      </c>
      <c r="U65" s="17" t="s">
        <v>25</v>
      </c>
      <c r="V65" s="17" t="s">
        <v>5155</v>
      </c>
      <c r="W65" s="17"/>
      <c r="X65" s="17"/>
      <c r="Y65" s="17"/>
      <c r="Z65" s="17"/>
      <c r="AA65" s="17"/>
      <c r="AB65" s="17" t="str">
        <f t="shared" si="0"/>
        <v>GPR0402390R</v>
      </c>
    </row>
    <row r="66" spans="1:28">
      <c r="A66" s="17" t="s">
        <v>5156</v>
      </c>
      <c r="B66" s="17" t="s">
        <v>5156</v>
      </c>
      <c r="C66" s="17" t="s">
        <v>5157</v>
      </c>
      <c r="D66" s="17" t="s">
        <v>21</v>
      </c>
      <c r="E66" s="24" t="s">
        <v>6447</v>
      </c>
      <c r="F66" s="17" t="s">
        <v>143</v>
      </c>
      <c r="G66" s="17" t="str">
        <f>Config!$B$3</f>
        <v>SCH/R_IEC.SchLib</v>
      </c>
      <c r="H66" s="17" t="s">
        <v>419</v>
      </c>
      <c r="I66" s="17" t="s">
        <v>461</v>
      </c>
      <c r="J66" s="17" t="s">
        <v>4821</v>
      </c>
      <c r="K66" s="17"/>
      <c r="L66" s="17"/>
      <c r="M66" s="21">
        <v>430</v>
      </c>
      <c r="N66" s="17" t="s">
        <v>13979</v>
      </c>
      <c r="O66" s="17" t="s">
        <v>477</v>
      </c>
      <c r="P66" s="17" t="s">
        <v>5158</v>
      </c>
      <c r="Q66" s="17" t="s">
        <v>25</v>
      </c>
      <c r="R66" s="17" t="s">
        <v>5159</v>
      </c>
      <c r="S66" s="17" t="s">
        <v>477</v>
      </c>
      <c r="T66" s="17" t="s">
        <v>5160</v>
      </c>
      <c r="U66" s="17" t="s">
        <v>25</v>
      </c>
      <c r="V66" s="17" t="s">
        <v>5161</v>
      </c>
      <c r="W66" s="17"/>
      <c r="X66" s="17"/>
      <c r="Y66" s="17"/>
      <c r="Z66" s="17"/>
      <c r="AA66" s="17"/>
      <c r="AB66" s="17" t="str">
        <f t="shared" si="0"/>
        <v>GPR0402430R</v>
      </c>
    </row>
    <row r="67" spans="1:28">
      <c r="A67" s="17" t="s">
        <v>5162</v>
      </c>
      <c r="B67" s="17" t="s">
        <v>5162</v>
      </c>
      <c r="C67" s="17" t="s">
        <v>5163</v>
      </c>
      <c r="D67" s="17" t="s">
        <v>21</v>
      </c>
      <c r="E67" s="24" t="s">
        <v>6447</v>
      </c>
      <c r="F67" s="17" t="s">
        <v>145</v>
      </c>
      <c r="G67" s="17" t="str">
        <f>Config!$B$3</f>
        <v>SCH/R_IEC.SchLib</v>
      </c>
      <c r="H67" s="17" t="s">
        <v>419</v>
      </c>
      <c r="I67" s="17" t="s">
        <v>461</v>
      </c>
      <c r="J67" s="17" t="s">
        <v>4821</v>
      </c>
      <c r="K67" s="17"/>
      <c r="L67" s="17"/>
      <c r="M67" s="21">
        <v>470</v>
      </c>
      <c r="N67" s="17" t="s">
        <v>13979</v>
      </c>
      <c r="O67" s="17" t="s">
        <v>477</v>
      </c>
      <c r="P67" s="17" t="s">
        <v>5164</v>
      </c>
      <c r="Q67" s="17" t="s">
        <v>25</v>
      </c>
      <c r="R67" s="17" t="s">
        <v>5165</v>
      </c>
      <c r="S67" s="17" t="s">
        <v>477</v>
      </c>
      <c r="T67" s="17" t="s">
        <v>5166</v>
      </c>
      <c r="U67" s="17" t="s">
        <v>25</v>
      </c>
      <c r="V67" s="17" t="s">
        <v>5167</v>
      </c>
      <c r="W67" s="17"/>
      <c r="X67" s="17"/>
      <c r="Y67" s="17"/>
      <c r="Z67" s="17"/>
      <c r="AA67" s="17"/>
      <c r="AB67" s="17" t="str">
        <f t="shared" ref="AB67:AB130" si="1">"GPR"&amp;E67&amp;F67</f>
        <v>GPR0402470R</v>
      </c>
    </row>
    <row r="68" spans="1:28">
      <c r="A68" s="17" t="s">
        <v>5168</v>
      </c>
      <c r="B68" s="17" t="s">
        <v>5168</v>
      </c>
      <c r="C68" s="17" t="s">
        <v>5169</v>
      </c>
      <c r="D68" s="17" t="s">
        <v>21</v>
      </c>
      <c r="E68" s="24" t="s">
        <v>6447</v>
      </c>
      <c r="F68" s="17" t="s">
        <v>149</v>
      </c>
      <c r="G68" s="17" t="str">
        <f>Config!$B$3</f>
        <v>SCH/R_IEC.SchLib</v>
      </c>
      <c r="H68" s="17" t="s">
        <v>419</v>
      </c>
      <c r="I68" s="17" t="s">
        <v>461</v>
      </c>
      <c r="J68" s="17" t="s">
        <v>4821</v>
      </c>
      <c r="K68" s="17"/>
      <c r="L68" s="17"/>
      <c r="M68" s="21">
        <v>510</v>
      </c>
      <c r="N68" s="17" t="s">
        <v>13979</v>
      </c>
      <c r="O68" s="17" t="s">
        <v>477</v>
      </c>
      <c r="P68" s="17" t="s">
        <v>5170</v>
      </c>
      <c r="Q68" s="17" t="s">
        <v>25</v>
      </c>
      <c r="R68" s="17" t="s">
        <v>5171</v>
      </c>
      <c r="S68" s="17" t="s">
        <v>477</v>
      </c>
      <c r="T68" s="17" t="s">
        <v>5172</v>
      </c>
      <c r="U68" s="17" t="s">
        <v>25</v>
      </c>
      <c r="V68" s="17" t="s">
        <v>5173</v>
      </c>
      <c r="W68" s="17"/>
      <c r="X68" s="17"/>
      <c r="Y68" s="17"/>
      <c r="Z68" s="17"/>
      <c r="AA68" s="17"/>
      <c r="AB68" s="17" t="str">
        <f t="shared" si="1"/>
        <v>GPR0402510R</v>
      </c>
    </row>
    <row r="69" spans="1:28">
      <c r="A69" s="17" t="s">
        <v>5174</v>
      </c>
      <c r="B69" s="17" t="s">
        <v>5174</v>
      </c>
      <c r="C69" s="17" t="s">
        <v>5175</v>
      </c>
      <c r="D69" s="17" t="s">
        <v>21</v>
      </c>
      <c r="E69" s="24" t="s">
        <v>6447</v>
      </c>
      <c r="F69" s="17" t="s">
        <v>151</v>
      </c>
      <c r="G69" s="17" t="str">
        <f>Config!$B$3</f>
        <v>SCH/R_IEC.SchLib</v>
      </c>
      <c r="H69" s="17" t="s">
        <v>419</v>
      </c>
      <c r="I69" s="17" t="s">
        <v>461</v>
      </c>
      <c r="J69" s="17" t="s">
        <v>4821</v>
      </c>
      <c r="K69" s="17"/>
      <c r="L69" s="17"/>
      <c r="M69" s="21">
        <v>560</v>
      </c>
      <c r="N69" s="17" t="s">
        <v>13979</v>
      </c>
      <c r="O69" s="17" t="s">
        <v>477</v>
      </c>
      <c r="P69" s="17" t="s">
        <v>5176</v>
      </c>
      <c r="Q69" s="17" t="s">
        <v>25</v>
      </c>
      <c r="R69" s="17" t="s">
        <v>5177</v>
      </c>
      <c r="S69" s="17" t="s">
        <v>477</v>
      </c>
      <c r="T69" s="17" t="s">
        <v>5178</v>
      </c>
      <c r="U69" s="17" t="s">
        <v>25</v>
      </c>
      <c r="V69" s="17" t="s">
        <v>5179</v>
      </c>
      <c r="W69" s="17"/>
      <c r="X69" s="17"/>
      <c r="Y69" s="17"/>
      <c r="Z69" s="17"/>
      <c r="AA69" s="17"/>
      <c r="AB69" s="17" t="str">
        <f t="shared" si="1"/>
        <v>GPR0402560R</v>
      </c>
    </row>
    <row r="70" spans="1:28">
      <c r="A70" s="17" t="s">
        <v>5180</v>
      </c>
      <c r="B70" s="17" t="s">
        <v>5180</v>
      </c>
      <c r="C70" s="17" t="s">
        <v>5181</v>
      </c>
      <c r="D70" s="17" t="s">
        <v>21</v>
      </c>
      <c r="E70" s="24" t="s">
        <v>6447</v>
      </c>
      <c r="F70" s="17" t="s">
        <v>153</v>
      </c>
      <c r="G70" s="17" t="str">
        <f>Config!$B$3</f>
        <v>SCH/R_IEC.SchLib</v>
      </c>
      <c r="H70" s="17" t="s">
        <v>419</v>
      </c>
      <c r="I70" s="17" t="s">
        <v>461</v>
      </c>
      <c r="J70" s="17" t="s">
        <v>4821</v>
      </c>
      <c r="K70" s="17"/>
      <c r="L70" s="17"/>
      <c r="M70" s="21">
        <v>620</v>
      </c>
      <c r="N70" s="17" t="s">
        <v>13979</v>
      </c>
      <c r="O70" s="17" t="s">
        <v>477</v>
      </c>
      <c r="P70" s="17" t="s">
        <v>5182</v>
      </c>
      <c r="Q70" s="17" t="s">
        <v>25</v>
      </c>
      <c r="R70" s="17" t="s">
        <v>5183</v>
      </c>
      <c r="S70" s="17" t="s">
        <v>477</v>
      </c>
      <c r="T70" s="17" t="s">
        <v>5184</v>
      </c>
      <c r="U70" s="17" t="s">
        <v>25</v>
      </c>
      <c r="V70" s="17" t="s">
        <v>5185</v>
      </c>
      <c r="W70" s="17"/>
      <c r="X70" s="17"/>
      <c r="Y70" s="17"/>
      <c r="Z70" s="17"/>
      <c r="AA70" s="17"/>
      <c r="AB70" s="17" t="str">
        <f t="shared" si="1"/>
        <v>GPR0402620R</v>
      </c>
    </row>
    <row r="71" spans="1:28">
      <c r="A71" s="17" t="s">
        <v>5186</v>
      </c>
      <c r="B71" s="17" t="s">
        <v>5186</v>
      </c>
      <c r="C71" s="17" t="s">
        <v>5187</v>
      </c>
      <c r="D71" s="17" t="s">
        <v>21</v>
      </c>
      <c r="E71" s="24" t="s">
        <v>6447</v>
      </c>
      <c r="F71" s="17" t="s">
        <v>155</v>
      </c>
      <c r="G71" s="17" t="str">
        <f>Config!$B$3</f>
        <v>SCH/R_IEC.SchLib</v>
      </c>
      <c r="H71" s="17" t="s">
        <v>419</v>
      </c>
      <c r="I71" s="17" t="s">
        <v>461</v>
      </c>
      <c r="J71" s="17" t="s">
        <v>4821</v>
      </c>
      <c r="K71" s="17"/>
      <c r="L71" s="17"/>
      <c r="M71" s="21">
        <v>680</v>
      </c>
      <c r="N71" s="17" t="s">
        <v>13979</v>
      </c>
      <c r="O71" s="17" t="s">
        <v>477</v>
      </c>
      <c r="P71" s="17" t="s">
        <v>5188</v>
      </c>
      <c r="Q71" s="17" t="s">
        <v>25</v>
      </c>
      <c r="R71" s="17" t="s">
        <v>5189</v>
      </c>
      <c r="S71" s="17" t="s">
        <v>477</v>
      </c>
      <c r="T71" s="17" t="s">
        <v>5190</v>
      </c>
      <c r="U71" s="17" t="s">
        <v>25</v>
      </c>
      <c r="V71" s="17" t="s">
        <v>5191</v>
      </c>
      <c r="W71" s="17" t="s">
        <v>18540</v>
      </c>
      <c r="X71" s="17" t="s">
        <v>4729</v>
      </c>
      <c r="Y71" t="s">
        <v>4559</v>
      </c>
      <c r="Z71" s="17" t="s">
        <v>18539</v>
      </c>
      <c r="AA71" t="s">
        <v>4727</v>
      </c>
      <c r="AB71" s="17" t="str">
        <f t="shared" si="1"/>
        <v>GPR0402680R</v>
      </c>
    </row>
    <row r="72" spans="1:28">
      <c r="A72" s="17" t="s">
        <v>5192</v>
      </c>
      <c r="B72" s="17" t="s">
        <v>5192</v>
      </c>
      <c r="C72" s="17" t="s">
        <v>5193</v>
      </c>
      <c r="D72" s="17" t="s">
        <v>21</v>
      </c>
      <c r="E72" s="24" t="s">
        <v>6447</v>
      </c>
      <c r="F72" s="17" t="s">
        <v>157</v>
      </c>
      <c r="G72" s="17" t="str">
        <f>Config!$B$3</f>
        <v>SCH/R_IEC.SchLib</v>
      </c>
      <c r="H72" s="17" t="s">
        <v>419</v>
      </c>
      <c r="I72" s="17" t="s">
        <v>461</v>
      </c>
      <c r="J72" s="17" t="s">
        <v>4821</v>
      </c>
      <c r="K72" s="17"/>
      <c r="L72" s="17"/>
      <c r="M72" s="21">
        <v>750</v>
      </c>
      <c r="N72" s="17" t="s">
        <v>13979</v>
      </c>
      <c r="O72" s="17" t="s">
        <v>477</v>
      </c>
      <c r="P72" s="17" t="s">
        <v>5194</v>
      </c>
      <c r="Q72" s="17" t="s">
        <v>25</v>
      </c>
      <c r="R72" s="17" t="s">
        <v>5195</v>
      </c>
      <c r="S72" s="17" t="s">
        <v>477</v>
      </c>
      <c r="T72" s="17" t="s">
        <v>5196</v>
      </c>
      <c r="U72" s="17" t="s">
        <v>25</v>
      </c>
      <c r="V72" s="17" t="s">
        <v>5197</v>
      </c>
      <c r="W72" s="17"/>
      <c r="X72" s="17"/>
      <c r="Y72" s="17"/>
      <c r="Z72" s="17"/>
      <c r="AA72" s="17"/>
      <c r="AB72" s="17" t="str">
        <f t="shared" si="1"/>
        <v>GPR0402750R</v>
      </c>
    </row>
    <row r="73" spans="1:28">
      <c r="A73" s="17" t="s">
        <v>5198</v>
      </c>
      <c r="B73" s="17" t="s">
        <v>5198</v>
      </c>
      <c r="C73" s="17" t="s">
        <v>5199</v>
      </c>
      <c r="D73" s="17" t="s">
        <v>21</v>
      </c>
      <c r="E73" s="24" t="s">
        <v>6447</v>
      </c>
      <c r="F73" s="17" t="s">
        <v>159</v>
      </c>
      <c r="G73" s="17" t="str">
        <f>Config!$B$3</f>
        <v>SCH/R_IEC.SchLib</v>
      </c>
      <c r="H73" s="17" t="s">
        <v>419</v>
      </c>
      <c r="I73" s="17" t="s">
        <v>461</v>
      </c>
      <c r="J73" s="17" t="s">
        <v>4821</v>
      </c>
      <c r="K73" s="17"/>
      <c r="L73" s="17"/>
      <c r="M73" s="21">
        <v>820</v>
      </c>
      <c r="N73" s="17" t="s">
        <v>13979</v>
      </c>
      <c r="O73" s="17" t="s">
        <v>477</v>
      </c>
      <c r="P73" s="17" t="s">
        <v>5200</v>
      </c>
      <c r="Q73" s="17" t="s">
        <v>25</v>
      </c>
      <c r="R73" s="17" t="s">
        <v>5201</v>
      </c>
      <c r="S73" s="17" t="s">
        <v>477</v>
      </c>
      <c r="T73" s="17" t="s">
        <v>5202</v>
      </c>
      <c r="U73" s="17" t="s">
        <v>25</v>
      </c>
      <c r="V73" s="17" t="s">
        <v>5203</v>
      </c>
      <c r="W73" s="17"/>
      <c r="X73" s="17"/>
      <c r="Y73" s="17"/>
      <c r="Z73" s="17"/>
      <c r="AA73" s="17"/>
      <c r="AB73" s="17" t="str">
        <f t="shared" si="1"/>
        <v>GPR0402820R</v>
      </c>
    </row>
    <row r="74" spans="1:28">
      <c r="A74" s="17" t="s">
        <v>5204</v>
      </c>
      <c r="B74" s="17" t="s">
        <v>5204</v>
      </c>
      <c r="C74" s="17" t="s">
        <v>5205</v>
      </c>
      <c r="D74" s="17" t="s">
        <v>21</v>
      </c>
      <c r="E74" s="24" t="s">
        <v>6447</v>
      </c>
      <c r="F74" s="17" t="s">
        <v>161</v>
      </c>
      <c r="G74" s="17" t="str">
        <f>Config!$B$3</f>
        <v>SCH/R_IEC.SchLib</v>
      </c>
      <c r="H74" s="17" t="s">
        <v>419</v>
      </c>
      <c r="I74" s="17" t="s">
        <v>461</v>
      </c>
      <c r="J74" s="17" t="s">
        <v>4821</v>
      </c>
      <c r="K74" s="17"/>
      <c r="L74" s="17"/>
      <c r="M74" s="21">
        <v>910</v>
      </c>
      <c r="N74" s="17" t="s">
        <v>13979</v>
      </c>
      <c r="O74" s="17" t="s">
        <v>477</v>
      </c>
      <c r="P74" s="17" t="s">
        <v>5206</v>
      </c>
      <c r="Q74" s="17" t="s">
        <v>25</v>
      </c>
      <c r="R74" s="17" t="s">
        <v>5207</v>
      </c>
      <c r="S74" s="17" t="s">
        <v>477</v>
      </c>
      <c r="T74" s="17" t="s">
        <v>5208</v>
      </c>
      <c r="U74" s="17" t="s">
        <v>25</v>
      </c>
      <c r="V74" s="17" t="s">
        <v>5209</v>
      </c>
      <c r="W74" s="17"/>
      <c r="X74" s="17"/>
      <c r="Y74" s="17"/>
      <c r="Z74" s="17"/>
      <c r="AA74" s="17"/>
      <c r="AB74" s="17" t="str">
        <f t="shared" si="1"/>
        <v>GPR0402910R</v>
      </c>
    </row>
    <row r="75" spans="1:28">
      <c r="A75" s="17" t="s">
        <v>5210</v>
      </c>
      <c r="B75" s="17" t="s">
        <v>5210</v>
      </c>
      <c r="C75" s="17" t="s">
        <v>5211</v>
      </c>
      <c r="D75" s="17" t="s">
        <v>21</v>
      </c>
      <c r="E75" s="24" t="s">
        <v>6447</v>
      </c>
      <c r="F75" s="17" t="s">
        <v>163</v>
      </c>
      <c r="G75" s="17" t="str">
        <f>Config!$B$3</f>
        <v>SCH/R_IEC.SchLib</v>
      </c>
      <c r="H75" s="17" t="s">
        <v>419</v>
      </c>
      <c r="I75" s="17" t="s">
        <v>461</v>
      </c>
      <c r="J75" s="17" t="s">
        <v>4821</v>
      </c>
      <c r="K75" s="17"/>
      <c r="L75" s="17"/>
      <c r="M75" s="21">
        <v>1000</v>
      </c>
      <c r="N75" s="17" t="s">
        <v>13979</v>
      </c>
      <c r="O75" s="17" t="s">
        <v>477</v>
      </c>
      <c r="P75" s="17" t="s">
        <v>5212</v>
      </c>
      <c r="Q75" s="17" t="s">
        <v>25</v>
      </c>
      <c r="R75" s="17" t="s">
        <v>5213</v>
      </c>
      <c r="S75" s="17" t="s">
        <v>477</v>
      </c>
      <c r="T75" s="17" t="s">
        <v>5214</v>
      </c>
      <c r="U75" s="17" t="s">
        <v>25</v>
      </c>
      <c r="V75" s="17" t="s">
        <v>5215</v>
      </c>
      <c r="W75" s="17"/>
      <c r="X75" s="17"/>
      <c r="Y75" s="17"/>
      <c r="Z75" s="17"/>
      <c r="AA75" s="17"/>
      <c r="AB75" s="17" t="str">
        <f t="shared" si="1"/>
        <v>GPR04021K</v>
      </c>
    </row>
    <row r="76" spans="1:28">
      <c r="A76" s="17" t="s">
        <v>5216</v>
      </c>
      <c r="B76" s="17" t="s">
        <v>5216</v>
      </c>
      <c r="C76" s="17" t="s">
        <v>5217</v>
      </c>
      <c r="D76" s="17" t="s">
        <v>21</v>
      </c>
      <c r="E76" s="24" t="s">
        <v>6447</v>
      </c>
      <c r="F76" s="17" t="s">
        <v>165</v>
      </c>
      <c r="G76" s="17" t="str">
        <f>Config!$B$3</f>
        <v>SCH/R_IEC.SchLib</v>
      </c>
      <c r="H76" s="17" t="s">
        <v>419</v>
      </c>
      <c r="I76" s="17" t="s">
        <v>461</v>
      </c>
      <c r="J76" s="17" t="s">
        <v>4821</v>
      </c>
      <c r="K76" s="17"/>
      <c r="L76" s="17"/>
      <c r="M76" s="21">
        <v>1100</v>
      </c>
      <c r="N76" s="17" t="s">
        <v>13979</v>
      </c>
      <c r="O76" s="17" t="s">
        <v>477</v>
      </c>
      <c r="P76" s="17" t="s">
        <v>5218</v>
      </c>
      <c r="Q76" s="17" t="s">
        <v>25</v>
      </c>
      <c r="R76" s="17" t="s">
        <v>5219</v>
      </c>
      <c r="S76" s="17" t="s">
        <v>477</v>
      </c>
      <c r="T76" s="17" t="s">
        <v>5220</v>
      </c>
      <c r="U76" s="17" t="s">
        <v>25</v>
      </c>
      <c r="V76" s="17" t="s">
        <v>5221</v>
      </c>
      <c r="W76" s="17"/>
      <c r="X76" s="17"/>
      <c r="Y76" s="17"/>
      <c r="Z76" s="17"/>
      <c r="AA76" s="17"/>
      <c r="AB76" s="17" t="str">
        <f t="shared" si="1"/>
        <v>GPR04021K1</v>
      </c>
    </row>
    <row r="77" spans="1:28">
      <c r="A77" s="17" t="s">
        <v>5222</v>
      </c>
      <c r="B77" s="17" t="s">
        <v>5222</v>
      </c>
      <c r="C77" s="17" t="s">
        <v>5223</v>
      </c>
      <c r="D77" s="17" t="s">
        <v>21</v>
      </c>
      <c r="E77" s="24" t="s">
        <v>6447</v>
      </c>
      <c r="F77" s="17" t="s">
        <v>167</v>
      </c>
      <c r="G77" s="17" t="str">
        <f>Config!$B$3</f>
        <v>SCH/R_IEC.SchLib</v>
      </c>
      <c r="H77" s="17" t="s">
        <v>419</v>
      </c>
      <c r="I77" s="17" t="s">
        <v>461</v>
      </c>
      <c r="J77" s="17" t="s">
        <v>4821</v>
      </c>
      <c r="K77" s="17"/>
      <c r="L77" s="17"/>
      <c r="M77" s="21">
        <v>1200</v>
      </c>
      <c r="N77" s="17" t="s">
        <v>13979</v>
      </c>
      <c r="O77" s="17" t="s">
        <v>477</v>
      </c>
      <c r="P77" s="17" t="s">
        <v>5224</v>
      </c>
      <c r="Q77" s="17" t="s">
        <v>25</v>
      </c>
      <c r="R77" s="17" t="s">
        <v>5225</v>
      </c>
      <c r="S77" s="17" t="s">
        <v>477</v>
      </c>
      <c r="T77" s="17" t="s">
        <v>5226</v>
      </c>
      <c r="U77" s="17" t="s">
        <v>25</v>
      </c>
      <c r="V77" s="17" t="s">
        <v>5227</v>
      </c>
      <c r="W77" s="17"/>
      <c r="X77" s="17"/>
      <c r="Y77" s="17"/>
      <c r="Z77" s="17"/>
      <c r="AA77" s="17"/>
      <c r="AB77" s="17" t="str">
        <f t="shared" si="1"/>
        <v>GPR04021K2</v>
      </c>
    </row>
    <row r="78" spans="1:28">
      <c r="A78" s="17" t="s">
        <v>5228</v>
      </c>
      <c r="B78" s="17" t="s">
        <v>5228</v>
      </c>
      <c r="C78" s="17" t="s">
        <v>5229</v>
      </c>
      <c r="D78" s="17" t="s">
        <v>21</v>
      </c>
      <c r="E78" s="24" t="s">
        <v>6447</v>
      </c>
      <c r="F78" s="17" t="s">
        <v>169</v>
      </c>
      <c r="G78" s="17" t="str">
        <f>Config!$B$3</f>
        <v>SCH/R_IEC.SchLib</v>
      </c>
      <c r="H78" s="17" t="s">
        <v>419</v>
      </c>
      <c r="I78" s="17" t="s">
        <v>461</v>
      </c>
      <c r="J78" s="17" t="s">
        <v>4821</v>
      </c>
      <c r="K78" s="17"/>
      <c r="L78" s="17"/>
      <c r="M78" s="21">
        <v>1300</v>
      </c>
      <c r="N78" s="17" t="s">
        <v>13979</v>
      </c>
      <c r="O78" s="17" t="s">
        <v>477</v>
      </c>
      <c r="P78" s="17" t="s">
        <v>5230</v>
      </c>
      <c r="Q78" s="17" t="s">
        <v>25</v>
      </c>
      <c r="R78" s="17" t="s">
        <v>5231</v>
      </c>
      <c r="S78" s="17" t="s">
        <v>477</v>
      </c>
      <c r="T78" s="17" t="s">
        <v>5232</v>
      </c>
      <c r="U78" s="17" t="s">
        <v>25</v>
      </c>
      <c r="V78" s="17" t="s">
        <v>5233</v>
      </c>
      <c r="W78" s="17"/>
      <c r="X78" s="17"/>
      <c r="Y78" s="17"/>
      <c r="Z78" s="17"/>
      <c r="AA78" s="17"/>
      <c r="AB78" s="17" t="str">
        <f t="shared" si="1"/>
        <v>GPR04021K3</v>
      </c>
    </row>
    <row r="79" spans="1:28">
      <c r="A79" s="17" t="s">
        <v>5234</v>
      </c>
      <c r="B79" s="17" t="s">
        <v>5234</v>
      </c>
      <c r="C79" s="17" t="s">
        <v>5235</v>
      </c>
      <c r="D79" s="17" t="s">
        <v>21</v>
      </c>
      <c r="E79" s="24" t="s">
        <v>6447</v>
      </c>
      <c r="F79" s="17" t="s">
        <v>171</v>
      </c>
      <c r="G79" s="17" t="str">
        <f>Config!$B$3</f>
        <v>SCH/R_IEC.SchLib</v>
      </c>
      <c r="H79" s="17" t="s">
        <v>419</v>
      </c>
      <c r="I79" s="17" t="s">
        <v>461</v>
      </c>
      <c r="J79" s="17" t="s">
        <v>4821</v>
      </c>
      <c r="K79" s="17"/>
      <c r="L79" s="17"/>
      <c r="M79" s="21">
        <v>1500</v>
      </c>
      <c r="N79" s="17" t="s">
        <v>13979</v>
      </c>
      <c r="O79" s="17" t="s">
        <v>477</v>
      </c>
      <c r="P79" s="17" t="s">
        <v>5236</v>
      </c>
      <c r="Q79" s="17" t="s">
        <v>25</v>
      </c>
      <c r="R79" s="17" t="s">
        <v>5237</v>
      </c>
      <c r="S79" s="17" t="s">
        <v>477</v>
      </c>
      <c r="T79" s="17" t="s">
        <v>5238</v>
      </c>
      <c r="U79" s="17" t="s">
        <v>25</v>
      </c>
      <c r="V79" s="17" t="s">
        <v>5239</v>
      </c>
      <c r="W79" s="17"/>
      <c r="X79" s="17"/>
      <c r="Y79" s="17"/>
      <c r="Z79" s="17"/>
      <c r="AA79" s="17"/>
      <c r="AB79" s="17" t="str">
        <f t="shared" si="1"/>
        <v>GPR04021K5</v>
      </c>
    </row>
    <row r="80" spans="1:28">
      <c r="A80" s="17" t="s">
        <v>5240</v>
      </c>
      <c r="B80" s="17" t="s">
        <v>5240</v>
      </c>
      <c r="C80" s="17" t="s">
        <v>5241</v>
      </c>
      <c r="D80" s="17" t="s">
        <v>21</v>
      </c>
      <c r="E80" s="24" t="s">
        <v>6447</v>
      </c>
      <c r="F80" s="17" t="s">
        <v>175</v>
      </c>
      <c r="G80" s="17" t="str">
        <f>Config!$B$3</f>
        <v>SCH/R_IEC.SchLib</v>
      </c>
      <c r="H80" s="17" t="s">
        <v>419</v>
      </c>
      <c r="I80" s="17" t="s">
        <v>461</v>
      </c>
      <c r="J80" s="17" t="s">
        <v>4821</v>
      </c>
      <c r="K80" s="17"/>
      <c r="L80" s="17"/>
      <c r="M80" s="21">
        <v>1600</v>
      </c>
      <c r="N80" s="17" t="s">
        <v>13979</v>
      </c>
      <c r="O80" s="17" t="s">
        <v>477</v>
      </c>
      <c r="P80" s="17" t="s">
        <v>5242</v>
      </c>
      <c r="Q80" s="17" t="s">
        <v>25</v>
      </c>
      <c r="R80" s="17" t="s">
        <v>5243</v>
      </c>
      <c r="S80" s="17" t="s">
        <v>477</v>
      </c>
      <c r="T80" s="17" t="s">
        <v>5244</v>
      </c>
      <c r="U80" s="17" t="s">
        <v>25</v>
      </c>
      <c r="V80" s="17" t="s">
        <v>5245</v>
      </c>
      <c r="W80" s="17"/>
      <c r="X80" s="17"/>
      <c r="Y80" s="17"/>
      <c r="Z80" s="17"/>
      <c r="AA80" s="17"/>
      <c r="AB80" s="17" t="str">
        <f t="shared" si="1"/>
        <v>GPR04021K6</v>
      </c>
    </row>
    <row r="81" spans="1:28">
      <c r="A81" s="17" t="s">
        <v>5246</v>
      </c>
      <c r="B81" s="17" t="s">
        <v>5246</v>
      </c>
      <c r="C81" s="17" t="s">
        <v>5247</v>
      </c>
      <c r="D81" s="17" t="s">
        <v>21</v>
      </c>
      <c r="E81" s="24" t="s">
        <v>6447</v>
      </c>
      <c r="F81" s="17" t="s">
        <v>181</v>
      </c>
      <c r="G81" s="17" t="str">
        <f>Config!$B$3</f>
        <v>SCH/R_IEC.SchLib</v>
      </c>
      <c r="H81" s="17" t="s">
        <v>419</v>
      </c>
      <c r="I81" s="17" t="s">
        <v>461</v>
      </c>
      <c r="J81" s="17" t="s">
        <v>4821</v>
      </c>
      <c r="K81" s="17"/>
      <c r="L81" s="17"/>
      <c r="M81" s="21">
        <v>1800</v>
      </c>
      <c r="N81" s="17" t="s">
        <v>13979</v>
      </c>
      <c r="O81" s="17" t="s">
        <v>477</v>
      </c>
      <c r="P81" s="17" t="s">
        <v>5248</v>
      </c>
      <c r="Q81" s="17" t="s">
        <v>25</v>
      </c>
      <c r="R81" s="17" t="s">
        <v>5249</v>
      </c>
      <c r="S81" s="17" t="s">
        <v>477</v>
      </c>
      <c r="T81" s="17" t="s">
        <v>5250</v>
      </c>
      <c r="U81" s="17" t="s">
        <v>25</v>
      </c>
      <c r="V81" s="17" t="s">
        <v>5251</v>
      </c>
      <c r="W81" s="17"/>
      <c r="X81" s="17"/>
      <c r="Y81" s="17"/>
      <c r="Z81" s="17"/>
      <c r="AA81" s="17"/>
      <c r="AB81" s="17" t="str">
        <f t="shared" si="1"/>
        <v>GPR04021K8</v>
      </c>
    </row>
    <row r="82" spans="1:28">
      <c r="A82" s="17" t="s">
        <v>5252</v>
      </c>
      <c r="B82" s="17" t="s">
        <v>5252</v>
      </c>
      <c r="C82" s="17" t="s">
        <v>5253</v>
      </c>
      <c r="D82" s="17" t="s">
        <v>21</v>
      </c>
      <c r="E82" s="24" t="s">
        <v>6447</v>
      </c>
      <c r="F82" s="17" t="s">
        <v>183</v>
      </c>
      <c r="G82" s="17" t="str">
        <f>Config!$B$3</f>
        <v>SCH/R_IEC.SchLib</v>
      </c>
      <c r="H82" s="17" t="s">
        <v>419</v>
      </c>
      <c r="I82" s="17" t="s">
        <v>461</v>
      </c>
      <c r="J82" s="17" t="s">
        <v>4821</v>
      </c>
      <c r="K82" s="17"/>
      <c r="L82" s="17"/>
      <c r="M82" s="21">
        <v>2000</v>
      </c>
      <c r="N82" s="17" t="s">
        <v>13979</v>
      </c>
      <c r="O82" s="17" t="s">
        <v>477</v>
      </c>
      <c r="P82" s="17" t="s">
        <v>5254</v>
      </c>
      <c r="Q82" s="17" t="s">
        <v>25</v>
      </c>
      <c r="R82" s="17" t="s">
        <v>5255</v>
      </c>
      <c r="S82" s="17" t="s">
        <v>477</v>
      </c>
      <c r="T82" s="17" t="s">
        <v>5256</v>
      </c>
      <c r="U82" s="17" t="s">
        <v>25</v>
      </c>
      <c r="V82" s="17" t="s">
        <v>5257</v>
      </c>
      <c r="W82" s="17"/>
      <c r="X82" s="17"/>
      <c r="Y82" s="17"/>
      <c r="Z82" s="17"/>
      <c r="AA82" s="17"/>
      <c r="AB82" s="17" t="str">
        <f t="shared" si="1"/>
        <v>GPR04022K</v>
      </c>
    </row>
    <row r="83" spans="1:28">
      <c r="A83" s="17" t="s">
        <v>5258</v>
      </c>
      <c r="B83" s="17" t="s">
        <v>5258</v>
      </c>
      <c r="C83" s="17" t="s">
        <v>5259</v>
      </c>
      <c r="D83" s="17" t="s">
        <v>21</v>
      </c>
      <c r="E83" s="24" t="s">
        <v>6447</v>
      </c>
      <c r="F83" s="17" t="s">
        <v>187</v>
      </c>
      <c r="G83" s="17" t="str">
        <f>Config!$B$3</f>
        <v>SCH/R_IEC.SchLib</v>
      </c>
      <c r="H83" s="17" t="s">
        <v>419</v>
      </c>
      <c r="I83" s="17" t="s">
        <v>461</v>
      </c>
      <c r="J83" s="17" t="s">
        <v>4821</v>
      </c>
      <c r="K83" s="17"/>
      <c r="L83" s="17"/>
      <c r="M83" s="21">
        <v>2200</v>
      </c>
      <c r="N83" s="17" t="s">
        <v>13979</v>
      </c>
      <c r="O83" s="17" t="s">
        <v>477</v>
      </c>
      <c r="P83" s="17" t="s">
        <v>5260</v>
      </c>
      <c r="Q83" s="17" t="s">
        <v>25</v>
      </c>
      <c r="R83" s="17" t="s">
        <v>5261</v>
      </c>
      <c r="S83" s="17" t="s">
        <v>477</v>
      </c>
      <c r="T83" s="17" t="s">
        <v>5262</v>
      </c>
      <c r="U83" s="17" t="s">
        <v>25</v>
      </c>
      <c r="V83" s="17" t="s">
        <v>5263</v>
      </c>
      <c r="W83" s="17"/>
      <c r="X83" s="17"/>
      <c r="Y83" s="17"/>
      <c r="Z83" s="17"/>
      <c r="AA83" s="17"/>
      <c r="AB83" s="17" t="str">
        <f t="shared" si="1"/>
        <v>GPR04022K2</v>
      </c>
    </row>
    <row r="84" spans="1:28">
      <c r="A84" s="17" t="s">
        <v>5264</v>
      </c>
      <c r="B84" s="17" t="s">
        <v>5264</v>
      </c>
      <c r="C84" s="17" t="s">
        <v>5265</v>
      </c>
      <c r="D84" s="17" t="s">
        <v>21</v>
      </c>
      <c r="E84" s="24" t="s">
        <v>6447</v>
      </c>
      <c r="F84" s="17" t="s">
        <v>191</v>
      </c>
      <c r="G84" s="17" t="str">
        <f>Config!$B$3</f>
        <v>SCH/R_IEC.SchLib</v>
      </c>
      <c r="H84" s="17" t="s">
        <v>419</v>
      </c>
      <c r="I84" s="17" t="s">
        <v>461</v>
      </c>
      <c r="J84" s="17" t="s">
        <v>4821</v>
      </c>
      <c r="K84" s="17"/>
      <c r="L84" s="17"/>
      <c r="M84" s="21">
        <v>2400</v>
      </c>
      <c r="N84" s="17" t="s">
        <v>13979</v>
      </c>
      <c r="O84" s="17" t="s">
        <v>477</v>
      </c>
      <c r="P84" s="17" t="s">
        <v>5266</v>
      </c>
      <c r="Q84" s="17" t="s">
        <v>25</v>
      </c>
      <c r="R84" s="17" t="s">
        <v>5267</v>
      </c>
      <c r="S84" s="17" t="s">
        <v>477</v>
      </c>
      <c r="T84" s="17" t="s">
        <v>5268</v>
      </c>
      <c r="U84" s="17" t="s">
        <v>25</v>
      </c>
      <c r="V84" s="17" t="s">
        <v>5269</v>
      </c>
      <c r="W84" s="17"/>
      <c r="X84" s="17"/>
      <c r="Y84" s="17"/>
      <c r="Z84" s="17"/>
      <c r="AA84" s="17"/>
      <c r="AB84" s="17" t="str">
        <f t="shared" si="1"/>
        <v>GPR04022K4</v>
      </c>
    </row>
    <row r="85" spans="1:28">
      <c r="A85" s="17" t="s">
        <v>5270</v>
      </c>
      <c r="B85" s="17" t="s">
        <v>5270</v>
      </c>
      <c r="C85" s="17" t="s">
        <v>5271</v>
      </c>
      <c r="D85" s="17" t="s">
        <v>21</v>
      </c>
      <c r="E85" s="24" t="s">
        <v>6447</v>
      </c>
      <c r="F85" s="17" t="s">
        <v>193</v>
      </c>
      <c r="G85" s="17" t="str">
        <f>Config!$B$3</f>
        <v>SCH/R_IEC.SchLib</v>
      </c>
      <c r="H85" s="17" t="s">
        <v>419</v>
      </c>
      <c r="I85" s="17" t="s">
        <v>461</v>
      </c>
      <c r="J85" s="17" t="s">
        <v>4821</v>
      </c>
      <c r="K85" s="17"/>
      <c r="L85" s="17"/>
      <c r="M85" s="21">
        <v>2700</v>
      </c>
      <c r="N85" s="17" t="s">
        <v>13979</v>
      </c>
      <c r="O85" s="17" t="s">
        <v>477</v>
      </c>
      <c r="P85" s="17" t="s">
        <v>5272</v>
      </c>
      <c r="Q85" s="17" t="s">
        <v>25</v>
      </c>
      <c r="R85" s="17" t="s">
        <v>5273</v>
      </c>
      <c r="S85" s="17" t="s">
        <v>477</v>
      </c>
      <c r="T85" s="17" t="s">
        <v>5274</v>
      </c>
      <c r="U85" s="17" t="s">
        <v>25</v>
      </c>
      <c r="V85" s="17" t="s">
        <v>5275</v>
      </c>
      <c r="W85" s="17"/>
      <c r="X85" s="17"/>
      <c r="Y85" s="17"/>
      <c r="Z85" s="17"/>
      <c r="AA85" s="17"/>
      <c r="AB85" s="17" t="str">
        <f t="shared" si="1"/>
        <v>GPR04022K7</v>
      </c>
    </row>
    <row r="86" spans="1:28">
      <c r="A86" s="17" t="s">
        <v>5276</v>
      </c>
      <c r="B86" s="17" t="s">
        <v>5276</v>
      </c>
      <c r="C86" s="17" t="s">
        <v>5277</v>
      </c>
      <c r="D86" s="17" t="s">
        <v>21</v>
      </c>
      <c r="E86" s="24" t="s">
        <v>6447</v>
      </c>
      <c r="F86" s="17" t="s">
        <v>197</v>
      </c>
      <c r="G86" s="17" t="str">
        <f>Config!$B$3</f>
        <v>SCH/R_IEC.SchLib</v>
      </c>
      <c r="H86" s="17" t="s">
        <v>419</v>
      </c>
      <c r="I86" s="17" t="s">
        <v>461</v>
      </c>
      <c r="J86" s="17" t="s">
        <v>4821</v>
      </c>
      <c r="K86" s="17"/>
      <c r="L86" s="17"/>
      <c r="M86" s="21">
        <v>3000</v>
      </c>
      <c r="N86" s="17" t="s">
        <v>13979</v>
      </c>
      <c r="O86" s="17" t="s">
        <v>477</v>
      </c>
      <c r="P86" s="17" t="s">
        <v>5278</v>
      </c>
      <c r="Q86" s="17" t="s">
        <v>25</v>
      </c>
      <c r="R86" s="17" t="s">
        <v>5279</v>
      </c>
      <c r="S86" s="17"/>
      <c r="T86" s="17"/>
      <c r="U86" s="17"/>
      <c r="V86" s="17"/>
      <c r="W86" s="17"/>
      <c r="X86" s="17"/>
      <c r="Y86" s="17"/>
      <c r="Z86" s="17"/>
      <c r="AA86" s="17"/>
      <c r="AB86" s="17" t="str">
        <f t="shared" si="1"/>
        <v>GPR04023K</v>
      </c>
    </row>
    <row r="87" spans="1:28">
      <c r="A87" s="17" t="s">
        <v>5280</v>
      </c>
      <c r="B87" s="17" t="s">
        <v>5280</v>
      </c>
      <c r="C87" s="17" t="s">
        <v>5281</v>
      </c>
      <c r="D87" s="17" t="s">
        <v>21</v>
      </c>
      <c r="E87" s="24" t="s">
        <v>6447</v>
      </c>
      <c r="F87" s="17" t="s">
        <v>201</v>
      </c>
      <c r="G87" s="17" t="str">
        <f>Config!$B$3</f>
        <v>SCH/R_IEC.SchLib</v>
      </c>
      <c r="H87" s="17" t="s">
        <v>419</v>
      </c>
      <c r="I87" s="17" t="s">
        <v>461</v>
      </c>
      <c r="J87" s="17" t="s">
        <v>4821</v>
      </c>
      <c r="K87" s="17"/>
      <c r="L87" s="17"/>
      <c r="M87" s="21">
        <v>3300</v>
      </c>
      <c r="N87" s="17" t="s">
        <v>13979</v>
      </c>
      <c r="O87" s="17" t="s">
        <v>477</v>
      </c>
      <c r="P87" s="17" t="s">
        <v>5282</v>
      </c>
      <c r="Q87" s="17" t="s">
        <v>25</v>
      </c>
      <c r="R87" s="17" t="s">
        <v>5283</v>
      </c>
      <c r="S87" s="17" t="s">
        <v>477</v>
      </c>
      <c r="T87" s="17" t="s">
        <v>5284</v>
      </c>
      <c r="U87" s="17" t="s">
        <v>25</v>
      </c>
      <c r="V87" s="17" t="s">
        <v>5285</v>
      </c>
      <c r="W87" s="17"/>
      <c r="X87" s="17"/>
      <c r="Y87" s="17"/>
      <c r="Z87" s="17"/>
      <c r="AA87" s="17"/>
      <c r="AB87" s="17" t="str">
        <f t="shared" si="1"/>
        <v>GPR04023K3</v>
      </c>
    </row>
    <row r="88" spans="1:28">
      <c r="A88" s="17" t="s">
        <v>5286</v>
      </c>
      <c r="B88" s="17" t="s">
        <v>5286</v>
      </c>
      <c r="C88" s="17" t="s">
        <v>5287</v>
      </c>
      <c r="D88" s="17" t="s">
        <v>21</v>
      </c>
      <c r="E88" s="24" t="s">
        <v>6447</v>
      </c>
      <c r="F88" s="17" t="s">
        <v>203</v>
      </c>
      <c r="G88" s="17" t="str">
        <f>Config!$B$3</f>
        <v>SCH/R_IEC.SchLib</v>
      </c>
      <c r="H88" s="17" t="s">
        <v>419</v>
      </c>
      <c r="I88" s="17" t="s">
        <v>461</v>
      </c>
      <c r="J88" s="17" t="s">
        <v>4821</v>
      </c>
      <c r="K88" s="17"/>
      <c r="L88" s="17"/>
      <c r="M88" s="21">
        <v>3600</v>
      </c>
      <c r="N88" s="17" t="s">
        <v>13979</v>
      </c>
      <c r="O88" s="17" t="s">
        <v>477</v>
      </c>
      <c r="P88" s="17" t="s">
        <v>5288</v>
      </c>
      <c r="Q88" s="17" t="s">
        <v>25</v>
      </c>
      <c r="R88" s="17" t="s">
        <v>5289</v>
      </c>
      <c r="S88" s="17" t="s">
        <v>477</v>
      </c>
      <c r="T88" s="17" t="s">
        <v>5290</v>
      </c>
      <c r="U88" s="17" t="s">
        <v>25</v>
      </c>
      <c r="V88" s="17" t="s">
        <v>5291</v>
      </c>
      <c r="W88" s="17"/>
      <c r="X88" s="17"/>
      <c r="Y88" s="17"/>
      <c r="Z88" s="17"/>
      <c r="AA88" s="17"/>
      <c r="AB88" s="17" t="str">
        <f t="shared" si="1"/>
        <v>GPR04023K6</v>
      </c>
    </row>
    <row r="89" spans="1:28">
      <c r="A89" s="17" t="s">
        <v>5292</v>
      </c>
      <c r="B89" s="17" t="s">
        <v>5292</v>
      </c>
      <c r="C89" s="17" t="s">
        <v>5293</v>
      </c>
      <c r="D89" s="17" t="s">
        <v>21</v>
      </c>
      <c r="E89" s="24" t="s">
        <v>6447</v>
      </c>
      <c r="F89" s="17" t="s">
        <v>205</v>
      </c>
      <c r="G89" s="17" t="str">
        <f>Config!$B$3</f>
        <v>SCH/R_IEC.SchLib</v>
      </c>
      <c r="H89" s="17" t="s">
        <v>419</v>
      </c>
      <c r="I89" s="17" t="s">
        <v>461</v>
      </c>
      <c r="J89" s="17" t="s">
        <v>4821</v>
      </c>
      <c r="K89" s="17"/>
      <c r="L89" s="17"/>
      <c r="M89" s="21">
        <v>3900</v>
      </c>
      <c r="N89" s="17" t="s">
        <v>13979</v>
      </c>
      <c r="O89" s="17" t="s">
        <v>477</v>
      </c>
      <c r="P89" s="17" t="s">
        <v>5294</v>
      </c>
      <c r="Q89" s="17" t="s">
        <v>25</v>
      </c>
      <c r="R89" s="17" t="s">
        <v>5295</v>
      </c>
      <c r="S89" s="17" t="s">
        <v>477</v>
      </c>
      <c r="T89" s="17" t="s">
        <v>5296</v>
      </c>
      <c r="U89" s="17" t="s">
        <v>25</v>
      </c>
      <c r="V89" s="17" t="s">
        <v>5297</v>
      </c>
      <c r="W89" s="17"/>
      <c r="X89" s="17"/>
      <c r="Y89" s="17"/>
      <c r="Z89" s="17"/>
      <c r="AA89" s="17"/>
      <c r="AB89" s="17" t="str">
        <f t="shared" si="1"/>
        <v>GPR04023K9</v>
      </c>
    </row>
    <row r="90" spans="1:28">
      <c r="A90" s="17" t="s">
        <v>5298</v>
      </c>
      <c r="B90" s="17" t="s">
        <v>5298</v>
      </c>
      <c r="C90" s="17" t="s">
        <v>5299</v>
      </c>
      <c r="D90" s="17" t="s">
        <v>21</v>
      </c>
      <c r="E90" s="24" t="s">
        <v>6447</v>
      </c>
      <c r="F90" s="17" t="s">
        <v>207</v>
      </c>
      <c r="G90" s="17" t="str">
        <f>Config!$B$3</f>
        <v>SCH/R_IEC.SchLib</v>
      </c>
      <c r="H90" s="17" t="s">
        <v>419</v>
      </c>
      <c r="I90" s="17" t="s">
        <v>461</v>
      </c>
      <c r="J90" s="17" t="s">
        <v>4821</v>
      </c>
      <c r="K90" s="17"/>
      <c r="L90" s="17"/>
      <c r="M90" s="21">
        <v>4300</v>
      </c>
      <c r="N90" s="17" t="s">
        <v>13979</v>
      </c>
      <c r="O90" s="17" t="s">
        <v>477</v>
      </c>
      <c r="P90" s="17" t="s">
        <v>5300</v>
      </c>
      <c r="Q90" s="17" t="s">
        <v>25</v>
      </c>
      <c r="R90" s="17" t="s">
        <v>5301</v>
      </c>
      <c r="S90" s="17" t="s">
        <v>477</v>
      </c>
      <c r="T90" s="17" t="s">
        <v>5302</v>
      </c>
      <c r="U90" s="17" t="s">
        <v>25</v>
      </c>
      <c r="V90" s="17" t="s">
        <v>5303</v>
      </c>
      <c r="W90" s="17"/>
      <c r="X90" s="17"/>
      <c r="Y90" s="17"/>
      <c r="Z90" s="17"/>
      <c r="AA90" s="17"/>
      <c r="AB90" s="17" t="str">
        <f t="shared" si="1"/>
        <v>GPR04024K3</v>
      </c>
    </row>
    <row r="91" spans="1:28">
      <c r="A91" s="17" t="s">
        <v>5304</v>
      </c>
      <c r="B91" s="17" t="s">
        <v>5304</v>
      </c>
      <c r="C91" s="17" t="s">
        <v>5305</v>
      </c>
      <c r="D91" s="17" t="s">
        <v>21</v>
      </c>
      <c r="E91" s="24" t="s">
        <v>6447</v>
      </c>
      <c r="F91" s="17" t="s">
        <v>209</v>
      </c>
      <c r="G91" s="17" t="str">
        <f>Config!$B$3</f>
        <v>SCH/R_IEC.SchLib</v>
      </c>
      <c r="H91" s="17" t="s">
        <v>419</v>
      </c>
      <c r="I91" s="17" t="s">
        <v>461</v>
      </c>
      <c r="J91" s="17" t="s">
        <v>4821</v>
      </c>
      <c r="K91" s="17"/>
      <c r="L91" s="17"/>
      <c r="M91" s="21">
        <v>4700</v>
      </c>
      <c r="N91" s="17" t="s">
        <v>13979</v>
      </c>
      <c r="O91" s="17" t="s">
        <v>477</v>
      </c>
      <c r="P91" s="17" t="s">
        <v>5306</v>
      </c>
      <c r="Q91" s="17" t="s">
        <v>25</v>
      </c>
      <c r="R91" s="17" t="s">
        <v>5307</v>
      </c>
      <c r="S91" s="17" t="s">
        <v>477</v>
      </c>
      <c r="T91" s="17" t="s">
        <v>5308</v>
      </c>
      <c r="U91" s="17" t="s">
        <v>25</v>
      </c>
      <c r="V91" s="17" t="s">
        <v>5309</v>
      </c>
      <c r="W91" s="17"/>
      <c r="X91" s="17"/>
      <c r="Y91" s="17"/>
      <c r="Z91" s="17"/>
      <c r="AA91" s="17"/>
      <c r="AB91" s="17" t="str">
        <f t="shared" si="1"/>
        <v>GPR04024K7</v>
      </c>
    </row>
    <row r="92" spans="1:28">
      <c r="A92" s="17" t="s">
        <v>5310</v>
      </c>
      <c r="B92" s="17" t="s">
        <v>5310</v>
      </c>
      <c r="C92" s="17" t="s">
        <v>5311</v>
      </c>
      <c r="D92" s="17" t="s">
        <v>21</v>
      </c>
      <c r="E92" s="24" t="s">
        <v>6447</v>
      </c>
      <c r="F92" s="17" t="s">
        <v>213</v>
      </c>
      <c r="G92" s="17" t="str">
        <f>Config!$B$3</f>
        <v>SCH/R_IEC.SchLib</v>
      </c>
      <c r="H92" s="17" t="s">
        <v>419</v>
      </c>
      <c r="I92" s="17" t="s">
        <v>461</v>
      </c>
      <c r="J92" s="17" t="s">
        <v>4821</v>
      </c>
      <c r="K92" s="17"/>
      <c r="L92" s="17"/>
      <c r="M92" s="21">
        <v>5100</v>
      </c>
      <c r="N92" s="17" t="s">
        <v>13979</v>
      </c>
      <c r="O92" s="17" t="s">
        <v>477</v>
      </c>
      <c r="P92" s="17" t="s">
        <v>5312</v>
      </c>
      <c r="Q92" s="17" t="s">
        <v>25</v>
      </c>
      <c r="R92" s="17" t="s">
        <v>5313</v>
      </c>
      <c r="S92" s="17" t="s">
        <v>477</v>
      </c>
      <c r="T92" s="17" t="s">
        <v>5314</v>
      </c>
      <c r="U92" s="17" t="s">
        <v>25</v>
      </c>
      <c r="V92" s="17" t="s">
        <v>5315</v>
      </c>
      <c r="W92" s="17"/>
      <c r="X92" s="17"/>
      <c r="Y92" s="17"/>
      <c r="Z92" s="17"/>
      <c r="AA92" s="17"/>
      <c r="AB92" s="17" t="str">
        <f t="shared" si="1"/>
        <v>GPR04025K1</v>
      </c>
    </row>
    <row r="93" spans="1:28">
      <c r="A93" s="17" t="s">
        <v>5316</v>
      </c>
      <c r="B93" s="17" t="s">
        <v>5316</v>
      </c>
      <c r="C93" s="17" t="s">
        <v>5317</v>
      </c>
      <c r="D93" s="17" t="s">
        <v>21</v>
      </c>
      <c r="E93" s="24" t="s">
        <v>6447</v>
      </c>
      <c r="F93" s="17" t="s">
        <v>215</v>
      </c>
      <c r="G93" s="17" t="str">
        <f>Config!$B$3</f>
        <v>SCH/R_IEC.SchLib</v>
      </c>
      <c r="H93" s="17" t="s">
        <v>419</v>
      </c>
      <c r="I93" s="17" t="s">
        <v>461</v>
      </c>
      <c r="J93" s="17" t="s">
        <v>4821</v>
      </c>
      <c r="K93" s="17"/>
      <c r="L93" s="17"/>
      <c r="M93" s="21">
        <v>5600</v>
      </c>
      <c r="N93" s="17" t="s">
        <v>13979</v>
      </c>
      <c r="O93" s="17" t="s">
        <v>477</v>
      </c>
      <c r="P93" s="17" t="s">
        <v>5318</v>
      </c>
      <c r="Q93" s="17" t="s">
        <v>25</v>
      </c>
      <c r="R93" s="17" t="s">
        <v>5319</v>
      </c>
      <c r="S93" s="17" t="s">
        <v>477</v>
      </c>
      <c r="T93" s="17" t="s">
        <v>5320</v>
      </c>
      <c r="U93" s="17" t="s">
        <v>25</v>
      </c>
      <c r="V93" s="17" t="s">
        <v>5321</v>
      </c>
      <c r="W93" s="17"/>
      <c r="X93" s="17"/>
      <c r="Y93" s="17"/>
      <c r="Z93" s="17"/>
      <c r="AA93" s="17"/>
      <c r="AB93" s="17" t="str">
        <f t="shared" si="1"/>
        <v>GPR04025K6</v>
      </c>
    </row>
    <row r="94" spans="1:28">
      <c r="A94" s="17" t="s">
        <v>5322</v>
      </c>
      <c r="B94" s="17" t="s">
        <v>5322</v>
      </c>
      <c r="C94" s="17" t="s">
        <v>5323</v>
      </c>
      <c r="D94" s="17" t="s">
        <v>21</v>
      </c>
      <c r="E94" s="24" t="s">
        <v>6447</v>
      </c>
      <c r="F94" s="17" t="s">
        <v>217</v>
      </c>
      <c r="G94" s="17" t="str">
        <f>Config!$B$3</f>
        <v>SCH/R_IEC.SchLib</v>
      </c>
      <c r="H94" s="17" t="s">
        <v>419</v>
      </c>
      <c r="I94" s="17" t="s">
        <v>461</v>
      </c>
      <c r="J94" s="17" t="s">
        <v>4821</v>
      </c>
      <c r="K94" s="17"/>
      <c r="L94" s="17"/>
      <c r="M94" s="21">
        <v>6200</v>
      </c>
      <c r="N94" s="17" t="s">
        <v>13979</v>
      </c>
      <c r="O94" s="17" t="s">
        <v>477</v>
      </c>
      <c r="P94" s="17" t="s">
        <v>5324</v>
      </c>
      <c r="Q94" s="17" t="s">
        <v>25</v>
      </c>
      <c r="R94" s="17" t="s">
        <v>5325</v>
      </c>
      <c r="S94" s="17" t="s">
        <v>477</v>
      </c>
      <c r="T94" s="17" t="s">
        <v>5326</v>
      </c>
      <c r="U94" s="17" t="s">
        <v>25</v>
      </c>
      <c r="V94" s="17" t="s">
        <v>5327</v>
      </c>
      <c r="W94" s="17"/>
      <c r="X94" s="17"/>
      <c r="Y94" s="17"/>
      <c r="Z94" s="17"/>
      <c r="AA94" s="17"/>
      <c r="AB94" s="17" t="str">
        <f t="shared" si="1"/>
        <v>GPR04026K2</v>
      </c>
    </row>
    <row r="95" spans="1:28">
      <c r="A95" s="17" t="s">
        <v>5328</v>
      </c>
      <c r="B95" s="17" t="s">
        <v>5328</v>
      </c>
      <c r="C95" s="17" t="s">
        <v>5329</v>
      </c>
      <c r="D95" s="17" t="s">
        <v>21</v>
      </c>
      <c r="E95" s="24" t="s">
        <v>6447</v>
      </c>
      <c r="F95" s="17" t="s">
        <v>219</v>
      </c>
      <c r="G95" s="17" t="str">
        <f>Config!$B$3</f>
        <v>SCH/R_IEC.SchLib</v>
      </c>
      <c r="H95" s="17" t="s">
        <v>419</v>
      </c>
      <c r="I95" s="17" t="s">
        <v>461</v>
      </c>
      <c r="J95" s="17" t="s">
        <v>4821</v>
      </c>
      <c r="K95" s="17"/>
      <c r="L95" s="17"/>
      <c r="M95" s="21">
        <v>6800</v>
      </c>
      <c r="N95" s="17" t="s">
        <v>13979</v>
      </c>
      <c r="O95" s="17" t="s">
        <v>477</v>
      </c>
      <c r="P95" s="17" t="s">
        <v>5330</v>
      </c>
      <c r="Q95" s="17" t="s">
        <v>25</v>
      </c>
      <c r="R95" s="17" t="s">
        <v>5331</v>
      </c>
      <c r="S95" s="17" t="s">
        <v>477</v>
      </c>
      <c r="T95" s="17" t="s">
        <v>5332</v>
      </c>
      <c r="U95" s="17" t="s">
        <v>25</v>
      </c>
      <c r="V95" s="17" t="s">
        <v>5333</v>
      </c>
      <c r="W95" s="17"/>
      <c r="X95" s="17"/>
      <c r="Y95" s="17"/>
      <c r="Z95" s="17"/>
      <c r="AA95" s="17"/>
      <c r="AB95" s="17" t="str">
        <f t="shared" si="1"/>
        <v>GPR04026K8</v>
      </c>
    </row>
    <row r="96" spans="1:28">
      <c r="A96" s="17" t="s">
        <v>5334</v>
      </c>
      <c r="B96" s="17" t="s">
        <v>5334</v>
      </c>
      <c r="C96" s="17" t="s">
        <v>5335</v>
      </c>
      <c r="D96" s="17" t="s">
        <v>21</v>
      </c>
      <c r="E96" s="24" t="s">
        <v>6447</v>
      </c>
      <c r="F96" s="17" t="s">
        <v>221</v>
      </c>
      <c r="G96" s="17" t="str">
        <f>Config!$B$3</f>
        <v>SCH/R_IEC.SchLib</v>
      </c>
      <c r="H96" s="17" t="s">
        <v>419</v>
      </c>
      <c r="I96" s="17" t="s">
        <v>461</v>
      </c>
      <c r="J96" s="17" t="s">
        <v>4821</v>
      </c>
      <c r="K96" s="17"/>
      <c r="L96" s="17"/>
      <c r="M96" s="21">
        <v>7500</v>
      </c>
      <c r="N96" s="17" t="s">
        <v>13979</v>
      </c>
      <c r="O96" s="17" t="s">
        <v>477</v>
      </c>
      <c r="P96" s="17" t="s">
        <v>5336</v>
      </c>
      <c r="Q96" s="17" t="s">
        <v>25</v>
      </c>
      <c r="R96" s="17" t="s">
        <v>5337</v>
      </c>
      <c r="S96" s="17" t="s">
        <v>477</v>
      </c>
      <c r="T96" s="17" t="s">
        <v>5338</v>
      </c>
      <c r="U96" s="17" t="s">
        <v>25</v>
      </c>
      <c r="V96" s="17" t="s">
        <v>5339</v>
      </c>
      <c r="W96" s="17"/>
      <c r="X96" s="17"/>
      <c r="Y96" s="17"/>
      <c r="Z96" s="17"/>
      <c r="AA96" s="17"/>
      <c r="AB96" s="17" t="str">
        <f t="shared" si="1"/>
        <v>GPR04027K5</v>
      </c>
    </row>
    <row r="97" spans="1:28">
      <c r="A97" s="17" t="s">
        <v>5340</v>
      </c>
      <c r="B97" s="17" t="s">
        <v>5340</v>
      </c>
      <c r="C97" s="17" t="s">
        <v>5341</v>
      </c>
      <c r="D97" s="17" t="s">
        <v>21</v>
      </c>
      <c r="E97" s="24" t="s">
        <v>6447</v>
      </c>
      <c r="F97" s="17" t="s">
        <v>223</v>
      </c>
      <c r="G97" s="17" t="str">
        <f>Config!$B$3</f>
        <v>SCH/R_IEC.SchLib</v>
      </c>
      <c r="H97" s="17" t="s">
        <v>419</v>
      </c>
      <c r="I97" s="17" t="s">
        <v>461</v>
      </c>
      <c r="J97" s="17" t="s">
        <v>4821</v>
      </c>
      <c r="K97" s="17"/>
      <c r="L97" s="17"/>
      <c r="M97" s="21">
        <v>8200</v>
      </c>
      <c r="N97" s="17" t="s">
        <v>13979</v>
      </c>
      <c r="O97" s="17" t="s">
        <v>477</v>
      </c>
      <c r="P97" s="17" t="s">
        <v>5342</v>
      </c>
      <c r="Q97" s="17" t="s">
        <v>25</v>
      </c>
      <c r="R97" s="17" t="s">
        <v>5343</v>
      </c>
      <c r="S97" s="17" t="s">
        <v>477</v>
      </c>
      <c r="T97" s="17" t="s">
        <v>5344</v>
      </c>
      <c r="U97" s="17" t="s">
        <v>25</v>
      </c>
      <c r="V97" s="17" t="s">
        <v>5345</v>
      </c>
      <c r="W97" s="17"/>
      <c r="X97" s="17"/>
      <c r="Y97" s="17"/>
      <c r="Z97" s="17"/>
      <c r="AA97" s="17"/>
      <c r="AB97" s="17" t="str">
        <f t="shared" si="1"/>
        <v>GPR04028K2</v>
      </c>
    </row>
    <row r="98" spans="1:28">
      <c r="A98" s="17" t="s">
        <v>5346</v>
      </c>
      <c r="B98" s="17" t="s">
        <v>5346</v>
      </c>
      <c r="C98" s="17" t="s">
        <v>5347</v>
      </c>
      <c r="D98" s="17" t="s">
        <v>21</v>
      </c>
      <c r="E98" s="24" t="s">
        <v>6447</v>
      </c>
      <c r="F98" s="17" t="s">
        <v>225</v>
      </c>
      <c r="G98" s="17" t="str">
        <f>Config!$B$3</f>
        <v>SCH/R_IEC.SchLib</v>
      </c>
      <c r="H98" s="17" t="s">
        <v>419</v>
      </c>
      <c r="I98" s="17" t="s">
        <v>461</v>
      </c>
      <c r="J98" s="17" t="s">
        <v>4821</v>
      </c>
      <c r="K98" s="17"/>
      <c r="L98" s="17"/>
      <c r="M98" s="21">
        <v>9100</v>
      </c>
      <c r="N98" s="17" t="s">
        <v>13979</v>
      </c>
      <c r="O98" s="17" t="s">
        <v>477</v>
      </c>
      <c r="P98" s="17" t="s">
        <v>5348</v>
      </c>
      <c r="Q98" s="17" t="s">
        <v>25</v>
      </c>
      <c r="R98" s="17" t="s">
        <v>5349</v>
      </c>
      <c r="S98" s="17" t="s">
        <v>477</v>
      </c>
      <c r="T98" s="17" t="s">
        <v>5350</v>
      </c>
      <c r="U98" s="17" t="s">
        <v>25</v>
      </c>
      <c r="V98" s="17" t="s">
        <v>5351</v>
      </c>
      <c r="W98" s="17"/>
      <c r="X98" s="17"/>
      <c r="Y98" s="17"/>
      <c r="Z98" s="17"/>
      <c r="AA98" s="17"/>
      <c r="AB98" s="17" t="str">
        <f t="shared" si="1"/>
        <v>GPR04029K1</v>
      </c>
    </row>
    <row r="99" spans="1:28">
      <c r="A99" s="17" t="s">
        <v>5352</v>
      </c>
      <c r="B99" s="17" t="s">
        <v>5352</v>
      </c>
      <c r="C99" s="17" t="s">
        <v>5353</v>
      </c>
      <c r="D99" s="17" t="s">
        <v>21</v>
      </c>
      <c r="E99" s="24" t="s">
        <v>6447</v>
      </c>
      <c r="F99" s="17" t="s">
        <v>229</v>
      </c>
      <c r="G99" s="17" t="str">
        <f>Config!$B$3</f>
        <v>SCH/R_IEC.SchLib</v>
      </c>
      <c r="H99" s="17" t="s">
        <v>419</v>
      </c>
      <c r="I99" s="17" t="s">
        <v>461</v>
      </c>
      <c r="J99" s="17" t="s">
        <v>4821</v>
      </c>
      <c r="K99" s="17"/>
      <c r="L99" s="17"/>
      <c r="M99" s="21">
        <v>10000</v>
      </c>
      <c r="N99" s="17" t="s">
        <v>13979</v>
      </c>
      <c r="O99" s="17" t="s">
        <v>477</v>
      </c>
      <c r="P99" s="17" t="s">
        <v>5354</v>
      </c>
      <c r="Q99" s="17" t="s">
        <v>25</v>
      </c>
      <c r="R99" s="17" t="s">
        <v>5355</v>
      </c>
      <c r="S99" s="17" t="s">
        <v>477</v>
      </c>
      <c r="T99" s="17" t="s">
        <v>5356</v>
      </c>
      <c r="U99" s="17" t="s">
        <v>25</v>
      </c>
      <c r="V99" s="17" t="s">
        <v>5357</v>
      </c>
      <c r="W99" s="17"/>
      <c r="X99" s="17"/>
      <c r="Y99" s="17"/>
      <c r="Z99" s="17"/>
      <c r="AA99" s="17"/>
      <c r="AB99" s="17" t="str">
        <f t="shared" si="1"/>
        <v>GPR040210K</v>
      </c>
    </row>
    <row r="100" spans="1:28">
      <c r="A100" s="17" t="s">
        <v>5358</v>
      </c>
      <c r="B100" s="17" t="s">
        <v>5358</v>
      </c>
      <c r="C100" s="17" t="s">
        <v>5359</v>
      </c>
      <c r="D100" s="17" t="s">
        <v>21</v>
      </c>
      <c r="E100" s="24" t="s">
        <v>6447</v>
      </c>
      <c r="F100" s="17" t="s">
        <v>233</v>
      </c>
      <c r="G100" s="17" t="str">
        <f>Config!$B$3</f>
        <v>SCH/R_IEC.SchLib</v>
      </c>
      <c r="H100" s="17" t="s">
        <v>419</v>
      </c>
      <c r="I100" s="17" t="s">
        <v>461</v>
      </c>
      <c r="J100" s="17" t="s">
        <v>4821</v>
      </c>
      <c r="K100" s="17"/>
      <c r="L100" s="17"/>
      <c r="M100" s="21">
        <v>11000</v>
      </c>
      <c r="N100" s="17" t="s">
        <v>13979</v>
      </c>
      <c r="O100" s="17" t="s">
        <v>477</v>
      </c>
      <c r="P100" s="17" t="s">
        <v>5360</v>
      </c>
      <c r="Q100" s="17" t="s">
        <v>25</v>
      </c>
      <c r="R100" s="17" t="s">
        <v>5361</v>
      </c>
      <c r="S100" s="17" t="s">
        <v>477</v>
      </c>
      <c r="T100" s="17" t="s">
        <v>5362</v>
      </c>
      <c r="U100" s="17" t="s">
        <v>25</v>
      </c>
      <c r="V100" s="17" t="s">
        <v>5363</v>
      </c>
      <c r="W100" s="17"/>
      <c r="X100" s="17"/>
      <c r="Y100" s="17"/>
      <c r="Z100" s="17"/>
      <c r="AA100" s="17"/>
      <c r="AB100" s="17" t="str">
        <f t="shared" si="1"/>
        <v>GPR040211K</v>
      </c>
    </row>
    <row r="101" spans="1:28">
      <c r="A101" s="17" t="s">
        <v>5364</v>
      </c>
      <c r="B101" s="17" t="s">
        <v>5364</v>
      </c>
      <c r="C101" s="17" t="s">
        <v>5365</v>
      </c>
      <c r="D101" s="17" t="s">
        <v>21</v>
      </c>
      <c r="E101" s="24" t="s">
        <v>6447</v>
      </c>
      <c r="F101" s="17" t="s">
        <v>235</v>
      </c>
      <c r="G101" s="17" t="str">
        <f>Config!$B$3</f>
        <v>SCH/R_IEC.SchLib</v>
      </c>
      <c r="H101" s="17" t="s">
        <v>419</v>
      </c>
      <c r="I101" s="17" t="s">
        <v>461</v>
      </c>
      <c r="J101" s="17" t="s">
        <v>4821</v>
      </c>
      <c r="K101" s="17"/>
      <c r="L101" s="17"/>
      <c r="M101" s="21">
        <v>12000</v>
      </c>
      <c r="N101" s="17" t="s">
        <v>13979</v>
      </c>
      <c r="O101" s="17" t="s">
        <v>477</v>
      </c>
      <c r="P101" s="17" t="s">
        <v>5366</v>
      </c>
      <c r="Q101" s="17" t="s">
        <v>25</v>
      </c>
      <c r="R101" s="17" t="s">
        <v>5367</v>
      </c>
      <c r="S101" s="17" t="s">
        <v>477</v>
      </c>
      <c r="T101" s="17" t="s">
        <v>5368</v>
      </c>
      <c r="U101" s="17" t="s">
        <v>25</v>
      </c>
      <c r="V101" s="17" t="s">
        <v>5369</v>
      </c>
      <c r="W101" s="17"/>
      <c r="X101" s="17"/>
      <c r="Y101" s="17"/>
      <c r="Z101" s="17"/>
      <c r="AA101" s="17"/>
      <c r="AB101" s="17" t="str">
        <f t="shared" si="1"/>
        <v>GPR040212K</v>
      </c>
    </row>
    <row r="102" spans="1:28">
      <c r="A102" s="17" t="s">
        <v>5370</v>
      </c>
      <c r="B102" s="17" t="s">
        <v>5370</v>
      </c>
      <c r="C102" s="17" t="s">
        <v>5371</v>
      </c>
      <c r="D102" s="17" t="s">
        <v>21</v>
      </c>
      <c r="E102" s="24" t="s">
        <v>6447</v>
      </c>
      <c r="F102" s="17" t="s">
        <v>239</v>
      </c>
      <c r="G102" s="17" t="str">
        <f>Config!$B$3</f>
        <v>SCH/R_IEC.SchLib</v>
      </c>
      <c r="H102" s="17" t="s">
        <v>419</v>
      </c>
      <c r="I102" s="17" t="s">
        <v>461</v>
      </c>
      <c r="J102" s="17" t="s">
        <v>4821</v>
      </c>
      <c r="K102" s="17"/>
      <c r="L102" s="17"/>
      <c r="M102" s="21">
        <v>13000</v>
      </c>
      <c r="N102" s="17" t="s">
        <v>13979</v>
      </c>
      <c r="O102" s="17" t="s">
        <v>477</v>
      </c>
      <c r="P102" s="17" t="s">
        <v>5372</v>
      </c>
      <c r="Q102" s="17" t="s">
        <v>25</v>
      </c>
      <c r="R102" s="17" t="s">
        <v>5373</v>
      </c>
      <c r="S102" s="17" t="s">
        <v>477</v>
      </c>
      <c r="T102" s="17" t="s">
        <v>5374</v>
      </c>
      <c r="U102" s="17" t="s">
        <v>25</v>
      </c>
      <c r="V102" s="17" t="s">
        <v>5375</v>
      </c>
      <c r="W102" s="17"/>
      <c r="X102" s="17"/>
      <c r="Y102" s="17"/>
      <c r="Z102" s="17"/>
      <c r="AA102" s="17"/>
      <c r="AB102" s="17" t="str">
        <f t="shared" si="1"/>
        <v>GPR040213K</v>
      </c>
    </row>
    <row r="103" spans="1:28">
      <c r="A103" s="17" t="s">
        <v>5376</v>
      </c>
      <c r="B103" s="17" t="s">
        <v>5376</v>
      </c>
      <c r="C103" s="17" t="s">
        <v>5377</v>
      </c>
      <c r="D103" s="17" t="s">
        <v>21</v>
      </c>
      <c r="E103" s="24" t="s">
        <v>6447</v>
      </c>
      <c r="F103" s="17" t="s">
        <v>243</v>
      </c>
      <c r="G103" s="17" t="str">
        <f>Config!$B$3</f>
        <v>SCH/R_IEC.SchLib</v>
      </c>
      <c r="H103" s="17" t="s">
        <v>419</v>
      </c>
      <c r="I103" s="17" t="s">
        <v>461</v>
      </c>
      <c r="J103" s="17" t="s">
        <v>4821</v>
      </c>
      <c r="K103" s="17"/>
      <c r="L103" s="17"/>
      <c r="M103" s="21">
        <v>15000</v>
      </c>
      <c r="N103" s="17" t="s">
        <v>13979</v>
      </c>
      <c r="O103" s="17" t="s">
        <v>477</v>
      </c>
      <c r="P103" s="17" t="s">
        <v>5378</v>
      </c>
      <c r="Q103" s="17" t="s">
        <v>25</v>
      </c>
      <c r="R103" s="17" t="s">
        <v>5379</v>
      </c>
      <c r="S103" s="17" t="s">
        <v>477</v>
      </c>
      <c r="T103" s="17" t="s">
        <v>5380</v>
      </c>
      <c r="U103" s="17" t="s">
        <v>25</v>
      </c>
      <c r="V103" s="17" t="s">
        <v>5381</v>
      </c>
      <c r="W103" s="17"/>
      <c r="X103" s="17"/>
      <c r="Y103" s="17"/>
      <c r="Z103" s="17"/>
      <c r="AA103" s="17"/>
      <c r="AB103" s="17" t="str">
        <f t="shared" si="1"/>
        <v>GPR040215K</v>
      </c>
    </row>
    <row r="104" spans="1:28">
      <c r="A104" s="17" t="s">
        <v>5382</v>
      </c>
      <c r="B104" s="17" t="s">
        <v>5382</v>
      </c>
      <c r="C104" s="17" t="s">
        <v>5383</v>
      </c>
      <c r="D104" s="17" t="s">
        <v>21</v>
      </c>
      <c r="E104" s="24" t="s">
        <v>6447</v>
      </c>
      <c r="F104" s="17" t="s">
        <v>247</v>
      </c>
      <c r="G104" s="17" t="str">
        <f>Config!$B$3</f>
        <v>SCH/R_IEC.SchLib</v>
      </c>
      <c r="H104" s="17" t="s">
        <v>419</v>
      </c>
      <c r="I104" s="17" t="s">
        <v>461</v>
      </c>
      <c r="J104" s="17" t="s">
        <v>4821</v>
      </c>
      <c r="K104" s="17"/>
      <c r="L104" s="17"/>
      <c r="M104" s="21">
        <v>16000</v>
      </c>
      <c r="N104" s="17" t="s">
        <v>13979</v>
      </c>
      <c r="O104" s="17" t="s">
        <v>477</v>
      </c>
      <c r="P104" s="17" t="s">
        <v>5384</v>
      </c>
      <c r="Q104" s="17" t="s">
        <v>25</v>
      </c>
      <c r="R104" s="17" t="s">
        <v>5385</v>
      </c>
      <c r="S104" s="17" t="s">
        <v>477</v>
      </c>
      <c r="T104" s="17" t="s">
        <v>5386</v>
      </c>
      <c r="U104" s="17" t="s">
        <v>25</v>
      </c>
      <c r="V104" s="17" t="s">
        <v>5387</v>
      </c>
      <c r="W104" s="17"/>
      <c r="X104" s="17"/>
      <c r="Y104" s="17"/>
      <c r="Z104" s="17"/>
      <c r="AA104" s="17"/>
      <c r="AB104" s="17" t="str">
        <f t="shared" si="1"/>
        <v>GPR040216K</v>
      </c>
    </row>
    <row r="105" spans="1:28">
      <c r="A105" s="17" t="s">
        <v>5388</v>
      </c>
      <c r="B105" s="17" t="s">
        <v>5388</v>
      </c>
      <c r="C105" s="17" t="s">
        <v>5389</v>
      </c>
      <c r="D105" s="17" t="s">
        <v>21</v>
      </c>
      <c r="E105" s="24" t="s">
        <v>6447</v>
      </c>
      <c r="F105" s="17" t="s">
        <v>251</v>
      </c>
      <c r="G105" s="17" t="str">
        <f>Config!$B$3</f>
        <v>SCH/R_IEC.SchLib</v>
      </c>
      <c r="H105" s="17" t="s">
        <v>419</v>
      </c>
      <c r="I105" s="17" t="s">
        <v>461</v>
      </c>
      <c r="J105" s="17" t="s">
        <v>4821</v>
      </c>
      <c r="K105" s="17"/>
      <c r="L105" s="17"/>
      <c r="M105" s="21">
        <v>18000</v>
      </c>
      <c r="N105" s="17" t="s">
        <v>13979</v>
      </c>
      <c r="O105" s="17" t="s">
        <v>477</v>
      </c>
      <c r="P105" s="17" t="s">
        <v>5390</v>
      </c>
      <c r="Q105" s="17" t="s">
        <v>25</v>
      </c>
      <c r="R105" s="17" t="s">
        <v>5391</v>
      </c>
      <c r="S105" s="17" t="s">
        <v>477</v>
      </c>
      <c r="T105" s="17" t="s">
        <v>5392</v>
      </c>
      <c r="U105" s="17" t="s">
        <v>25</v>
      </c>
      <c r="V105" s="17" t="s">
        <v>5393</v>
      </c>
      <c r="W105" s="17"/>
      <c r="X105" s="17"/>
      <c r="Y105" s="17"/>
      <c r="Z105" s="17"/>
      <c r="AA105" s="17"/>
      <c r="AB105" s="17" t="str">
        <f t="shared" si="1"/>
        <v>GPR040218K</v>
      </c>
    </row>
    <row r="106" spans="1:28">
      <c r="A106" s="17" t="s">
        <v>5394</v>
      </c>
      <c r="B106" s="17" t="s">
        <v>5394</v>
      </c>
      <c r="C106" s="17" t="s">
        <v>5395</v>
      </c>
      <c r="D106" s="17" t="s">
        <v>21</v>
      </c>
      <c r="E106" s="24" t="s">
        <v>6447</v>
      </c>
      <c r="F106" s="17" t="s">
        <v>255</v>
      </c>
      <c r="G106" s="17" t="str">
        <f>Config!$B$3</f>
        <v>SCH/R_IEC.SchLib</v>
      </c>
      <c r="H106" s="17" t="s">
        <v>419</v>
      </c>
      <c r="I106" s="17" t="s">
        <v>461</v>
      </c>
      <c r="J106" s="17" t="s">
        <v>4821</v>
      </c>
      <c r="K106" s="17"/>
      <c r="L106" s="17"/>
      <c r="M106" s="21">
        <v>20000</v>
      </c>
      <c r="N106" s="17" t="s">
        <v>13979</v>
      </c>
      <c r="O106" s="17" t="s">
        <v>477</v>
      </c>
      <c r="P106" s="17" t="s">
        <v>5396</v>
      </c>
      <c r="Q106" s="17" t="s">
        <v>25</v>
      </c>
      <c r="R106" s="17" t="s">
        <v>5397</v>
      </c>
      <c r="S106" s="17" t="s">
        <v>477</v>
      </c>
      <c r="T106" s="17" t="s">
        <v>5398</v>
      </c>
      <c r="U106" s="17" t="s">
        <v>25</v>
      </c>
      <c r="V106" s="17" t="s">
        <v>5399</v>
      </c>
      <c r="W106" s="17"/>
      <c r="X106" s="17"/>
      <c r="Y106" s="17"/>
      <c r="Z106" s="17"/>
      <c r="AA106" s="17"/>
      <c r="AB106" s="17" t="str">
        <f t="shared" si="1"/>
        <v>GPR040220K</v>
      </c>
    </row>
    <row r="107" spans="1:28">
      <c r="A107" s="17" t="s">
        <v>5400</v>
      </c>
      <c r="B107" s="17" t="s">
        <v>5400</v>
      </c>
      <c r="C107" s="17" t="s">
        <v>5401</v>
      </c>
      <c r="D107" s="17" t="s">
        <v>21</v>
      </c>
      <c r="E107" s="24" t="s">
        <v>6447</v>
      </c>
      <c r="F107" s="17" t="s">
        <v>257</v>
      </c>
      <c r="G107" s="17" t="str">
        <f>Config!$B$3</f>
        <v>SCH/R_IEC.SchLib</v>
      </c>
      <c r="H107" s="17" t="s">
        <v>419</v>
      </c>
      <c r="I107" s="17" t="s">
        <v>461</v>
      </c>
      <c r="J107" s="17" t="s">
        <v>4821</v>
      </c>
      <c r="K107" s="17"/>
      <c r="L107" s="17"/>
      <c r="M107" s="21">
        <v>22000</v>
      </c>
      <c r="N107" s="17" t="s">
        <v>13979</v>
      </c>
      <c r="O107" s="17" t="s">
        <v>477</v>
      </c>
      <c r="P107" s="17" t="s">
        <v>5402</v>
      </c>
      <c r="Q107" s="17" t="s">
        <v>25</v>
      </c>
      <c r="R107" s="17" t="s">
        <v>5403</v>
      </c>
      <c r="S107" s="17" t="s">
        <v>477</v>
      </c>
      <c r="T107" s="17" t="s">
        <v>5404</v>
      </c>
      <c r="U107" s="17" t="s">
        <v>25</v>
      </c>
      <c r="V107" s="17" t="s">
        <v>5405</v>
      </c>
      <c r="W107" s="17"/>
      <c r="X107" s="17"/>
      <c r="Y107" s="17"/>
      <c r="Z107" s="17"/>
      <c r="AA107" s="17"/>
      <c r="AB107" s="17" t="str">
        <f t="shared" si="1"/>
        <v>GPR040222K</v>
      </c>
    </row>
    <row r="108" spans="1:28">
      <c r="A108" s="17" t="s">
        <v>5406</v>
      </c>
      <c r="B108" s="17" t="s">
        <v>5406</v>
      </c>
      <c r="C108" s="17" t="s">
        <v>5407</v>
      </c>
      <c r="D108" s="17" t="s">
        <v>21</v>
      </c>
      <c r="E108" s="24" t="s">
        <v>6447</v>
      </c>
      <c r="F108" s="17" t="s">
        <v>259</v>
      </c>
      <c r="G108" s="17" t="str">
        <f>Config!$B$3</f>
        <v>SCH/R_IEC.SchLib</v>
      </c>
      <c r="H108" s="17" t="s">
        <v>419</v>
      </c>
      <c r="I108" s="17" t="s">
        <v>461</v>
      </c>
      <c r="J108" s="17" t="s">
        <v>4821</v>
      </c>
      <c r="K108" s="17"/>
      <c r="L108" s="17"/>
      <c r="M108" s="21">
        <v>24000</v>
      </c>
      <c r="N108" s="17" t="s">
        <v>13979</v>
      </c>
      <c r="O108" s="17" t="s">
        <v>477</v>
      </c>
      <c r="P108" s="17" t="s">
        <v>5408</v>
      </c>
      <c r="Q108" s="17" t="s">
        <v>25</v>
      </c>
      <c r="R108" s="17" t="s">
        <v>5409</v>
      </c>
      <c r="S108" s="17" t="s">
        <v>477</v>
      </c>
      <c r="T108" s="17" t="s">
        <v>5410</v>
      </c>
      <c r="U108" s="17" t="s">
        <v>25</v>
      </c>
      <c r="V108" s="17" t="s">
        <v>5411</v>
      </c>
      <c r="W108" s="17"/>
      <c r="X108" s="17"/>
      <c r="Y108" s="17"/>
      <c r="Z108" s="17"/>
      <c r="AA108" s="17"/>
      <c r="AB108" s="17" t="str">
        <f t="shared" si="1"/>
        <v>GPR040224K</v>
      </c>
    </row>
    <row r="109" spans="1:28">
      <c r="A109" s="17" t="s">
        <v>5412</v>
      </c>
      <c r="B109" s="17" t="s">
        <v>5412</v>
      </c>
      <c r="C109" s="17" t="s">
        <v>5413</v>
      </c>
      <c r="D109" s="17" t="s">
        <v>21</v>
      </c>
      <c r="E109" s="24" t="s">
        <v>6447</v>
      </c>
      <c r="F109" s="17" t="s">
        <v>263</v>
      </c>
      <c r="G109" s="17" t="str">
        <f>Config!$B$3</f>
        <v>SCH/R_IEC.SchLib</v>
      </c>
      <c r="H109" s="17" t="s">
        <v>419</v>
      </c>
      <c r="I109" s="17" t="s">
        <v>461</v>
      </c>
      <c r="J109" s="17" t="s">
        <v>4821</v>
      </c>
      <c r="K109" s="17"/>
      <c r="L109" s="17"/>
      <c r="M109" s="21">
        <v>27000</v>
      </c>
      <c r="N109" s="17" t="s">
        <v>13979</v>
      </c>
      <c r="O109" s="17" t="s">
        <v>477</v>
      </c>
      <c r="P109" s="17" t="s">
        <v>5414</v>
      </c>
      <c r="Q109" s="17" t="s">
        <v>25</v>
      </c>
      <c r="R109" s="17" t="s">
        <v>5415</v>
      </c>
      <c r="S109" s="17" t="s">
        <v>477</v>
      </c>
      <c r="T109" s="17" t="s">
        <v>5416</v>
      </c>
      <c r="U109" s="17" t="s">
        <v>25</v>
      </c>
      <c r="V109" s="17" t="s">
        <v>5417</v>
      </c>
      <c r="W109" s="17"/>
      <c r="X109" s="17"/>
      <c r="Y109" s="17"/>
      <c r="Z109" s="17"/>
      <c r="AA109" s="17"/>
      <c r="AB109" s="17" t="str">
        <f t="shared" si="1"/>
        <v>GPR040227K</v>
      </c>
    </row>
    <row r="110" spans="1:28">
      <c r="A110" s="17" t="s">
        <v>5418</v>
      </c>
      <c r="B110" s="17" t="s">
        <v>5418</v>
      </c>
      <c r="C110" s="17" t="s">
        <v>5419</v>
      </c>
      <c r="D110" s="17" t="s">
        <v>21</v>
      </c>
      <c r="E110" s="24" t="s">
        <v>6447</v>
      </c>
      <c r="F110" s="17" t="s">
        <v>265</v>
      </c>
      <c r="G110" s="17" t="str">
        <f>Config!$B$3</f>
        <v>SCH/R_IEC.SchLib</v>
      </c>
      <c r="H110" s="17" t="s">
        <v>419</v>
      </c>
      <c r="I110" s="17" t="s">
        <v>461</v>
      </c>
      <c r="J110" s="17" t="s">
        <v>4821</v>
      </c>
      <c r="K110" s="17"/>
      <c r="L110" s="17"/>
      <c r="M110" s="21">
        <v>30000</v>
      </c>
      <c r="N110" s="17" t="s">
        <v>13979</v>
      </c>
      <c r="O110" s="17" t="s">
        <v>477</v>
      </c>
      <c r="P110" s="17" t="s">
        <v>5420</v>
      </c>
      <c r="Q110" s="17" t="s">
        <v>25</v>
      </c>
      <c r="R110" s="17" t="s">
        <v>5421</v>
      </c>
      <c r="S110" s="17" t="s">
        <v>477</v>
      </c>
      <c r="T110" s="17" t="s">
        <v>5422</v>
      </c>
      <c r="U110" s="17" t="s">
        <v>25</v>
      </c>
      <c r="V110" s="17" t="s">
        <v>5423</v>
      </c>
      <c r="W110" s="17"/>
      <c r="X110" s="17"/>
      <c r="Y110" s="17"/>
      <c r="Z110" s="17"/>
      <c r="AA110" s="17"/>
      <c r="AB110" s="17" t="str">
        <f t="shared" si="1"/>
        <v>GPR040230K</v>
      </c>
    </row>
    <row r="111" spans="1:28">
      <c r="A111" s="17" t="s">
        <v>5424</v>
      </c>
      <c r="B111" s="17" t="s">
        <v>5424</v>
      </c>
      <c r="C111" s="17" t="s">
        <v>5425</v>
      </c>
      <c r="D111" s="17" t="s">
        <v>21</v>
      </c>
      <c r="E111" s="24" t="s">
        <v>6447</v>
      </c>
      <c r="F111" s="17" t="s">
        <v>267</v>
      </c>
      <c r="G111" s="17" t="str">
        <f>Config!$B$3</f>
        <v>SCH/R_IEC.SchLib</v>
      </c>
      <c r="H111" s="17" t="s">
        <v>419</v>
      </c>
      <c r="I111" s="17" t="s">
        <v>461</v>
      </c>
      <c r="J111" s="17" t="s">
        <v>4821</v>
      </c>
      <c r="K111" s="17"/>
      <c r="L111" s="17"/>
      <c r="M111" s="21">
        <v>33000</v>
      </c>
      <c r="N111" s="17" t="s">
        <v>13979</v>
      </c>
      <c r="O111" s="17" t="s">
        <v>477</v>
      </c>
      <c r="P111" s="17" t="s">
        <v>5426</v>
      </c>
      <c r="Q111" s="17" t="s">
        <v>25</v>
      </c>
      <c r="R111" s="17" t="s">
        <v>5427</v>
      </c>
      <c r="S111" s="17" t="s">
        <v>477</v>
      </c>
      <c r="T111" s="17" t="s">
        <v>5428</v>
      </c>
      <c r="U111" s="17" t="s">
        <v>25</v>
      </c>
      <c r="V111" s="17" t="s">
        <v>5429</v>
      </c>
      <c r="W111" s="17"/>
      <c r="X111" s="17"/>
      <c r="Y111" s="17"/>
      <c r="Z111" s="17"/>
      <c r="AA111" s="17"/>
      <c r="AB111" s="17" t="str">
        <f t="shared" si="1"/>
        <v>GPR040233K</v>
      </c>
    </row>
    <row r="112" spans="1:28">
      <c r="A112" s="17" t="s">
        <v>5430</v>
      </c>
      <c r="B112" s="17" t="s">
        <v>5430</v>
      </c>
      <c r="C112" s="17" t="s">
        <v>5431</v>
      </c>
      <c r="D112" s="17" t="s">
        <v>21</v>
      </c>
      <c r="E112" s="24" t="s">
        <v>6447</v>
      </c>
      <c r="F112" s="17" t="s">
        <v>269</v>
      </c>
      <c r="G112" s="17" t="str">
        <f>Config!$B$3</f>
        <v>SCH/R_IEC.SchLib</v>
      </c>
      <c r="H112" s="17" t="s">
        <v>419</v>
      </c>
      <c r="I112" s="17" t="s">
        <v>461</v>
      </c>
      <c r="J112" s="17" t="s">
        <v>4821</v>
      </c>
      <c r="K112" s="17"/>
      <c r="L112" s="17"/>
      <c r="M112" s="21">
        <v>36000</v>
      </c>
      <c r="N112" s="17" t="s">
        <v>13979</v>
      </c>
      <c r="O112" s="17" t="s">
        <v>477</v>
      </c>
      <c r="P112" s="17" t="s">
        <v>5432</v>
      </c>
      <c r="Q112" s="17" t="s">
        <v>25</v>
      </c>
      <c r="R112" s="17" t="s">
        <v>5433</v>
      </c>
      <c r="S112" s="17" t="s">
        <v>477</v>
      </c>
      <c r="T112" s="17" t="s">
        <v>5434</v>
      </c>
      <c r="U112" s="17" t="s">
        <v>25</v>
      </c>
      <c r="V112" s="17" t="s">
        <v>5435</v>
      </c>
      <c r="W112" s="17"/>
      <c r="X112" s="17"/>
      <c r="Y112" s="17"/>
      <c r="Z112" s="17"/>
      <c r="AA112" s="17"/>
      <c r="AB112" s="17" t="str">
        <f t="shared" si="1"/>
        <v>GPR040236K</v>
      </c>
    </row>
    <row r="113" spans="1:28">
      <c r="A113" s="17" t="s">
        <v>5436</v>
      </c>
      <c r="B113" s="17" t="s">
        <v>5436</v>
      </c>
      <c r="C113" s="17" t="s">
        <v>5437</v>
      </c>
      <c r="D113" s="17" t="s">
        <v>21</v>
      </c>
      <c r="E113" s="24" t="s">
        <v>6447</v>
      </c>
      <c r="F113" s="17" t="s">
        <v>273</v>
      </c>
      <c r="G113" s="17" t="str">
        <f>Config!$B$3</f>
        <v>SCH/R_IEC.SchLib</v>
      </c>
      <c r="H113" s="17" t="s">
        <v>419</v>
      </c>
      <c r="I113" s="17" t="s">
        <v>461</v>
      </c>
      <c r="J113" s="17" t="s">
        <v>4821</v>
      </c>
      <c r="K113" s="17"/>
      <c r="L113" s="17"/>
      <c r="M113" s="21">
        <v>39000</v>
      </c>
      <c r="N113" s="17" t="s">
        <v>13979</v>
      </c>
      <c r="O113" s="17" t="s">
        <v>477</v>
      </c>
      <c r="P113" s="17" t="s">
        <v>5438</v>
      </c>
      <c r="Q113" s="17" t="s">
        <v>25</v>
      </c>
      <c r="R113" s="17" t="s">
        <v>5439</v>
      </c>
      <c r="S113" s="17" t="s">
        <v>477</v>
      </c>
      <c r="T113" s="17" t="s">
        <v>5440</v>
      </c>
      <c r="U113" s="17" t="s">
        <v>25</v>
      </c>
      <c r="V113" s="17" t="s">
        <v>5441</v>
      </c>
      <c r="W113" s="17"/>
      <c r="X113" s="17"/>
      <c r="Y113" s="17"/>
      <c r="Z113" s="17"/>
      <c r="AA113" s="17"/>
      <c r="AB113" s="17" t="str">
        <f t="shared" si="1"/>
        <v>GPR040239K</v>
      </c>
    </row>
    <row r="114" spans="1:28">
      <c r="A114" s="17" t="s">
        <v>5442</v>
      </c>
      <c r="B114" s="17" t="s">
        <v>5442</v>
      </c>
      <c r="C114" s="17" t="s">
        <v>5443</v>
      </c>
      <c r="D114" s="17" t="s">
        <v>21</v>
      </c>
      <c r="E114" s="24" t="s">
        <v>6447</v>
      </c>
      <c r="F114" s="17" t="s">
        <v>277</v>
      </c>
      <c r="G114" s="17" t="str">
        <f>Config!$B$3</f>
        <v>SCH/R_IEC.SchLib</v>
      </c>
      <c r="H114" s="17" t="s">
        <v>419</v>
      </c>
      <c r="I114" s="17" t="s">
        <v>461</v>
      </c>
      <c r="J114" s="17" t="s">
        <v>4821</v>
      </c>
      <c r="K114" s="17"/>
      <c r="L114" s="17"/>
      <c r="M114" s="21">
        <v>43000</v>
      </c>
      <c r="N114" s="17" t="s">
        <v>13979</v>
      </c>
      <c r="O114" s="17" t="s">
        <v>477</v>
      </c>
      <c r="P114" s="17" t="s">
        <v>5444</v>
      </c>
      <c r="Q114" s="17" t="s">
        <v>25</v>
      </c>
      <c r="R114" s="17" t="s">
        <v>5445</v>
      </c>
      <c r="S114" s="17" t="s">
        <v>477</v>
      </c>
      <c r="T114" s="17" t="s">
        <v>5446</v>
      </c>
      <c r="U114" s="17" t="s">
        <v>25</v>
      </c>
      <c r="V114" s="17" t="s">
        <v>5447</v>
      </c>
      <c r="W114" s="17"/>
      <c r="X114" s="17"/>
      <c r="Y114" s="17"/>
      <c r="Z114" s="17"/>
      <c r="AA114" s="17"/>
      <c r="AB114" s="17" t="str">
        <f t="shared" si="1"/>
        <v>GPR040243K</v>
      </c>
    </row>
    <row r="115" spans="1:28">
      <c r="A115" s="17" t="s">
        <v>5448</v>
      </c>
      <c r="B115" s="17" t="s">
        <v>5448</v>
      </c>
      <c r="C115" s="17" t="s">
        <v>5449</v>
      </c>
      <c r="D115" s="17" t="s">
        <v>21</v>
      </c>
      <c r="E115" s="24" t="s">
        <v>6447</v>
      </c>
      <c r="F115" s="17" t="s">
        <v>279</v>
      </c>
      <c r="G115" s="17" t="str">
        <f>Config!$B$3</f>
        <v>SCH/R_IEC.SchLib</v>
      </c>
      <c r="H115" s="17" t="s">
        <v>419</v>
      </c>
      <c r="I115" s="17" t="s">
        <v>461</v>
      </c>
      <c r="J115" s="17" t="s">
        <v>4821</v>
      </c>
      <c r="K115" s="17"/>
      <c r="L115" s="17"/>
      <c r="M115" s="21">
        <v>47000</v>
      </c>
      <c r="N115" s="17" t="s">
        <v>13979</v>
      </c>
      <c r="O115" s="17" t="s">
        <v>477</v>
      </c>
      <c r="P115" s="17" t="s">
        <v>5450</v>
      </c>
      <c r="Q115" s="17" t="s">
        <v>25</v>
      </c>
      <c r="R115" s="17" t="s">
        <v>5451</v>
      </c>
      <c r="S115" s="17" t="s">
        <v>477</v>
      </c>
      <c r="T115" s="17" t="s">
        <v>5452</v>
      </c>
      <c r="U115" s="17" t="s">
        <v>25</v>
      </c>
      <c r="V115" s="17" t="s">
        <v>5453</v>
      </c>
      <c r="W115" s="17"/>
      <c r="X115" s="17"/>
      <c r="Y115" s="17"/>
      <c r="Z115" s="17"/>
      <c r="AA115" s="17"/>
      <c r="AB115" s="17" t="str">
        <f t="shared" si="1"/>
        <v>GPR040247K</v>
      </c>
    </row>
    <row r="116" spans="1:28">
      <c r="A116" s="17" t="s">
        <v>5454</v>
      </c>
      <c r="B116" s="17" t="s">
        <v>5454</v>
      </c>
      <c r="C116" s="17" t="s">
        <v>5455</v>
      </c>
      <c r="D116" s="17" t="s">
        <v>21</v>
      </c>
      <c r="E116" s="24" t="s">
        <v>6447</v>
      </c>
      <c r="F116" s="17" t="s">
        <v>283</v>
      </c>
      <c r="G116" s="17" t="str">
        <f>Config!$B$3</f>
        <v>SCH/R_IEC.SchLib</v>
      </c>
      <c r="H116" s="17" t="s">
        <v>419</v>
      </c>
      <c r="I116" s="17" t="s">
        <v>461</v>
      </c>
      <c r="J116" s="17" t="s">
        <v>4821</v>
      </c>
      <c r="K116" s="17"/>
      <c r="L116" s="17"/>
      <c r="M116" s="21">
        <v>51000</v>
      </c>
      <c r="N116" s="17" t="s">
        <v>13979</v>
      </c>
      <c r="O116" s="17" t="s">
        <v>477</v>
      </c>
      <c r="P116" s="17" t="s">
        <v>5456</v>
      </c>
      <c r="Q116" s="17" t="s">
        <v>25</v>
      </c>
      <c r="R116" s="17" t="s">
        <v>5457</v>
      </c>
      <c r="S116" s="17" t="s">
        <v>477</v>
      </c>
      <c r="T116" s="17" t="s">
        <v>5458</v>
      </c>
      <c r="U116" s="17" t="s">
        <v>25</v>
      </c>
      <c r="V116" s="17" t="s">
        <v>5459</v>
      </c>
      <c r="W116" s="17"/>
      <c r="X116" s="17"/>
      <c r="Y116" s="17"/>
      <c r="Z116" s="17"/>
      <c r="AA116" s="17"/>
      <c r="AB116" s="17" t="str">
        <f t="shared" si="1"/>
        <v>GPR040251K</v>
      </c>
    </row>
    <row r="117" spans="1:28">
      <c r="A117" s="17" t="s">
        <v>5460</v>
      </c>
      <c r="B117" s="17" t="s">
        <v>5460</v>
      </c>
      <c r="C117" s="17" t="s">
        <v>5461</v>
      </c>
      <c r="D117" s="17" t="s">
        <v>21</v>
      </c>
      <c r="E117" s="24" t="s">
        <v>6447</v>
      </c>
      <c r="F117" s="17" t="s">
        <v>287</v>
      </c>
      <c r="G117" s="17" t="str">
        <f>Config!$B$3</f>
        <v>SCH/R_IEC.SchLib</v>
      </c>
      <c r="H117" s="17" t="s">
        <v>419</v>
      </c>
      <c r="I117" s="17" t="s">
        <v>461</v>
      </c>
      <c r="J117" s="17" t="s">
        <v>4821</v>
      </c>
      <c r="K117" s="17"/>
      <c r="L117" s="17"/>
      <c r="M117" s="21">
        <v>56000</v>
      </c>
      <c r="N117" s="17" t="s">
        <v>13979</v>
      </c>
      <c r="O117" s="17" t="s">
        <v>477</v>
      </c>
      <c r="P117" s="17" t="s">
        <v>5462</v>
      </c>
      <c r="Q117" s="17" t="s">
        <v>25</v>
      </c>
      <c r="R117" s="17" t="s">
        <v>5463</v>
      </c>
      <c r="S117" s="17" t="s">
        <v>477</v>
      </c>
      <c r="T117" s="17" t="s">
        <v>5464</v>
      </c>
      <c r="U117" s="17" t="s">
        <v>25</v>
      </c>
      <c r="V117" s="17" t="s">
        <v>5465</v>
      </c>
      <c r="W117" s="17"/>
      <c r="X117" s="17"/>
      <c r="Y117" s="17"/>
      <c r="Z117" s="17"/>
      <c r="AA117" s="17"/>
      <c r="AB117" s="17" t="str">
        <f t="shared" si="1"/>
        <v>GPR040256K</v>
      </c>
    </row>
    <row r="118" spans="1:28">
      <c r="A118" s="17" t="s">
        <v>5466</v>
      </c>
      <c r="B118" s="17" t="s">
        <v>5466</v>
      </c>
      <c r="C118" s="17" t="s">
        <v>5467</v>
      </c>
      <c r="D118" s="17" t="s">
        <v>21</v>
      </c>
      <c r="E118" s="24" t="s">
        <v>6447</v>
      </c>
      <c r="F118" s="17" t="s">
        <v>291</v>
      </c>
      <c r="G118" s="17" t="str">
        <f>Config!$B$3</f>
        <v>SCH/R_IEC.SchLib</v>
      </c>
      <c r="H118" s="17" t="s">
        <v>419</v>
      </c>
      <c r="I118" s="17" t="s">
        <v>461</v>
      </c>
      <c r="J118" s="17" t="s">
        <v>4821</v>
      </c>
      <c r="K118" s="17"/>
      <c r="L118" s="17"/>
      <c r="M118" s="21">
        <v>62000</v>
      </c>
      <c r="N118" s="17" t="s">
        <v>13979</v>
      </c>
      <c r="O118" s="17" t="s">
        <v>477</v>
      </c>
      <c r="P118" s="17" t="s">
        <v>5468</v>
      </c>
      <c r="Q118" s="17" t="s">
        <v>25</v>
      </c>
      <c r="R118" s="17" t="s">
        <v>5469</v>
      </c>
      <c r="S118" s="17" t="s">
        <v>477</v>
      </c>
      <c r="T118" s="17" t="s">
        <v>5470</v>
      </c>
      <c r="U118" s="17" t="s">
        <v>25</v>
      </c>
      <c r="V118" s="17" t="s">
        <v>5471</v>
      </c>
      <c r="W118" s="17"/>
      <c r="X118" s="17"/>
      <c r="Y118" s="17"/>
      <c r="Z118" s="17"/>
      <c r="AA118" s="17"/>
      <c r="AB118" s="17" t="str">
        <f t="shared" si="1"/>
        <v>GPR040262K</v>
      </c>
    </row>
    <row r="119" spans="1:28">
      <c r="A119" s="17" t="s">
        <v>5472</v>
      </c>
      <c r="B119" s="17" t="s">
        <v>5472</v>
      </c>
      <c r="C119" s="17" t="s">
        <v>5473</v>
      </c>
      <c r="D119" s="17" t="s">
        <v>21</v>
      </c>
      <c r="E119" s="24" t="s">
        <v>6447</v>
      </c>
      <c r="F119" s="17" t="s">
        <v>295</v>
      </c>
      <c r="G119" s="17" t="str">
        <f>Config!$B$3</f>
        <v>SCH/R_IEC.SchLib</v>
      </c>
      <c r="H119" s="17" t="s">
        <v>419</v>
      </c>
      <c r="I119" s="17" t="s">
        <v>461</v>
      </c>
      <c r="J119" s="17" t="s">
        <v>4821</v>
      </c>
      <c r="K119" s="17"/>
      <c r="L119" s="17"/>
      <c r="M119" s="21">
        <v>68000</v>
      </c>
      <c r="N119" s="17" t="s">
        <v>13979</v>
      </c>
      <c r="O119" s="17" t="s">
        <v>477</v>
      </c>
      <c r="P119" s="17" t="s">
        <v>5474</v>
      </c>
      <c r="Q119" s="17" t="s">
        <v>25</v>
      </c>
      <c r="R119" s="17" t="s">
        <v>5475</v>
      </c>
      <c r="S119" s="17" t="s">
        <v>477</v>
      </c>
      <c r="T119" s="17" t="s">
        <v>5476</v>
      </c>
      <c r="U119" s="17" t="s">
        <v>25</v>
      </c>
      <c r="V119" s="17" t="s">
        <v>5477</v>
      </c>
      <c r="W119" s="17"/>
      <c r="X119" s="17"/>
      <c r="Y119" s="17"/>
      <c r="Z119" s="17"/>
      <c r="AA119" s="17"/>
      <c r="AB119" s="17" t="str">
        <f t="shared" si="1"/>
        <v>GPR040268K</v>
      </c>
    </row>
    <row r="120" spans="1:28">
      <c r="A120" s="17" t="s">
        <v>5478</v>
      </c>
      <c r="B120" s="17" t="s">
        <v>5478</v>
      </c>
      <c r="C120" s="17" t="s">
        <v>5479</v>
      </c>
      <c r="D120" s="17" t="s">
        <v>21</v>
      </c>
      <c r="E120" s="24" t="s">
        <v>6447</v>
      </c>
      <c r="F120" s="17" t="s">
        <v>299</v>
      </c>
      <c r="G120" s="17" t="str">
        <f>Config!$B$3</f>
        <v>SCH/R_IEC.SchLib</v>
      </c>
      <c r="H120" s="17" t="s">
        <v>419</v>
      </c>
      <c r="I120" s="17" t="s">
        <v>461</v>
      </c>
      <c r="J120" s="17" t="s">
        <v>4821</v>
      </c>
      <c r="K120" s="17"/>
      <c r="L120" s="17"/>
      <c r="M120" s="21">
        <v>75000</v>
      </c>
      <c r="N120" s="17" t="s">
        <v>13979</v>
      </c>
      <c r="O120" s="17" t="s">
        <v>477</v>
      </c>
      <c r="P120" s="17" t="s">
        <v>5480</v>
      </c>
      <c r="Q120" s="17" t="s">
        <v>25</v>
      </c>
      <c r="R120" s="17" t="s">
        <v>5481</v>
      </c>
      <c r="S120" s="17" t="s">
        <v>477</v>
      </c>
      <c r="T120" s="17" t="s">
        <v>5482</v>
      </c>
      <c r="U120" s="17" t="s">
        <v>25</v>
      </c>
      <c r="V120" s="17" t="s">
        <v>5483</v>
      </c>
      <c r="W120" s="17"/>
      <c r="X120" s="17"/>
      <c r="Y120" s="17"/>
      <c r="Z120" s="17"/>
      <c r="AA120" s="17"/>
      <c r="AB120" s="17" t="str">
        <f t="shared" si="1"/>
        <v>GPR040275K</v>
      </c>
    </row>
    <row r="121" spans="1:28">
      <c r="A121" s="17" t="s">
        <v>5484</v>
      </c>
      <c r="B121" s="17" t="s">
        <v>5484</v>
      </c>
      <c r="C121" s="17" t="s">
        <v>5485</v>
      </c>
      <c r="D121" s="17" t="s">
        <v>21</v>
      </c>
      <c r="E121" s="24" t="s">
        <v>6447</v>
      </c>
      <c r="F121" s="17" t="s">
        <v>301</v>
      </c>
      <c r="G121" s="17" t="str">
        <f>Config!$B$3</f>
        <v>SCH/R_IEC.SchLib</v>
      </c>
      <c r="H121" s="17" t="s">
        <v>419</v>
      </c>
      <c r="I121" s="17" t="s">
        <v>461</v>
      </c>
      <c r="J121" s="17" t="s">
        <v>4821</v>
      </c>
      <c r="K121" s="17"/>
      <c r="L121" s="17"/>
      <c r="M121" s="21">
        <v>82000</v>
      </c>
      <c r="N121" s="17" t="s">
        <v>13979</v>
      </c>
      <c r="O121" s="17" t="s">
        <v>477</v>
      </c>
      <c r="P121" s="17" t="s">
        <v>5486</v>
      </c>
      <c r="Q121" s="17" t="s">
        <v>25</v>
      </c>
      <c r="R121" s="17" t="s">
        <v>5487</v>
      </c>
      <c r="S121" s="17" t="s">
        <v>477</v>
      </c>
      <c r="T121" s="17" t="s">
        <v>5488</v>
      </c>
      <c r="U121" s="17" t="s">
        <v>25</v>
      </c>
      <c r="V121" s="17" t="s">
        <v>5489</v>
      </c>
      <c r="W121" s="17"/>
      <c r="X121" s="17"/>
      <c r="Y121" s="17"/>
      <c r="Z121" s="17"/>
      <c r="AA121" s="17"/>
      <c r="AB121" s="17" t="str">
        <f t="shared" si="1"/>
        <v>GPR040282K</v>
      </c>
    </row>
    <row r="122" spans="1:28">
      <c r="A122" s="17" t="s">
        <v>5490</v>
      </c>
      <c r="B122" s="17" t="s">
        <v>5490</v>
      </c>
      <c r="C122" s="17" t="s">
        <v>5491</v>
      </c>
      <c r="D122" s="17" t="s">
        <v>21</v>
      </c>
      <c r="E122" s="24" t="s">
        <v>6447</v>
      </c>
      <c r="F122" s="17" t="s">
        <v>303</v>
      </c>
      <c r="G122" s="17" t="str">
        <f>Config!$B$3</f>
        <v>SCH/R_IEC.SchLib</v>
      </c>
      <c r="H122" s="17" t="s">
        <v>419</v>
      </c>
      <c r="I122" s="17" t="s">
        <v>461</v>
      </c>
      <c r="J122" s="17" t="s">
        <v>4821</v>
      </c>
      <c r="K122" s="17"/>
      <c r="L122" s="17"/>
      <c r="M122" s="21">
        <v>91000</v>
      </c>
      <c r="N122" s="17" t="s">
        <v>13979</v>
      </c>
      <c r="O122" s="17" t="s">
        <v>477</v>
      </c>
      <c r="P122" s="17" t="s">
        <v>5492</v>
      </c>
      <c r="Q122" s="17" t="s">
        <v>25</v>
      </c>
      <c r="R122" s="17" t="s">
        <v>5493</v>
      </c>
      <c r="S122" s="17" t="s">
        <v>477</v>
      </c>
      <c r="T122" s="17" t="s">
        <v>5494</v>
      </c>
      <c r="U122" s="17" t="s">
        <v>25</v>
      </c>
      <c r="V122" s="17" t="s">
        <v>5495</v>
      </c>
      <c r="W122" s="17"/>
      <c r="X122" s="17"/>
      <c r="Y122" s="17"/>
      <c r="Z122" s="17"/>
      <c r="AA122" s="17"/>
      <c r="AB122" s="17" t="str">
        <f t="shared" si="1"/>
        <v>GPR040291K</v>
      </c>
    </row>
    <row r="123" spans="1:28">
      <c r="A123" s="17" t="s">
        <v>5496</v>
      </c>
      <c r="B123" s="17" t="s">
        <v>5496</v>
      </c>
      <c r="C123" s="17" t="s">
        <v>5497</v>
      </c>
      <c r="D123" s="17" t="s">
        <v>21</v>
      </c>
      <c r="E123" s="24" t="s">
        <v>6447</v>
      </c>
      <c r="F123" s="17" t="s">
        <v>305</v>
      </c>
      <c r="G123" s="17" t="str">
        <f>Config!$B$3</f>
        <v>SCH/R_IEC.SchLib</v>
      </c>
      <c r="H123" s="17" t="s">
        <v>419</v>
      </c>
      <c r="I123" s="17" t="s">
        <v>461</v>
      </c>
      <c r="J123" s="17" t="s">
        <v>4821</v>
      </c>
      <c r="K123" s="17"/>
      <c r="L123" s="17"/>
      <c r="M123" s="21">
        <v>100000</v>
      </c>
      <c r="N123" s="17" t="s">
        <v>13979</v>
      </c>
      <c r="O123" s="17" t="s">
        <v>477</v>
      </c>
      <c r="P123" s="17" t="s">
        <v>5498</v>
      </c>
      <c r="Q123" s="17" t="s">
        <v>25</v>
      </c>
      <c r="R123" s="17" t="s">
        <v>5499</v>
      </c>
      <c r="S123" s="17" t="s">
        <v>477</v>
      </c>
      <c r="T123" s="17" t="s">
        <v>5500</v>
      </c>
      <c r="U123" s="17" t="s">
        <v>25</v>
      </c>
      <c r="V123" s="17" t="s">
        <v>5501</v>
      </c>
      <c r="W123" s="17"/>
      <c r="X123" s="17"/>
      <c r="Y123" s="17"/>
      <c r="Z123" s="17"/>
      <c r="AA123" s="17"/>
      <c r="AB123" s="17" t="str">
        <f t="shared" si="1"/>
        <v>GPR0402100K</v>
      </c>
    </row>
    <row r="124" spans="1:28">
      <c r="A124" s="17" t="s">
        <v>5502</v>
      </c>
      <c r="B124" s="17" t="s">
        <v>5502</v>
      </c>
      <c r="C124" s="17" t="s">
        <v>5503</v>
      </c>
      <c r="D124" s="17" t="s">
        <v>21</v>
      </c>
      <c r="E124" s="24" t="s">
        <v>6447</v>
      </c>
      <c r="F124" s="17" t="s">
        <v>309</v>
      </c>
      <c r="G124" s="17" t="str">
        <f>Config!$B$3</f>
        <v>SCH/R_IEC.SchLib</v>
      </c>
      <c r="H124" s="17" t="s">
        <v>419</v>
      </c>
      <c r="I124" s="17" t="s">
        <v>461</v>
      </c>
      <c r="J124" s="17" t="s">
        <v>4821</v>
      </c>
      <c r="K124" s="17"/>
      <c r="L124" s="17"/>
      <c r="M124" s="21">
        <v>110000</v>
      </c>
      <c r="N124" s="17" t="s">
        <v>13979</v>
      </c>
      <c r="O124" s="17" t="s">
        <v>477</v>
      </c>
      <c r="P124" s="17" t="s">
        <v>5504</v>
      </c>
      <c r="Q124" s="17" t="s">
        <v>25</v>
      </c>
      <c r="R124" s="17" t="s">
        <v>5505</v>
      </c>
      <c r="S124" s="17" t="s">
        <v>477</v>
      </c>
      <c r="T124" s="17" t="s">
        <v>5506</v>
      </c>
      <c r="U124" s="17" t="s">
        <v>25</v>
      </c>
      <c r="V124" s="17" t="s">
        <v>5507</v>
      </c>
      <c r="W124" s="17"/>
      <c r="X124" s="17"/>
      <c r="Y124" s="17"/>
      <c r="Z124" s="17"/>
      <c r="AA124" s="17"/>
      <c r="AB124" s="17" t="str">
        <f t="shared" si="1"/>
        <v>GPR0402110K</v>
      </c>
    </row>
    <row r="125" spans="1:28">
      <c r="A125" s="17" t="s">
        <v>5508</v>
      </c>
      <c r="B125" s="17" t="s">
        <v>5508</v>
      </c>
      <c r="C125" s="17" t="s">
        <v>5509</v>
      </c>
      <c r="D125" s="17" t="s">
        <v>21</v>
      </c>
      <c r="E125" s="24" t="s">
        <v>6447</v>
      </c>
      <c r="F125" s="17" t="s">
        <v>313</v>
      </c>
      <c r="G125" s="17" t="str">
        <f>Config!$B$3</f>
        <v>SCH/R_IEC.SchLib</v>
      </c>
      <c r="H125" s="17" t="s">
        <v>419</v>
      </c>
      <c r="I125" s="17" t="s">
        <v>461</v>
      </c>
      <c r="J125" s="17" t="s">
        <v>4821</v>
      </c>
      <c r="K125" s="17"/>
      <c r="L125" s="17"/>
      <c r="M125" s="21">
        <v>120000</v>
      </c>
      <c r="N125" s="17" t="s">
        <v>13979</v>
      </c>
      <c r="O125" s="17" t="s">
        <v>477</v>
      </c>
      <c r="P125" s="17" t="s">
        <v>5510</v>
      </c>
      <c r="Q125" s="17" t="s">
        <v>25</v>
      </c>
      <c r="R125" s="17" t="s">
        <v>5511</v>
      </c>
      <c r="S125" s="17" t="s">
        <v>477</v>
      </c>
      <c r="T125" s="17" t="s">
        <v>5512</v>
      </c>
      <c r="U125" s="17" t="s">
        <v>25</v>
      </c>
      <c r="V125" s="17" t="s">
        <v>5513</v>
      </c>
      <c r="W125" s="17"/>
      <c r="X125" s="17"/>
      <c r="Y125" s="17"/>
      <c r="Z125" s="17"/>
      <c r="AA125" s="17"/>
      <c r="AB125" s="17" t="str">
        <f t="shared" si="1"/>
        <v>GPR0402120K</v>
      </c>
    </row>
    <row r="126" spans="1:28">
      <c r="A126" s="17" t="s">
        <v>5514</v>
      </c>
      <c r="B126" s="17" t="s">
        <v>5514</v>
      </c>
      <c r="C126" s="17" t="s">
        <v>5515</v>
      </c>
      <c r="D126" s="17" t="s">
        <v>21</v>
      </c>
      <c r="E126" s="24" t="s">
        <v>6447</v>
      </c>
      <c r="F126" s="17" t="s">
        <v>317</v>
      </c>
      <c r="G126" s="17" t="str">
        <f>Config!$B$3</f>
        <v>SCH/R_IEC.SchLib</v>
      </c>
      <c r="H126" s="17" t="s">
        <v>419</v>
      </c>
      <c r="I126" s="17" t="s">
        <v>461</v>
      </c>
      <c r="J126" s="17" t="s">
        <v>4821</v>
      </c>
      <c r="K126" s="17"/>
      <c r="L126" s="17"/>
      <c r="M126" s="21">
        <v>130000</v>
      </c>
      <c r="N126" s="17" t="s">
        <v>13979</v>
      </c>
      <c r="O126" s="17" t="s">
        <v>477</v>
      </c>
      <c r="P126" s="17" t="s">
        <v>5516</v>
      </c>
      <c r="Q126" s="17" t="s">
        <v>25</v>
      </c>
      <c r="R126" s="17" t="s">
        <v>5517</v>
      </c>
      <c r="S126" s="17" t="s">
        <v>477</v>
      </c>
      <c r="T126" s="17" t="s">
        <v>5518</v>
      </c>
      <c r="U126" s="17" t="s">
        <v>25</v>
      </c>
      <c r="V126" s="17" t="s">
        <v>5519</v>
      </c>
      <c r="W126" s="17"/>
      <c r="X126" s="17"/>
      <c r="Y126" s="17"/>
      <c r="Z126" s="17"/>
      <c r="AA126" s="17"/>
      <c r="AB126" s="17" t="str">
        <f t="shared" si="1"/>
        <v>GPR0402130K</v>
      </c>
    </row>
    <row r="127" spans="1:28">
      <c r="A127" s="17" t="s">
        <v>5520</v>
      </c>
      <c r="B127" s="17" t="s">
        <v>5520</v>
      </c>
      <c r="C127" s="17" t="s">
        <v>5521</v>
      </c>
      <c r="D127" s="17" t="s">
        <v>21</v>
      </c>
      <c r="E127" s="24" t="s">
        <v>6447</v>
      </c>
      <c r="F127" s="17" t="s">
        <v>321</v>
      </c>
      <c r="G127" s="17" t="str">
        <f>Config!$B$3</f>
        <v>SCH/R_IEC.SchLib</v>
      </c>
      <c r="H127" s="17" t="s">
        <v>419</v>
      </c>
      <c r="I127" s="17" t="s">
        <v>461</v>
      </c>
      <c r="J127" s="17" t="s">
        <v>4821</v>
      </c>
      <c r="K127" s="17"/>
      <c r="L127" s="17"/>
      <c r="M127" s="21">
        <v>150000</v>
      </c>
      <c r="N127" s="17" t="s">
        <v>13979</v>
      </c>
      <c r="O127" s="17" t="s">
        <v>477</v>
      </c>
      <c r="P127" s="17" t="s">
        <v>5522</v>
      </c>
      <c r="Q127" s="17" t="s">
        <v>25</v>
      </c>
      <c r="R127" s="17" t="s">
        <v>5523</v>
      </c>
      <c r="S127" s="17" t="s">
        <v>477</v>
      </c>
      <c r="T127" s="17" t="s">
        <v>5524</v>
      </c>
      <c r="U127" s="17" t="s">
        <v>25</v>
      </c>
      <c r="V127" s="17" t="s">
        <v>5525</v>
      </c>
      <c r="W127" s="17"/>
      <c r="X127" s="17"/>
      <c r="Y127" s="17"/>
      <c r="Z127" s="17"/>
      <c r="AA127" s="17"/>
      <c r="AB127" s="17" t="str">
        <f t="shared" si="1"/>
        <v>GPR0402150K</v>
      </c>
    </row>
    <row r="128" spans="1:28">
      <c r="A128" s="17" t="s">
        <v>5526</v>
      </c>
      <c r="B128" s="17" t="s">
        <v>5526</v>
      </c>
      <c r="C128" s="17" t="s">
        <v>5527</v>
      </c>
      <c r="D128" s="17" t="s">
        <v>21</v>
      </c>
      <c r="E128" s="24" t="s">
        <v>6447</v>
      </c>
      <c r="F128" s="17" t="s">
        <v>323</v>
      </c>
      <c r="G128" s="17" t="str">
        <f>Config!$B$3</f>
        <v>SCH/R_IEC.SchLib</v>
      </c>
      <c r="H128" s="17" t="s">
        <v>419</v>
      </c>
      <c r="I128" s="17" t="s">
        <v>461</v>
      </c>
      <c r="J128" s="17" t="s">
        <v>4821</v>
      </c>
      <c r="K128" s="17"/>
      <c r="L128" s="17"/>
      <c r="M128" s="21">
        <v>160000</v>
      </c>
      <c r="N128" s="17" t="s">
        <v>13979</v>
      </c>
      <c r="O128" s="17" t="s">
        <v>477</v>
      </c>
      <c r="P128" s="17" t="s">
        <v>5528</v>
      </c>
      <c r="Q128" s="17" t="s">
        <v>25</v>
      </c>
      <c r="R128" s="17" t="s">
        <v>5529</v>
      </c>
      <c r="S128" s="17" t="s">
        <v>477</v>
      </c>
      <c r="T128" s="17" t="s">
        <v>5530</v>
      </c>
      <c r="U128" s="17" t="s">
        <v>25</v>
      </c>
      <c r="V128" s="17" t="s">
        <v>5531</v>
      </c>
      <c r="W128" s="17"/>
      <c r="X128" s="17"/>
      <c r="Y128" s="17"/>
      <c r="Z128" s="17"/>
      <c r="AA128" s="17"/>
      <c r="AB128" s="17" t="str">
        <f t="shared" si="1"/>
        <v>GPR0402160K</v>
      </c>
    </row>
    <row r="129" spans="1:28">
      <c r="A129" s="17" t="s">
        <v>5532</v>
      </c>
      <c r="B129" s="17" t="s">
        <v>5532</v>
      </c>
      <c r="C129" s="17" t="s">
        <v>5533</v>
      </c>
      <c r="D129" s="17" t="s">
        <v>21</v>
      </c>
      <c r="E129" s="24" t="s">
        <v>6447</v>
      </c>
      <c r="F129" s="17" t="s">
        <v>327</v>
      </c>
      <c r="G129" s="17" t="str">
        <f>Config!$B$3</f>
        <v>SCH/R_IEC.SchLib</v>
      </c>
      <c r="H129" s="17" t="s">
        <v>419</v>
      </c>
      <c r="I129" s="17" t="s">
        <v>461</v>
      </c>
      <c r="J129" s="17" t="s">
        <v>4821</v>
      </c>
      <c r="K129" s="17"/>
      <c r="L129" s="17"/>
      <c r="M129" s="21">
        <v>180000</v>
      </c>
      <c r="N129" s="17" t="s">
        <v>13979</v>
      </c>
      <c r="O129" s="17" t="s">
        <v>477</v>
      </c>
      <c r="P129" s="17" t="s">
        <v>5534</v>
      </c>
      <c r="Q129" s="17" t="s">
        <v>25</v>
      </c>
      <c r="R129" s="17" t="s">
        <v>5535</v>
      </c>
      <c r="S129" s="17" t="s">
        <v>477</v>
      </c>
      <c r="T129" s="17" t="s">
        <v>5536</v>
      </c>
      <c r="U129" s="17" t="s">
        <v>25</v>
      </c>
      <c r="V129" s="17" t="s">
        <v>5537</v>
      </c>
      <c r="W129" s="17"/>
      <c r="X129" s="17"/>
      <c r="Y129" s="17"/>
      <c r="Z129" s="17"/>
      <c r="AA129" s="17"/>
      <c r="AB129" s="17" t="str">
        <f t="shared" si="1"/>
        <v>GPR0402180K</v>
      </c>
    </row>
    <row r="130" spans="1:28">
      <c r="A130" s="17" t="s">
        <v>5538</v>
      </c>
      <c r="B130" s="17" t="s">
        <v>5538</v>
      </c>
      <c r="C130" s="17" t="s">
        <v>5539</v>
      </c>
      <c r="D130" s="17" t="s">
        <v>21</v>
      </c>
      <c r="E130" s="24" t="s">
        <v>6447</v>
      </c>
      <c r="F130" s="17" t="s">
        <v>331</v>
      </c>
      <c r="G130" s="17" t="str">
        <f>Config!$B$3</f>
        <v>SCH/R_IEC.SchLib</v>
      </c>
      <c r="H130" s="17" t="s">
        <v>419</v>
      </c>
      <c r="I130" s="17" t="s">
        <v>461</v>
      </c>
      <c r="J130" s="17" t="s">
        <v>4821</v>
      </c>
      <c r="K130" s="17"/>
      <c r="L130" s="17"/>
      <c r="M130" s="21">
        <v>200000</v>
      </c>
      <c r="N130" s="17" t="s">
        <v>13979</v>
      </c>
      <c r="O130" s="17" t="s">
        <v>477</v>
      </c>
      <c r="P130" s="17" t="s">
        <v>5540</v>
      </c>
      <c r="Q130" s="17" t="s">
        <v>25</v>
      </c>
      <c r="R130" s="17" t="s">
        <v>5541</v>
      </c>
      <c r="S130" s="17" t="s">
        <v>477</v>
      </c>
      <c r="T130" s="17" t="s">
        <v>5542</v>
      </c>
      <c r="U130" s="17" t="s">
        <v>25</v>
      </c>
      <c r="V130" s="17" t="s">
        <v>5543</v>
      </c>
      <c r="W130" s="17"/>
      <c r="X130" s="17"/>
      <c r="Y130" s="17"/>
      <c r="Z130" s="17"/>
      <c r="AA130" s="17"/>
      <c r="AB130" s="17" t="str">
        <f t="shared" si="1"/>
        <v>GPR0402200K</v>
      </c>
    </row>
    <row r="131" spans="1:28">
      <c r="A131" s="17" t="s">
        <v>5544</v>
      </c>
      <c r="B131" s="17" t="s">
        <v>5544</v>
      </c>
      <c r="C131" s="17" t="s">
        <v>5545</v>
      </c>
      <c r="D131" s="17" t="s">
        <v>21</v>
      </c>
      <c r="E131" s="24" t="s">
        <v>6447</v>
      </c>
      <c r="F131" s="17" t="s">
        <v>333</v>
      </c>
      <c r="G131" s="17" t="str">
        <f>Config!$B$3</f>
        <v>SCH/R_IEC.SchLib</v>
      </c>
      <c r="H131" s="17" t="s">
        <v>419</v>
      </c>
      <c r="I131" s="17" t="s">
        <v>461</v>
      </c>
      <c r="J131" s="17" t="s">
        <v>4821</v>
      </c>
      <c r="K131" s="17"/>
      <c r="L131" s="17"/>
      <c r="M131" s="21">
        <v>220000</v>
      </c>
      <c r="N131" s="17" t="s">
        <v>13979</v>
      </c>
      <c r="O131" s="17" t="s">
        <v>477</v>
      </c>
      <c r="P131" s="17" t="s">
        <v>5546</v>
      </c>
      <c r="Q131" s="17" t="s">
        <v>25</v>
      </c>
      <c r="R131" s="17" t="s">
        <v>5547</v>
      </c>
      <c r="S131" s="17" t="s">
        <v>477</v>
      </c>
      <c r="T131" s="17" t="s">
        <v>5548</v>
      </c>
      <c r="U131" s="17" t="s">
        <v>25</v>
      </c>
      <c r="V131" s="17" t="s">
        <v>5549</v>
      </c>
      <c r="W131" s="17"/>
      <c r="X131" s="17"/>
      <c r="Y131" s="17"/>
      <c r="Z131" s="17"/>
      <c r="AA131" s="17"/>
      <c r="AB131" s="17" t="str">
        <f t="shared" ref="AB131:AB171" si="2">"GPR"&amp;E131&amp;F131</f>
        <v>GPR0402220K</v>
      </c>
    </row>
    <row r="132" spans="1:28">
      <c r="A132" s="17" t="s">
        <v>5550</v>
      </c>
      <c r="B132" s="17" t="s">
        <v>5550</v>
      </c>
      <c r="C132" s="17" t="s">
        <v>5551</v>
      </c>
      <c r="D132" s="17" t="s">
        <v>21</v>
      </c>
      <c r="E132" s="24" t="s">
        <v>6447</v>
      </c>
      <c r="F132" s="17" t="s">
        <v>335</v>
      </c>
      <c r="G132" s="17" t="str">
        <f>Config!$B$3</f>
        <v>SCH/R_IEC.SchLib</v>
      </c>
      <c r="H132" s="17" t="s">
        <v>419</v>
      </c>
      <c r="I132" s="17" t="s">
        <v>461</v>
      </c>
      <c r="J132" s="17" t="s">
        <v>4821</v>
      </c>
      <c r="K132" s="17"/>
      <c r="L132" s="17"/>
      <c r="M132" s="21">
        <v>240000</v>
      </c>
      <c r="N132" s="17" t="s">
        <v>13979</v>
      </c>
      <c r="O132" s="17" t="s">
        <v>477</v>
      </c>
      <c r="P132" s="17" t="s">
        <v>5552</v>
      </c>
      <c r="Q132" s="17" t="s">
        <v>25</v>
      </c>
      <c r="R132" s="17" t="s">
        <v>5553</v>
      </c>
      <c r="S132" s="17" t="s">
        <v>477</v>
      </c>
      <c r="T132" s="17" t="s">
        <v>5554</v>
      </c>
      <c r="U132" s="17" t="s">
        <v>25</v>
      </c>
      <c r="V132" s="17" t="s">
        <v>5555</v>
      </c>
      <c r="W132" s="17"/>
      <c r="X132" s="17"/>
      <c r="Y132" s="17"/>
      <c r="Z132" s="17"/>
      <c r="AA132" s="17"/>
      <c r="AB132" s="17" t="str">
        <f t="shared" si="2"/>
        <v>GPR0402240K</v>
      </c>
    </row>
    <row r="133" spans="1:28">
      <c r="A133" s="17" t="s">
        <v>5556</v>
      </c>
      <c r="B133" s="17" t="s">
        <v>5556</v>
      </c>
      <c r="C133" s="17" t="s">
        <v>5557</v>
      </c>
      <c r="D133" s="17" t="s">
        <v>21</v>
      </c>
      <c r="E133" s="24" t="s">
        <v>6447</v>
      </c>
      <c r="F133" s="17" t="s">
        <v>337</v>
      </c>
      <c r="G133" s="17" t="str">
        <f>Config!$B$3</f>
        <v>SCH/R_IEC.SchLib</v>
      </c>
      <c r="H133" s="17" t="s">
        <v>419</v>
      </c>
      <c r="I133" s="17" t="s">
        <v>461</v>
      </c>
      <c r="J133" s="17" t="s">
        <v>4821</v>
      </c>
      <c r="K133" s="17"/>
      <c r="L133" s="17"/>
      <c r="M133" s="21">
        <v>270000</v>
      </c>
      <c r="N133" s="17" t="s">
        <v>13979</v>
      </c>
      <c r="O133" s="17" t="s">
        <v>477</v>
      </c>
      <c r="P133" s="17" t="s">
        <v>5558</v>
      </c>
      <c r="Q133" s="17" t="s">
        <v>25</v>
      </c>
      <c r="R133" s="17" t="s">
        <v>5559</v>
      </c>
      <c r="S133" s="17" t="s">
        <v>477</v>
      </c>
      <c r="T133" s="17" t="s">
        <v>5560</v>
      </c>
      <c r="U133" s="17" t="s">
        <v>25</v>
      </c>
      <c r="V133" s="17" t="s">
        <v>5561</v>
      </c>
      <c r="W133" s="17"/>
      <c r="X133" s="17"/>
      <c r="Y133" s="17"/>
      <c r="Z133" s="17"/>
      <c r="AA133" s="17"/>
      <c r="AB133" s="17" t="str">
        <f t="shared" si="2"/>
        <v>GPR0402270K</v>
      </c>
    </row>
    <row r="134" spans="1:28">
      <c r="A134" s="17" t="s">
        <v>5562</v>
      </c>
      <c r="B134" s="17" t="s">
        <v>5562</v>
      </c>
      <c r="C134" s="17" t="s">
        <v>5563</v>
      </c>
      <c r="D134" s="17" t="s">
        <v>21</v>
      </c>
      <c r="E134" s="24" t="s">
        <v>6447</v>
      </c>
      <c r="F134" s="17" t="s">
        <v>339</v>
      </c>
      <c r="G134" s="17" t="str">
        <f>Config!$B$3</f>
        <v>SCH/R_IEC.SchLib</v>
      </c>
      <c r="H134" s="17" t="s">
        <v>419</v>
      </c>
      <c r="I134" s="17" t="s">
        <v>461</v>
      </c>
      <c r="J134" s="17" t="s">
        <v>4821</v>
      </c>
      <c r="K134" s="17"/>
      <c r="L134" s="17"/>
      <c r="M134" s="21">
        <v>300000</v>
      </c>
      <c r="N134" s="17" t="s">
        <v>13979</v>
      </c>
      <c r="O134" s="17" t="s">
        <v>477</v>
      </c>
      <c r="P134" s="17" t="s">
        <v>5564</v>
      </c>
      <c r="Q134" s="17" t="s">
        <v>25</v>
      </c>
      <c r="R134" s="17" t="s">
        <v>5565</v>
      </c>
      <c r="S134" s="17" t="s">
        <v>477</v>
      </c>
      <c r="T134" s="17" t="s">
        <v>5566</v>
      </c>
      <c r="U134" s="17" t="s">
        <v>25</v>
      </c>
      <c r="V134" s="17" t="s">
        <v>5567</v>
      </c>
      <c r="W134" s="17"/>
      <c r="X134" s="17"/>
      <c r="Y134" s="17"/>
      <c r="Z134" s="17"/>
      <c r="AA134" s="17"/>
      <c r="AB134" s="17" t="str">
        <f t="shared" si="2"/>
        <v>GPR0402300K</v>
      </c>
    </row>
    <row r="135" spans="1:28">
      <c r="A135" s="17" t="s">
        <v>5568</v>
      </c>
      <c r="B135" s="17" t="s">
        <v>5568</v>
      </c>
      <c r="C135" s="17" t="s">
        <v>5569</v>
      </c>
      <c r="D135" s="17" t="s">
        <v>21</v>
      </c>
      <c r="E135" s="24" t="s">
        <v>6447</v>
      </c>
      <c r="F135" s="17" t="s">
        <v>341</v>
      </c>
      <c r="G135" s="17" t="str">
        <f>Config!$B$3</f>
        <v>SCH/R_IEC.SchLib</v>
      </c>
      <c r="H135" s="17" t="s">
        <v>419</v>
      </c>
      <c r="I135" s="17" t="s">
        <v>461</v>
      </c>
      <c r="J135" s="17" t="s">
        <v>4821</v>
      </c>
      <c r="K135" s="17"/>
      <c r="L135" s="17"/>
      <c r="M135" s="21">
        <v>330000</v>
      </c>
      <c r="N135" s="17" t="s">
        <v>13979</v>
      </c>
      <c r="O135" s="17" t="s">
        <v>477</v>
      </c>
      <c r="P135" s="17" t="s">
        <v>5570</v>
      </c>
      <c r="Q135" s="17" t="s">
        <v>25</v>
      </c>
      <c r="R135" s="17" t="s">
        <v>5571</v>
      </c>
      <c r="S135" s="17" t="s">
        <v>477</v>
      </c>
      <c r="T135" s="17" t="s">
        <v>5572</v>
      </c>
      <c r="U135" s="17" t="s">
        <v>25</v>
      </c>
      <c r="V135" s="17" t="s">
        <v>5573</v>
      </c>
      <c r="W135" s="17"/>
      <c r="X135" s="17"/>
      <c r="Y135" s="17"/>
      <c r="Z135" s="17"/>
      <c r="AA135" s="17"/>
      <c r="AB135" s="17" t="str">
        <f t="shared" si="2"/>
        <v>GPR0402330K</v>
      </c>
    </row>
    <row r="136" spans="1:28">
      <c r="A136" s="17" t="s">
        <v>5574</v>
      </c>
      <c r="B136" s="17" t="s">
        <v>5574</v>
      </c>
      <c r="C136" s="17" t="s">
        <v>5575</v>
      </c>
      <c r="D136" s="17" t="s">
        <v>21</v>
      </c>
      <c r="E136" s="24" t="s">
        <v>6447</v>
      </c>
      <c r="F136" s="17" t="s">
        <v>345</v>
      </c>
      <c r="G136" s="17" t="str">
        <f>Config!$B$3</f>
        <v>SCH/R_IEC.SchLib</v>
      </c>
      <c r="H136" s="17" t="s">
        <v>419</v>
      </c>
      <c r="I136" s="17" t="s">
        <v>461</v>
      </c>
      <c r="J136" s="17" t="s">
        <v>4821</v>
      </c>
      <c r="K136" s="17"/>
      <c r="L136" s="17"/>
      <c r="M136" s="21">
        <v>360000</v>
      </c>
      <c r="N136" s="17" t="s">
        <v>13979</v>
      </c>
      <c r="O136" s="17" t="s">
        <v>477</v>
      </c>
      <c r="P136" s="17" t="s">
        <v>5576</v>
      </c>
      <c r="Q136" s="17" t="s">
        <v>25</v>
      </c>
      <c r="R136" s="17" t="s">
        <v>5577</v>
      </c>
      <c r="S136" s="17"/>
      <c r="T136" s="17"/>
      <c r="U136" s="17"/>
      <c r="V136" s="17"/>
      <c r="W136" s="17"/>
      <c r="X136" s="17"/>
      <c r="Y136" s="17"/>
      <c r="Z136" s="17"/>
      <c r="AA136" s="17"/>
      <c r="AB136" s="17" t="str">
        <f t="shared" si="2"/>
        <v>GPR0402360K</v>
      </c>
    </row>
    <row r="137" spans="1:28">
      <c r="A137" s="17" t="s">
        <v>5578</v>
      </c>
      <c r="B137" s="17" t="s">
        <v>5578</v>
      </c>
      <c r="C137" s="17" t="s">
        <v>5579</v>
      </c>
      <c r="D137" s="17" t="s">
        <v>21</v>
      </c>
      <c r="E137" s="24" t="s">
        <v>6447</v>
      </c>
      <c r="F137" s="17" t="s">
        <v>349</v>
      </c>
      <c r="G137" s="17" t="str">
        <f>Config!$B$3</f>
        <v>SCH/R_IEC.SchLib</v>
      </c>
      <c r="H137" s="17" t="s">
        <v>419</v>
      </c>
      <c r="I137" s="17" t="s">
        <v>461</v>
      </c>
      <c r="J137" s="17" t="s">
        <v>4821</v>
      </c>
      <c r="K137" s="17"/>
      <c r="L137" s="17"/>
      <c r="M137" s="21">
        <v>390000</v>
      </c>
      <c r="N137" s="17" t="s">
        <v>13979</v>
      </c>
      <c r="O137" s="17" t="s">
        <v>477</v>
      </c>
      <c r="P137" s="17" t="s">
        <v>5580</v>
      </c>
      <c r="Q137" s="17" t="s">
        <v>25</v>
      </c>
      <c r="R137" s="17" t="s">
        <v>5581</v>
      </c>
      <c r="S137" s="17" t="s">
        <v>477</v>
      </c>
      <c r="T137" s="17" t="s">
        <v>5582</v>
      </c>
      <c r="U137" s="17" t="s">
        <v>25</v>
      </c>
      <c r="V137" s="17" t="s">
        <v>5583</v>
      </c>
      <c r="W137" s="17"/>
      <c r="X137" s="17"/>
      <c r="Y137" s="17"/>
      <c r="Z137" s="17"/>
      <c r="AA137" s="17"/>
      <c r="AB137" s="17" t="str">
        <f t="shared" si="2"/>
        <v>GPR0402390K</v>
      </c>
    </row>
    <row r="138" spans="1:28">
      <c r="A138" s="17" t="s">
        <v>5584</v>
      </c>
      <c r="B138" s="17" t="s">
        <v>5584</v>
      </c>
      <c r="C138" s="17" t="s">
        <v>5585</v>
      </c>
      <c r="D138" s="17" t="s">
        <v>21</v>
      </c>
      <c r="E138" s="24" t="s">
        <v>6447</v>
      </c>
      <c r="F138" s="17" t="s">
        <v>351</v>
      </c>
      <c r="G138" s="17" t="str">
        <f>Config!$B$3</f>
        <v>SCH/R_IEC.SchLib</v>
      </c>
      <c r="H138" s="17" t="s">
        <v>419</v>
      </c>
      <c r="I138" s="17" t="s">
        <v>461</v>
      </c>
      <c r="J138" s="17" t="s">
        <v>4821</v>
      </c>
      <c r="K138" s="17"/>
      <c r="L138" s="17"/>
      <c r="M138" s="21">
        <v>430000</v>
      </c>
      <c r="N138" s="17" t="s">
        <v>13979</v>
      </c>
      <c r="O138" s="17" t="s">
        <v>477</v>
      </c>
      <c r="P138" s="17" t="s">
        <v>5586</v>
      </c>
      <c r="Q138" s="17" t="s">
        <v>25</v>
      </c>
      <c r="R138" s="17" t="s">
        <v>5587</v>
      </c>
      <c r="S138" s="17"/>
      <c r="T138" s="17"/>
      <c r="U138" s="17"/>
      <c r="V138" s="17"/>
      <c r="W138" s="17"/>
      <c r="X138" s="17"/>
      <c r="Y138" s="17"/>
      <c r="Z138" s="17"/>
      <c r="AA138" s="17"/>
      <c r="AB138" s="17" t="str">
        <f t="shared" si="2"/>
        <v>GPR0402430K</v>
      </c>
    </row>
    <row r="139" spans="1:28">
      <c r="A139" s="17" t="s">
        <v>5588</v>
      </c>
      <c r="B139" s="17" t="s">
        <v>5588</v>
      </c>
      <c r="C139" s="17" t="s">
        <v>5589</v>
      </c>
      <c r="D139" s="17" t="s">
        <v>21</v>
      </c>
      <c r="E139" s="24" t="s">
        <v>6447</v>
      </c>
      <c r="F139" s="17" t="s">
        <v>353</v>
      </c>
      <c r="G139" s="17" t="str">
        <f>Config!$B$3</f>
        <v>SCH/R_IEC.SchLib</v>
      </c>
      <c r="H139" s="17" t="s">
        <v>419</v>
      </c>
      <c r="I139" s="17" t="s">
        <v>461</v>
      </c>
      <c r="J139" s="17" t="s">
        <v>4821</v>
      </c>
      <c r="K139" s="17"/>
      <c r="L139" s="17"/>
      <c r="M139" s="21">
        <v>470000</v>
      </c>
      <c r="N139" s="17" t="s">
        <v>13979</v>
      </c>
      <c r="O139" s="17" t="s">
        <v>477</v>
      </c>
      <c r="P139" s="17" t="s">
        <v>5590</v>
      </c>
      <c r="Q139" s="17" t="s">
        <v>25</v>
      </c>
      <c r="R139" s="17" t="s">
        <v>5591</v>
      </c>
      <c r="S139" s="17" t="s">
        <v>477</v>
      </c>
      <c r="T139" s="17" t="s">
        <v>5592</v>
      </c>
      <c r="U139" s="17" t="s">
        <v>25</v>
      </c>
      <c r="V139" s="17" t="s">
        <v>5593</v>
      </c>
      <c r="W139" s="17"/>
      <c r="X139" s="17"/>
      <c r="Y139" s="17"/>
      <c r="Z139" s="17"/>
      <c r="AA139" s="17"/>
      <c r="AB139" s="17" t="str">
        <f t="shared" si="2"/>
        <v>GPR0402470K</v>
      </c>
    </row>
    <row r="140" spans="1:28">
      <c r="A140" s="17" t="s">
        <v>5594</v>
      </c>
      <c r="B140" s="17" t="s">
        <v>5594</v>
      </c>
      <c r="C140" s="17" t="s">
        <v>5595</v>
      </c>
      <c r="D140" s="17" t="s">
        <v>21</v>
      </c>
      <c r="E140" s="24" t="s">
        <v>6447</v>
      </c>
      <c r="F140" s="17" t="s">
        <v>355</v>
      </c>
      <c r="G140" s="17" t="str">
        <f>Config!$B$3</f>
        <v>SCH/R_IEC.SchLib</v>
      </c>
      <c r="H140" s="17" t="s">
        <v>419</v>
      </c>
      <c r="I140" s="17" t="s">
        <v>461</v>
      </c>
      <c r="J140" s="17" t="s">
        <v>4821</v>
      </c>
      <c r="K140" s="17"/>
      <c r="L140" s="17"/>
      <c r="M140" s="21">
        <v>510000</v>
      </c>
      <c r="N140" s="17" t="s">
        <v>13979</v>
      </c>
      <c r="O140" s="17" t="s">
        <v>477</v>
      </c>
      <c r="P140" s="17" t="s">
        <v>5596</v>
      </c>
      <c r="Q140" s="17" t="s">
        <v>25</v>
      </c>
      <c r="R140" s="17" t="s">
        <v>5597</v>
      </c>
      <c r="S140" s="17" t="s">
        <v>477</v>
      </c>
      <c r="T140" s="17" t="s">
        <v>5598</v>
      </c>
      <c r="U140" s="17" t="s">
        <v>25</v>
      </c>
      <c r="V140" s="17" t="s">
        <v>5599</v>
      </c>
      <c r="W140" s="17"/>
      <c r="X140" s="17"/>
      <c r="Y140" s="17"/>
      <c r="Z140" s="17"/>
      <c r="AA140" s="17"/>
      <c r="AB140" s="17" t="str">
        <f t="shared" si="2"/>
        <v>GPR0402510K</v>
      </c>
    </row>
    <row r="141" spans="1:28">
      <c r="A141" s="17" t="s">
        <v>5600</v>
      </c>
      <c r="B141" s="17" t="s">
        <v>5600</v>
      </c>
      <c r="C141" s="17" t="s">
        <v>5601</v>
      </c>
      <c r="D141" s="17" t="s">
        <v>21</v>
      </c>
      <c r="E141" s="24" t="s">
        <v>6447</v>
      </c>
      <c r="F141" s="17" t="s">
        <v>357</v>
      </c>
      <c r="G141" s="17" t="str">
        <f>Config!$B$3</f>
        <v>SCH/R_IEC.SchLib</v>
      </c>
      <c r="H141" s="17" t="s">
        <v>419</v>
      </c>
      <c r="I141" s="17" t="s">
        <v>461</v>
      </c>
      <c r="J141" s="17" t="s">
        <v>4821</v>
      </c>
      <c r="K141" s="17"/>
      <c r="L141" s="17"/>
      <c r="M141" s="21">
        <v>560000</v>
      </c>
      <c r="N141" s="17" t="s">
        <v>13979</v>
      </c>
      <c r="O141" s="17" t="s">
        <v>477</v>
      </c>
      <c r="P141" s="17" t="s">
        <v>5602</v>
      </c>
      <c r="Q141" s="17" t="s">
        <v>25</v>
      </c>
      <c r="R141" s="17" t="s">
        <v>5603</v>
      </c>
      <c r="S141" s="17" t="s">
        <v>477</v>
      </c>
      <c r="T141" s="17" t="s">
        <v>5604</v>
      </c>
      <c r="U141" s="17" t="s">
        <v>25</v>
      </c>
      <c r="V141" s="17" t="s">
        <v>5605</v>
      </c>
      <c r="W141" s="17"/>
      <c r="X141" s="17"/>
      <c r="Y141" s="17"/>
      <c r="Z141" s="17"/>
      <c r="AA141" s="17"/>
      <c r="AB141" s="17" t="str">
        <f t="shared" si="2"/>
        <v>GPR0402560K</v>
      </c>
    </row>
    <row r="142" spans="1:28">
      <c r="A142" s="17" t="s">
        <v>5606</v>
      </c>
      <c r="B142" s="17" t="s">
        <v>5606</v>
      </c>
      <c r="C142" s="17" t="s">
        <v>5607</v>
      </c>
      <c r="D142" s="17" t="s">
        <v>21</v>
      </c>
      <c r="E142" s="24" t="s">
        <v>6447</v>
      </c>
      <c r="F142" s="17" t="s">
        <v>359</v>
      </c>
      <c r="G142" s="17" t="str">
        <f>Config!$B$3</f>
        <v>SCH/R_IEC.SchLib</v>
      </c>
      <c r="H142" s="17" t="s">
        <v>419</v>
      </c>
      <c r="I142" s="17" t="s">
        <v>461</v>
      </c>
      <c r="J142" s="17" t="s">
        <v>4821</v>
      </c>
      <c r="K142" s="17"/>
      <c r="L142" s="17"/>
      <c r="M142" s="21">
        <v>620000</v>
      </c>
      <c r="N142" s="17" t="s">
        <v>13979</v>
      </c>
      <c r="O142" s="17" t="s">
        <v>477</v>
      </c>
      <c r="P142" s="17" t="s">
        <v>5608</v>
      </c>
      <c r="Q142" s="17" t="s">
        <v>25</v>
      </c>
      <c r="R142" s="17" t="s">
        <v>5609</v>
      </c>
      <c r="S142" s="17"/>
      <c r="T142" s="17"/>
      <c r="U142" s="17"/>
      <c r="V142" s="17"/>
      <c r="W142" s="17"/>
      <c r="X142" s="17"/>
      <c r="Y142" s="17"/>
      <c r="Z142" s="17"/>
      <c r="AA142" s="17"/>
      <c r="AB142" s="17" t="str">
        <f t="shared" si="2"/>
        <v>GPR0402620K</v>
      </c>
    </row>
    <row r="143" spans="1:28">
      <c r="A143" s="17" t="s">
        <v>5610</v>
      </c>
      <c r="B143" s="17" t="s">
        <v>5610</v>
      </c>
      <c r="C143" s="17" t="s">
        <v>5611</v>
      </c>
      <c r="D143" s="17" t="s">
        <v>21</v>
      </c>
      <c r="E143" s="24" t="s">
        <v>6447</v>
      </c>
      <c r="F143" s="17" t="s">
        <v>361</v>
      </c>
      <c r="G143" s="17" t="str">
        <f>Config!$B$3</f>
        <v>SCH/R_IEC.SchLib</v>
      </c>
      <c r="H143" s="17" t="s">
        <v>419</v>
      </c>
      <c r="I143" s="17" t="s">
        <v>461</v>
      </c>
      <c r="J143" s="17" t="s">
        <v>4821</v>
      </c>
      <c r="K143" s="17"/>
      <c r="L143" s="17"/>
      <c r="M143" s="21">
        <v>680000</v>
      </c>
      <c r="N143" s="17" t="s">
        <v>13979</v>
      </c>
      <c r="O143" s="17" t="s">
        <v>477</v>
      </c>
      <c r="P143" s="17" t="s">
        <v>5612</v>
      </c>
      <c r="Q143" s="17" t="s">
        <v>25</v>
      </c>
      <c r="R143" s="17" t="s">
        <v>5613</v>
      </c>
      <c r="S143" s="17" t="s">
        <v>477</v>
      </c>
      <c r="T143" s="17" t="s">
        <v>5614</v>
      </c>
      <c r="U143" s="17" t="s">
        <v>25</v>
      </c>
      <c r="V143" s="17" t="s">
        <v>5615</v>
      </c>
      <c r="W143" s="17"/>
      <c r="X143" s="17"/>
      <c r="Y143" s="17"/>
      <c r="Z143" s="17"/>
      <c r="AA143" s="17"/>
      <c r="AB143" s="17" t="str">
        <f t="shared" si="2"/>
        <v>GPR0402680K</v>
      </c>
    </row>
    <row r="144" spans="1:28">
      <c r="A144" s="17" t="s">
        <v>5616</v>
      </c>
      <c r="B144" s="17" t="s">
        <v>5616</v>
      </c>
      <c r="C144" s="17" t="s">
        <v>5617</v>
      </c>
      <c r="D144" s="17" t="s">
        <v>21</v>
      </c>
      <c r="E144" s="24" t="s">
        <v>6447</v>
      </c>
      <c r="F144" s="17" t="s">
        <v>363</v>
      </c>
      <c r="G144" s="17" t="str">
        <f>Config!$B$3</f>
        <v>SCH/R_IEC.SchLib</v>
      </c>
      <c r="H144" s="17" t="s">
        <v>419</v>
      </c>
      <c r="I144" s="17" t="s">
        <v>461</v>
      </c>
      <c r="J144" s="17" t="s">
        <v>4821</v>
      </c>
      <c r="K144" s="17"/>
      <c r="L144" s="17"/>
      <c r="M144" s="21">
        <v>750000</v>
      </c>
      <c r="N144" s="17" t="s">
        <v>13979</v>
      </c>
      <c r="O144" s="17" t="s">
        <v>477</v>
      </c>
      <c r="P144" s="17" t="s">
        <v>5618</v>
      </c>
      <c r="Q144" s="17" t="s">
        <v>25</v>
      </c>
      <c r="R144" s="17" t="s">
        <v>5619</v>
      </c>
      <c r="S144" s="17" t="s">
        <v>477</v>
      </c>
      <c r="T144" s="17" t="s">
        <v>5620</v>
      </c>
      <c r="U144" s="17" t="s">
        <v>25</v>
      </c>
      <c r="V144" s="17" t="s">
        <v>5621</v>
      </c>
      <c r="W144" s="17"/>
      <c r="X144" s="17"/>
      <c r="Y144" s="17"/>
      <c r="Z144" s="17"/>
      <c r="AA144" s="17"/>
      <c r="AB144" s="17" t="str">
        <f t="shared" si="2"/>
        <v>GPR0402750K</v>
      </c>
    </row>
    <row r="145" spans="1:28">
      <c r="A145" s="17" t="s">
        <v>5622</v>
      </c>
      <c r="B145" s="17" t="s">
        <v>5622</v>
      </c>
      <c r="C145" s="17" t="s">
        <v>5623</v>
      </c>
      <c r="D145" s="17" t="s">
        <v>21</v>
      </c>
      <c r="E145" s="24" t="s">
        <v>6447</v>
      </c>
      <c r="F145" s="17" t="s">
        <v>365</v>
      </c>
      <c r="G145" s="17" t="str">
        <f>Config!$B$3</f>
        <v>SCH/R_IEC.SchLib</v>
      </c>
      <c r="H145" s="17" t="s">
        <v>419</v>
      </c>
      <c r="I145" s="17" t="s">
        <v>461</v>
      </c>
      <c r="J145" s="17" t="s">
        <v>4821</v>
      </c>
      <c r="K145" s="17"/>
      <c r="L145" s="17"/>
      <c r="M145" s="21">
        <v>820000</v>
      </c>
      <c r="N145" s="17" t="s">
        <v>13979</v>
      </c>
      <c r="O145" s="17" t="s">
        <v>477</v>
      </c>
      <c r="P145" s="17" t="s">
        <v>5624</v>
      </c>
      <c r="Q145" s="17" t="s">
        <v>25</v>
      </c>
      <c r="R145" s="17" t="s">
        <v>5625</v>
      </c>
      <c r="S145" s="17" t="s">
        <v>477</v>
      </c>
      <c r="T145" s="17" t="s">
        <v>5626</v>
      </c>
      <c r="U145" s="17" t="s">
        <v>25</v>
      </c>
      <c r="V145" s="17" t="s">
        <v>5627</v>
      </c>
      <c r="W145" s="17"/>
      <c r="X145" s="17"/>
      <c r="Y145" s="17"/>
      <c r="Z145" s="17"/>
      <c r="AA145" s="17"/>
      <c r="AB145" s="17" t="str">
        <f t="shared" si="2"/>
        <v>GPR0402820K</v>
      </c>
    </row>
    <row r="146" spans="1:28">
      <c r="A146" s="17" t="s">
        <v>5628</v>
      </c>
      <c r="B146" s="17" t="s">
        <v>5628</v>
      </c>
      <c r="C146" s="17" t="s">
        <v>5629</v>
      </c>
      <c r="D146" s="17" t="s">
        <v>21</v>
      </c>
      <c r="E146" s="24" t="s">
        <v>6447</v>
      </c>
      <c r="F146" s="17" t="s">
        <v>367</v>
      </c>
      <c r="G146" s="17" t="str">
        <f>Config!$B$3</f>
        <v>SCH/R_IEC.SchLib</v>
      </c>
      <c r="H146" s="17" t="s">
        <v>419</v>
      </c>
      <c r="I146" s="17" t="s">
        <v>461</v>
      </c>
      <c r="J146" s="17" t="s">
        <v>4821</v>
      </c>
      <c r="K146" s="17"/>
      <c r="L146" s="17"/>
      <c r="M146" s="21">
        <v>910000</v>
      </c>
      <c r="N146" s="17" t="s">
        <v>13979</v>
      </c>
      <c r="O146" s="17" t="s">
        <v>477</v>
      </c>
      <c r="P146" s="17" t="s">
        <v>5630</v>
      </c>
      <c r="Q146" s="17" t="s">
        <v>25</v>
      </c>
      <c r="R146" s="17" t="s">
        <v>5631</v>
      </c>
      <c r="S146" s="17" t="s">
        <v>477</v>
      </c>
      <c r="T146" s="17" t="s">
        <v>5632</v>
      </c>
      <c r="U146" s="17" t="s">
        <v>25</v>
      </c>
      <c r="V146" s="17" t="s">
        <v>5633</v>
      </c>
      <c r="W146" s="17"/>
      <c r="X146" s="17"/>
      <c r="Y146" s="17"/>
      <c r="Z146" s="17"/>
      <c r="AA146" s="17"/>
      <c r="AB146" s="17" t="str">
        <f t="shared" si="2"/>
        <v>GPR0402910K</v>
      </c>
    </row>
    <row r="147" spans="1:28">
      <c r="A147" s="17" t="s">
        <v>5634</v>
      </c>
      <c r="B147" s="17" t="s">
        <v>5634</v>
      </c>
      <c r="C147" s="17" t="s">
        <v>5635</v>
      </c>
      <c r="D147" s="17" t="s">
        <v>21</v>
      </c>
      <c r="E147" s="24" t="s">
        <v>6447</v>
      </c>
      <c r="F147" s="17" t="s">
        <v>369</v>
      </c>
      <c r="G147" s="17" t="str">
        <f>Config!$B$3</f>
        <v>SCH/R_IEC.SchLib</v>
      </c>
      <c r="H147" s="17" t="s">
        <v>419</v>
      </c>
      <c r="I147" s="17" t="s">
        <v>461</v>
      </c>
      <c r="J147" s="17" t="s">
        <v>4821</v>
      </c>
      <c r="K147" s="17"/>
      <c r="L147" s="17"/>
      <c r="M147" s="21">
        <v>1000000</v>
      </c>
      <c r="N147" s="17" t="s">
        <v>13979</v>
      </c>
      <c r="O147" s="17" t="s">
        <v>477</v>
      </c>
      <c r="P147" s="17" t="s">
        <v>5636</v>
      </c>
      <c r="Q147" s="17" t="s">
        <v>25</v>
      </c>
      <c r="R147" s="17" t="s">
        <v>5637</v>
      </c>
      <c r="S147" s="17" t="s">
        <v>477</v>
      </c>
      <c r="T147" s="17" t="s">
        <v>5638</v>
      </c>
      <c r="U147" s="17" t="s">
        <v>25</v>
      </c>
      <c r="V147" s="17" t="s">
        <v>5639</v>
      </c>
      <c r="W147" s="17"/>
      <c r="X147" s="17"/>
      <c r="Y147" s="17"/>
      <c r="Z147" s="17"/>
      <c r="AA147" s="17"/>
      <c r="AB147" s="17" t="str">
        <f t="shared" si="2"/>
        <v>GPR04021M</v>
      </c>
    </row>
    <row r="148" spans="1:28">
      <c r="A148" s="17" t="s">
        <v>5640</v>
      </c>
      <c r="B148" s="17" t="s">
        <v>5640</v>
      </c>
      <c r="C148" s="17" t="s">
        <v>5641</v>
      </c>
      <c r="D148" s="17" t="s">
        <v>21</v>
      </c>
      <c r="E148" s="24" t="s">
        <v>6447</v>
      </c>
      <c r="F148" s="17" t="s">
        <v>371</v>
      </c>
      <c r="G148" s="17" t="str">
        <f>Config!$B$3</f>
        <v>SCH/R_IEC.SchLib</v>
      </c>
      <c r="H148" s="17" t="s">
        <v>419</v>
      </c>
      <c r="I148" s="17" t="s">
        <v>461</v>
      </c>
      <c r="J148" s="17" t="s">
        <v>4821</v>
      </c>
      <c r="K148" s="17"/>
      <c r="L148" s="17"/>
      <c r="M148" s="21">
        <v>1100000</v>
      </c>
      <c r="N148" s="17" t="s">
        <v>13979</v>
      </c>
      <c r="O148" s="17" t="s">
        <v>477</v>
      </c>
      <c r="P148" s="17" t="s">
        <v>5642</v>
      </c>
      <c r="Q148" s="17" t="s">
        <v>25</v>
      </c>
      <c r="R148" s="17" t="s">
        <v>5643</v>
      </c>
      <c r="S148" s="17"/>
      <c r="T148" s="17"/>
      <c r="U148" s="17"/>
      <c r="V148" s="17"/>
      <c r="W148" s="17"/>
      <c r="X148" s="17"/>
      <c r="Y148" s="17"/>
      <c r="Z148" s="17"/>
      <c r="AA148" s="17"/>
      <c r="AB148" s="17" t="str">
        <f t="shared" si="2"/>
        <v>GPR04021M1</v>
      </c>
    </row>
    <row r="149" spans="1:28">
      <c r="A149" s="17" t="s">
        <v>5644</v>
      </c>
      <c r="B149" s="17" t="s">
        <v>5644</v>
      </c>
      <c r="C149" s="17" t="s">
        <v>5645</v>
      </c>
      <c r="D149" s="17" t="s">
        <v>21</v>
      </c>
      <c r="E149" s="24" t="s">
        <v>6447</v>
      </c>
      <c r="F149" s="17" t="s">
        <v>373</v>
      </c>
      <c r="G149" s="17" t="str">
        <f>Config!$B$3</f>
        <v>SCH/R_IEC.SchLib</v>
      </c>
      <c r="H149" s="17" t="s">
        <v>419</v>
      </c>
      <c r="I149" s="17" t="s">
        <v>461</v>
      </c>
      <c r="J149" s="17" t="s">
        <v>4821</v>
      </c>
      <c r="K149" s="17"/>
      <c r="L149" s="17"/>
      <c r="M149" s="21">
        <v>1200000</v>
      </c>
      <c r="N149" s="17" t="s">
        <v>13979</v>
      </c>
      <c r="O149" s="17" t="s">
        <v>477</v>
      </c>
      <c r="P149" s="17" t="s">
        <v>5646</v>
      </c>
      <c r="Q149" s="17" t="s">
        <v>25</v>
      </c>
      <c r="R149" s="17" t="s">
        <v>5647</v>
      </c>
      <c r="S149" s="17"/>
      <c r="T149" s="17"/>
      <c r="U149" s="17"/>
      <c r="V149" s="17"/>
      <c r="W149" s="17"/>
      <c r="X149" s="17"/>
      <c r="Y149" s="17"/>
      <c r="Z149" s="17"/>
      <c r="AA149" s="17"/>
      <c r="AB149" s="17" t="str">
        <f t="shared" si="2"/>
        <v>GPR04021M2</v>
      </c>
    </row>
    <row r="150" spans="1:28">
      <c r="A150" s="17" t="s">
        <v>5648</v>
      </c>
      <c r="B150" s="17" t="s">
        <v>5648</v>
      </c>
      <c r="C150" s="17" t="s">
        <v>5649</v>
      </c>
      <c r="D150" s="17" t="s">
        <v>21</v>
      </c>
      <c r="E150" s="24" t="s">
        <v>6447</v>
      </c>
      <c r="F150" s="17" t="s">
        <v>375</v>
      </c>
      <c r="G150" s="17" t="str">
        <f>Config!$B$3</f>
        <v>SCH/R_IEC.SchLib</v>
      </c>
      <c r="H150" s="17" t="s">
        <v>419</v>
      </c>
      <c r="I150" s="17" t="s">
        <v>461</v>
      </c>
      <c r="J150" s="17" t="s">
        <v>4821</v>
      </c>
      <c r="K150" s="17"/>
      <c r="L150" s="17"/>
      <c r="M150" s="21">
        <v>1300000</v>
      </c>
      <c r="N150" s="17" t="s">
        <v>13979</v>
      </c>
      <c r="O150" s="17" t="s">
        <v>477</v>
      </c>
      <c r="P150" s="17" t="s">
        <v>5650</v>
      </c>
      <c r="Q150" s="17" t="s">
        <v>25</v>
      </c>
      <c r="R150" s="17" t="s">
        <v>5651</v>
      </c>
      <c r="S150" s="17"/>
      <c r="T150" s="17"/>
      <c r="U150" s="17"/>
      <c r="V150" s="17"/>
      <c r="W150" s="17"/>
      <c r="X150" s="17"/>
      <c r="Y150" s="17"/>
      <c r="Z150" s="17"/>
      <c r="AA150" s="17"/>
      <c r="AB150" s="17" t="str">
        <f t="shared" si="2"/>
        <v>GPR04021M3</v>
      </c>
    </row>
    <row r="151" spans="1:28">
      <c r="A151" s="17" t="s">
        <v>5652</v>
      </c>
      <c r="B151" s="17" t="s">
        <v>5652</v>
      </c>
      <c r="C151" s="17" t="s">
        <v>5653</v>
      </c>
      <c r="D151" s="17" t="s">
        <v>21</v>
      </c>
      <c r="E151" s="24" t="s">
        <v>6447</v>
      </c>
      <c r="F151" s="17" t="s">
        <v>377</v>
      </c>
      <c r="G151" s="17" t="str">
        <f>Config!$B$3</f>
        <v>SCH/R_IEC.SchLib</v>
      </c>
      <c r="H151" s="17" t="s">
        <v>419</v>
      </c>
      <c r="I151" s="17" t="s">
        <v>461</v>
      </c>
      <c r="J151" s="17" t="s">
        <v>4821</v>
      </c>
      <c r="K151" s="17"/>
      <c r="L151" s="17"/>
      <c r="M151" s="21">
        <v>1500000</v>
      </c>
      <c r="N151" s="17" t="s">
        <v>13979</v>
      </c>
      <c r="O151" s="17" t="s">
        <v>477</v>
      </c>
      <c r="P151" s="17" t="s">
        <v>5654</v>
      </c>
      <c r="Q151" s="17" t="s">
        <v>25</v>
      </c>
      <c r="R151" s="17" t="s">
        <v>5655</v>
      </c>
      <c r="S151" s="17"/>
      <c r="T151" s="17"/>
      <c r="U151" s="17"/>
      <c r="V151" s="17"/>
      <c r="W151" s="17"/>
      <c r="X151" s="17"/>
      <c r="Y151" s="17"/>
      <c r="Z151" s="17"/>
      <c r="AA151" s="17"/>
      <c r="AB151" s="17" t="str">
        <f t="shared" si="2"/>
        <v>GPR04021M5</v>
      </c>
    </row>
    <row r="152" spans="1:28">
      <c r="A152" s="17" t="s">
        <v>5656</v>
      </c>
      <c r="B152" s="17" t="s">
        <v>5656</v>
      </c>
      <c r="C152" s="17" t="s">
        <v>5657</v>
      </c>
      <c r="D152" s="17" t="s">
        <v>21</v>
      </c>
      <c r="E152" s="24" t="s">
        <v>6447</v>
      </c>
      <c r="F152" s="17" t="s">
        <v>379</v>
      </c>
      <c r="G152" s="17" t="str">
        <f>Config!$B$3</f>
        <v>SCH/R_IEC.SchLib</v>
      </c>
      <c r="H152" s="17" t="s">
        <v>419</v>
      </c>
      <c r="I152" s="17" t="s">
        <v>461</v>
      </c>
      <c r="J152" s="17" t="s">
        <v>4821</v>
      </c>
      <c r="K152" s="17"/>
      <c r="L152" s="17"/>
      <c r="M152" s="21">
        <v>1600000</v>
      </c>
      <c r="N152" s="17" t="s">
        <v>13979</v>
      </c>
      <c r="O152" s="17" t="s">
        <v>477</v>
      </c>
      <c r="P152" s="17" t="s">
        <v>5658</v>
      </c>
      <c r="Q152" s="17" t="s">
        <v>25</v>
      </c>
      <c r="R152" s="17" t="s">
        <v>5659</v>
      </c>
      <c r="S152" s="17"/>
      <c r="T152" s="17"/>
      <c r="U152" s="17"/>
      <c r="V152" s="17"/>
      <c r="W152" s="17"/>
      <c r="X152" s="17"/>
      <c r="Y152" s="17"/>
      <c r="Z152" s="17"/>
      <c r="AA152" s="17"/>
      <c r="AB152" s="17" t="str">
        <f t="shared" si="2"/>
        <v>GPR04021M6</v>
      </c>
    </row>
    <row r="153" spans="1:28">
      <c r="A153" s="17" t="s">
        <v>5660</v>
      </c>
      <c r="B153" s="17" t="s">
        <v>5660</v>
      </c>
      <c r="C153" s="17" t="s">
        <v>5661</v>
      </c>
      <c r="D153" s="17" t="s">
        <v>21</v>
      </c>
      <c r="E153" s="24" t="s">
        <v>6447</v>
      </c>
      <c r="F153" s="17" t="s">
        <v>381</v>
      </c>
      <c r="G153" s="17" t="str">
        <f>Config!$B$3</f>
        <v>SCH/R_IEC.SchLib</v>
      </c>
      <c r="H153" s="17" t="s">
        <v>419</v>
      </c>
      <c r="I153" s="17" t="s">
        <v>461</v>
      </c>
      <c r="J153" s="17" t="s">
        <v>4821</v>
      </c>
      <c r="K153" s="17"/>
      <c r="L153" s="17"/>
      <c r="M153" s="21">
        <v>1800000</v>
      </c>
      <c r="N153" s="17" t="s">
        <v>13979</v>
      </c>
      <c r="O153" s="17" t="s">
        <v>477</v>
      </c>
      <c r="P153" s="17" t="s">
        <v>5662</v>
      </c>
      <c r="Q153" s="17" t="s">
        <v>25</v>
      </c>
      <c r="R153" s="17" t="s">
        <v>5663</v>
      </c>
      <c r="S153" s="17" t="s">
        <v>477</v>
      </c>
      <c r="T153" s="17" t="s">
        <v>5664</v>
      </c>
      <c r="U153" s="17" t="s">
        <v>25</v>
      </c>
      <c r="V153" s="17" t="s">
        <v>5665</v>
      </c>
      <c r="W153" s="17"/>
      <c r="X153" s="17"/>
      <c r="Y153" s="17"/>
      <c r="Z153" s="17"/>
      <c r="AA153" s="17"/>
      <c r="AB153" s="17" t="str">
        <f t="shared" si="2"/>
        <v>GPR04021M8</v>
      </c>
    </row>
    <row r="154" spans="1:28">
      <c r="A154" s="17" t="s">
        <v>5666</v>
      </c>
      <c r="B154" s="17" t="s">
        <v>5666</v>
      </c>
      <c r="C154" s="17" t="s">
        <v>5667</v>
      </c>
      <c r="D154" s="17" t="s">
        <v>21</v>
      </c>
      <c r="E154" s="24" t="s">
        <v>6447</v>
      </c>
      <c r="F154" s="17" t="s">
        <v>383</v>
      </c>
      <c r="G154" s="17" t="str">
        <f>Config!$B$3</f>
        <v>SCH/R_IEC.SchLib</v>
      </c>
      <c r="H154" s="17" t="s">
        <v>419</v>
      </c>
      <c r="I154" s="17" t="s">
        <v>461</v>
      </c>
      <c r="J154" s="17" t="s">
        <v>4821</v>
      </c>
      <c r="K154" s="17"/>
      <c r="L154" s="17"/>
      <c r="M154" s="21">
        <v>2000000</v>
      </c>
      <c r="N154" s="17" t="s">
        <v>13979</v>
      </c>
      <c r="O154" s="17" t="s">
        <v>477</v>
      </c>
      <c r="P154" s="17" t="s">
        <v>5668</v>
      </c>
      <c r="Q154" s="17" t="s">
        <v>25</v>
      </c>
      <c r="R154" s="17" t="s">
        <v>5669</v>
      </c>
      <c r="S154" s="17" t="s">
        <v>477</v>
      </c>
      <c r="T154" s="17" t="s">
        <v>5670</v>
      </c>
      <c r="U154" s="17" t="s">
        <v>25</v>
      </c>
      <c r="V154" s="17" t="s">
        <v>5671</v>
      </c>
      <c r="W154" s="17"/>
      <c r="X154" s="17"/>
      <c r="Y154" s="17"/>
      <c r="Z154" s="17"/>
      <c r="AA154" s="17"/>
      <c r="AB154" s="17" t="str">
        <f t="shared" si="2"/>
        <v>GPR04022M</v>
      </c>
    </row>
    <row r="155" spans="1:28">
      <c r="A155" s="17" t="s">
        <v>5672</v>
      </c>
      <c r="B155" s="17" t="s">
        <v>5672</v>
      </c>
      <c r="C155" s="17" t="s">
        <v>5673</v>
      </c>
      <c r="D155" s="17" t="s">
        <v>21</v>
      </c>
      <c r="E155" s="24" t="s">
        <v>6447</v>
      </c>
      <c r="F155" s="17" t="s">
        <v>385</v>
      </c>
      <c r="G155" s="17" t="str">
        <f>Config!$B$3</f>
        <v>SCH/R_IEC.SchLib</v>
      </c>
      <c r="H155" s="17" t="s">
        <v>419</v>
      </c>
      <c r="I155" s="17" t="s">
        <v>461</v>
      </c>
      <c r="J155" s="17" t="s">
        <v>4821</v>
      </c>
      <c r="K155" s="17"/>
      <c r="L155" s="17"/>
      <c r="M155" s="21">
        <v>2200000</v>
      </c>
      <c r="N155" s="17" t="s">
        <v>13979</v>
      </c>
      <c r="O155" s="17" t="s">
        <v>477</v>
      </c>
      <c r="P155" s="17" t="s">
        <v>5674</v>
      </c>
      <c r="Q155" s="17" t="s">
        <v>25</v>
      </c>
      <c r="R155" s="17" t="s">
        <v>5675</v>
      </c>
      <c r="S155" s="17" t="s">
        <v>477</v>
      </c>
      <c r="T155" s="17" t="s">
        <v>5676</v>
      </c>
      <c r="U155" s="17" t="s">
        <v>25</v>
      </c>
      <c r="V155" s="17" t="s">
        <v>5677</v>
      </c>
      <c r="W155" s="17"/>
      <c r="X155" s="17"/>
      <c r="Y155" s="17"/>
      <c r="Z155" s="17"/>
      <c r="AA155" s="17"/>
      <c r="AB155" s="17" t="str">
        <f t="shared" si="2"/>
        <v>GPR04022M2</v>
      </c>
    </row>
    <row r="156" spans="1:28">
      <c r="A156" s="17" t="s">
        <v>5678</v>
      </c>
      <c r="B156" s="17" t="s">
        <v>5678</v>
      </c>
      <c r="C156" s="17" t="s">
        <v>5679</v>
      </c>
      <c r="D156" s="17" t="s">
        <v>21</v>
      </c>
      <c r="E156" s="24" t="s">
        <v>6447</v>
      </c>
      <c r="F156" s="17" t="s">
        <v>387</v>
      </c>
      <c r="G156" s="17" t="str">
        <f>Config!$B$3</f>
        <v>SCH/R_IEC.SchLib</v>
      </c>
      <c r="H156" s="17" t="s">
        <v>419</v>
      </c>
      <c r="I156" s="17" t="s">
        <v>461</v>
      </c>
      <c r="J156" s="17" t="s">
        <v>4821</v>
      </c>
      <c r="K156" s="17"/>
      <c r="L156" s="17"/>
      <c r="M156" s="21">
        <v>2400000</v>
      </c>
      <c r="N156" s="17" t="s">
        <v>13979</v>
      </c>
      <c r="O156" s="17" t="s">
        <v>477</v>
      </c>
      <c r="P156" s="17" t="s">
        <v>5680</v>
      </c>
      <c r="Q156" s="17" t="s">
        <v>25</v>
      </c>
      <c r="R156" s="17" t="s">
        <v>5681</v>
      </c>
      <c r="S156" s="17"/>
      <c r="T156" s="17"/>
      <c r="U156" s="17"/>
      <c r="V156" s="17"/>
      <c r="W156" s="17"/>
      <c r="X156" s="17"/>
      <c r="Y156" s="17"/>
      <c r="Z156" s="17"/>
      <c r="AA156" s="17"/>
      <c r="AB156" s="17" t="str">
        <f t="shared" si="2"/>
        <v>GPR04022M4</v>
      </c>
    </row>
    <row r="157" spans="1:28">
      <c r="A157" s="17" t="s">
        <v>5682</v>
      </c>
      <c r="B157" s="17" t="s">
        <v>5682</v>
      </c>
      <c r="C157" s="17" t="s">
        <v>5683</v>
      </c>
      <c r="D157" s="17" t="s">
        <v>21</v>
      </c>
      <c r="E157" s="24" t="s">
        <v>6447</v>
      </c>
      <c r="F157" s="17" t="s">
        <v>389</v>
      </c>
      <c r="G157" s="17" t="str">
        <f>Config!$B$3</f>
        <v>SCH/R_IEC.SchLib</v>
      </c>
      <c r="H157" s="17" t="s">
        <v>419</v>
      </c>
      <c r="I157" s="17" t="s">
        <v>461</v>
      </c>
      <c r="J157" s="17" t="s">
        <v>4821</v>
      </c>
      <c r="K157" s="17"/>
      <c r="L157" s="17"/>
      <c r="M157" s="21">
        <v>2700000</v>
      </c>
      <c r="N157" s="17" t="s">
        <v>13979</v>
      </c>
      <c r="O157" s="17" t="s">
        <v>477</v>
      </c>
      <c r="P157" s="17" t="s">
        <v>5684</v>
      </c>
      <c r="Q157" s="17" t="s">
        <v>25</v>
      </c>
      <c r="R157" s="17" t="s">
        <v>5685</v>
      </c>
      <c r="S157" s="17"/>
      <c r="T157" s="17"/>
      <c r="U157" s="17"/>
      <c r="V157" s="17"/>
      <c r="W157" s="17"/>
      <c r="X157" s="17"/>
      <c r="Y157" s="17"/>
      <c r="Z157" s="17"/>
      <c r="AA157" s="17"/>
      <c r="AB157" s="17" t="str">
        <f t="shared" si="2"/>
        <v>GPR04022M7</v>
      </c>
    </row>
    <row r="158" spans="1:28">
      <c r="A158" s="17" t="s">
        <v>5686</v>
      </c>
      <c r="B158" s="17" t="s">
        <v>5686</v>
      </c>
      <c r="C158" s="17" t="s">
        <v>5687</v>
      </c>
      <c r="D158" s="17" t="s">
        <v>21</v>
      </c>
      <c r="E158" s="24" t="s">
        <v>6447</v>
      </c>
      <c r="F158" s="17" t="s">
        <v>391</v>
      </c>
      <c r="G158" s="17" t="str">
        <f>Config!$B$3</f>
        <v>SCH/R_IEC.SchLib</v>
      </c>
      <c r="H158" s="17" t="s">
        <v>419</v>
      </c>
      <c r="I158" s="17" t="s">
        <v>461</v>
      </c>
      <c r="J158" s="17" t="s">
        <v>4821</v>
      </c>
      <c r="K158" s="17"/>
      <c r="L158" s="17"/>
      <c r="M158" s="21">
        <v>3000000</v>
      </c>
      <c r="N158" s="17" t="s">
        <v>13979</v>
      </c>
      <c r="O158" s="17" t="s">
        <v>477</v>
      </c>
      <c r="P158" s="17" t="s">
        <v>5688</v>
      </c>
      <c r="Q158" s="17" t="s">
        <v>25</v>
      </c>
      <c r="R158" s="17" t="s">
        <v>5689</v>
      </c>
      <c r="S158" s="17"/>
      <c r="T158" s="17"/>
      <c r="U158" s="17"/>
      <c r="V158" s="17"/>
      <c r="W158" s="17"/>
      <c r="X158" s="17"/>
      <c r="Y158" s="17"/>
      <c r="Z158" s="17"/>
      <c r="AA158" s="17"/>
      <c r="AB158" s="17" t="str">
        <f t="shared" si="2"/>
        <v>GPR04023M</v>
      </c>
    </row>
    <row r="159" spans="1:28">
      <c r="A159" s="17" t="s">
        <v>5690</v>
      </c>
      <c r="B159" s="17" t="s">
        <v>5690</v>
      </c>
      <c r="C159" s="17" t="s">
        <v>5691</v>
      </c>
      <c r="D159" s="17" t="s">
        <v>21</v>
      </c>
      <c r="E159" s="24" t="s">
        <v>6447</v>
      </c>
      <c r="F159" s="17" t="s">
        <v>393</v>
      </c>
      <c r="G159" s="17" t="str">
        <f>Config!$B$3</f>
        <v>SCH/R_IEC.SchLib</v>
      </c>
      <c r="H159" s="17" t="s">
        <v>419</v>
      </c>
      <c r="I159" s="17" t="s">
        <v>461</v>
      </c>
      <c r="J159" s="17" t="s">
        <v>4821</v>
      </c>
      <c r="K159" s="17"/>
      <c r="L159" s="17"/>
      <c r="M159" s="21">
        <v>3300000</v>
      </c>
      <c r="N159" s="17" t="s">
        <v>13979</v>
      </c>
      <c r="O159" s="17" t="s">
        <v>477</v>
      </c>
      <c r="P159" s="17" t="s">
        <v>5692</v>
      </c>
      <c r="Q159" s="17" t="s">
        <v>25</v>
      </c>
      <c r="R159" s="17" t="s">
        <v>5693</v>
      </c>
      <c r="S159" s="17" t="s">
        <v>477</v>
      </c>
      <c r="T159" s="17" t="s">
        <v>5694</v>
      </c>
      <c r="U159" s="17" t="s">
        <v>25</v>
      </c>
      <c r="V159" s="17" t="s">
        <v>5695</v>
      </c>
      <c r="W159" s="17"/>
      <c r="X159" s="17"/>
      <c r="Y159" s="17"/>
      <c r="Z159" s="17"/>
      <c r="AA159" s="17"/>
      <c r="AB159" s="17" t="str">
        <f t="shared" si="2"/>
        <v>GPR04023M3</v>
      </c>
    </row>
    <row r="160" spans="1:28">
      <c r="A160" s="17" t="s">
        <v>5696</v>
      </c>
      <c r="B160" s="17" t="s">
        <v>5696</v>
      </c>
      <c r="C160" s="17" t="s">
        <v>5697</v>
      </c>
      <c r="D160" s="17" t="s">
        <v>21</v>
      </c>
      <c r="E160" s="24" t="s">
        <v>6447</v>
      </c>
      <c r="F160" s="17" t="s">
        <v>395</v>
      </c>
      <c r="G160" s="17" t="str">
        <f>Config!$B$3</f>
        <v>SCH/R_IEC.SchLib</v>
      </c>
      <c r="H160" s="17" t="s">
        <v>419</v>
      </c>
      <c r="I160" s="17" t="s">
        <v>461</v>
      </c>
      <c r="J160" s="17" t="s">
        <v>4821</v>
      </c>
      <c r="K160" s="17"/>
      <c r="L160" s="17"/>
      <c r="M160" s="21">
        <v>3600000</v>
      </c>
      <c r="N160" s="17" t="s">
        <v>13979</v>
      </c>
      <c r="O160" s="17" t="s">
        <v>477</v>
      </c>
      <c r="P160" s="17" t="s">
        <v>5698</v>
      </c>
      <c r="Q160" s="17" t="s">
        <v>25</v>
      </c>
      <c r="R160" s="17" t="s">
        <v>5699</v>
      </c>
      <c r="S160" s="17"/>
      <c r="T160" s="17"/>
      <c r="U160" s="17"/>
      <c r="V160" s="17"/>
      <c r="W160" s="17"/>
      <c r="X160" s="17"/>
      <c r="Y160" s="17"/>
      <c r="Z160" s="17"/>
      <c r="AA160" s="17"/>
      <c r="AB160" s="17" t="str">
        <f t="shared" si="2"/>
        <v>GPR04023M6</v>
      </c>
    </row>
    <row r="161" spans="1:28">
      <c r="A161" s="17" t="s">
        <v>5700</v>
      </c>
      <c r="B161" s="17" t="s">
        <v>5700</v>
      </c>
      <c r="C161" s="17" t="s">
        <v>5701</v>
      </c>
      <c r="D161" s="17" t="s">
        <v>21</v>
      </c>
      <c r="E161" s="24" t="s">
        <v>6447</v>
      </c>
      <c r="F161" s="17" t="s">
        <v>397</v>
      </c>
      <c r="G161" s="17" t="str">
        <f>Config!$B$3</f>
        <v>SCH/R_IEC.SchLib</v>
      </c>
      <c r="H161" s="17" t="s">
        <v>419</v>
      </c>
      <c r="I161" s="17" t="s">
        <v>461</v>
      </c>
      <c r="J161" s="17" t="s">
        <v>4821</v>
      </c>
      <c r="K161" s="17"/>
      <c r="L161" s="17"/>
      <c r="M161" s="21">
        <v>3900000</v>
      </c>
      <c r="N161" s="17" t="s">
        <v>13979</v>
      </c>
      <c r="O161" s="17" t="s">
        <v>477</v>
      </c>
      <c r="P161" s="17" t="s">
        <v>5702</v>
      </c>
      <c r="Q161" s="17" t="s">
        <v>25</v>
      </c>
      <c r="R161" s="17" t="s">
        <v>5703</v>
      </c>
      <c r="S161" s="17"/>
      <c r="T161" s="17"/>
      <c r="U161" s="17"/>
      <c r="V161" s="17"/>
      <c r="W161" s="17"/>
      <c r="X161" s="17"/>
      <c r="Y161" s="17"/>
      <c r="Z161" s="17"/>
      <c r="AA161" s="17"/>
      <c r="AB161" s="17" t="str">
        <f t="shared" si="2"/>
        <v>GPR04023M9</v>
      </c>
    </row>
    <row r="162" spans="1:28">
      <c r="A162" s="17" t="s">
        <v>5704</v>
      </c>
      <c r="B162" s="17" t="s">
        <v>5704</v>
      </c>
      <c r="C162" s="17" t="s">
        <v>5705</v>
      </c>
      <c r="D162" s="17" t="s">
        <v>21</v>
      </c>
      <c r="E162" s="24" t="s">
        <v>6447</v>
      </c>
      <c r="F162" s="17" t="s">
        <v>399</v>
      </c>
      <c r="G162" s="17" t="str">
        <f>Config!$B$3</f>
        <v>SCH/R_IEC.SchLib</v>
      </c>
      <c r="H162" s="17" t="s">
        <v>419</v>
      </c>
      <c r="I162" s="17" t="s">
        <v>461</v>
      </c>
      <c r="J162" s="17" t="s">
        <v>4821</v>
      </c>
      <c r="K162" s="17"/>
      <c r="L162" s="17"/>
      <c r="M162" s="21">
        <v>4300000</v>
      </c>
      <c r="N162" s="17" t="s">
        <v>13979</v>
      </c>
      <c r="O162" s="17" t="s">
        <v>477</v>
      </c>
      <c r="P162" s="17" t="s">
        <v>5706</v>
      </c>
      <c r="Q162" s="17" t="s">
        <v>25</v>
      </c>
      <c r="R162" s="17" t="s">
        <v>5707</v>
      </c>
      <c r="S162" s="17"/>
      <c r="T162" s="17"/>
      <c r="U162" s="17"/>
      <c r="V162" s="17"/>
      <c r="W162" s="17"/>
      <c r="X162" s="17"/>
      <c r="Y162" s="17"/>
      <c r="Z162" s="17"/>
      <c r="AA162" s="17"/>
      <c r="AB162" s="17" t="str">
        <f t="shared" si="2"/>
        <v>GPR04024M3</v>
      </c>
    </row>
    <row r="163" spans="1:28">
      <c r="A163" s="17" t="s">
        <v>5708</v>
      </c>
      <c r="B163" s="17" t="s">
        <v>5708</v>
      </c>
      <c r="C163" s="17" t="s">
        <v>5709</v>
      </c>
      <c r="D163" s="17" t="s">
        <v>21</v>
      </c>
      <c r="E163" s="24" t="s">
        <v>6447</v>
      </c>
      <c r="F163" s="17" t="s">
        <v>401</v>
      </c>
      <c r="G163" s="17" t="str">
        <f>Config!$B$3</f>
        <v>SCH/R_IEC.SchLib</v>
      </c>
      <c r="H163" s="17" t="s">
        <v>419</v>
      </c>
      <c r="I163" s="17" t="s">
        <v>461</v>
      </c>
      <c r="J163" s="17" t="s">
        <v>4821</v>
      </c>
      <c r="K163" s="17"/>
      <c r="L163" s="17"/>
      <c r="M163" s="21">
        <v>4700000</v>
      </c>
      <c r="N163" s="17" t="s">
        <v>13979</v>
      </c>
      <c r="O163" s="17" t="s">
        <v>477</v>
      </c>
      <c r="P163" s="17" t="s">
        <v>5710</v>
      </c>
      <c r="Q163" s="17" t="s">
        <v>25</v>
      </c>
      <c r="R163" s="17" t="s">
        <v>5711</v>
      </c>
      <c r="S163" s="17"/>
      <c r="T163" s="17"/>
      <c r="U163" s="17"/>
      <c r="V163" s="17"/>
      <c r="W163" s="17"/>
      <c r="X163" s="17"/>
      <c r="Y163" s="17"/>
      <c r="Z163" s="17"/>
      <c r="AA163" s="17"/>
      <c r="AB163" s="17" t="str">
        <f t="shared" si="2"/>
        <v>GPR04024M7</v>
      </c>
    </row>
    <row r="164" spans="1:28">
      <c r="A164" s="17" t="s">
        <v>5712</v>
      </c>
      <c r="B164" s="17" t="s">
        <v>5712</v>
      </c>
      <c r="C164" s="17" t="s">
        <v>5713</v>
      </c>
      <c r="D164" s="17" t="s">
        <v>21</v>
      </c>
      <c r="E164" s="24" t="s">
        <v>6447</v>
      </c>
      <c r="F164" s="17" t="s">
        <v>403</v>
      </c>
      <c r="G164" s="17" t="str">
        <f>Config!$B$3</f>
        <v>SCH/R_IEC.SchLib</v>
      </c>
      <c r="H164" s="17" t="s">
        <v>419</v>
      </c>
      <c r="I164" s="17" t="s">
        <v>461</v>
      </c>
      <c r="J164" s="17" t="s">
        <v>4821</v>
      </c>
      <c r="K164" s="17"/>
      <c r="L164" s="17"/>
      <c r="M164" s="21">
        <v>5100000</v>
      </c>
      <c r="N164" s="17" t="s">
        <v>13979</v>
      </c>
      <c r="O164" s="17" t="s">
        <v>477</v>
      </c>
      <c r="P164" s="17" t="s">
        <v>5714</v>
      </c>
      <c r="Q164" s="17" t="s">
        <v>25</v>
      </c>
      <c r="R164" s="17" t="s">
        <v>5715</v>
      </c>
      <c r="S164" s="17"/>
      <c r="T164" s="17"/>
      <c r="U164" s="17"/>
      <c r="V164" s="17"/>
      <c r="W164" s="17"/>
      <c r="X164" s="17"/>
      <c r="Y164" s="17"/>
      <c r="Z164" s="17"/>
      <c r="AA164" s="17"/>
      <c r="AB164" s="17" t="str">
        <f t="shared" si="2"/>
        <v>GPR04025M1</v>
      </c>
    </row>
    <row r="165" spans="1:28">
      <c r="A165" s="17" t="s">
        <v>5716</v>
      </c>
      <c r="B165" s="17" t="s">
        <v>5716</v>
      </c>
      <c r="C165" s="17" t="s">
        <v>5717</v>
      </c>
      <c r="D165" s="17" t="s">
        <v>21</v>
      </c>
      <c r="E165" s="24" t="s">
        <v>6447</v>
      </c>
      <c r="F165" s="17" t="s">
        <v>405</v>
      </c>
      <c r="G165" s="17" t="str">
        <f>Config!$B$3</f>
        <v>SCH/R_IEC.SchLib</v>
      </c>
      <c r="H165" s="17" t="s">
        <v>419</v>
      </c>
      <c r="I165" s="17" t="s">
        <v>461</v>
      </c>
      <c r="J165" s="17" t="s">
        <v>4821</v>
      </c>
      <c r="K165" s="17"/>
      <c r="L165" s="17"/>
      <c r="M165" s="21">
        <v>5600000</v>
      </c>
      <c r="N165" s="17" t="s">
        <v>13979</v>
      </c>
      <c r="O165" s="17" t="s">
        <v>477</v>
      </c>
      <c r="P165" s="17" t="s">
        <v>5718</v>
      </c>
      <c r="Q165" s="17" t="s">
        <v>25</v>
      </c>
      <c r="R165" s="17" t="s">
        <v>5719</v>
      </c>
      <c r="S165" s="17"/>
      <c r="T165" s="17"/>
      <c r="U165" s="17"/>
      <c r="V165" s="17"/>
      <c r="W165" s="17"/>
      <c r="X165" s="17"/>
      <c r="Y165" s="17"/>
      <c r="Z165" s="17"/>
      <c r="AA165" s="17"/>
      <c r="AB165" s="17" t="str">
        <f t="shared" si="2"/>
        <v>GPR04025M6</v>
      </c>
    </row>
    <row r="166" spans="1:28">
      <c r="A166" s="17" t="s">
        <v>5720</v>
      </c>
      <c r="B166" s="17" t="s">
        <v>5720</v>
      </c>
      <c r="C166" s="17" t="s">
        <v>5721</v>
      </c>
      <c r="D166" s="17" t="s">
        <v>21</v>
      </c>
      <c r="E166" s="24" t="s">
        <v>6447</v>
      </c>
      <c r="F166" s="17" t="s">
        <v>407</v>
      </c>
      <c r="G166" s="17" t="str">
        <f>Config!$B$3</f>
        <v>SCH/R_IEC.SchLib</v>
      </c>
      <c r="H166" s="17" t="s">
        <v>419</v>
      </c>
      <c r="I166" s="17" t="s">
        <v>461</v>
      </c>
      <c r="J166" s="17" t="s">
        <v>4821</v>
      </c>
      <c r="K166" s="17"/>
      <c r="L166" s="17"/>
      <c r="M166" s="21">
        <v>6200000</v>
      </c>
      <c r="N166" s="17" t="s">
        <v>13979</v>
      </c>
      <c r="O166" s="17" t="s">
        <v>477</v>
      </c>
      <c r="P166" s="17" t="s">
        <v>5722</v>
      </c>
      <c r="Q166" s="17" t="s">
        <v>25</v>
      </c>
      <c r="R166" s="17" t="s">
        <v>5723</v>
      </c>
      <c r="S166" s="17"/>
      <c r="T166" s="17"/>
      <c r="U166" s="17"/>
      <c r="V166" s="17"/>
      <c r="W166" s="17"/>
      <c r="X166" s="17"/>
      <c r="Y166" s="17"/>
      <c r="Z166" s="17"/>
      <c r="AA166" s="17"/>
      <c r="AB166" s="17" t="str">
        <f t="shared" si="2"/>
        <v>GPR04026M2</v>
      </c>
    </row>
    <row r="167" spans="1:28">
      <c r="A167" s="17" t="s">
        <v>5724</v>
      </c>
      <c r="B167" s="17" t="s">
        <v>5724</v>
      </c>
      <c r="C167" s="17" t="s">
        <v>5725</v>
      </c>
      <c r="D167" s="17" t="s">
        <v>21</v>
      </c>
      <c r="E167" s="24" t="s">
        <v>6447</v>
      </c>
      <c r="F167" s="17" t="s">
        <v>409</v>
      </c>
      <c r="G167" s="17" t="str">
        <f>Config!$B$3</f>
        <v>SCH/R_IEC.SchLib</v>
      </c>
      <c r="H167" s="17" t="s">
        <v>419</v>
      </c>
      <c r="I167" s="17" t="s">
        <v>461</v>
      </c>
      <c r="J167" s="17" t="s">
        <v>4821</v>
      </c>
      <c r="K167" s="17"/>
      <c r="L167" s="17"/>
      <c r="M167" s="21">
        <v>6800000</v>
      </c>
      <c r="N167" s="17" t="s">
        <v>13979</v>
      </c>
      <c r="O167" s="17" t="s">
        <v>477</v>
      </c>
      <c r="P167" s="17" t="s">
        <v>5726</v>
      </c>
      <c r="Q167" s="17" t="s">
        <v>25</v>
      </c>
      <c r="R167" s="17" t="s">
        <v>5727</v>
      </c>
      <c r="S167" s="17"/>
      <c r="T167" s="17"/>
      <c r="U167" s="17"/>
      <c r="V167" s="17"/>
      <c r="W167" s="17"/>
      <c r="X167" s="17"/>
      <c r="Y167" s="17"/>
      <c r="Z167" s="17"/>
      <c r="AA167" s="17"/>
      <c r="AB167" s="17" t="str">
        <f t="shared" si="2"/>
        <v>GPR04026M8</v>
      </c>
    </row>
    <row r="168" spans="1:28">
      <c r="A168" s="17" t="s">
        <v>5728</v>
      </c>
      <c r="B168" s="17" t="s">
        <v>5728</v>
      </c>
      <c r="C168" s="17" t="s">
        <v>5729</v>
      </c>
      <c r="D168" s="17" t="s">
        <v>21</v>
      </c>
      <c r="E168" s="24" t="s">
        <v>6447</v>
      </c>
      <c r="F168" s="17" t="s">
        <v>411</v>
      </c>
      <c r="G168" s="17" t="str">
        <f>Config!$B$3</f>
        <v>SCH/R_IEC.SchLib</v>
      </c>
      <c r="H168" s="17" t="s">
        <v>419</v>
      </c>
      <c r="I168" s="17" t="s">
        <v>461</v>
      </c>
      <c r="J168" s="17" t="s">
        <v>4821</v>
      </c>
      <c r="K168" s="17"/>
      <c r="L168" s="17"/>
      <c r="M168" s="21">
        <v>7500000</v>
      </c>
      <c r="N168" s="17" t="s">
        <v>13979</v>
      </c>
      <c r="O168" s="17" t="s">
        <v>477</v>
      </c>
      <c r="P168" s="17" t="s">
        <v>5730</v>
      </c>
      <c r="Q168" s="17" t="s">
        <v>25</v>
      </c>
      <c r="R168" s="17" t="s">
        <v>5731</v>
      </c>
      <c r="S168" s="17"/>
      <c r="T168" s="17"/>
      <c r="U168" s="17"/>
      <c r="V168" s="17"/>
      <c r="W168" s="17"/>
      <c r="X168" s="17"/>
      <c r="Y168" s="17"/>
      <c r="Z168" s="17"/>
      <c r="AA168" s="17"/>
      <c r="AB168" s="17" t="str">
        <f t="shared" si="2"/>
        <v>GPR04027M5</v>
      </c>
    </row>
    <row r="169" spans="1:28">
      <c r="A169" s="17" t="s">
        <v>5732</v>
      </c>
      <c r="B169" s="17" t="s">
        <v>5732</v>
      </c>
      <c r="C169" s="17" t="s">
        <v>5733</v>
      </c>
      <c r="D169" s="17" t="s">
        <v>21</v>
      </c>
      <c r="E169" s="24" t="s">
        <v>6447</v>
      </c>
      <c r="F169" s="17" t="s">
        <v>413</v>
      </c>
      <c r="G169" s="17" t="str">
        <f>Config!$B$3</f>
        <v>SCH/R_IEC.SchLib</v>
      </c>
      <c r="H169" s="17" t="s">
        <v>419</v>
      </c>
      <c r="I169" s="17" t="s">
        <v>461</v>
      </c>
      <c r="J169" s="17" t="s">
        <v>4821</v>
      </c>
      <c r="K169" s="17"/>
      <c r="L169" s="17"/>
      <c r="M169" s="21">
        <v>8200000</v>
      </c>
      <c r="N169" s="17" t="s">
        <v>13979</v>
      </c>
      <c r="O169" s="17" t="s">
        <v>477</v>
      </c>
      <c r="P169" s="17" t="s">
        <v>5734</v>
      </c>
      <c r="Q169" s="17" t="s">
        <v>25</v>
      </c>
      <c r="R169" s="17" t="s">
        <v>5735</v>
      </c>
      <c r="S169" s="17"/>
      <c r="T169" s="17"/>
      <c r="U169" s="17"/>
      <c r="V169" s="17"/>
      <c r="W169" s="17"/>
      <c r="X169" s="17"/>
      <c r="Y169" s="17"/>
      <c r="Z169" s="17"/>
      <c r="AA169" s="17"/>
      <c r="AB169" s="17" t="str">
        <f t="shared" si="2"/>
        <v>GPR04028M2</v>
      </c>
    </row>
    <row r="170" spans="1:28">
      <c r="A170" s="17" t="s">
        <v>5736</v>
      </c>
      <c r="B170" s="17" t="s">
        <v>5736</v>
      </c>
      <c r="C170" s="17" t="s">
        <v>5737</v>
      </c>
      <c r="D170" s="17" t="s">
        <v>21</v>
      </c>
      <c r="E170" s="24" t="s">
        <v>6447</v>
      </c>
      <c r="F170" s="17" t="s">
        <v>415</v>
      </c>
      <c r="G170" s="17" t="str">
        <f>Config!$B$3</f>
        <v>SCH/R_IEC.SchLib</v>
      </c>
      <c r="H170" s="17" t="s">
        <v>419</v>
      </c>
      <c r="I170" s="17" t="s">
        <v>461</v>
      </c>
      <c r="J170" s="17" t="s">
        <v>4821</v>
      </c>
      <c r="K170" s="17"/>
      <c r="L170" s="17"/>
      <c r="M170" s="21">
        <v>9100000</v>
      </c>
      <c r="N170" s="17" t="s">
        <v>13979</v>
      </c>
      <c r="O170" s="17" t="s">
        <v>477</v>
      </c>
      <c r="P170" s="17" t="s">
        <v>5738</v>
      </c>
      <c r="Q170" s="17" t="s">
        <v>25</v>
      </c>
      <c r="R170" s="17" t="s">
        <v>5739</v>
      </c>
      <c r="S170" s="17"/>
      <c r="T170" s="17"/>
      <c r="U170" s="17"/>
      <c r="V170" s="17"/>
      <c r="W170" s="17"/>
      <c r="X170" s="17"/>
      <c r="Y170" s="17"/>
      <c r="Z170" s="17"/>
      <c r="AA170" s="17"/>
      <c r="AB170" s="17" t="str">
        <f t="shared" si="2"/>
        <v>GPR04029M1</v>
      </c>
    </row>
    <row r="171" spans="1:28">
      <c r="A171" s="17" t="s">
        <v>5740</v>
      </c>
      <c r="B171" s="17" t="s">
        <v>5740</v>
      </c>
      <c r="C171" s="17" t="s">
        <v>5741</v>
      </c>
      <c r="D171" s="17" t="s">
        <v>21</v>
      </c>
      <c r="E171" s="24" t="s">
        <v>6447</v>
      </c>
      <c r="F171" s="17" t="s">
        <v>417</v>
      </c>
      <c r="G171" s="17" t="str">
        <f>Config!$B$3</f>
        <v>SCH/R_IEC.SchLib</v>
      </c>
      <c r="H171" s="17" t="s">
        <v>419</v>
      </c>
      <c r="I171" s="17" t="s">
        <v>461</v>
      </c>
      <c r="J171" s="17" t="s">
        <v>4821</v>
      </c>
      <c r="K171" s="17"/>
      <c r="L171" s="17"/>
      <c r="M171" s="21">
        <v>10000000</v>
      </c>
      <c r="N171" s="17" t="s">
        <v>13979</v>
      </c>
      <c r="O171" s="17" t="s">
        <v>477</v>
      </c>
      <c r="P171" s="17" t="s">
        <v>5742</v>
      </c>
      <c r="Q171" s="17" t="s">
        <v>25</v>
      </c>
      <c r="R171" s="17" t="s">
        <v>5743</v>
      </c>
      <c r="S171" s="17" t="s">
        <v>477</v>
      </c>
      <c r="T171" s="17" t="s">
        <v>5744</v>
      </c>
      <c r="U171" s="17" t="s">
        <v>25</v>
      </c>
      <c r="V171" s="17" t="s">
        <v>5745</v>
      </c>
      <c r="W171" s="17"/>
      <c r="X171" s="17"/>
      <c r="Y171" s="17"/>
      <c r="Z171" s="17"/>
      <c r="AA171" s="17"/>
      <c r="AB171" s="17" t="str">
        <f t="shared" si="2"/>
        <v>GPR040210M</v>
      </c>
    </row>
    <row r="172" spans="1:28">
      <c r="A172" s="16" t="s">
        <v>20</v>
      </c>
      <c r="B172" s="16" t="s">
        <v>20</v>
      </c>
      <c r="C172" s="16" t="s">
        <v>1748</v>
      </c>
      <c r="D172" s="16" t="s">
        <v>21</v>
      </c>
      <c r="E172" s="16" t="s">
        <v>22</v>
      </c>
      <c r="F172" s="16" t="s">
        <v>23</v>
      </c>
      <c r="G172" s="17" t="str">
        <f>Config!$B$3</f>
        <v>SCH/R_IEC.SchLib</v>
      </c>
      <c r="H172" s="16" t="s">
        <v>419</v>
      </c>
      <c r="I172" s="18" t="s">
        <v>461</v>
      </c>
      <c r="J172" s="16" t="s">
        <v>462</v>
      </c>
      <c r="K172" s="16"/>
      <c r="L172" s="16"/>
      <c r="M172" s="19">
        <v>0</v>
      </c>
      <c r="N172" s="17" t="s">
        <v>13979</v>
      </c>
      <c r="O172" s="16" t="s">
        <v>477</v>
      </c>
      <c r="P172" s="16" t="s">
        <v>24</v>
      </c>
      <c r="Q172" s="16" t="s">
        <v>25</v>
      </c>
      <c r="R172" s="16" t="s">
        <v>1749</v>
      </c>
      <c r="S172" s="16" t="s">
        <v>477</v>
      </c>
      <c r="T172" s="16" t="s">
        <v>26</v>
      </c>
      <c r="U172" s="16" t="s">
        <v>25</v>
      </c>
      <c r="V172" s="16" t="s">
        <v>27</v>
      </c>
      <c r="W172" s="17" t="s">
        <v>4729</v>
      </c>
      <c r="X172" s="17" t="s">
        <v>4730</v>
      </c>
      <c r="Y172" s="16" t="s">
        <v>4559</v>
      </c>
      <c r="Z172" s="17" t="s">
        <v>4731</v>
      </c>
      <c r="AA172" s="17" t="s">
        <v>4728</v>
      </c>
      <c r="AB172" s="17" t="str">
        <f>"GPR"&amp;E172&amp;F172</f>
        <v>GPR06030R</v>
      </c>
    </row>
    <row r="173" spans="1:28">
      <c r="A173" s="16" t="s">
        <v>28</v>
      </c>
      <c r="B173" s="16" t="s">
        <v>28</v>
      </c>
      <c r="C173" s="16" t="s">
        <v>1035</v>
      </c>
      <c r="D173" s="16" t="s">
        <v>21</v>
      </c>
      <c r="E173" s="16" t="s">
        <v>22</v>
      </c>
      <c r="F173" s="16" t="s">
        <v>29</v>
      </c>
      <c r="G173" s="17" t="str">
        <f>Config!$B$3</f>
        <v>SCH/R_IEC.SchLib</v>
      </c>
      <c r="H173" s="16" t="s">
        <v>419</v>
      </c>
      <c r="I173" s="18" t="s">
        <v>461</v>
      </c>
      <c r="J173" s="16" t="s">
        <v>462</v>
      </c>
      <c r="K173" s="16"/>
      <c r="L173" s="16"/>
      <c r="M173" s="19">
        <v>1</v>
      </c>
      <c r="N173" s="17" t="s">
        <v>13979</v>
      </c>
      <c r="O173" s="16" t="s">
        <v>477</v>
      </c>
      <c r="P173" s="16" t="s">
        <v>1036</v>
      </c>
      <c r="Q173" s="16" t="s">
        <v>25</v>
      </c>
      <c r="R173" s="16" t="s">
        <v>1037</v>
      </c>
      <c r="S173" s="16" t="s">
        <v>477</v>
      </c>
      <c r="T173" s="16" t="s">
        <v>1038</v>
      </c>
      <c r="U173" s="16" t="s">
        <v>25</v>
      </c>
      <c r="V173" s="16" t="s">
        <v>1039</v>
      </c>
      <c r="W173" s="17"/>
      <c r="X173" s="17"/>
      <c r="Y173" s="17"/>
      <c r="Z173" s="17"/>
      <c r="AA173" s="17"/>
      <c r="AB173" s="17" t="str">
        <f t="shared" ref="AB173:AB236" si="3">"GPR"&amp;E173&amp;F173</f>
        <v>GPR06031R</v>
      </c>
    </row>
    <row r="174" spans="1:28">
      <c r="A174" s="16" t="s">
        <v>1040</v>
      </c>
      <c r="B174" s="16" t="s">
        <v>1040</v>
      </c>
      <c r="C174" s="16" t="s">
        <v>1041</v>
      </c>
      <c r="D174" s="16" t="s">
        <v>21</v>
      </c>
      <c r="E174" s="16" t="s">
        <v>22</v>
      </c>
      <c r="F174" s="16" t="s">
        <v>1042</v>
      </c>
      <c r="G174" s="17" t="str">
        <f>Config!$B$3</f>
        <v>SCH/R_IEC.SchLib</v>
      </c>
      <c r="H174" s="16" t="s">
        <v>419</v>
      </c>
      <c r="I174" s="18" t="s">
        <v>461</v>
      </c>
      <c r="J174" s="16" t="s">
        <v>462</v>
      </c>
      <c r="K174" s="16"/>
      <c r="L174" s="16"/>
      <c r="M174" s="19">
        <v>1.1000000000000001</v>
      </c>
      <c r="N174" s="17" t="s">
        <v>13979</v>
      </c>
      <c r="O174" s="16" t="s">
        <v>477</v>
      </c>
      <c r="P174" s="16" t="s">
        <v>1043</v>
      </c>
      <c r="Q174" s="16" t="s">
        <v>25</v>
      </c>
      <c r="R174" s="16" t="s">
        <v>1044</v>
      </c>
      <c r="S174" s="16" t="s">
        <v>477</v>
      </c>
      <c r="T174" s="16" t="s">
        <v>1045</v>
      </c>
      <c r="U174" s="16" t="s">
        <v>25</v>
      </c>
      <c r="V174" s="16" t="s">
        <v>1046</v>
      </c>
      <c r="W174" s="17"/>
      <c r="X174" s="17"/>
      <c r="Y174" s="17"/>
      <c r="Z174" s="17"/>
      <c r="AA174" s="17"/>
      <c r="AB174" s="17" t="str">
        <f t="shared" si="3"/>
        <v>GPR06031R1</v>
      </c>
    </row>
    <row r="175" spans="1:28">
      <c r="A175" s="16" t="s">
        <v>30</v>
      </c>
      <c r="B175" s="16" t="s">
        <v>30</v>
      </c>
      <c r="C175" s="16" t="s">
        <v>1047</v>
      </c>
      <c r="D175" s="16" t="s">
        <v>21</v>
      </c>
      <c r="E175" s="16" t="s">
        <v>22</v>
      </c>
      <c r="F175" s="16" t="s">
        <v>31</v>
      </c>
      <c r="G175" s="17" t="str">
        <f>Config!$B$3</f>
        <v>SCH/R_IEC.SchLib</v>
      </c>
      <c r="H175" s="16" t="s">
        <v>419</v>
      </c>
      <c r="I175" s="18" t="s">
        <v>461</v>
      </c>
      <c r="J175" s="16" t="s">
        <v>462</v>
      </c>
      <c r="K175" s="16"/>
      <c r="L175" s="16"/>
      <c r="M175" s="19">
        <v>1.2</v>
      </c>
      <c r="N175" s="17" t="s">
        <v>13979</v>
      </c>
      <c r="O175" s="16" t="s">
        <v>477</v>
      </c>
      <c r="P175" s="16" t="s">
        <v>1048</v>
      </c>
      <c r="Q175" s="16" t="s">
        <v>25</v>
      </c>
      <c r="R175" s="16" t="s">
        <v>1049</v>
      </c>
      <c r="S175" s="16"/>
      <c r="T175" s="16"/>
      <c r="U175" s="16"/>
      <c r="V175" s="16"/>
      <c r="W175" s="17"/>
      <c r="X175" s="17"/>
      <c r="Y175" s="17"/>
      <c r="Z175" s="17"/>
      <c r="AA175" s="17"/>
      <c r="AB175" s="17" t="str">
        <f t="shared" si="3"/>
        <v>GPR06031R2</v>
      </c>
    </row>
    <row r="176" spans="1:28">
      <c r="A176" s="16" t="s">
        <v>1050</v>
      </c>
      <c r="B176" s="16" t="s">
        <v>1050</v>
      </c>
      <c r="C176" s="16" t="s">
        <v>1051</v>
      </c>
      <c r="D176" s="16" t="s">
        <v>21</v>
      </c>
      <c r="E176" s="16" t="s">
        <v>22</v>
      </c>
      <c r="F176" s="16" t="s">
        <v>1052</v>
      </c>
      <c r="G176" s="17" t="str">
        <f>Config!$B$3</f>
        <v>SCH/R_IEC.SchLib</v>
      </c>
      <c r="H176" s="16" t="s">
        <v>419</v>
      </c>
      <c r="I176" s="18" t="s">
        <v>461</v>
      </c>
      <c r="J176" s="16" t="s">
        <v>462</v>
      </c>
      <c r="K176" s="16"/>
      <c r="L176" s="16"/>
      <c r="M176" s="19">
        <v>1.3</v>
      </c>
      <c r="N176" s="17" t="s">
        <v>13979</v>
      </c>
      <c r="O176" s="16" t="s">
        <v>477</v>
      </c>
      <c r="P176" s="16" t="s">
        <v>1053</v>
      </c>
      <c r="Q176" s="16" t="s">
        <v>25</v>
      </c>
      <c r="R176" s="16" t="s">
        <v>1054</v>
      </c>
      <c r="S176" s="16"/>
      <c r="T176" s="16"/>
      <c r="U176" s="16"/>
      <c r="V176" s="16"/>
      <c r="W176" s="17"/>
      <c r="X176" s="17"/>
      <c r="Y176" s="17"/>
      <c r="Z176" s="17"/>
      <c r="AA176" s="17"/>
      <c r="AB176" s="17" t="str">
        <f t="shared" si="3"/>
        <v>GPR06031R3</v>
      </c>
    </row>
    <row r="177" spans="1:28">
      <c r="A177" s="16" t="s">
        <v>32</v>
      </c>
      <c r="B177" s="16" t="s">
        <v>32</v>
      </c>
      <c r="C177" s="16" t="s">
        <v>1055</v>
      </c>
      <c r="D177" s="16" t="s">
        <v>21</v>
      </c>
      <c r="E177" s="16" t="s">
        <v>22</v>
      </c>
      <c r="F177" s="16" t="s">
        <v>33</v>
      </c>
      <c r="G177" s="17" t="str">
        <f>Config!$B$3</f>
        <v>SCH/R_IEC.SchLib</v>
      </c>
      <c r="H177" s="16" t="s">
        <v>419</v>
      </c>
      <c r="I177" s="18" t="s">
        <v>461</v>
      </c>
      <c r="J177" s="16" t="s">
        <v>462</v>
      </c>
      <c r="K177" s="16"/>
      <c r="L177" s="16"/>
      <c r="M177" s="19">
        <v>1.5</v>
      </c>
      <c r="N177" s="17" t="s">
        <v>13979</v>
      </c>
      <c r="O177" s="16" t="s">
        <v>477</v>
      </c>
      <c r="P177" s="16" t="s">
        <v>1056</v>
      </c>
      <c r="Q177" s="16" t="s">
        <v>25</v>
      </c>
      <c r="R177" s="16" t="s">
        <v>1057</v>
      </c>
      <c r="S177" s="16" t="s">
        <v>477</v>
      </c>
      <c r="T177" s="16" t="s">
        <v>1058</v>
      </c>
      <c r="U177" s="16" t="s">
        <v>25</v>
      </c>
      <c r="V177" s="16" t="s">
        <v>1059</v>
      </c>
      <c r="W177" s="17"/>
      <c r="X177" s="17"/>
      <c r="Y177" s="17"/>
      <c r="Z177" s="17"/>
      <c r="AA177" s="17"/>
      <c r="AB177" s="17" t="str">
        <f t="shared" si="3"/>
        <v>GPR06031R5</v>
      </c>
    </row>
    <row r="178" spans="1:28">
      <c r="A178" s="16" t="s">
        <v>1060</v>
      </c>
      <c r="B178" s="16" t="s">
        <v>1060</v>
      </c>
      <c r="C178" s="16" t="s">
        <v>1061</v>
      </c>
      <c r="D178" s="16" t="s">
        <v>21</v>
      </c>
      <c r="E178" s="16" t="s">
        <v>22</v>
      </c>
      <c r="F178" s="16" t="s">
        <v>1062</v>
      </c>
      <c r="G178" s="17" t="str">
        <f>Config!$B$3</f>
        <v>SCH/R_IEC.SchLib</v>
      </c>
      <c r="H178" s="16" t="s">
        <v>419</v>
      </c>
      <c r="I178" s="18" t="s">
        <v>461</v>
      </c>
      <c r="J178" s="16" t="s">
        <v>462</v>
      </c>
      <c r="K178" s="16"/>
      <c r="L178" s="16"/>
      <c r="M178" s="19">
        <v>1.6</v>
      </c>
      <c r="N178" s="17" t="s">
        <v>13979</v>
      </c>
      <c r="O178" s="16" t="s">
        <v>477</v>
      </c>
      <c r="P178" s="16" t="s">
        <v>1063</v>
      </c>
      <c r="Q178" s="16" t="s">
        <v>25</v>
      </c>
      <c r="R178" s="16" t="s">
        <v>1064</v>
      </c>
      <c r="S178" s="16"/>
      <c r="T178" s="16"/>
      <c r="U178" s="16"/>
      <c r="V178" s="16"/>
      <c r="W178" s="17"/>
      <c r="X178" s="17"/>
      <c r="Y178" s="17"/>
      <c r="Z178" s="17"/>
      <c r="AA178" s="17"/>
      <c r="AB178" s="17" t="str">
        <f t="shared" si="3"/>
        <v>GPR06031R6</v>
      </c>
    </row>
    <row r="179" spans="1:28">
      <c r="A179" s="16" t="s">
        <v>34</v>
      </c>
      <c r="B179" s="16" t="s">
        <v>34</v>
      </c>
      <c r="C179" s="16" t="s">
        <v>1065</v>
      </c>
      <c r="D179" s="16" t="s">
        <v>21</v>
      </c>
      <c r="E179" s="16" t="s">
        <v>22</v>
      </c>
      <c r="F179" s="16" t="s">
        <v>35</v>
      </c>
      <c r="G179" s="17" t="str">
        <f>Config!$B$3</f>
        <v>SCH/R_IEC.SchLib</v>
      </c>
      <c r="H179" s="16" t="s">
        <v>419</v>
      </c>
      <c r="I179" s="18" t="s">
        <v>461</v>
      </c>
      <c r="J179" s="16" t="s">
        <v>462</v>
      </c>
      <c r="K179" s="16"/>
      <c r="L179" s="16"/>
      <c r="M179" s="19">
        <v>1.8</v>
      </c>
      <c r="N179" s="17" t="s">
        <v>13979</v>
      </c>
      <c r="O179" s="16" t="s">
        <v>477</v>
      </c>
      <c r="P179" s="16" t="s">
        <v>1066</v>
      </c>
      <c r="Q179" s="16" t="s">
        <v>25</v>
      </c>
      <c r="R179" s="16" t="s">
        <v>1067</v>
      </c>
      <c r="S179" s="16"/>
      <c r="T179" s="16"/>
      <c r="U179" s="16"/>
      <c r="V179" s="16"/>
      <c r="W179" s="17"/>
      <c r="X179" s="17"/>
      <c r="Y179" s="17"/>
      <c r="Z179" s="17"/>
      <c r="AA179" s="17"/>
      <c r="AB179" s="17" t="str">
        <f t="shared" si="3"/>
        <v>GPR06031R8</v>
      </c>
    </row>
    <row r="180" spans="1:28">
      <c r="A180" s="16" t="s">
        <v>1068</v>
      </c>
      <c r="B180" s="16" t="s">
        <v>1068</v>
      </c>
      <c r="C180" s="16" t="s">
        <v>1069</v>
      </c>
      <c r="D180" s="16" t="s">
        <v>21</v>
      </c>
      <c r="E180" s="16" t="s">
        <v>22</v>
      </c>
      <c r="F180" s="16" t="s">
        <v>1070</v>
      </c>
      <c r="G180" s="17" t="str">
        <f>Config!$B$3</f>
        <v>SCH/R_IEC.SchLib</v>
      </c>
      <c r="H180" s="16" t="s">
        <v>419</v>
      </c>
      <c r="I180" s="18" t="s">
        <v>461</v>
      </c>
      <c r="J180" s="16" t="s">
        <v>462</v>
      </c>
      <c r="K180" s="16"/>
      <c r="L180" s="16"/>
      <c r="M180" s="19">
        <v>2</v>
      </c>
      <c r="N180" s="17" t="s">
        <v>13979</v>
      </c>
      <c r="O180" s="16" t="s">
        <v>477</v>
      </c>
      <c r="P180" s="16" t="s">
        <v>1071</v>
      </c>
      <c r="Q180" s="16" t="s">
        <v>25</v>
      </c>
      <c r="R180" s="16" t="s">
        <v>1072</v>
      </c>
      <c r="S180" s="16"/>
      <c r="T180" s="16"/>
      <c r="U180" s="16"/>
      <c r="V180" s="16"/>
      <c r="W180" s="17"/>
      <c r="X180" s="17"/>
      <c r="Y180" s="17"/>
      <c r="Z180" s="17"/>
      <c r="AA180" s="17"/>
      <c r="AB180" s="17" t="str">
        <f t="shared" si="3"/>
        <v>GPR06032R</v>
      </c>
    </row>
    <row r="181" spans="1:28">
      <c r="A181" s="16" t="s">
        <v>36</v>
      </c>
      <c r="B181" s="16" t="s">
        <v>36</v>
      </c>
      <c r="C181" s="16" t="s">
        <v>1073</v>
      </c>
      <c r="D181" s="16" t="s">
        <v>21</v>
      </c>
      <c r="E181" s="16" t="s">
        <v>22</v>
      </c>
      <c r="F181" s="16" t="s">
        <v>37</v>
      </c>
      <c r="G181" s="17" t="str">
        <f>Config!$B$3</f>
        <v>SCH/R_IEC.SchLib</v>
      </c>
      <c r="H181" s="16" t="s">
        <v>419</v>
      </c>
      <c r="I181" s="18" t="s">
        <v>461</v>
      </c>
      <c r="J181" s="16" t="s">
        <v>462</v>
      </c>
      <c r="K181" s="16"/>
      <c r="L181" s="16"/>
      <c r="M181" s="19">
        <v>2.2000000000000002</v>
      </c>
      <c r="N181" s="17" t="s">
        <v>13979</v>
      </c>
      <c r="O181" s="16" t="s">
        <v>477</v>
      </c>
      <c r="P181" s="16" t="s">
        <v>1074</v>
      </c>
      <c r="Q181" s="16" t="s">
        <v>25</v>
      </c>
      <c r="R181" s="16" t="s">
        <v>1075</v>
      </c>
      <c r="S181" s="16" t="s">
        <v>477</v>
      </c>
      <c r="T181" s="16" t="s">
        <v>1076</v>
      </c>
      <c r="U181" s="16" t="s">
        <v>25</v>
      </c>
      <c r="V181" s="16" t="s">
        <v>1077</v>
      </c>
      <c r="W181" s="17"/>
      <c r="X181" s="17"/>
      <c r="Y181" s="17"/>
      <c r="Z181" s="17"/>
      <c r="AA181" s="17"/>
      <c r="AB181" s="17" t="str">
        <f t="shared" si="3"/>
        <v>GPR06032R2</v>
      </c>
    </row>
    <row r="182" spans="1:28">
      <c r="A182" s="16" t="s">
        <v>1078</v>
      </c>
      <c r="B182" s="16" t="s">
        <v>1078</v>
      </c>
      <c r="C182" s="16" t="s">
        <v>1079</v>
      </c>
      <c r="D182" s="16" t="s">
        <v>21</v>
      </c>
      <c r="E182" s="16" t="s">
        <v>22</v>
      </c>
      <c r="F182" s="16" t="s">
        <v>1080</v>
      </c>
      <c r="G182" s="17" t="str">
        <f>Config!$B$3</f>
        <v>SCH/R_IEC.SchLib</v>
      </c>
      <c r="H182" s="16" t="s">
        <v>419</v>
      </c>
      <c r="I182" s="18" t="s">
        <v>461</v>
      </c>
      <c r="J182" s="16" t="s">
        <v>462</v>
      </c>
      <c r="K182" s="16"/>
      <c r="L182" s="16"/>
      <c r="M182" s="19">
        <v>2.4</v>
      </c>
      <c r="N182" s="17" t="s">
        <v>13979</v>
      </c>
      <c r="O182" s="16" t="s">
        <v>477</v>
      </c>
      <c r="P182" s="16" t="s">
        <v>1081</v>
      </c>
      <c r="Q182" s="16" t="s">
        <v>25</v>
      </c>
      <c r="R182" s="16" t="s">
        <v>1082</v>
      </c>
      <c r="S182" s="16"/>
      <c r="T182" s="16"/>
      <c r="U182" s="16"/>
      <c r="V182" s="16"/>
      <c r="W182" s="17"/>
      <c r="X182" s="17"/>
      <c r="Y182" s="17"/>
      <c r="Z182" s="17"/>
      <c r="AA182" s="17"/>
      <c r="AB182" s="17" t="str">
        <f t="shared" si="3"/>
        <v>GPR06032R4</v>
      </c>
    </row>
    <row r="183" spans="1:28">
      <c r="A183" s="16" t="s">
        <v>38</v>
      </c>
      <c r="B183" s="16" t="s">
        <v>38</v>
      </c>
      <c r="C183" s="16" t="s">
        <v>1083</v>
      </c>
      <c r="D183" s="16" t="s">
        <v>21</v>
      </c>
      <c r="E183" s="16" t="s">
        <v>22</v>
      </c>
      <c r="F183" s="16" t="s">
        <v>39</v>
      </c>
      <c r="G183" s="17" t="str">
        <f>Config!$B$3</f>
        <v>SCH/R_IEC.SchLib</v>
      </c>
      <c r="H183" s="16" t="s">
        <v>419</v>
      </c>
      <c r="I183" s="18" t="s">
        <v>461</v>
      </c>
      <c r="J183" s="16" t="s">
        <v>462</v>
      </c>
      <c r="K183" s="16"/>
      <c r="L183" s="16"/>
      <c r="M183" s="19">
        <v>2.7</v>
      </c>
      <c r="N183" s="17" t="s">
        <v>13979</v>
      </c>
      <c r="O183" s="16" t="s">
        <v>477</v>
      </c>
      <c r="P183" s="16" t="s">
        <v>1084</v>
      </c>
      <c r="Q183" s="16" t="s">
        <v>25</v>
      </c>
      <c r="R183" s="16" t="s">
        <v>1085</v>
      </c>
      <c r="S183" s="16"/>
      <c r="T183" s="16"/>
      <c r="U183" s="16"/>
      <c r="V183" s="16"/>
      <c r="W183" s="17"/>
      <c r="X183" s="17"/>
      <c r="Y183" s="17"/>
      <c r="Z183" s="17"/>
      <c r="AA183" s="17"/>
      <c r="AB183" s="17" t="str">
        <f t="shared" si="3"/>
        <v>GPR06032R7</v>
      </c>
    </row>
    <row r="184" spans="1:28">
      <c r="A184" s="16" t="s">
        <v>1086</v>
      </c>
      <c r="B184" s="16" t="s">
        <v>1086</v>
      </c>
      <c r="C184" s="16" t="s">
        <v>1087</v>
      </c>
      <c r="D184" s="16" t="s">
        <v>21</v>
      </c>
      <c r="E184" s="16" t="s">
        <v>22</v>
      </c>
      <c r="F184" s="16" t="s">
        <v>1088</v>
      </c>
      <c r="G184" s="17" t="str">
        <f>Config!$B$3</f>
        <v>SCH/R_IEC.SchLib</v>
      </c>
      <c r="H184" s="16" t="s">
        <v>419</v>
      </c>
      <c r="I184" s="18" t="s">
        <v>461</v>
      </c>
      <c r="J184" s="16" t="s">
        <v>462</v>
      </c>
      <c r="K184" s="16"/>
      <c r="L184" s="16"/>
      <c r="M184" s="19">
        <v>3</v>
      </c>
      <c r="N184" s="17" t="s">
        <v>13979</v>
      </c>
      <c r="O184" s="16" t="s">
        <v>477</v>
      </c>
      <c r="P184" s="16" t="s">
        <v>1089</v>
      </c>
      <c r="Q184" s="16" t="s">
        <v>25</v>
      </c>
      <c r="R184" s="16" t="s">
        <v>1090</v>
      </c>
      <c r="S184" s="16"/>
      <c r="T184" s="16"/>
      <c r="U184" s="16"/>
      <c r="V184" s="16"/>
      <c r="W184" s="17"/>
      <c r="X184" s="17"/>
      <c r="Y184" s="17"/>
      <c r="Z184" s="17"/>
      <c r="AA184" s="17"/>
      <c r="AB184" s="17" t="str">
        <f t="shared" si="3"/>
        <v>GPR06033R</v>
      </c>
    </row>
    <row r="185" spans="1:28">
      <c r="A185" s="16" t="s">
        <v>40</v>
      </c>
      <c r="B185" s="16" t="s">
        <v>40</v>
      </c>
      <c r="C185" s="16" t="s">
        <v>1091</v>
      </c>
      <c r="D185" s="16" t="s">
        <v>21</v>
      </c>
      <c r="E185" s="16" t="s">
        <v>22</v>
      </c>
      <c r="F185" s="16" t="s">
        <v>41</v>
      </c>
      <c r="G185" s="17" t="str">
        <f>Config!$B$3</f>
        <v>SCH/R_IEC.SchLib</v>
      </c>
      <c r="H185" s="16" t="s">
        <v>419</v>
      </c>
      <c r="I185" s="18" t="s">
        <v>461</v>
      </c>
      <c r="J185" s="16" t="s">
        <v>462</v>
      </c>
      <c r="K185" s="16"/>
      <c r="L185" s="16"/>
      <c r="M185" s="19">
        <v>3.3</v>
      </c>
      <c r="N185" s="17" t="s">
        <v>13979</v>
      </c>
      <c r="O185" s="16" t="s">
        <v>477</v>
      </c>
      <c r="P185" s="16" t="s">
        <v>1092</v>
      </c>
      <c r="Q185" s="16" t="s">
        <v>25</v>
      </c>
      <c r="R185" s="16" t="s">
        <v>1093</v>
      </c>
      <c r="S185" s="16" t="s">
        <v>477</v>
      </c>
      <c r="T185" s="16" t="s">
        <v>1094</v>
      </c>
      <c r="U185" s="16" t="s">
        <v>25</v>
      </c>
      <c r="V185" s="16" t="s">
        <v>1095</v>
      </c>
      <c r="W185" s="17"/>
      <c r="X185" s="17"/>
      <c r="Y185" s="17"/>
      <c r="Z185" s="17"/>
      <c r="AA185" s="17"/>
      <c r="AB185" s="17" t="str">
        <f t="shared" si="3"/>
        <v>GPR06033R3</v>
      </c>
    </row>
    <row r="186" spans="1:28">
      <c r="A186" s="16" t="s">
        <v>1096</v>
      </c>
      <c r="B186" s="16" t="s">
        <v>1096</v>
      </c>
      <c r="C186" s="16" t="s">
        <v>1097</v>
      </c>
      <c r="D186" s="16" t="s">
        <v>21</v>
      </c>
      <c r="E186" s="16" t="s">
        <v>22</v>
      </c>
      <c r="F186" s="16" t="s">
        <v>1098</v>
      </c>
      <c r="G186" s="17" t="str">
        <f>Config!$B$3</f>
        <v>SCH/R_IEC.SchLib</v>
      </c>
      <c r="H186" s="16" t="s">
        <v>419</v>
      </c>
      <c r="I186" s="18" t="s">
        <v>461</v>
      </c>
      <c r="J186" s="16" t="s">
        <v>462</v>
      </c>
      <c r="K186" s="16"/>
      <c r="L186" s="16"/>
      <c r="M186" s="19">
        <v>3.6</v>
      </c>
      <c r="N186" s="17" t="s">
        <v>13979</v>
      </c>
      <c r="O186" s="16" t="s">
        <v>477</v>
      </c>
      <c r="P186" s="16" t="s">
        <v>1099</v>
      </c>
      <c r="Q186" s="16" t="s">
        <v>25</v>
      </c>
      <c r="R186" s="16" t="s">
        <v>1100</v>
      </c>
      <c r="S186" s="16"/>
      <c r="T186" s="16"/>
      <c r="U186" s="16"/>
      <c r="V186" s="16"/>
      <c r="W186" s="17"/>
      <c r="X186" s="17"/>
      <c r="Y186" s="17"/>
      <c r="Z186" s="17"/>
      <c r="AA186" s="17"/>
      <c r="AB186" s="17" t="str">
        <f t="shared" si="3"/>
        <v>GPR06033R6</v>
      </c>
    </row>
    <row r="187" spans="1:28">
      <c r="A187" s="16" t="s">
        <v>42</v>
      </c>
      <c r="B187" s="16" t="s">
        <v>42</v>
      </c>
      <c r="C187" s="16" t="s">
        <v>1101</v>
      </c>
      <c r="D187" s="16" t="s">
        <v>21</v>
      </c>
      <c r="E187" s="16" t="s">
        <v>22</v>
      </c>
      <c r="F187" s="16" t="s">
        <v>43</v>
      </c>
      <c r="G187" s="17" t="str">
        <f>Config!$B$3</f>
        <v>SCH/R_IEC.SchLib</v>
      </c>
      <c r="H187" s="16" t="s">
        <v>419</v>
      </c>
      <c r="I187" s="18" t="s">
        <v>461</v>
      </c>
      <c r="J187" s="16" t="s">
        <v>462</v>
      </c>
      <c r="K187" s="16"/>
      <c r="L187" s="16"/>
      <c r="M187" s="19">
        <v>3.9</v>
      </c>
      <c r="N187" s="17" t="s">
        <v>13979</v>
      </c>
      <c r="O187" s="16" t="s">
        <v>477</v>
      </c>
      <c r="P187" s="16" t="s">
        <v>1102</v>
      </c>
      <c r="Q187" s="16" t="s">
        <v>25</v>
      </c>
      <c r="R187" s="16" t="s">
        <v>1103</v>
      </c>
      <c r="S187" s="16"/>
      <c r="T187" s="16"/>
      <c r="U187" s="16"/>
      <c r="V187" s="16"/>
      <c r="W187" s="17"/>
      <c r="X187" s="17"/>
      <c r="Y187" s="17"/>
      <c r="Z187" s="17"/>
      <c r="AA187" s="17"/>
      <c r="AB187" s="17" t="str">
        <f t="shared" si="3"/>
        <v>GPR06033R9</v>
      </c>
    </row>
    <row r="188" spans="1:28">
      <c r="A188" s="16" t="s">
        <v>1104</v>
      </c>
      <c r="B188" s="16" t="s">
        <v>1104</v>
      </c>
      <c r="C188" s="16" t="s">
        <v>1105</v>
      </c>
      <c r="D188" s="16" t="s">
        <v>21</v>
      </c>
      <c r="E188" s="16" t="s">
        <v>22</v>
      </c>
      <c r="F188" s="16" t="s">
        <v>1106</v>
      </c>
      <c r="G188" s="17" t="str">
        <f>Config!$B$3</f>
        <v>SCH/R_IEC.SchLib</v>
      </c>
      <c r="H188" s="16" t="s">
        <v>419</v>
      </c>
      <c r="I188" s="18" t="s">
        <v>461</v>
      </c>
      <c r="J188" s="16" t="s">
        <v>462</v>
      </c>
      <c r="K188" s="16"/>
      <c r="L188" s="16"/>
      <c r="M188" s="19">
        <v>4.3</v>
      </c>
      <c r="N188" s="17" t="s">
        <v>13979</v>
      </c>
      <c r="O188" s="16" t="s">
        <v>477</v>
      </c>
      <c r="P188" s="16" t="s">
        <v>1107</v>
      </c>
      <c r="Q188" s="16" t="s">
        <v>25</v>
      </c>
      <c r="R188" s="16" t="s">
        <v>1108</v>
      </c>
      <c r="S188" s="16"/>
      <c r="T188" s="16"/>
      <c r="U188" s="16"/>
      <c r="V188" s="16"/>
      <c r="W188" s="17"/>
      <c r="X188" s="17"/>
      <c r="Y188" s="17"/>
      <c r="Z188" s="17"/>
      <c r="AA188" s="17"/>
      <c r="AB188" s="17" t="str">
        <f t="shared" si="3"/>
        <v>GPR06034R3</v>
      </c>
    </row>
    <row r="189" spans="1:28">
      <c r="A189" s="16" t="s">
        <v>44</v>
      </c>
      <c r="B189" s="16" t="s">
        <v>44</v>
      </c>
      <c r="C189" s="16" t="s">
        <v>1109</v>
      </c>
      <c r="D189" s="16" t="s">
        <v>21</v>
      </c>
      <c r="E189" s="16" t="s">
        <v>22</v>
      </c>
      <c r="F189" s="16" t="s">
        <v>45</v>
      </c>
      <c r="G189" s="17" t="str">
        <f>Config!$B$3</f>
        <v>SCH/R_IEC.SchLib</v>
      </c>
      <c r="H189" s="16" t="s">
        <v>419</v>
      </c>
      <c r="I189" s="18" t="s">
        <v>461</v>
      </c>
      <c r="J189" s="16" t="s">
        <v>462</v>
      </c>
      <c r="K189" s="16"/>
      <c r="L189" s="16"/>
      <c r="M189" s="19">
        <v>4.7</v>
      </c>
      <c r="N189" s="17" t="s">
        <v>13979</v>
      </c>
      <c r="O189" s="16" t="s">
        <v>477</v>
      </c>
      <c r="P189" s="16" t="s">
        <v>1110</v>
      </c>
      <c r="Q189" s="16" t="s">
        <v>25</v>
      </c>
      <c r="R189" s="16" t="s">
        <v>1111</v>
      </c>
      <c r="S189" s="16" t="s">
        <v>477</v>
      </c>
      <c r="T189" s="16" t="s">
        <v>1112</v>
      </c>
      <c r="U189" s="16" t="s">
        <v>25</v>
      </c>
      <c r="V189" s="16" t="s">
        <v>1113</v>
      </c>
      <c r="W189" s="17"/>
      <c r="X189" s="17"/>
      <c r="Y189" s="17"/>
      <c r="Z189" s="17"/>
      <c r="AA189" s="17"/>
      <c r="AB189" s="17" t="str">
        <f t="shared" si="3"/>
        <v>GPR06034R7</v>
      </c>
    </row>
    <row r="190" spans="1:28">
      <c r="A190" s="16" t="s">
        <v>1114</v>
      </c>
      <c r="B190" s="16" t="s">
        <v>1114</v>
      </c>
      <c r="C190" s="16" t="s">
        <v>1115</v>
      </c>
      <c r="D190" s="16" t="s">
        <v>21</v>
      </c>
      <c r="E190" s="16" t="s">
        <v>22</v>
      </c>
      <c r="F190" s="16" t="s">
        <v>1116</v>
      </c>
      <c r="G190" s="17" t="str">
        <f>Config!$B$3</f>
        <v>SCH/R_IEC.SchLib</v>
      </c>
      <c r="H190" s="16" t="s">
        <v>419</v>
      </c>
      <c r="I190" s="18" t="s">
        <v>461</v>
      </c>
      <c r="J190" s="16" t="s">
        <v>462</v>
      </c>
      <c r="K190" s="16"/>
      <c r="L190" s="16"/>
      <c r="M190" s="19">
        <v>5.0999999999999996</v>
      </c>
      <c r="N190" s="17" t="s">
        <v>13979</v>
      </c>
      <c r="O190" s="16" t="s">
        <v>477</v>
      </c>
      <c r="P190" s="16" t="s">
        <v>1117</v>
      </c>
      <c r="Q190" s="16" t="s">
        <v>25</v>
      </c>
      <c r="R190" s="16" t="s">
        <v>1118</v>
      </c>
      <c r="S190" s="16" t="s">
        <v>477</v>
      </c>
      <c r="T190" s="16" t="s">
        <v>1119</v>
      </c>
      <c r="U190" s="16" t="s">
        <v>25</v>
      </c>
      <c r="V190" s="16" t="s">
        <v>1120</v>
      </c>
      <c r="W190" s="17"/>
      <c r="X190" s="17"/>
      <c r="Y190" s="17"/>
      <c r="Z190" s="17"/>
      <c r="AA190" s="17"/>
      <c r="AB190" s="17" t="str">
        <f t="shared" si="3"/>
        <v>GPR06035R1</v>
      </c>
    </row>
    <row r="191" spans="1:28">
      <c r="A191" s="16" t="s">
        <v>46</v>
      </c>
      <c r="B191" s="16" t="s">
        <v>46</v>
      </c>
      <c r="C191" s="16" t="s">
        <v>1121</v>
      </c>
      <c r="D191" s="16" t="s">
        <v>21</v>
      </c>
      <c r="E191" s="16" t="s">
        <v>22</v>
      </c>
      <c r="F191" s="16" t="s">
        <v>47</v>
      </c>
      <c r="G191" s="17" t="str">
        <f>Config!$B$3</f>
        <v>SCH/R_IEC.SchLib</v>
      </c>
      <c r="H191" s="16" t="s">
        <v>419</v>
      </c>
      <c r="I191" s="18" t="s">
        <v>461</v>
      </c>
      <c r="J191" s="16" t="s">
        <v>462</v>
      </c>
      <c r="K191" s="16"/>
      <c r="L191" s="16"/>
      <c r="M191" s="19">
        <v>5.6</v>
      </c>
      <c r="N191" s="17" t="s">
        <v>13979</v>
      </c>
      <c r="O191" s="16" t="s">
        <v>477</v>
      </c>
      <c r="P191" s="16" t="s">
        <v>1122</v>
      </c>
      <c r="Q191" s="16" t="s">
        <v>25</v>
      </c>
      <c r="R191" s="16" t="s">
        <v>1123</v>
      </c>
      <c r="S191" s="16" t="s">
        <v>477</v>
      </c>
      <c r="T191" s="16" t="s">
        <v>1124</v>
      </c>
      <c r="U191" s="16" t="s">
        <v>25</v>
      </c>
      <c r="V191" s="16" t="s">
        <v>1125</v>
      </c>
      <c r="W191" s="17"/>
      <c r="X191" s="17"/>
      <c r="Y191" s="17"/>
      <c r="Z191" s="17"/>
      <c r="AA191" s="17"/>
      <c r="AB191" s="17" t="str">
        <f t="shared" si="3"/>
        <v>GPR06035R6</v>
      </c>
    </row>
    <row r="192" spans="1:28">
      <c r="A192" s="16" t="s">
        <v>1126</v>
      </c>
      <c r="B192" s="16" t="s">
        <v>1126</v>
      </c>
      <c r="C192" s="16" t="s">
        <v>1127</v>
      </c>
      <c r="D192" s="16" t="s">
        <v>21</v>
      </c>
      <c r="E192" s="16" t="s">
        <v>22</v>
      </c>
      <c r="F192" s="16" t="s">
        <v>1128</v>
      </c>
      <c r="G192" s="17" t="str">
        <f>Config!$B$3</f>
        <v>SCH/R_IEC.SchLib</v>
      </c>
      <c r="H192" s="16" t="s">
        <v>419</v>
      </c>
      <c r="I192" s="18" t="s">
        <v>461</v>
      </c>
      <c r="J192" s="16" t="s">
        <v>462</v>
      </c>
      <c r="K192" s="16"/>
      <c r="L192" s="16"/>
      <c r="M192" s="19">
        <v>6.2</v>
      </c>
      <c r="N192" s="17" t="s">
        <v>13979</v>
      </c>
      <c r="O192" s="16" t="s">
        <v>477</v>
      </c>
      <c r="P192" s="16" t="s">
        <v>1129</v>
      </c>
      <c r="Q192" s="16" t="s">
        <v>25</v>
      </c>
      <c r="R192" s="16" t="s">
        <v>1130</v>
      </c>
      <c r="S192" s="16"/>
      <c r="T192" s="16"/>
      <c r="U192" s="16"/>
      <c r="V192" s="16"/>
      <c r="W192" s="17"/>
      <c r="X192" s="17"/>
      <c r="Y192" s="17"/>
      <c r="Z192" s="17"/>
      <c r="AA192" s="17"/>
      <c r="AB192" s="17" t="str">
        <f t="shared" si="3"/>
        <v>GPR06036R2</v>
      </c>
    </row>
    <row r="193" spans="1:28">
      <c r="A193" s="16" t="s">
        <v>48</v>
      </c>
      <c r="B193" s="16" t="s">
        <v>48</v>
      </c>
      <c r="C193" s="16" t="s">
        <v>1131</v>
      </c>
      <c r="D193" s="16" t="s">
        <v>21</v>
      </c>
      <c r="E193" s="16" t="s">
        <v>22</v>
      </c>
      <c r="F193" s="16" t="s">
        <v>49</v>
      </c>
      <c r="G193" s="17" t="str">
        <f>Config!$B$3</f>
        <v>SCH/R_IEC.SchLib</v>
      </c>
      <c r="H193" s="16" t="s">
        <v>419</v>
      </c>
      <c r="I193" s="18" t="s">
        <v>461</v>
      </c>
      <c r="J193" s="16" t="s">
        <v>462</v>
      </c>
      <c r="K193" s="16"/>
      <c r="L193" s="16"/>
      <c r="M193" s="19">
        <v>6.8</v>
      </c>
      <c r="N193" s="17" t="s">
        <v>13979</v>
      </c>
      <c r="O193" s="16" t="s">
        <v>477</v>
      </c>
      <c r="P193" s="16" t="s">
        <v>1132</v>
      </c>
      <c r="Q193" s="16" t="s">
        <v>25</v>
      </c>
      <c r="R193" s="16" t="s">
        <v>1133</v>
      </c>
      <c r="S193" s="16" t="s">
        <v>477</v>
      </c>
      <c r="T193" s="16" t="s">
        <v>1134</v>
      </c>
      <c r="U193" s="16" t="s">
        <v>25</v>
      </c>
      <c r="V193" s="16" t="s">
        <v>1135</v>
      </c>
      <c r="W193" s="17"/>
      <c r="X193" s="17"/>
      <c r="Y193" s="17"/>
      <c r="Z193" s="17"/>
      <c r="AA193" s="17"/>
      <c r="AB193" s="17" t="str">
        <f t="shared" si="3"/>
        <v>GPR06036R8</v>
      </c>
    </row>
    <row r="194" spans="1:28">
      <c r="A194" s="16" t="s">
        <v>1136</v>
      </c>
      <c r="B194" s="16" t="s">
        <v>1136</v>
      </c>
      <c r="C194" s="16" t="s">
        <v>1137</v>
      </c>
      <c r="D194" s="16" t="s">
        <v>21</v>
      </c>
      <c r="E194" s="16" t="s">
        <v>22</v>
      </c>
      <c r="F194" s="16" t="s">
        <v>1138</v>
      </c>
      <c r="G194" s="17" t="str">
        <f>Config!$B$3</f>
        <v>SCH/R_IEC.SchLib</v>
      </c>
      <c r="H194" s="16" t="s">
        <v>419</v>
      </c>
      <c r="I194" s="18" t="s">
        <v>461</v>
      </c>
      <c r="J194" s="16" t="s">
        <v>462</v>
      </c>
      <c r="K194" s="16"/>
      <c r="L194" s="16"/>
      <c r="M194" s="19">
        <v>7.5</v>
      </c>
      <c r="N194" s="17" t="s">
        <v>13979</v>
      </c>
      <c r="O194" s="16" t="s">
        <v>477</v>
      </c>
      <c r="P194" s="16" t="s">
        <v>1139</v>
      </c>
      <c r="Q194" s="16" t="s">
        <v>25</v>
      </c>
      <c r="R194" s="16" t="s">
        <v>1140</v>
      </c>
      <c r="S194" s="16"/>
      <c r="T194" s="16"/>
      <c r="U194" s="16"/>
      <c r="V194" s="16"/>
      <c r="W194" s="17"/>
      <c r="X194" s="17"/>
      <c r="Y194" s="17"/>
      <c r="Z194" s="17"/>
      <c r="AA194" s="17"/>
      <c r="AB194" s="17" t="str">
        <f t="shared" si="3"/>
        <v>GPR06037R5</v>
      </c>
    </row>
    <row r="195" spans="1:28">
      <c r="A195" s="16" t="s">
        <v>50</v>
      </c>
      <c r="B195" s="16" t="s">
        <v>50</v>
      </c>
      <c r="C195" s="16" t="s">
        <v>1141</v>
      </c>
      <c r="D195" s="16" t="s">
        <v>21</v>
      </c>
      <c r="E195" s="16" t="s">
        <v>22</v>
      </c>
      <c r="F195" s="16" t="s">
        <v>51</v>
      </c>
      <c r="G195" s="17" t="str">
        <f>Config!$B$3</f>
        <v>SCH/R_IEC.SchLib</v>
      </c>
      <c r="H195" s="16" t="s">
        <v>419</v>
      </c>
      <c r="I195" s="18" t="s">
        <v>461</v>
      </c>
      <c r="J195" s="16" t="s">
        <v>462</v>
      </c>
      <c r="K195" s="16"/>
      <c r="L195" s="16"/>
      <c r="M195" s="19">
        <v>8.1999999999999993</v>
      </c>
      <c r="N195" s="17" t="s">
        <v>13979</v>
      </c>
      <c r="O195" s="16" t="s">
        <v>477</v>
      </c>
      <c r="P195" s="16" t="s">
        <v>1142</v>
      </c>
      <c r="Q195" s="16" t="s">
        <v>25</v>
      </c>
      <c r="R195" s="16" t="s">
        <v>1143</v>
      </c>
      <c r="S195" s="16" t="s">
        <v>477</v>
      </c>
      <c r="T195" s="16" t="s">
        <v>1144</v>
      </c>
      <c r="U195" s="16" t="s">
        <v>25</v>
      </c>
      <c r="V195" s="16" t="s">
        <v>1145</v>
      </c>
      <c r="W195" s="17"/>
      <c r="X195" s="17"/>
      <c r="Y195" s="17"/>
      <c r="Z195" s="17"/>
      <c r="AA195" s="17"/>
      <c r="AB195" s="17" t="str">
        <f t="shared" si="3"/>
        <v>GPR06038R2</v>
      </c>
    </row>
    <row r="196" spans="1:28">
      <c r="A196" s="16" t="s">
        <v>1146</v>
      </c>
      <c r="B196" s="16" t="s">
        <v>1146</v>
      </c>
      <c r="C196" s="16" t="s">
        <v>1147</v>
      </c>
      <c r="D196" s="16" t="s">
        <v>21</v>
      </c>
      <c r="E196" s="16" t="s">
        <v>22</v>
      </c>
      <c r="F196" s="16" t="s">
        <v>1148</v>
      </c>
      <c r="G196" s="17" t="str">
        <f>Config!$B$3</f>
        <v>SCH/R_IEC.SchLib</v>
      </c>
      <c r="H196" s="16" t="s">
        <v>419</v>
      </c>
      <c r="I196" s="18" t="s">
        <v>461</v>
      </c>
      <c r="J196" s="16" t="s">
        <v>462</v>
      </c>
      <c r="K196" s="16"/>
      <c r="L196" s="16"/>
      <c r="M196" s="19">
        <v>9.1</v>
      </c>
      <c r="N196" s="17" t="s">
        <v>13979</v>
      </c>
      <c r="O196" s="16" t="s">
        <v>477</v>
      </c>
      <c r="P196" s="16" t="s">
        <v>1149</v>
      </c>
      <c r="Q196" s="16" t="s">
        <v>25</v>
      </c>
      <c r="R196" s="16" t="s">
        <v>1150</v>
      </c>
      <c r="S196" s="16"/>
      <c r="T196" s="16"/>
      <c r="U196" s="16"/>
      <c r="V196" s="16"/>
      <c r="W196" s="17"/>
      <c r="X196" s="17"/>
      <c r="Y196" s="17"/>
      <c r="Z196" s="17"/>
      <c r="AA196" s="17"/>
      <c r="AB196" s="17" t="str">
        <f t="shared" si="3"/>
        <v>GPR06039R1</v>
      </c>
    </row>
    <row r="197" spans="1:28">
      <c r="A197" s="16" t="s">
        <v>52</v>
      </c>
      <c r="B197" s="16" t="s">
        <v>52</v>
      </c>
      <c r="C197" s="16" t="s">
        <v>1151</v>
      </c>
      <c r="D197" s="16" t="s">
        <v>21</v>
      </c>
      <c r="E197" s="16" t="s">
        <v>22</v>
      </c>
      <c r="F197" s="16" t="s">
        <v>53</v>
      </c>
      <c r="G197" s="17" t="str">
        <f>Config!$B$3</f>
        <v>SCH/R_IEC.SchLib</v>
      </c>
      <c r="H197" s="16" t="s">
        <v>419</v>
      </c>
      <c r="I197" s="18" t="s">
        <v>461</v>
      </c>
      <c r="J197" s="16" t="s">
        <v>462</v>
      </c>
      <c r="K197" s="16"/>
      <c r="L197" s="16"/>
      <c r="M197" s="20">
        <v>10</v>
      </c>
      <c r="N197" s="17" t="s">
        <v>13979</v>
      </c>
      <c r="O197" s="16" t="s">
        <v>477</v>
      </c>
      <c r="P197" s="16" t="s">
        <v>1152</v>
      </c>
      <c r="Q197" s="16" t="s">
        <v>25</v>
      </c>
      <c r="R197" s="16" t="s">
        <v>1153</v>
      </c>
      <c r="S197" s="16" t="s">
        <v>477</v>
      </c>
      <c r="T197" s="16" t="s">
        <v>54</v>
      </c>
      <c r="U197" s="16" t="s">
        <v>25</v>
      </c>
      <c r="V197" s="16" t="s">
        <v>55</v>
      </c>
      <c r="W197" s="17" t="s">
        <v>14467</v>
      </c>
      <c r="X197" s="17" t="s">
        <v>16736</v>
      </c>
      <c r="Y197" s="16" t="s">
        <v>4559</v>
      </c>
      <c r="Z197" s="17" t="s">
        <v>16737</v>
      </c>
      <c r="AA197" t="s">
        <v>4728</v>
      </c>
      <c r="AB197" s="17" t="str">
        <f t="shared" si="3"/>
        <v>GPR060310R</v>
      </c>
    </row>
    <row r="198" spans="1:28">
      <c r="A198" s="16" t="s">
        <v>56</v>
      </c>
      <c r="B198" s="16" t="s">
        <v>56</v>
      </c>
      <c r="C198" s="16" t="s">
        <v>1154</v>
      </c>
      <c r="D198" s="16" t="s">
        <v>21</v>
      </c>
      <c r="E198" s="16" t="s">
        <v>22</v>
      </c>
      <c r="F198" s="16" t="s">
        <v>57</v>
      </c>
      <c r="G198" s="17" t="str">
        <f>Config!$B$3</f>
        <v>SCH/R_IEC.SchLib</v>
      </c>
      <c r="H198" s="16" t="s">
        <v>419</v>
      </c>
      <c r="I198" s="18" t="s">
        <v>461</v>
      </c>
      <c r="J198" s="16" t="s">
        <v>462</v>
      </c>
      <c r="K198" s="16"/>
      <c r="L198" s="16"/>
      <c r="M198" s="20">
        <v>11</v>
      </c>
      <c r="N198" s="17" t="s">
        <v>13979</v>
      </c>
      <c r="O198" s="16" t="s">
        <v>477</v>
      </c>
      <c r="P198" s="16" t="s">
        <v>1155</v>
      </c>
      <c r="Q198" s="16" t="s">
        <v>25</v>
      </c>
      <c r="R198" s="16" t="s">
        <v>1156</v>
      </c>
      <c r="S198" s="16"/>
      <c r="T198" s="16"/>
      <c r="U198" s="16"/>
      <c r="V198" s="16"/>
      <c r="W198" s="17"/>
      <c r="X198" s="17"/>
      <c r="Y198" s="17"/>
      <c r="Z198" s="17"/>
      <c r="AA198" s="17"/>
      <c r="AB198" s="17" t="str">
        <f t="shared" si="3"/>
        <v>GPR060311R</v>
      </c>
    </row>
    <row r="199" spans="1:28">
      <c r="A199" s="16" t="s">
        <v>58</v>
      </c>
      <c r="B199" s="16" t="s">
        <v>58</v>
      </c>
      <c r="C199" s="16" t="s">
        <v>1157</v>
      </c>
      <c r="D199" s="16" t="s">
        <v>21</v>
      </c>
      <c r="E199" s="16" t="s">
        <v>22</v>
      </c>
      <c r="F199" s="16" t="s">
        <v>59</v>
      </c>
      <c r="G199" s="17" t="str">
        <f>Config!$B$3</f>
        <v>SCH/R_IEC.SchLib</v>
      </c>
      <c r="H199" s="16" t="s">
        <v>419</v>
      </c>
      <c r="I199" s="18" t="s">
        <v>461</v>
      </c>
      <c r="J199" s="16" t="s">
        <v>462</v>
      </c>
      <c r="K199" s="16"/>
      <c r="L199" s="16"/>
      <c r="M199" s="20">
        <v>12</v>
      </c>
      <c r="N199" s="17" t="s">
        <v>13979</v>
      </c>
      <c r="O199" s="16" t="s">
        <v>477</v>
      </c>
      <c r="P199" s="16" t="s">
        <v>1158</v>
      </c>
      <c r="Q199" s="16" t="s">
        <v>25</v>
      </c>
      <c r="R199" s="16" t="s">
        <v>1159</v>
      </c>
      <c r="S199" s="16" t="s">
        <v>477</v>
      </c>
      <c r="T199" s="16" t="s">
        <v>1160</v>
      </c>
      <c r="U199" s="16" t="s">
        <v>25</v>
      </c>
      <c r="V199" s="16" t="s">
        <v>1161</v>
      </c>
      <c r="W199" s="17"/>
      <c r="X199" s="17"/>
      <c r="Y199" s="17"/>
      <c r="Z199" s="17"/>
      <c r="AA199" s="17"/>
      <c r="AB199" s="17" t="str">
        <f t="shared" si="3"/>
        <v>GPR060312R</v>
      </c>
    </row>
    <row r="200" spans="1:28">
      <c r="A200" s="16" t="s">
        <v>60</v>
      </c>
      <c r="B200" s="16" t="s">
        <v>60</v>
      </c>
      <c r="C200" s="16" t="s">
        <v>1162</v>
      </c>
      <c r="D200" s="16" t="s">
        <v>21</v>
      </c>
      <c r="E200" s="16" t="s">
        <v>22</v>
      </c>
      <c r="F200" s="16" t="s">
        <v>61</v>
      </c>
      <c r="G200" s="17" t="str">
        <f>Config!$B$3</f>
        <v>SCH/R_IEC.SchLib</v>
      </c>
      <c r="H200" s="16" t="s">
        <v>419</v>
      </c>
      <c r="I200" s="18" t="s">
        <v>461</v>
      </c>
      <c r="J200" s="16" t="s">
        <v>462</v>
      </c>
      <c r="K200" s="16"/>
      <c r="L200" s="16"/>
      <c r="M200" s="20">
        <v>13</v>
      </c>
      <c r="N200" s="17" t="s">
        <v>13979</v>
      </c>
      <c r="O200" s="16" t="s">
        <v>477</v>
      </c>
      <c r="P200" s="16" t="s">
        <v>1163</v>
      </c>
      <c r="Q200" s="16" t="s">
        <v>25</v>
      </c>
      <c r="R200" s="16" t="s">
        <v>1164</v>
      </c>
      <c r="S200" s="16"/>
      <c r="T200" s="16"/>
      <c r="U200" s="16"/>
      <c r="V200" s="16"/>
      <c r="W200" s="17"/>
      <c r="X200" s="17"/>
      <c r="Y200" s="17"/>
      <c r="Z200" s="17"/>
      <c r="AA200" s="17"/>
      <c r="AB200" s="17" t="str">
        <f t="shared" si="3"/>
        <v>GPR060313R</v>
      </c>
    </row>
    <row r="201" spans="1:28">
      <c r="A201" s="16" t="s">
        <v>62</v>
      </c>
      <c r="B201" s="16" t="s">
        <v>62</v>
      </c>
      <c r="C201" s="16" t="s">
        <v>1165</v>
      </c>
      <c r="D201" s="16" t="s">
        <v>21</v>
      </c>
      <c r="E201" s="16" t="s">
        <v>22</v>
      </c>
      <c r="F201" s="16" t="s">
        <v>63</v>
      </c>
      <c r="G201" s="17" t="str">
        <f>Config!$B$3</f>
        <v>SCH/R_IEC.SchLib</v>
      </c>
      <c r="H201" s="16" t="s">
        <v>419</v>
      </c>
      <c r="I201" s="18" t="s">
        <v>461</v>
      </c>
      <c r="J201" s="16" t="s">
        <v>462</v>
      </c>
      <c r="K201" s="16"/>
      <c r="L201" s="16"/>
      <c r="M201" s="20">
        <v>15</v>
      </c>
      <c r="N201" s="17" t="s">
        <v>13979</v>
      </c>
      <c r="O201" s="16" t="s">
        <v>477</v>
      </c>
      <c r="P201" s="16" t="s">
        <v>1166</v>
      </c>
      <c r="Q201" s="16" t="s">
        <v>25</v>
      </c>
      <c r="R201" s="16" t="s">
        <v>1167</v>
      </c>
      <c r="S201" s="16" t="s">
        <v>477</v>
      </c>
      <c r="T201" s="16" t="s">
        <v>1168</v>
      </c>
      <c r="U201" s="16" t="s">
        <v>25</v>
      </c>
      <c r="V201" s="16" t="s">
        <v>1169</v>
      </c>
      <c r="W201" s="17"/>
      <c r="X201" s="17"/>
      <c r="Y201" s="17"/>
      <c r="Z201" s="17"/>
      <c r="AA201" s="17"/>
      <c r="AB201" s="17" t="str">
        <f t="shared" si="3"/>
        <v>GPR060315R</v>
      </c>
    </row>
    <row r="202" spans="1:28">
      <c r="A202" s="16" t="s">
        <v>64</v>
      </c>
      <c r="B202" s="16" t="s">
        <v>64</v>
      </c>
      <c r="C202" s="16" t="s">
        <v>1170</v>
      </c>
      <c r="D202" s="16" t="s">
        <v>21</v>
      </c>
      <c r="E202" s="16" t="s">
        <v>22</v>
      </c>
      <c r="F202" s="16" t="s">
        <v>65</v>
      </c>
      <c r="G202" s="17" t="str">
        <f>Config!$B$3</f>
        <v>SCH/R_IEC.SchLib</v>
      </c>
      <c r="H202" s="16" t="s">
        <v>419</v>
      </c>
      <c r="I202" s="18" t="s">
        <v>461</v>
      </c>
      <c r="J202" s="16" t="s">
        <v>462</v>
      </c>
      <c r="K202" s="16"/>
      <c r="L202" s="16"/>
      <c r="M202" s="20">
        <v>16</v>
      </c>
      <c r="N202" s="17" t="s">
        <v>13979</v>
      </c>
      <c r="O202" s="16" t="s">
        <v>477</v>
      </c>
      <c r="P202" s="16" t="s">
        <v>1171</v>
      </c>
      <c r="Q202" s="16" t="s">
        <v>25</v>
      </c>
      <c r="R202" s="16" t="s">
        <v>1172</v>
      </c>
      <c r="S202" s="16"/>
      <c r="T202" s="16"/>
      <c r="U202" s="16"/>
      <c r="V202" s="16"/>
      <c r="W202" s="17"/>
      <c r="X202" s="17"/>
      <c r="Y202" s="17"/>
      <c r="Z202" s="17"/>
      <c r="AA202" s="17"/>
      <c r="AB202" s="17" t="str">
        <f t="shared" si="3"/>
        <v>GPR060316R</v>
      </c>
    </row>
    <row r="203" spans="1:28">
      <c r="A203" s="16" t="s">
        <v>66</v>
      </c>
      <c r="B203" s="16" t="s">
        <v>66</v>
      </c>
      <c r="C203" s="16" t="s">
        <v>1173</v>
      </c>
      <c r="D203" s="16" t="s">
        <v>21</v>
      </c>
      <c r="E203" s="16" t="s">
        <v>22</v>
      </c>
      <c r="F203" s="16" t="s">
        <v>67</v>
      </c>
      <c r="G203" s="17" t="str">
        <f>Config!$B$3</f>
        <v>SCH/R_IEC.SchLib</v>
      </c>
      <c r="H203" s="16" t="s">
        <v>419</v>
      </c>
      <c r="I203" s="18" t="s">
        <v>461</v>
      </c>
      <c r="J203" s="16" t="s">
        <v>462</v>
      </c>
      <c r="K203" s="16"/>
      <c r="L203" s="16"/>
      <c r="M203" s="20">
        <v>18</v>
      </c>
      <c r="N203" s="17" t="s">
        <v>13979</v>
      </c>
      <c r="O203" s="16" t="s">
        <v>477</v>
      </c>
      <c r="P203" s="16" t="s">
        <v>1174</v>
      </c>
      <c r="Q203" s="16" t="s">
        <v>25</v>
      </c>
      <c r="R203" s="16" t="s">
        <v>1175</v>
      </c>
      <c r="S203" s="16" t="s">
        <v>477</v>
      </c>
      <c r="T203" s="16" t="s">
        <v>1176</v>
      </c>
      <c r="U203" s="16" t="s">
        <v>25</v>
      </c>
      <c r="V203" s="16" t="s">
        <v>1177</v>
      </c>
      <c r="W203" s="17"/>
      <c r="X203" s="17"/>
      <c r="Y203" s="17"/>
      <c r="Z203" s="17"/>
      <c r="AA203" s="17"/>
      <c r="AB203" s="17" t="str">
        <f t="shared" si="3"/>
        <v>GPR060318R</v>
      </c>
    </row>
    <row r="204" spans="1:28">
      <c r="A204" s="16" t="s">
        <v>68</v>
      </c>
      <c r="B204" s="16" t="s">
        <v>68</v>
      </c>
      <c r="C204" s="16" t="s">
        <v>1178</v>
      </c>
      <c r="D204" s="16" t="s">
        <v>21</v>
      </c>
      <c r="E204" s="16" t="s">
        <v>22</v>
      </c>
      <c r="F204" s="16" t="s">
        <v>69</v>
      </c>
      <c r="G204" s="17" t="str">
        <f>Config!$B$3</f>
        <v>SCH/R_IEC.SchLib</v>
      </c>
      <c r="H204" s="16" t="s">
        <v>419</v>
      </c>
      <c r="I204" s="18" t="s">
        <v>461</v>
      </c>
      <c r="J204" s="16" t="s">
        <v>462</v>
      </c>
      <c r="K204" s="16"/>
      <c r="L204" s="16"/>
      <c r="M204" s="20">
        <v>20</v>
      </c>
      <c r="N204" s="17" t="s">
        <v>13979</v>
      </c>
      <c r="O204" s="16" t="s">
        <v>477</v>
      </c>
      <c r="P204" s="16" t="s">
        <v>1179</v>
      </c>
      <c r="Q204" s="16" t="s">
        <v>25</v>
      </c>
      <c r="R204" s="16" t="s">
        <v>1180</v>
      </c>
      <c r="S204" s="16" t="s">
        <v>477</v>
      </c>
      <c r="T204" s="16" t="s">
        <v>1181</v>
      </c>
      <c r="U204" s="16" t="s">
        <v>25</v>
      </c>
      <c r="V204" s="16" t="s">
        <v>1182</v>
      </c>
      <c r="W204" s="16" t="s">
        <v>4729</v>
      </c>
      <c r="X204" s="17" t="s">
        <v>4760</v>
      </c>
      <c r="Y204" s="16" t="s">
        <v>4559</v>
      </c>
      <c r="Z204" s="17" t="s">
        <v>4761</v>
      </c>
      <c r="AA204" s="16" t="s">
        <v>4728</v>
      </c>
      <c r="AB204" s="17" t="str">
        <f t="shared" si="3"/>
        <v>GPR060320R</v>
      </c>
    </row>
    <row r="205" spans="1:28">
      <c r="A205" s="16" t="s">
        <v>70</v>
      </c>
      <c r="B205" s="16" t="s">
        <v>70</v>
      </c>
      <c r="C205" s="16" t="s">
        <v>1183</v>
      </c>
      <c r="D205" s="16" t="s">
        <v>21</v>
      </c>
      <c r="E205" s="16" t="s">
        <v>22</v>
      </c>
      <c r="F205" s="16" t="s">
        <v>71</v>
      </c>
      <c r="G205" s="17" t="str">
        <f>Config!$B$3</f>
        <v>SCH/R_IEC.SchLib</v>
      </c>
      <c r="H205" s="16" t="s">
        <v>419</v>
      </c>
      <c r="I205" s="18" t="s">
        <v>461</v>
      </c>
      <c r="J205" s="16" t="s">
        <v>462</v>
      </c>
      <c r="K205" s="16"/>
      <c r="L205" s="16"/>
      <c r="M205" s="20">
        <v>22</v>
      </c>
      <c r="N205" s="17" t="s">
        <v>13979</v>
      </c>
      <c r="O205" s="16" t="s">
        <v>477</v>
      </c>
      <c r="P205" s="16" t="s">
        <v>1184</v>
      </c>
      <c r="Q205" s="16" t="s">
        <v>25</v>
      </c>
      <c r="R205" s="16" t="s">
        <v>1185</v>
      </c>
      <c r="S205" s="16" t="s">
        <v>477</v>
      </c>
      <c r="T205" s="16" t="s">
        <v>72</v>
      </c>
      <c r="U205" s="16" t="s">
        <v>25</v>
      </c>
      <c r="V205" s="16" t="s">
        <v>73</v>
      </c>
      <c r="W205" s="17"/>
      <c r="X205" s="17"/>
      <c r="Y205" s="16" t="s">
        <v>4559</v>
      </c>
      <c r="Z205" s="25" t="s">
        <v>6588</v>
      </c>
      <c r="AA205" s="17" t="s">
        <v>4728</v>
      </c>
      <c r="AB205" s="17" t="str">
        <f t="shared" si="3"/>
        <v>GPR060322R</v>
      </c>
    </row>
    <row r="206" spans="1:28">
      <c r="A206" s="16" t="s">
        <v>74</v>
      </c>
      <c r="B206" s="16" t="s">
        <v>74</v>
      </c>
      <c r="C206" s="16" t="s">
        <v>1186</v>
      </c>
      <c r="D206" s="16" t="s">
        <v>21</v>
      </c>
      <c r="E206" s="16" t="s">
        <v>22</v>
      </c>
      <c r="F206" s="16" t="s">
        <v>75</v>
      </c>
      <c r="G206" s="17" t="str">
        <f>Config!$B$3</f>
        <v>SCH/R_IEC.SchLib</v>
      </c>
      <c r="H206" s="16" t="s">
        <v>419</v>
      </c>
      <c r="I206" s="18" t="s">
        <v>461</v>
      </c>
      <c r="J206" s="16" t="s">
        <v>462</v>
      </c>
      <c r="K206" s="16"/>
      <c r="L206" s="16"/>
      <c r="M206" s="20">
        <v>24</v>
      </c>
      <c r="N206" s="17" t="s">
        <v>13979</v>
      </c>
      <c r="O206" s="16" t="s">
        <v>477</v>
      </c>
      <c r="P206" s="16" t="s">
        <v>1187</v>
      </c>
      <c r="Q206" s="16" t="s">
        <v>25</v>
      </c>
      <c r="R206" s="16" t="s">
        <v>1188</v>
      </c>
      <c r="S206" s="16" t="s">
        <v>477</v>
      </c>
      <c r="T206" s="16" t="s">
        <v>1189</v>
      </c>
      <c r="U206" s="16" t="s">
        <v>25</v>
      </c>
      <c r="V206" s="16" t="s">
        <v>1190</v>
      </c>
      <c r="W206" s="17" t="s">
        <v>477</v>
      </c>
      <c r="X206" s="17" t="s">
        <v>1189</v>
      </c>
      <c r="Y206" s="16" t="s">
        <v>4559</v>
      </c>
      <c r="Z206" s="17" t="s">
        <v>16655</v>
      </c>
      <c r="AA206" t="s">
        <v>4727</v>
      </c>
      <c r="AB206" s="17" t="str">
        <f t="shared" si="3"/>
        <v>GPR060324R</v>
      </c>
    </row>
    <row r="207" spans="1:28">
      <c r="A207" s="16" t="s">
        <v>76</v>
      </c>
      <c r="B207" s="16" t="s">
        <v>76</v>
      </c>
      <c r="C207" s="16" t="s">
        <v>1191</v>
      </c>
      <c r="D207" s="16" t="s">
        <v>21</v>
      </c>
      <c r="E207" s="16" t="s">
        <v>22</v>
      </c>
      <c r="F207" s="16" t="s">
        <v>77</v>
      </c>
      <c r="G207" s="17" t="str">
        <f>Config!$B$3</f>
        <v>SCH/R_IEC.SchLib</v>
      </c>
      <c r="H207" s="16" t="s">
        <v>419</v>
      </c>
      <c r="I207" s="18" t="s">
        <v>461</v>
      </c>
      <c r="J207" s="16" t="s">
        <v>462</v>
      </c>
      <c r="K207" s="16"/>
      <c r="L207" s="16"/>
      <c r="M207" s="20">
        <v>27</v>
      </c>
      <c r="N207" s="17" t="s">
        <v>13979</v>
      </c>
      <c r="O207" s="16" t="s">
        <v>477</v>
      </c>
      <c r="P207" s="16" t="s">
        <v>1192</v>
      </c>
      <c r="Q207" s="16" t="s">
        <v>25</v>
      </c>
      <c r="R207" s="16" t="s">
        <v>1193</v>
      </c>
      <c r="S207" s="16" t="s">
        <v>477</v>
      </c>
      <c r="T207" s="16" t="s">
        <v>1194</v>
      </c>
      <c r="U207" s="16" t="s">
        <v>25</v>
      </c>
      <c r="V207" s="16" t="s">
        <v>1195</v>
      </c>
      <c r="W207" s="17" t="s">
        <v>477</v>
      </c>
      <c r="X207" s="17" t="s">
        <v>1194</v>
      </c>
      <c r="Y207" s="16" t="s">
        <v>4559</v>
      </c>
      <c r="Z207" s="17" t="s">
        <v>16656</v>
      </c>
      <c r="AA207" t="s">
        <v>4727</v>
      </c>
      <c r="AB207" s="17" t="str">
        <f t="shared" si="3"/>
        <v>GPR060327R</v>
      </c>
    </row>
    <row r="208" spans="1:28">
      <c r="A208" s="16" t="s">
        <v>78</v>
      </c>
      <c r="B208" s="16" t="s">
        <v>78</v>
      </c>
      <c r="C208" s="16" t="s">
        <v>1196</v>
      </c>
      <c r="D208" s="16" t="s">
        <v>21</v>
      </c>
      <c r="E208" s="16" t="s">
        <v>22</v>
      </c>
      <c r="F208" s="16" t="s">
        <v>79</v>
      </c>
      <c r="G208" s="17" t="str">
        <f>Config!$B$3</f>
        <v>SCH/R_IEC.SchLib</v>
      </c>
      <c r="H208" s="16" t="s">
        <v>419</v>
      </c>
      <c r="I208" s="18" t="s">
        <v>461</v>
      </c>
      <c r="J208" s="16" t="s">
        <v>462</v>
      </c>
      <c r="K208" s="16"/>
      <c r="L208" s="16"/>
      <c r="M208" s="20">
        <v>30</v>
      </c>
      <c r="N208" s="17" t="s">
        <v>13979</v>
      </c>
      <c r="O208" s="16" t="s">
        <v>477</v>
      </c>
      <c r="P208" s="16" t="s">
        <v>1197</v>
      </c>
      <c r="Q208" s="16" t="s">
        <v>25</v>
      </c>
      <c r="R208" s="16" t="s">
        <v>1198</v>
      </c>
      <c r="S208" s="16" t="s">
        <v>477</v>
      </c>
      <c r="T208" s="16" t="s">
        <v>1199</v>
      </c>
      <c r="U208" s="16" t="s">
        <v>25</v>
      </c>
      <c r="V208" s="16" t="s">
        <v>1200</v>
      </c>
      <c r="W208" s="17" t="s">
        <v>477</v>
      </c>
      <c r="X208" s="17" t="s">
        <v>1199</v>
      </c>
      <c r="Y208" s="16" t="s">
        <v>4559</v>
      </c>
      <c r="Z208" s="17" t="s">
        <v>16657</v>
      </c>
      <c r="AA208" t="s">
        <v>4727</v>
      </c>
      <c r="AB208" s="17" t="str">
        <f t="shared" si="3"/>
        <v>GPR060330R</v>
      </c>
    </row>
    <row r="209" spans="1:28">
      <c r="A209" s="16" t="s">
        <v>80</v>
      </c>
      <c r="B209" s="16" t="s">
        <v>80</v>
      </c>
      <c r="C209" s="16" t="s">
        <v>1201</v>
      </c>
      <c r="D209" s="16" t="s">
        <v>21</v>
      </c>
      <c r="E209" s="16" t="s">
        <v>22</v>
      </c>
      <c r="F209" s="16" t="s">
        <v>81</v>
      </c>
      <c r="G209" s="17" t="str">
        <f>Config!$B$3</f>
        <v>SCH/R_IEC.SchLib</v>
      </c>
      <c r="H209" s="16" t="s">
        <v>419</v>
      </c>
      <c r="I209" s="18" t="s">
        <v>461</v>
      </c>
      <c r="J209" s="16" t="s">
        <v>462</v>
      </c>
      <c r="K209" s="16"/>
      <c r="L209" s="16"/>
      <c r="M209" s="20">
        <v>33</v>
      </c>
      <c r="N209" s="17" t="s">
        <v>13979</v>
      </c>
      <c r="O209" s="16" t="s">
        <v>477</v>
      </c>
      <c r="P209" s="16" t="s">
        <v>1202</v>
      </c>
      <c r="Q209" s="16" t="s">
        <v>25</v>
      </c>
      <c r="R209" s="16" t="s">
        <v>1203</v>
      </c>
      <c r="S209" s="16" t="s">
        <v>477</v>
      </c>
      <c r="T209" s="16" t="s">
        <v>1204</v>
      </c>
      <c r="U209" s="16" t="s">
        <v>25</v>
      </c>
      <c r="V209" s="16" t="s">
        <v>1205</v>
      </c>
      <c r="W209" s="17"/>
      <c r="X209" s="17"/>
      <c r="Y209" s="17"/>
      <c r="Z209" s="17"/>
      <c r="AA209" s="17"/>
      <c r="AB209" s="17" t="str">
        <f t="shared" si="3"/>
        <v>GPR060333R</v>
      </c>
    </row>
    <row r="210" spans="1:28" ht="15.75">
      <c r="A210" s="16" t="s">
        <v>82</v>
      </c>
      <c r="B210" s="16" t="s">
        <v>82</v>
      </c>
      <c r="C210" s="16" t="s">
        <v>1206</v>
      </c>
      <c r="D210" s="16" t="s">
        <v>21</v>
      </c>
      <c r="E210" s="16" t="s">
        <v>22</v>
      </c>
      <c r="F210" s="16" t="s">
        <v>83</v>
      </c>
      <c r="G210" s="17" t="str">
        <f>Config!$B$3</f>
        <v>SCH/R_IEC.SchLib</v>
      </c>
      <c r="H210" s="16" t="s">
        <v>419</v>
      </c>
      <c r="I210" s="18" t="s">
        <v>461</v>
      </c>
      <c r="J210" s="16" t="s">
        <v>462</v>
      </c>
      <c r="K210" s="16"/>
      <c r="L210" s="16"/>
      <c r="M210" s="20">
        <v>36</v>
      </c>
      <c r="N210" s="17" t="s">
        <v>13979</v>
      </c>
      <c r="O210" s="16" t="s">
        <v>477</v>
      </c>
      <c r="P210" s="16" t="s">
        <v>1207</v>
      </c>
      <c r="Q210" s="16" t="s">
        <v>25</v>
      </c>
      <c r="R210" s="16" t="s">
        <v>1208</v>
      </c>
      <c r="S210" s="16"/>
      <c r="T210" s="16"/>
      <c r="U210" s="16"/>
      <c r="V210" s="16"/>
      <c r="W210" s="17" t="s">
        <v>4729</v>
      </c>
      <c r="X210" s="8" t="s">
        <v>13455</v>
      </c>
      <c r="Y210" s="17" t="s">
        <v>4559</v>
      </c>
      <c r="Z210" s="17" t="s">
        <v>13456</v>
      </c>
      <c r="AA210" t="s">
        <v>4727</v>
      </c>
      <c r="AB210" s="17" t="str">
        <f t="shared" si="3"/>
        <v>GPR060336R</v>
      </c>
    </row>
    <row r="211" spans="1:28">
      <c r="A211" s="16" t="s">
        <v>84</v>
      </c>
      <c r="B211" s="16" t="s">
        <v>84</v>
      </c>
      <c r="C211" s="16" t="s">
        <v>1209</v>
      </c>
      <c r="D211" s="16" t="s">
        <v>21</v>
      </c>
      <c r="E211" s="16" t="s">
        <v>22</v>
      </c>
      <c r="F211" s="16" t="s">
        <v>85</v>
      </c>
      <c r="G211" s="17" t="str">
        <f>Config!$B$3</f>
        <v>SCH/R_IEC.SchLib</v>
      </c>
      <c r="H211" s="16" t="s">
        <v>419</v>
      </c>
      <c r="I211" s="18" t="s">
        <v>461</v>
      </c>
      <c r="J211" s="16" t="s">
        <v>462</v>
      </c>
      <c r="K211" s="16"/>
      <c r="L211" s="16"/>
      <c r="M211" s="20">
        <v>39</v>
      </c>
      <c r="N211" s="17" t="s">
        <v>13979</v>
      </c>
      <c r="O211" s="16" t="s">
        <v>477</v>
      </c>
      <c r="P211" s="16" t="s">
        <v>1210</v>
      </c>
      <c r="Q211" s="16" t="s">
        <v>25</v>
      </c>
      <c r="R211" s="16" t="s">
        <v>1211</v>
      </c>
      <c r="S211" s="16" t="s">
        <v>477</v>
      </c>
      <c r="T211" s="16" t="s">
        <v>1212</v>
      </c>
      <c r="U211" s="16" t="s">
        <v>25</v>
      </c>
      <c r="V211" s="16" t="s">
        <v>1213</v>
      </c>
      <c r="W211" s="17"/>
      <c r="X211" s="17"/>
      <c r="Y211" s="17"/>
      <c r="Z211" s="17"/>
      <c r="AA211" s="17"/>
      <c r="AB211" s="17" t="str">
        <f t="shared" si="3"/>
        <v>GPR060339R</v>
      </c>
    </row>
    <row r="212" spans="1:28">
      <c r="A212" s="16" t="s">
        <v>86</v>
      </c>
      <c r="B212" s="16" t="s">
        <v>86</v>
      </c>
      <c r="C212" s="16" t="s">
        <v>1214</v>
      </c>
      <c r="D212" s="16" t="s">
        <v>21</v>
      </c>
      <c r="E212" s="16" t="s">
        <v>22</v>
      </c>
      <c r="F212" s="16" t="s">
        <v>87</v>
      </c>
      <c r="G212" s="17" t="str">
        <f>Config!$B$3</f>
        <v>SCH/R_IEC.SchLib</v>
      </c>
      <c r="H212" s="16" t="s">
        <v>419</v>
      </c>
      <c r="I212" s="18" t="s">
        <v>461</v>
      </c>
      <c r="J212" s="16" t="s">
        <v>462</v>
      </c>
      <c r="K212" s="16"/>
      <c r="L212" s="16"/>
      <c r="M212" s="20">
        <v>43</v>
      </c>
      <c r="N212" s="17" t="s">
        <v>13979</v>
      </c>
      <c r="O212" s="16" t="s">
        <v>477</v>
      </c>
      <c r="P212" s="16" t="s">
        <v>1215</v>
      </c>
      <c r="Q212" s="16" t="s">
        <v>25</v>
      </c>
      <c r="R212" s="16" t="s">
        <v>1216</v>
      </c>
      <c r="S212" s="16" t="s">
        <v>477</v>
      </c>
      <c r="T212" s="16" t="s">
        <v>1217</v>
      </c>
      <c r="U212" s="16" t="s">
        <v>25</v>
      </c>
      <c r="V212" s="16" t="s">
        <v>1218</v>
      </c>
      <c r="W212" s="17"/>
      <c r="X212" s="17"/>
      <c r="Y212" s="17"/>
      <c r="Z212" s="17"/>
      <c r="AA212" s="17"/>
      <c r="AB212" s="17" t="str">
        <f t="shared" si="3"/>
        <v>GPR060343R</v>
      </c>
    </row>
    <row r="213" spans="1:28">
      <c r="A213" s="16" t="s">
        <v>88</v>
      </c>
      <c r="B213" s="16" t="s">
        <v>88</v>
      </c>
      <c r="C213" s="16" t="s">
        <v>1219</v>
      </c>
      <c r="D213" s="16" t="s">
        <v>21</v>
      </c>
      <c r="E213" s="16" t="s">
        <v>22</v>
      </c>
      <c r="F213" s="16" t="s">
        <v>89</v>
      </c>
      <c r="G213" s="17" t="str">
        <f>Config!$B$3</f>
        <v>SCH/R_IEC.SchLib</v>
      </c>
      <c r="H213" s="16" t="s">
        <v>419</v>
      </c>
      <c r="I213" s="18" t="s">
        <v>461</v>
      </c>
      <c r="J213" s="16" t="s">
        <v>462</v>
      </c>
      <c r="K213" s="16"/>
      <c r="L213" s="16"/>
      <c r="M213" s="20">
        <v>47</v>
      </c>
      <c r="N213" s="17" t="s">
        <v>13979</v>
      </c>
      <c r="O213" s="16" t="s">
        <v>477</v>
      </c>
      <c r="P213" s="16" t="s">
        <v>1220</v>
      </c>
      <c r="Q213" s="16" t="s">
        <v>25</v>
      </c>
      <c r="R213" s="16" t="s">
        <v>1221</v>
      </c>
      <c r="S213" s="16" t="s">
        <v>477</v>
      </c>
      <c r="T213" s="16" t="s">
        <v>1222</v>
      </c>
      <c r="U213" s="16" t="s">
        <v>25</v>
      </c>
      <c r="V213" s="16" t="s">
        <v>1223</v>
      </c>
      <c r="W213" s="17"/>
      <c r="X213" s="17"/>
      <c r="Y213" s="17"/>
      <c r="Z213" s="17"/>
      <c r="AA213" s="17"/>
      <c r="AB213" s="17" t="str">
        <f t="shared" si="3"/>
        <v>GPR060347R</v>
      </c>
    </row>
    <row r="214" spans="1:28">
      <c r="A214" s="16" t="s">
        <v>90</v>
      </c>
      <c r="B214" s="16" t="s">
        <v>90</v>
      </c>
      <c r="C214" s="16" t="s">
        <v>1224</v>
      </c>
      <c r="D214" s="16" t="s">
        <v>21</v>
      </c>
      <c r="E214" s="16" t="s">
        <v>22</v>
      </c>
      <c r="F214" s="16" t="s">
        <v>91</v>
      </c>
      <c r="G214" s="17" t="str">
        <f>Config!$B$3</f>
        <v>SCH/R_IEC.SchLib</v>
      </c>
      <c r="H214" s="16" t="s">
        <v>419</v>
      </c>
      <c r="I214" s="18" t="s">
        <v>461</v>
      </c>
      <c r="J214" s="16" t="s">
        <v>462</v>
      </c>
      <c r="K214" s="16"/>
      <c r="L214" s="16"/>
      <c r="M214" s="20">
        <v>51</v>
      </c>
      <c r="N214" s="17" t="s">
        <v>13979</v>
      </c>
      <c r="O214" s="16" t="s">
        <v>477</v>
      </c>
      <c r="P214" s="16" t="s">
        <v>1225</v>
      </c>
      <c r="Q214" s="16" t="s">
        <v>25</v>
      </c>
      <c r="R214" s="16" t="s">
        <v>1226</v>
      </c>
      <c r="S214" s="16" t="s">
        <v>477</v>
      </c>
      <c r="T214" s="16" t="s">
        <v>1227</v>
      </c>
      <c r="U214" s="16" t="s">
        <v>25</v>
      </c>
      <c r="V214" s="16" t="s">
        <v>1228</v>
      </c>
      <c r="W214" s="17"/>
      <c r="X214" s="17"/>
      <c r="Y214" s="17"/>
      <c r="Z214" s="17"/>
      <c r="AA214" s="17"/>
      <c r="AB214" s="17" t="str">
        <f t="shared" si="3"/>
        <v>GPR060351R</v>
      </c>
    </row>
    <row r="215" spans="1:28">
      <c r="A215" s="16" t="s">
        <v>92</v>
      </c>
      <c r="B215" s="16" t="s">
        <v>92</v>
      </c>
      <c r="C215" s="16" t="s">
        <v>1229</v>
      </c>
      <c r="D215" s="16" t="s">
        <v>21</v>
      </c>
      <c r="E215" s="16" t="s">
        <v>22</v>
      </c>
      <c r="F215" s="16" t="s">
        <v>93</v>
      </c>
      <c r="G215" s="17" t="str">
        <f>Config!$B$3</f>
        <v>SCH/R_IEC.SchLib</v>
      </c>
      <c r="H215" s="16" t="s">
        <v>419</v>
      </c>
      <c r="I215" s="18" t="s">
        <v>461</v>
      </c>
      <c r="J215" s="16" t="s">
        <v>462</v>
      </c>
      <c r="K215" s="16"/>
      <c r="L215" s="16"/>
      <c r="M215" s="20">
        <v>56</v>
      </c>
      <c r="N215" s="17" t="s">
        <v>13979</v>
      </c>
      <c r="O215" s="16" t="s">
        <v>477</v>
      </c>
      <c r="P215" s="16" t="s">
        <v>1230</v>
      </c>
      <c r="Q215" s="16" t="s">
        <v>25</v>
      </c>
      <c r="R215" s="16" t="s">
        <v>1231</v>
      </c>
      <c r="S215" s="16" t="s">
        <v>477</v>
      </c>
      <c r="T215" s="16" t="s">
        <v>1232</v>
      </c>
      <c r="U215" s="16" t="s">
        <v>25</v>
      </c>
      <c r="V215" s="16" t="s">
        <v>1233</v>
      </c>
      <c r="W215" s="17"/>
      <c r="X215" s="17"/>
      <c r="Y215" s="17"/>
      <c r="Z215" s="17"/>
      <c r="AA215" s="17"/>
      <c r="AB215" s="17" t="str">
        <f t="shared" si="3"/>
        <v>GPR060356R</v>
      </c>
    </row>
    <row r="216" spans="1:28">
      <c r="A216" s="16" t="s">
        <v>94</v>
      </c>
      <c r="B216" s="16" t="s">
        <v>94</v>
      </c>
      <c r="C216" s="16" t="s">
        <v>1234</v>
      </c>
      <c r="D216" s="16" t="s">
        <v>21</v>
      </c>
      <c r="E216" s="16" t="s">
        <v>22</v>
      </c>
      <c r="F216" s="16" t="s">
        <v>95</v>
      </c>
      <c r="G216" s="17" t="str">
        <f>Config!$B$3</f>
        <v>SCH/R_IEC.SchLib</v>
      </c>
      <c r="H216" s="16" t="s">
        <v>419</v>
      </c>
      <c r="I216" s="18" t="s">
        <v>461</v>
      </c>
      <c r="J216" s="16" t="s">
        <v>462</v>
      </c>
      <c r="K216" s="16"/>
      <c r="L216" s="16"/>
      <c r="M216" s="20">
        <v>62</v>
      </c>
      <c r="N216" s="17" t="s">
        <v>13979</v>
      </c>
      <c r="O216" s="16" t="s">
        <v>477</v>
      </c>
      <c r="P216" s="16" t="s">
        <v>1235</v>
      </c>
      <c r="Q216" s="16" t="s">
        <v>25</v>
      </c>
      <c r="R216" s="16" t="s">
        <v>1236</v>
      </c>
      <c r="S216" s="16" t="s">
        <v>477</v>
      </c>
      <c r="T216" s="16" t="s">
        <v>1237</v>
      </c>
      <c r="U216" s="16" t="s">
        <v>25</v>
      </c>
      <c r="V216" s="16" t="s">
        <v>1238</v>
      </c>
      <c r="W216" s="17"/>
      <c r="X216" s="17"/>
      <c r="Y216" s="17"/>
      <c r="Z216" s="17"/>
      <c r="AA216" s="17"/>
      <c r="AB216" s="17" t="str">
        <f t="shared" si="3"/>
        <v>GPR060362R</v>
      </c>
    </row>
    <row r="217" spans="1:28">
      <c r="A217" s="16" t="s">
        <v>96</v>
      </c>
      <c r="B217" s="16" t="s">
        <v>96</v>
      </c>
      <c r="C217" s="16" t="s">
        <v>1239</v>
      </c>
      <c r="D217" s="16" t="s">
        <v>21</v>
      </c>
      <c r="E217" s="16" t="s">
        <v>22</v>
      </c>
      <c r="F217" s="16" t="s">
        <v>97</v>
      </c>
      <c r="G217" s="17" t="str">
        <f>Config!$B$3</f>
        <v>SCH/R_IEC.SchLib</v>
      </c>
      <c r="H217" s="16" t="s">
        <v>419</v>
      </c>
      <c r="I217" s="18" t="s">
        <v>461</v>
      </c>
      <c r="J217" s="16" t="s">
        <v>462</v>
      </c>
      <c r="K217" s="16"/>
      <c r="L217" s="16"/>
      <c r="M217" s="20">
        <v>68</v>
      </c>
      <c r="N217" s="17" t="s">
        <v>13979</v>
      </c>
      <c r="O217" s="16" t="s">
        <v>477</v>
      </c>
      <c r="P217" s="16" t="s">
        <v>1240</v>
      </c>
      <c r="Q217" s="16" t="s">
        <v>25</v>
      </c>
      <c r="R217" s="16" t="s">
        <v>1241</v>
      </c>
      <c r="S217" s="16" t="s">
        <v>477</v>
      </c>
      <c r="T217" s="16" t="s">
        <v>1242</v>
      </c>
      <c r="U217" s="16" t="s">
        <v>25</v>
      </c>
      <c r="V217" s="16" t="s">
        <v>1243</v>
      </c>
      <c r="W217" s="17"/>
      <c r="X217" s="17"/>
      <c r="Y217" s="17"/>
      <c r="Z217" s="17"/>
      <c r="AA217" s="17"/>
      <c r="AB217" s="17" t="str">
        <f t="shared" si="3"/>
        <v>GPR060368R</v>
      </c>
    </row>
    <row r="218" spans="1:28">
      <c r="A218" s="16" t="s">
        <v>98</v>
      </c>
      <c r="B218" s="16" t="s">
        <v>98</v>
      </c>
      <c r="C218" s="16" t="s">
        <v>1244</v>
      </c>
      <c r="D218" s="16" t="s">
        <v>21</v>
      </c>
      <c r="E218" s="16" t="s">
        <v>22</v>
      </c>
      <c r="F218" s="16" t="s">
        <v>99</v>
      </c>
      <c r="G218" s="17" t="str">
        <f>Config!$B$3</f>
        <v>SCH/R_IEC.SchLib</v>
      </c>
      <c r="H218" s="16" t="s">
        <v>419</v>
      </c>
      <c r="I218" s="18" t="s">
        <v>461</v>
      </c>
      <c r="J218" s="16" t="s">
        <v>462</v>
      </c>
      <c r="K218" s="16"/>
      <c r="L218" s="16"/>
      <c r="M218" s="20">
        <v>75</v>
      </c>
      <c r="N218" s="17" t="s">
        <v>13979</v>
      </c>
      <c r="O218" s="16" t="s">
        <v>477</v>
      </c>
      <c r="P218" s="16" t="s">
        <v>1245</v>
      </c>
      <c r="Q218" s="16" t="s">
        <v>25</v>
      </c>
      <c r="R218" s="16" t="s">
        <v>1246</v>
      </c>
      <c r="S218" s="16" t="s">
        <v>477</v>
      </c>
      <c r="T218" s="16" t="s">
        <v>1247</v>
      </c>
      <c r="U218" s="16" t="s">
        <v>25</v>
      </c>
      <c r="V218" s="16" t="s">
        <v>1248</v>
      </c>
      <c r="W218" s="17"/>
      <c r="X218" s="17"/>
      <c r="Y218" s="16" t="s">
        <v>4559</v>
      </c>
      <c r="Z218" s="25" t="s">
        <v>6587</v>
      </c>
      <c r="AA218" s="17"/>
      <c r="AB218" s="17" t="str">
        <f t="shared" si="3"/>
        <v>GPR060375R</v>
      </c>
    </row>
    <row r="219" spans="1:28">
      <c r="A219" s="16" t="s">
        <v>100</v>
      </c>
      <c r="B219" s="16" t="s">
        <v>100</v>
      </c>
      <c r="C219" s="16" t="s">
        <v>1249</v>
      </c>
      <c r="D219" s="16" t="s">
        <v>21</v>
      </c>
      <c r="E219" s="16" t="s">
        <v>22</v>
      </c>
      <c r="F219" s="16" t="s">
        <v>101</v>
      </c>
      <c r="G219" s="17" t="str">
        <f>Config!$B$3</f>
        <v>SCH/R_IEC.SchLib</v>
      </c>
      <c r="H219" s="16" t="s">
        <v>419</v>
      </c>
      <c r="I219" s="18" t="s">
        <v>461</v>
      </c>
      <c r="J219" s="16" t="s">
        <v>462</v>
      </c>
      <c r="K219" s="16"/>
      <c r="L219" s="16"/>
      <c r="M219" s="20">
        <v>82</v>
      </c>
      <c r="N219" s="17" t="s">
        <v>13979</v>
      </c>
      <c r="O219" s="16" t="s">
        <v>477</v>
      </c>
      <c r="P219" s="16" t="s">
        <v>1250</v>
      </c>
      <c r="Q219" s="16" t="s">
        <v>25</v>
      </c>
      <c r="R219" s="16" t="s">
        <v>1251</v>
      </c>
      <c r="S219" s="16" t="s">
        <v>477</v>
      </c>
      <c r="T219" s="16" t="s">
        <v>1252</v>
      </c>
      <c r="U219" s="16" t="s">
        <v>25</v>
      </c>
      <c r="V219" s="16" t="s">
        <v>1253</v>
      </c>
      <c r="W219" s="16" t="s">
        <v>477</v>
      </c>
      <c r="X219" t="s">
        <v>6591</v>
      </c>
      <c r="Y219" s="16" t="s">
        <v>4559</v>
      </c>
      <c r="Z219" t="s">
        <v>6592</v>
      </c>
      <c r="AA219" s="17"/>
      <c r="AB219" s="17" t="str">
        <f t="shared" si="3"/>
        <v>GPR060382R</v>
      </c>
    </row>
    <row r="220" spans="1:28">
      <c r="A220" s="16" t="s">
        <v>102</v>
      </c>
      <c r="B220" s="16" t="s">
        <v>102</v>
      </c>
      <c r="C220" s="16" t="s">
        <v>1254</v>
      </c>
      <c r="D220" s="16" t="s">
        <v>21</v>
      </c>
      <c r="E220" s="16" t="s">
        <v>22</v>
      </c>
      <c r="F220" s="16" t="s">
        <v>103</v>
      </c>
      <c r="G220" s="17" t="str">
        <f>Config!$B$3</f>
        <v>SCH/R_IEC.SchLib</v>
      </c>
      <c r="H220" s="16" t="s">
        <v>419</v>
      </c>
      <c r="I220" s="18" t="s">
        <v>461</v>
      </c>
      <c r="J220" s="16" t="s">
        <v>462</v>
      </c>
      <c r="K220" s="16"/>
      <c r="L220" s="16"/>
      <c r="M220" s="20">
        <v>91</v>
      </c>
      <c r="N220" s="17" t="s">
        <v>13979</v>
      </c>
      <c r="O220" s="16" t="s">
        <v>477</v>
      </c>
      <c r="P220" s="16" t="s">
        <v>1255</v>
      </c>
      <c r="Q220" s="16" t="s">
        <v>25</v>
      </c>
      <c r="R220" s="16" t="s">
        <v>1256</v>
      </c>
      <c r="S220" s="16" t="s">
        <v>477</v>
      </c>
      <c r="T220" s="16" t="s">
        <v>1257</v>
      </c>
      <c r="U220" s="16" t="s">
        <v>25</v>
      </c>
      <c r="V220" s="16" t="s">
        <v>1258</v>
      </c>
      <c r="W220" s="17"/>
      <c r="X220" s="17"/>
      <c r="Y220" s="17"/>
      <c r="Z220" s="17"/>
      <c r="AA220" s="17"/>
      <c r="AB220" s="17" t="str">
        <f t="shared" si="3"/>
        <v>GPR060391R</v>
      </c>
    </row>
    <row r="221" spans="1:28" ht="15.75">
      <c r="A221" s="16" t="s">
        <v>104</v>
      </c>
      <c r="B221" s="16" t="s">
        <v>104</v>
      </c>
      <c r="C221" s="16" t="s">
        <v>1259</v>
      </c>
      <c r="D221" s="16" t="s">
        <v>21</v>
      </c>
      <c r="E221" s="16" t="s">
        <v>22</v>
      </c>
      <c r="F221" s="16" t="s">
        <v>105</v>
      </c>
      <c r="G221" s="17" t="str">
        <f>Config!$B$3</f>
        <v>SCH/R_IEC.SchLib</v>
      </c>
      <c r="H221" s="16" t="s">
        <v>419</v>
      </c>
      <c r="I221" s="18" t="s">
        <v>461</v>
      </c>
      <c r="J221" s="16" t="s">
        <v>462</v>
      </c>
      <c r="K221" s="16"/>
      <c r="L221" s="16"/>
      <c r="M221" s="20">
        <v>100</v>
      </c>
      <c r="N221" s="17" t="s">
        <v>13979</v>
      </c>
      <c r="O221" s="16" t="s">
        <v>477</v>
      </c>
      <c r="P221" s="16" t="s">
        <v>106</v>
      </c>
      <c r="Q221" s="16" t="s">
        <v>25</v>
      </c>
      <c r="R221" s="16" t="s">
        <v>107</v>
      </c>
      <c r="S221" s="16" t="s">
        <v>477</v>
      </c>
      <c r="T221" s="16" t="s">
        <v>1260</v>
      </c>
      <c r="U221" s="16" t="s">
        <v>25</v>
      </c>
      <c r="V221" s="16" t="s">
        <v>1261</v>
      </c>
      <c r="W221" s="17" t="s">
        <v>4729</v>
      </c>
      <c r="X221" s="8" t="s">
        <v>13454</v>
      </c>
      <c r="Y221" s="16" t="s">
        <v>4559</v>
      </c>
      <c r="Z221" s="8" t="s">
        <v>13453</v>
      </c>
      <c r="AA221" s="17"/>
      <c r="AB221" s="17" t="str">
        <f t="shared" si="3"/>
        <v>GPR0603100R</v>
      </c>
    </row>
    <row r="222" spans="1:28">
      <c r="A222" s="16" t="s">
        <v>108</v>
      </c>
      <c r="B222" s="16" t="s">
        <v>108</v>
      </c>
      <c r="C222" s="16" t="s">
        <v>1262</v>
      </c>
      <c r="D222" s="16" t="s">
        <v>21</v>
      </c>
      <c r="E222" s="16" t="s">
        <v>22</v>
      </c>
      <c r="F222" s="16" t="s">
        <v>109</v>
      </c>
      <c r="G222" s="17" t="str">
        <f>Config!$B$3</f>
        <v>SCH/R_IEC.SchLib</v>
      </c>
      <c r="H222" s="16" t="s">
        <v>419</v>
      </c>
      <c r="I222" s="18" t="s">
        <v>461</v>
      </c>
      <c r="J222" s="16" t="s">
        <v>462</v>
      </c>
      <c r="K222" s="16"/>
      <c r="L222" s="16"/>
      <c r="M222" s="20">
        <v>110</v>
      </c>
      <c r="N222" s="17" t="s">
        <v>13979</v>
      </c>
      <c r="O222" s="16" t="s">
        <v>477</v>
      </c>
      <c r="P222" s="16" t="s">
        <v>1263</v>
      </c>
      <c r="Q222" s="16" t="s">
        <v>25</v>
      </c>
      <c r="R222" s="16" t="s">
        <v>1264</v>
      </c>
      <c r="S222" s="16" t="s">
        <v>477</v>
      </c>
      <c r="T222" s="16" t="s">
        <v>1265</v>
      </c>
      <c r="U222" s="16" t="s">
        <v>25</v>
      </c>
      <c r="V222" s="16" t="s">
        <v>1266</v>
      </c>
      <c r="W222" s="17"/>
      <c r="X222" s="17"/>
      <c r="Y222" s="17"/>
      <c r="Z222" s="17"/>
      <c r="AA222" s="17"/>
      <c r="AB222" s="17" t="str">
        <f t="shared" si="3"/>
        <v>GPR0603110R</v>
      </c>
    </row>
    <row r="223" spans="1:28">
      <c r="A223" s="16" t="s">
        <v>110</v>
      </c>
      <c r="B223" s="16" t="s">
        <v>110</v>
      </c>
      <c r="C223" s="16" t="s">
        <v>1267</v>
      </c>
      <c r="D223" s="16" t="s">
        <v>21</v>
      </c>
      <c r="E223" s="16" t="s">
        <v>22</v>
      </c>
      <c r="F223" s="16" t="s">
        <v>111</v>
      </c>
      <c r="G223" s="17" t="str">
        <f>Config!$B$3</f>
        <v>SCH/R_IEC.SchLib</v>
      </c>
      <c r="H223" s="16" t="s">
        <v>419</v>
      </c>
      <c r="I223" s="18" t="s">
        <v>461</v>
      </c>
      <c r="J223" s="16" t="s">
        <v>462</v>
      </c>
      <c r="K223" s="16"/>
      <c r="L223" s="16"/>
      <c r="M223" s="20">
        <v>120</v>
      </c>
      <c r="N223" s="17" t="s">
        <v>13979</v>
      </c>
      <c r="O223" s="16" t="s">
        <v>477</v>
      </c>
      <c r="P223" s="16" t="s">
        <v>1268</v>
      </c>
      <c r="Q223" s="16" t="s">
        <v>25</v>
      </c>
      <c r="R223" s="16" t="s">
        <v>1269</v>
      </c>
      <c r="S223" s="16" t="s">
        <v>477</v>
      </c>
      <c r="T223" s="16" t="s">
        <v>1270</v>
      </c>
      <c r="U223" s="16" t="s">
        <v>25</v>
      </c>
      <c r="V223" s="16" t="s">
        <v>1271</v>
      </c>
      <c r="W223" s="17"/>
      <c r="X223" s="17"/>
      <c r="Y223" s="17"/>
      <c r="Z223" s="17"/>
      <c r="AA223" s="17"/>
      <c r="AB223" s="17" t="str">
        <f t="shared" si="3"/>
        <v>GPR0603120R</v>
      </c>
    </row>
    <row r="224" spans="1:28">
      <c r="A224" s="16" t="s">
        <v>112</v>
      </c>
      <c r="B224" s="16" t="s">
        <v>112</v>
      </c>
      <c r="C224" s="16" t="s">
        <v>1272</v>
      </c>
      <c r="D224" s="16" t="s">
        <v>21</v>
      </c>
      <c r="E224" s="16" t="s">
        <v>22</v>
      </c>
      <c r="F224" s="16" t="s">
        <v>113</v>
      </c>
      <c r="G224" s="17" t="str">
        <f>Config!$B$3</f>
        <v>SCH/R_IEC.SchLib</v>
      </c>
      <c r="H224" s="16" t="s">
        <v>419</v>
      </c>
      <c r="I224" s="18" t="s">
        <v>461</v>
      </c>
      <c r="J224" s="16" t="s">
        <v>462</v>
      </c>
      <c r="K224" s="16"/>
      <c r="L224" s="16"/>
      <c r="M224" s="20">
        <v>130</v>
      </c>
      <c r="N224" s="17" t="s">
        <v>13979</v>
      </c>
      <c r="O224" s="16" t="s">
        <v>477</v>
      </c>
      <c r="P224" s="16" t="s">
        <v>1273</v>
      </c>
      <c r="Q224" s="16" t="s">
        <v>25</v>
      </c>
      <c r="R224" s="16" t="s">
        <v>1274</v>
      </c>
      <c r="S224" s="16" t="s">
        <v>477</v>
      </c>
      <c r="T224" s="16" t="s">
        <v>1275</v>
      </c>
      <c r="U224" s="16" t="s">
        <v>25</v>
      </c>
      <c r="V224" s="16" t="s">
        <v>1276</v>
      </c>
      <c r="W224" s="17"/>
      <c r="X224" s="17"/>
      <c r="Y224" s="17"/>
      <c r="Z224" s="17"/>
      <c r="AA224" s="17"/>
      <c r="AB224" s="17" t="str">
        <f t="shared" si="3"/>
        <v>GPR0603130R</v>
      </c>
    </row>
    <row r="225" spans="1:28">
      <c r="A225" s="16" t="s">
        <v>114</v>
      </c>
      <c r="B225" s="16" t="s">
        <v>114</v>
      </c>
      <c r="C225" s="16" t="s">
        <v>1277</v>
      </c>
      <c r="D225" s="16" t="s">
        <v>21</v>
      </c>
      <c r="E225" s="16" t="s">
        <v>22</v>
      </c>
      <c r="F225" s="16" t="s">
        <v>115</v>
      </c>
      <c r="G225" s="17" t="str">
        <f>Config!$B$3</f>
        <v>SCH/R_IEC.SchLib</v>
      </c>
      <c r="H225" s="16" t="s">
        <v>419</v>
      </c>
      <c r="I225" s="18" t="s">
        <v>461</v>
      </c>
      <c r="J225" s="16" t="s">
        <v>462</v>
      </c>
      <c r="K225" s="16"/>
      <c r="L225" s="16"/>
      <c r="M225" s="20">
        <v>150</v>
      </c>
      <c r="N225" s="17" t="s">
        <v>13979</v>
      </c>
      <c r="O225" s="16" t="s">
        <v>477</v>
      </c>
      <c r="P225" s="16" t="s">
        <v>1278</v>
      </c>
      <c r="Q225" s="16" t="s">
        <v>25</v>
      </c>
      <c r="R225" s="16" t="s">
        <v>1279</v>
      </c>
      <c r="S225" s="16" t="s">
        <v>477</v>
      </c>
      <c r="T225" s="16" t="s">
        <v>1280</v>
      </c>
      <c r="U225" s="16" t="s">
        <v>25</v>
      </c>
      <c r="V225" s="16" t="s">
        <v>1281</v>
      </c>
      <c r="W225" s="17"/>
      <c r="X225" s="17"/>
      <c r="Y225" s="17"/>
      <c r="Z225" s="17"/>
      <c r="AA225" s="17"/>
      <c r="AB225" s="17" t="str">
        <f t="shared" si="3"/>
        <v>GPR0603150R</v>
      </c>
    </row>
    <row r="226" spans="1:28" ht="15.75">
      <c r="A226" s="16" t="s">
        <v>116</v>
      </c>
      <c r="B226" s="16" t="s">
        <v>116</v>
      </c>
      <c r="C226" s="16" t="s">
        <v>1282</v>
      </c>
      <c r="D226" s="16" t="s">
        <v>21</v>
      </c>
      <c r="E226" s="16" t="s">
        <v>22</v>
      </c>
      <c r="F226" s="16" t="s">
        <v>117</v>
      </c>
      <c r="G226" s="17" t="str">
        <f>Config!$B$3</f>
        <v>SCH/R_IEC.SchLib</v>
      </c>
      <c r="H226" s="16" t="s">
        <v>419</v>
      </c>
      <c r="I226" s="18" t="s">
        <v>461</v>
      </c>
      <c r="J226" s="16" t="s">
        <v>462</v>
      </c>
      <c r="K226" s="16"/>
      <c r="L226" s="16"/>
      <c r="M226" s="20">
        <v>160</v>
      </c>
      <c r="N226" s="17" t="s">
        <v>13979</v>
      </c>
      <c r="O226" s="16" t="s">
        <v>477</v>
      </c>
      <c r="P226" s="16" t="s">
        <v>1283</v>
      </c>
      <c r="Q226" s="16" t="s">
        <v>25</v>
      </c>
      <c r="R226" s="16" t="s">
        <v>1284</v>
      </c>
      <c r="S226" s="16"/>
      <c r="T226" s="16"/>
      <c r="U226" s="16"/>
      <c r="V226" s="16"/>
      <c r="W226" s="42" t="s">
        <v>4729</v>
      </c>
      <c r="X226" s="8" t="s">
        <v>13498</v>
      </c>
      <c r="Y226" s="17" t="s">
        <v>4559</v>
      </c>
      <c r="Z226" s="8" t="s">
        <v>13497</v>
      </c>
      <c r="AA226" s="17" t="s">
        <v>4727</v>
      </c>
      <c r="AB226" s="17" t="str">
        <f t="shared" si="3"/>
        <v>GPR0603160R</v>
      </c>
    </row>
    <row r="227" spans="1:28">
      <c r="A227" s="16" t="s">
        <v>118</v>
      </c>
      <c r="B227" s="16" t="s">
        <v>118</v>
      </c>
      <c r="C227" s="16" t="s">
        <v>1285</v>
      </c>
      <c r="D227" s="16" t="s">
        <v>21</v>
      </c>
      <c r="E227" s="16" t="s">
        <v>22</v>
      </c>
      <c r="F227" s="16" t="s">
        <v>119</v>
      </c>
      <c r="G227" s="17" t="str">
        <f>Config!$B$3</f>
        <v>SCH/R_IEC.SchLib</v>
      </c>
      <c r="H227" s="16" t="s">
        <v>419</v>
      </c>
      <c r="I227" s="18" t="s">
        <v>461</v>
      </c>
      <c r="J227" s="16" t="s">
        <v>462</v>
      </c>
      <c r="K227" s="16"/>
      <c r="L227" s="16"/>
      <c r="M227" s="20">
        <v>180</v>
      </c>
      <c r="N227" s="17" t="s">
        <v>13979</v>
      </c>
      <c r="O227" s="16" t="s">
        <v>477</v>
      </c>
      <c r="P227" s="16" t="s">
        <v>120</v>
      </c>
      <c r="Q227" s="16" t="s">
        <v>25</v>
      </c>
      <c r="R227" s="16" t="s">
        <v>121</v>
      </c>
      <c r="S227" s="16" t="s">
        <v>477</v>
      </c>
      <c r="T227" s="16" t="s">
        <v>1286</v>
      </c>
      <c r="U227" s="16" t="s">
        <v>25</v>
      </c>
      <c r="V227" s="16" t="s">
        <v>1287</v>
      </c>
      <c r="W227" s="17"/>
      <c r="X227" s="17"/>
      <c r="Y227" s="17"/>
      <c r="Z227" s="17"/>
      <c r="AA227" s="17"/>
      <c r="AB227" s="17" t="str">
        <f t="shared" si="3"/>
        <v>GPR0603180R</v>
      </c>
    </row>
    <row r="228" spans="1:28" ht="15.75">
      <c r="A228" s="16" t="s">
        <v>122</v>
      </c>
      <c r="B228" s="16" t="s">
        <v>122</v>
      </c>
      <c r="C228" s="16" t="s">
        <v>1288</v>
      </c>
      <c r="D228" s="16" t="s">
        <v>21</v>
      </c>
      <c r="E228" s="16" t="s">
        <v>22</v>
      </c>
      <c r="F228" s="16" t="s">
        <v>123</v>
      </c>
      <c r="G228" s="17" t="str">
        <f>Config!$B$3</f>
        <v>SCH/R_IEC.SchLib</v>
      </c>
      <c r="H228" s="16" t="s">
        <v>419</v>
      </c>
      <c r="I228" s="18" t="s">
        <v>461</v>
      </c>
      <c r="J228" s="16" t="s">
        <v>462</v>
      </c>
      <c r="K228" s="16"/>
      <c r="L228" s="16"/>
      <c r="M228" s="20">
        <v>200</v>
      </c>
      <c r="N228" s="17" t="s">
        <v>13979</v>
      </c>
      <c r="O228" s="16" t="s">
        <v>477</v>
      </c>
      <c r="P228" s="16" t="s">
        <v>1289</v>
      </c>
      <c r="Q228" s="16" t="s">
        <v>25</v>
      </c>
      <c r="R228" s="16" t="s">
        <v>1290</v>
      </c>
      <c r="S228" s="16" t="s">
        <v>477</v>
      </c>
      <c r="T228" s="16" t="s">
        <v>1291</v>
      </c>
      <c r="U228" s="16" t="s">
        <v>25</v>
      </c>
      <c r="V228" s="16" t="s">
        <v>1292</v>
      </c>
      <c r="W228" s="42" t="s">
        <v>4729</v>
      </c>
      <c r="X228" s="42" t="s">
        <v>13516</v>
      </c>
      <c r="Y228" s="16" t="s">
        <v>4559</v>
      </c>
      <c r="Z228" s="8" t="s">
        <v>13515</v>
      </c>
      <c r="AA228" s="17" t="s">
        <v>4728</v>
      </c>
      <c r="AB228" s="17" t="str">
        <f t="shared" si="3"/>
        <v>GPR0603200R</v>
      </c>
    </row>
    <row r="229" spans="1:28">
      <c r="A229" s="16" t="s">
        <v>124</v>
      </c>
      <c r="B229" s="16" t="s">
        <v>124</v>
      </c>
      <c r="C229" s="16" t="s">
        <v>1293</v>
      </c>
      <c r="D229" s="16" t="s">
        <v>21</v>
      </c>
      <c r="E229" s="16" t="s">
        <v>22</v>
      </c>
      <c r="F229" s="16" t="s">
        <v>125</v>
      </c>
      <c r="G229" s="17" t="str">
        <f>Config!$B$3</f>
        <v>SCH/R_IEC.SchLib</v>
      </c>
      <c r="H229" s="16" t="s">
        <v>419</v>
      </c>
      <c r="I229" s="18" t="s">
        <v>461</v>
      </c>
      <c r="J229" s="16" t="s">
        <v>462</v>
      </c>
      <c r="K229" s="16"/>
      <c r="L229" s="16"/>
      <c r="M229" s="20">
        <v>220</v>
      </c>
      <c r="N229" s="17" t="s">
        <v>13979</v>
      </c>
      <c r="O229" s="16" t="s">
        <v>477</v>
      </c>
      <c r="P229" s="16" t="s">
        <v>126</v>
      </c>
      <c r="Q229" s="16" t="s">
        <v>25</v>
      </c>
      <c r="R229" s="16" t="s">
        <v>127</v>
      </c>
      <c r="S229" s="16" t="s">
        <v>477</v>
      </c>
      <c r="T229" s="16" t="s">
        <v>1294</v>
      </c>
      <c r="U229" s="16" t="s">
        <v>25</v>
      </c>
      <c r="V229" s="16" t="s">
        <v>1295</v>
      </c>
      <c r="W229" s="16" t="s">
        <v>4729</v>
      </c>
      <c r="X229" s="17" t="s">
        <v>4746</v>
      </c>
      <c r="Y229" s="16" t="s">
        <v>4559</v>
      </c>
      <c r="Z229" s="17" t="s">
        <v>4747</v>
      </c>
      <c r="AA229" s="16" t="s">
        <v>4728</v>
      </c>
      <c r="AB229" s="17" t="str">
        <f t="shared" si="3"/>
        <v>GPR0603220R</v>
      </c>
    </row>
    <row r="230" spans="1:28">
      <c r="A230" s="16" t="s">
        <v>128</v>
      </c>
      <c r="B230" s="16" t="s">
        <v>128</v>
      </c>
      <c r="C230" s="16" t="s">
        <v>1296</v>
      </c>
      <c r="D230" s="16" t="s">
        <v>21</v>
      </c>
      <c r="E230" s="16" t="s">
        <v>22</v>
      </c>
      <c r="F230" s="16" t="s">
        <v>129</v>
      </c>
      <c r="G230" s="17" t="str">
        <f>Config!$B$3</f>
        <v>SCH/R_IEC.SchLib</v>
      </c>
      <c r="H230" s="16" t="s">
        <v>419</v>
      </c>
      <c r="I230" s="18" t="s">
        <v>461</v>
      </c>
      <c r="J230" s="16" t="s">
        <v>462</v>
      </c>
      <c r="K230" s="16"/>
      <c r="L230" s="16"/>
      <c r="M230" s="20">
        <v>240</v>
      </c>
      <c r="N230" s="17" t="s">
        <v>13979</v>
      </c>
      <c r="O230" s="16" t="s">
        <v>477</v>
      </c>
      <c r="P230" s="16" t="s">
        <v>1297</v>
      </c>
      <c r="Q230" s="16" t="s">
        <v>25</v>
      </c>
      <c r="R230" s="16" t="s">
        <v>1298</v>
      </c>
      <c r="S230" s="16" t="s">
        <v>477</v>
      </c>
      <c r="T230" s="16" t="s">
        <v>1299</v>
      </c>
      <c r="U230" s="16" t="s">
        <v>25</v>
      </c>
      <c r="V230" s="16" t="s">
        <v>1300</v>
      </c>
      <c r="W230" s="17"/>
      <c r="X230" s="17"/>
      <c r="Y230" s="17"/>
      <c r="Z230" s="17"/>
      <c r="AA230" s="17"/>
      <c r="AB230" s="17" t="str">
        <f t="shared" si="3"/>
        <v>GPR0603240R</v>
      </c>
    </row>
    <row r="231" spans="1:28">
      <c r="A231" s="16" t="s">
        <v>130</v>
      </c>
      <c r="B231" s="16" t="s">
        <v>130</v>
      </c>
      <c r="C231" s="16" t="s">
        <v>1301</v>
      </c>
      <c r="D231" s="16" t="s">
        <v>21</v>
      </c>
      <c r="E231" s="16" t="s">
        <v>22</v>
      </c>
      <c r="F231" s="16" t="s">
        <v>131</v>
      </c>
      <c r="G231" s="17" t="str">
        <f>Config!$B$3</f>
        <v>SCH/R_IEC.SchLib</v>
      </c>
      <c r="H231" s="16" t="s">
        <v>419</v>
      </c>
      <c r="I231" s="18" t="s">
        <v>461</v>
      </c>
      <c r="J231" s="16" t="s">
        <v>462</v>
      </c>
      <c r="K231" s="16"/>
      <c r="L231" s="16"/>
      <c r="M231" s="20">
        <v>270</v>
      </c>
      <c r="N231" s="17" t="s">
        <v>13979</v>
      </c>
      <c r="O231" s="16" t="s">
        <v>477</v>
      </c>
      <c r="P231" s="16" t="s">
        <v>1302</v>
      </c>
      <c r="Q231" s="16" t="s">
        <v>25</v>
      </c>
      <c r="R231" s="16" t="s">
        <v>1303</v>
      </c>
      <c r="S231" s="16" t="s">
        <v>477</v>
      </c>
      <c r="T231" s="16" t="s">
        <v>1304</v>
      </c>
      <c r="U231" s="16" t="s">
        <v>25</v>
      </c>
      <c r="V231" s="16" t="s">
        <v>1305</v>
      </c>
      <c r="W231" s="16" t="s">
        <v>4729</v>
      </c>
      <c r="X231" s="17" t="s">
        <v>4754</v>
      </c>
      <c r="Y231" s="16" t="s">
        <v>4559</v>
      </c>
      <c r="Z231" s="17" t="s">
        <v>4755</v>
      </c>
      <c r="AA231" s="16" t="s">
        <v>4728</v>
      </c>
      <c r="AB231" s="17" t="str">
        <f t="shared" si="3"/>
        <v>GPR0603270R</v>
      </c>
    </row>
    <row r="232" spans="1:28">
      <c r="A232" s="16" t="s">
        <v>132</v>
      </c>
      <c r="B232" s="16" t="s">
        <v>132</v>
      </c>
      <c r="C232" s="16" t="s">
        <v>1306</v>
      </c>
      <c r="D232" s="16" t="s">
        <v>21</v>
      </c>
      <c r="E232" s="16" t="s">
        <v>22</v>
      </c>
      <c r="F232" s="16" t="s">
        <v>133</v>
      </c>
      <c r="G232" s="17" t="str">
        <f>Config!$B$3</f>
        <v>SCH/R_IEC.SchLib</v>
      </c>
      <c r="H232" s="16" t="s">
        <v>419</v>
      </c>
      <c r="I232" s="18" t="s">
        <v>461</v>
      </c>
      <c r="J232" s="16" t="s">
        <v>462</v>
      </c>
      <c r="K232" s="16"/>
      <c r="L232" s="16"/>
      <c r="M232" s="20">
        <v>300</v>
      </c>
      <c r="N232" s="17" t="s">
        <v>13979</v>
      </c>
      <c r="O232" s="16" t="s">
        <v>477</v>
      </c>
      <c r="P232" s="16" t="s">
        <v>1307</v>
      </c>
      <c r="Q232" s="16" t="s">
        <v>25</v>
      </c>
      <c r="R232" s="16" t="s">
        <v>1308</v>
      </c>
      <c r="S232" s="16" t="s">
        <v>477</v>
      </c>
      <c r="T232" s="16" t="s">
        <v>134</v>
      </c>
      <c r="U232" s="16" t="s">
        <v>25</v>
      </c>
      <c r="V232" s="16" t="s">
        <v>135</v>
      </c>
      <c r="W232" s="17"/>
      <c r="X232" s="17"/>
      <c r="Y232" s="17"/>
      <c r="Z232" s="17"/>
      <c r="AA232" s="17"/>
      <c r="AB232" s="17" t="str">
        <f t="shared" si="3"/>
        <v>GPR0603300R</v>
      </c>
    </row>
    <row r="233" spans="1:28">
      <c r="A233" s="16" t="s">
        <v>136</v>
      </c>
      <c r="B233" s="16" t="s">
        <v>136</v>
      </c>
      <c r="C233" s="16" t="s">
        <v>1309</v>
      </c>
      <c r="D233" s="16" t="s">
        <v>21</v>
      </c>
      <c r="E233" s="16" t="s">
        <v>22</v>
      </c>
      <c r="F233" s="16" t="s">
        <v>137</v>
      </c>
      <c r="G233" s="17" t="str">
        <f>Config!$B$3</f>
        <v>SCH/R_IEC.SchLib</v>
      </c>
      <c r="H233" s="16" t="s">
        <v>419</v>
      </c>
      <c r="I233" s="18" t="s">
        <v>461</v>
      </c>
      <c r="J233" s="16" t="s">
        <v>462</v>
      </c>
      <c r="K233" s="16"/>
      <c r="L233" s="16"/>
      <c r="M233" s="20">
        <v>330</v>
      </c>
      <c r="N233" s="17" t="s">
        <v>13979</v>
      </c>
      <c r="O233" s="16" t="s">
        <v>477</v>
      </c>
      <c r="P233" s="16" t="s">
        <v>1310</v>
      </c>
      <c r="Q233" s="16" t="s">
        <v>25</v>
      </c>
      <c r="R233" s="16" t="s">
        <v>1311</v>
      </c>
      <c r="S233" s="16" t="s">
        <v>477</v>
      </c>
      <c r="T233" s="16" t="s">
        <v>1312</v>
      </c>
      <c r="U233" s="16" t="s">
        <v>25</v>
      </c>
      <c r="V233" s="16" t="s">
        <v>1313</v>
      </c>
      <c r="W233" s="16" t="s">
        <v>4729</v>
      </c>
      <c r="X233" s="17" t="s">
        <v>4748</v>
      </c>
      <c r="Y233" s="16" t="s">
        <v>4559</v>
      </c>
      <c r="Z233" s="17" t="s">
        <v>4749</v>
      </c>
      <c r="AA233" s="16" t="s">
        <v>4728</v>
      </c>
      <c r="AB233" s="17" t="str">
        <f t="shared" si="3"/>
        <v>GPR0603330R</v>
      </c>
    </row>
    <row r="234" spans="1:28">
      <c r="A234" s="16" t="s">
        <v>138</v>
      </c>
      <c r="B234" s="16" t="s">
        <v>138</v>
      </c>
      <c r="C234" s="16" t="s">
        <v>1314</v>
      </c>
      <c r="D234" s="16" t="s">
        <v>21</v>
      </c>
      <c r="E234" s="16" t="s">
        <v>22</v>
      </c>
      <c r="F234" s="16" t="s">
        <v>139</v>
      </c>
      <c r="G234" s="17" t="str">
        <f>Config!$B$3</f>
        <v>SCH/R_IEC.SchLib</v>
      </c>
      <c r="H234" s="16" t="s">
        <v>419</v>
      </c>
      <c r="I234" s="18" t="s">
        <v>461</v>
      </c>
      <c r="J234" s="16" t="s">
        <v>462</v>
      </c>
      <c r="K234" s="16"/>
      <c r="L234" s="16"/>
      <c r="M234" s="20">
        <v>360</v>
      </c>
      <c r="N234" s="17" t="s">
        <v>13979</v>
      </c>
      <c r="O234" s="16" t="s">
        <v>477</v>
      </c>
      <c r="P234" s="16" t="s">
        <v>1315</v>
      </c>
      <c r="Q234" s="16" t="s">
        <v>25</v>
      </c>
      <c r="R234" s="16" t="s">
        <v>1316</v>
      </c>
      <c r="S234" s="16" t="s">
        <v>477</v>
      </c>
      <c r="T234" s="16" t="s">
        <v>1317</v>
      </c>
      <c r="U234" s="16" t="s">
        <v>25</v>
      </c>
      <c r="V234" s="16" t="s">
        <v>1318</v>
      </c>
      <c r="W234" s="17" t="s">
        <v>477</v>
      </c>
      <c r="X234" s="17" t="s">
        <v>1317</v>
      </c>
      <c r="Y234" s="16" t="s">
        <v>4559</v>
      </c>
      <c r="Z234" s="17" t="s">
        <v>16761</v>
      </c>
      <c r="AA234" t="s">
        <v>4727</v>
      </c>
      <c r="AB234" s="17" t="str">
        <f t="shared" si="3"/>
        <v>GPR0603360R</v>
      </c>
    </row>
    <row r="235" spans="1:28" ht="15.75">
      <c r="A235" s="16" t="s">
        <v>140</v>
      </c>
      <c r="B235" s="16" t="s">
        <v>140</v>
      </c>
      <c r="C235" s="16" t="s">
        <v>1319</v>
      </c>
      <c r="D235" s="16" t="s">
        <v>21</v>
      </c>
      <c r="E235" s="16" t="s">
        <v>22</v>
      </c>
      <c r="F235" s="16" t="s">
        <v>141</v>
      </c>
      <c r="G235" s="17" t="str">
        <f>Config!$B$3</f>
        <v>SCH/R_IEC.SchLib</v>
      </c>
      <c r="H235" s="16" t="s">
        <v>419</v>
      </c>
      <c r="I235" s="18" t="s">
        <v>461</v>
      </c>
      <c r="J235" s="16" t="s">
        <v>462</v>
      </c>
      <c r="K235" s="16"/>
      <c r="L235" s="16"/>
      <c r="M235" s="20">
        <v>390</v>
      </c>
      <c r="N235" s="17" t="s">
        <v>13979</v>
      </c>
      <c r="O235" s="16" t="s">
        <v>477</v>
      </c>
      <c r="P235" s="16" t="s">
        <v>1320</v>
      </c>
      <c r="Q235" s="16" t="s">
        <v>25</v>
      </c>
      <c r="R235" s="16" t="s">
        <v>1321</v>
      </c>
      <c r="S235" s="16" t="s">
        <v>477</v>
      </c>
      <c r="T235" s="16" t="s">
        <v>1322</v>
      </c>
      <c r="U235" s="16" t="s">
        <v>25</v>
      </c>
      <c r="V235" s="16" t="s">
        <v>1323</v>
      </c>
      <c r="W235" s="42" t="s">
        <v>4729</v>
      </c>
      <c r="X235" s="8" t="s">
        <v>13500</v>
      </c>
      <c r="Y235" s="16" t="s">
        <v>4559</v>
      </c>
      <c r="Z235" s="8" t="s">
        <v>13499</v>
      </c>
      <c r="AA235" s="17" t="s">
        <v>4728</v>
      </c>
      <c r="AB235" s="17" t="str">
        <f t="shared" si="3"/>
        <v>GPR0603390R</v>
      </c>
    </row>
    <row r="236" spans="1:28">
      <c r="A236" s="16" t="s">
        <v>142</v>
      </c>
      <c r="B236" s="16" t="s">
        <v>142</v>
      </c>
      <c r="C236" s="16" t="s">
        <v>1324</v>
      </c>
      <c r="D236" s="16" t="s">
        <v>21</v>
      </c>
      <c r="E236" s="16" t="s">
        <v>22</v>
      </c>
      <c r="F236" s="16" t="s">
        <v>143</v>
      </c>
      <c r="G236" s="17" t="str">
        <f>Config!$B$3</f>
        <v>SCH/R_IEC.SchLib</v>
      </c>
      <c r="H236" s="16" t="s">
        <v>419</v>
      </c>
      <c r="I236" s="18" t="s">
        <v>461</v>
      </c>
      <c r="J236" s="16" t="s">
        <v>462</v>
      </c>
      <c r="K236" s="16"/>
      <c r="L236" s="16"/>
      <c r="M236" s="20">
        <v>430</v>
      </c>
      <c r="N236" s="17" t="s">
        <v>13979</v>
      </c>
      <c r="O236" s="16" t="s">
        <v>477</v>
      </c>
      <c r="P236" s="16" t="s">
        <v>1325</v>
      </c>
      <c r="Q236" s="16" t="s">
        <v>25</v>
      </c>
      <c r="R236" s="16" t="s">
        <v>1326</v>
      </c>
      <c r="S236" s="16" t="s">
        <v>477</v>
      </c>
      <c r="T236" s="16" t="s">
        <v>1327</v>
      </c>
      <c r="U236" s="16" t="s">
        <v>25</v>
      </c>
      <c r="V236" s="16" t="s">
        <v>1328</v>
      </c>
      <c r="W236" s="17" t="s">
        <v>477</v>
      </c>
      <c r="X236" s="17" t="s">
        <v>16746</v>
      </c>
      <c r="Y236" s="16" t="s">
        <v>4559</v>
      </c>
      <c r="Z236" s="17" t="s">
        <v>16747</v>
      </c>
      <c r="AA236" t="s">
        <v>4727</v>
      </c>
      <c r="AB236" s="17" t="str">
        <f t="shared" si="3"/>
        <v>GPR0603430R</v>
      </c>
    </row>
    <row r="237" spans="1:28">
      <c r="A237" s="16" t="s">
        <v>144</v>
      </c>
      <c r="B237" s="16" t="s">
        <v>144</v>
      </c>
      <c r="C237" s="16" t="s">
        <v>1329</v>
      </c>
      <c r="D237" s="16" t="s">
        <v>21</v>
      </c>
      <c r="E237" s="16" t="s">
        <v>22</v>
      </c>
      <c r="F237" s="16" t="s">
        <v>145</v>
      </c>
      <c r="G237" s="17" t="str">
        <f>Config!$B$3</f>
        <v>SCH/R_IEC.SchLib</v>
      </c>
      <c r="H237" s="16" t="s">
        <v>419</v>
      </c>
      <c r="I237" s="18" t="s">
        <v>461</v>
      </c>
      <c r="J237" s="16" t="s">
        <v>462</v>
      </c>
      <c r="K237" s="16"/>
      <c r="L237" s="16"/>
      <c r="M237" s="20">
        <v>470</v>
      </c>
      <c r="N237" s="17" t="s">
        <v>13979</v>
      </c>
      <c r="O237" s="16" t="s">
        <v>477</v>
      </c>
      <c r="P237" s="16" t="s">
        <v>1330</v>
      </c>
      <c r="Q237" s="16" t="s">
        <v>25</v>
      </c>
      <c r="R237" s="16" t="s">
        <v>1331</v>
      </c>
      <c r="S237" s="16" t="s">
        <v>477</v>
      </c>
      <c r="T237" s="16" t="s">
        <v>146</v>
      </c>
      <c r="U237" s="16" t="s">
        <v>25</v>
      </c>
      <c r="V237" s="16" t="s">
        <v>147</v>
      </c>
      <c r="W237" s="17" t="s">
        <v>14467</v>
      </c>
      <c r="X237" s="17" t="s">
        <v>16748</v>
      </c>
      <c r="Y237" s="16" t="s">
        <v>4559</v>
      </c>
      <c r="Z237" s="17" t="s">
        <v>16749</v>
      </c>
      <c r="AA237" t="s">
        <v>4728</v>
      </c>
      <c r="AB237" s="17" t="str">
        <f t="shared" ref="AB237:AB300" si="4">"GPR"&amp;E237&amp;F237</f>
        <v>GPR0603470R</v>
      </c>
    </row>
    <row r="238" spans="1:28">
      <c r="A238" s="16" t="s">
        <v>148</v>
      </c>
      <c r="B238" s="16" t="s">
        <v>148</v>
      </c>
      <c r="C238" s="16" t="s">
        <v>1332</v>
      </c>
      <c r="D238" s="16" t="s">
        <v>21</v>
      </c>
      <c r="E238" s="16" t="s">
        <v>22</v>
      </c>
      <c r="F238" s="16" t="s">
        <v>149</v>
      </c>
      <c r="G238" s="17" t="str">
        <f>Config!$B$3</f>
        <v>SCH/R_IEC.SchLib</v>
      </c>
      <c r="H238" s="16" t="s">
        <v>419</v>
      </c>
      <c r="I238" s="18" t="s">
        <v>461</v>
      </c>
      <c r="J238" s="16" t="s">
        <v>462</v>
      </c>
      <c r="K238" s="16"/>
      <c r="L238" s="16"/>
      <c r="M238" s="20">
        <v>510</v>
      </c>
      <c r="N238" s="17" t="s">
        <v>13979</v>
      </c>
      <c r="O238" s="16" t="s">
        <v>477</v>
      </c>
      <c r="P238" s="16" t="s">
        <v>1333</v>
      </c>
      <c r="Q238" s="16" t="s">
        <v>25</v>
      </c>
      <c r="R238" s="16" t="s">
        <v>1334</v>
      </c>
      <c r="S238" s="16" t="s">
        <v>477</v>
      </c>
      <c r="T238" s="16" t="s">
        <v>1335</v>
      </c>
      <c r="U238" s="16" t="s">
        <v>25</v>
      </c>
      <c r="V238" s="16" t="s">
        <v>1336</v>
      </c>
      <c r="W238" s="17"/>
      <c r="X238" s="17"/>
      <c r="Y238" s="17"/>
      <c r="Z238" s="17"/>
      <c r="AA238" s="17"/>
      <c r="AB238" s="17" t="str">
        <f t="shared" si="4"/>
        <v>GPR0603510R</v>
      </c>
    </row>
    <row r="239" spans="1:28">
      <c r="A239" s="16" t="s">
        <v>150</v>
      </c>
      <c r="B239" s="16" t="s">
        <v>150</v>
      </c>
      <c r="C239" s="16" t="s">
        <v>1337</v>
      </c>
      <c r="D239" s="16" t="s">
        <v>21</v>
      </c>
      <c r="E239" s="16" t="s">
        <v>22</v>
      </c>
      <c r="F239" s="16" t="s">
        <v>151</v>
      </c>
      <c r="G239" s="17" t="str">
        <f>Config!$B$3</f>
        <v>SCH/R_IEC.SchLib</v>
      </c>
      <c r="H239" s="16" t="s">
        <v>419</v>
      </c>
      <c r="I239" s="18" t="s">
        <v>461</v>
      </c>
      <c r="J239" s="16" t="s">
        <v>462</v>
      </c>
      <c r="K239" s="16"/>
      <c r="L239" s="16"/>
      <c r="M239" s="20">
        <v>560</v>
      </c>
      <c r="N239" s="17" t="s">
        <v>13979</v>
      </c>
      <c r="O239" s="16" t="s">
        <v>477</v>
      </c>
      <c r="P239" s="16" t="s">
        <v>1338</v>
      </c>
      <c r="Q239" s="16" t="s">
        <v>25</v>
      </c>
      <c r="R239" s="16" t="s">
        <v>1339</v>
      </c>
      <c r="S239" s="16" t="s">
        <v>477</v>
      </c>
      <c r="T239" s="16" t="s">
        <v>1340</v>
      </c>
      <c r="U239" s="16" t="s">
        <v>25</v>
      </c>
      <c r="V239" s="16" t="s">
        <v>1341</v>
      </c>
      <c r="W239" s="17"/>
      <c r="X239" s="17"/>
      <c r="Y239" s="17"/>
      <c r="Z239" s="17"/>
      <c r="AA239" s="17"/>
      <c r="AB239" s="17" t="str">
        <f t="shared" si="4"/>
        <v>GPR0603560R</v>
      </c>
    </row>
    <row r="240" spans="1:28">
      <c r="A240" s="16" t="s">
        <v>152</v>
      </c>
      <c r="B240" s="16" t="s">
        <v>152</v>
      </c>
      <c r="C240" s="16" t="s">
        <v>1342</v>
      </c>
      <c r="D240" s="16" t="s">
        <v>21</v>
      </c>
      <c r="E240" s="16" t="s">
        <v>22</v>
      </c>
      <c r="F240" s="16" t="s">
        <v>153</v>
      </c>
      <c r="G240" s="17" t="str">
        <f>Config!$B$3</f>
        <v>SCH/R_IEC.SchLib</v>
      </c>
      <c r="H240" s="16" t="s">
        <v>419</v>
      </c>
      <c r="I240" s="18" t="s">
        <v>461</v>
      </c>
      <c r="J240" s="16" t="s">
        <v>462</v>
      </c>
      <c r="K240" s="16"/>
      <c r="L240" s="16"/>
      <c r="M240" s="20">
        <v>620</v>
      </c>
      <c r="N240" s="17" t="s">
        <v>13979</v>
      </c>
      <c r="O240" s="16" t="s">
        <v>477</v>
      </c>
      <c r="P240" s="16" t="s">
        <v>1343</v>
      </c>
      <c r="Q240" s="16" t="s">
        <v>25</v>
      </c>
      <c r="R240" s="16" t="s">
        <v>1344</v>
      </c>
      <c r="S240" s="16" t="s">
        <v>477</v>
      </c>
      <c r="T240" s="16" t="s">
        <v>1345</v>
      </c>
      <c r="U240" s="16" t="s">
        <v>25</v>
      </c>
      <c r="V240" s="16" t="s">
        <v>1346</v>
      </c>
      <c r="W240" s="17"/>
      <c r="X240" s="17"/>
      <c r="Y240" s="17"/>
      <c r="Z240" s="17"/>
      <c r="AA240" s="17"/>
      <c r="AB240" s="17" t="str">
        <f t="shared" si="4"/>
        <v>GPR0603620R</v>
      </c>
    </row>
    <row r="241" spans="1:28">
      <c r="A241" s="16" t="s">
        <v>154</v>
      </c>
      <c r="B241" s="16" t="s">
        <v>154</v>
      </c>
      <c r="C241" s="16" t="s">
        <v>1347</v>
      </c>
      <c r="D241" s="16" t="s">
        <v>21</v>
      </c>
      <c r="E241" s="16" t="s">
        <v>22</v>
      </c>
      <c r="F241" s="16" t="s">
        <v>155</v>
      </c>
      <c r="G241" s="17" t="str">
        <f>Config!$B$3</f>
        <v>SCH/R_IEC.SchLib</v>
      </c>
      <c r="H241" s="16" t="s">
        <v>419</v>
      </c>
      <c r="I241" s="18" t="s">
        <v>461</v>
      </c>
      <c r="J241" s="16" t="s">
        <v>462</v>
      </c>
      <c r="K241" s="16"/>
      <c r="L241" s="16"/>
      <c r="M241" s="20">
        <v>680</v>
      </c>
      <c r="N241" s="17" t="s">
        <v>13979</v>
      </c>
      <c r="O241" s="16" t="s">
        <v>477</v>
      </c>
      <c r="P241" s="16" t="s">
        <v>1348</v>
      </c>
      <c r="Q241" s="16" t="s">
        <v>25</v>
      </c>
      <c r="R241" s="16" t="s">
        <v>1349</v>
      </c>
      <c r="S241" s="16" t="s">
        <v>477</v>
      </c>
      <c r="T241" s="16" t="s">
        <v>1350</v>
      </c>
      <c r="U241" s="16" t="s">
        <v>25</v>
      </c>
      <c r="V241" s="16" t="s">
        <v>1351</v>
      </c>
      <c r="W241" s="17"/>
      <c r="X241" s="17"/>
      <c r="Y241" s="17"/>
      <c r="Z241" s="17"/>
      <c r="AA241" s="17"/>
      <c r="AB241" s="17" t="str">
        <f t="shared" si="4"/>
        <v>GPR0603680R</v>
      </c>
    </row>
    <row r="242" spans="1:28">
      <c r="A242" s="16" t="s">
        <v>156</v>
      </c>
      <c r="B242" s="16" t="s">
        <v>156</v>
      </c>
      <c r="C242" s="16" t="s">
        <v>1352</v>
      </c>
      <c r="D242" s="16" t="s">
        <v>21</v>
      </c>
      <c r="E242" s="16" t="s">
        <v>22</v>
      </c>
      <c r="F242" s="16" t="s">
        <v>157</v>
      </c>
      <c r="G242" s="17" t="str">
        <f>Config!$B$3</f>
        <v>SCH/R_IEC.SchLib</v>
      </c>
      <c r="H242" s="16" t="s">
        <v>419</v>
      </c>
      <c r="I242" s="18" t="s">
        <v>461</v>
      </c>
      <c r="J242" s="16" t="s">
        <v>462</v>
      </c>
      <c r="K242" s="16"/>
      <c r="L242" s="16"/>
      <c r="M242" s="20">
        <v>750</v>
      </c>
      <c r="N242" s="17" t="s">
        <v>13979</v>
      </c>
      <c r="O242" s="16" t="s">
        <v>477</v>
      </c>
      <c r="P242" s="16" t="s">
        <v>1353</v>
      </c>
      <c r="Q242" s="16" t="s">
        <v>25</v>
      </c>
      <c r="R242" s="16" t="s">
        <v>1354</v>
      </c>
      <c r="S242" s="16" t="s">
        <v>477</v>
      </c>
      <c r="T242" s="16" t="s">
        <v>1355</v>
      </c>
      <c r="U242" s="16" t="s">
        <v>25</v>
      </c>
      <c r="V242" s="16" t="s">
        <v>1356</v>
      </c>
      <c r="W242" s="17"/>
      <c r="X242" s="17"/>
      <c r="Y242" s="17"/>
      <c r="Z242" s="17"/>
      <c r="AA242" s="17"/>
      <c r="AB242" s="17" t="str">
        <f t="shared" si="4"/>
        <v>GPR0603750R</v>
      </c>
    </row>
    <row r="243" spans="1:28">
      <c r="A243" s="16" t="s">
        <v>158</v>
      </c>
      <c r="B243" s="16" t="s">
        <v>158</v>
      </c>
      <c r="C243" s="16" t="s">
        <v>1357</v>
      </c>
      <c r="D243" s="16" t="s">
        <v>21</v>
      </c>
      <c r="E243" s="16" t="s">
        <v>22</v>
      </c>
      <c r="F243" s="16" t="s">
        <v>159</v>
      </c>
      <c r="G243" s="17" t="str">
        <f>Config!$B$3</f>
        <v>SCH/R_IEC.SchLib</v>
      </c>
      <c r="H243" s="16" t="s">
        <v>419</v>
      </c>
      <c r="I243" s="18" t="s">
        <v>461</v>
      </c>
      <c r="J243" s="16" t="s">
        <v>462</v>
      </c>
      <c r="K243" s="16"/>
      <c r="L243" s="16"/>
      <c r="M243" s="20">
        <v>820</v>
      </c>
      <c r="N243" s="17" t="s">
        <v>13979</v>
      </c>
      <c r="O243" s="16" t="s">
        <v>477</v>
      </c>
      <c r="P243" s="16" t="s">
        <v>1358</v>
      </c>
      <c r="Q243" s="16" t="s">
        <v>25</v>
      </c>
      <c r="R243" s="16" t="s">
        <v>1359</v>
      </c>
      <c r="S243" s="16" t="s">
        <v>477</v>
      </c>
      <c r="T243" s="16" t="s">
        <v>1360</v>
      </c>
      <c r="U243" s="16" t="s">
        <v>25</v>
      </c>
      <c r="V243" s="16" t="s">
        <v>1361</v>
      </c>
      <c r="W243" s="17"/>
      <c r="X243" s="17"/>
      <c r="Y243" s="17"/>
      <c r="Z243" s="17"/>
      <c r="AA243" s="17"/>
      <c r="AB243" s="17" t="str">
        <f t="shared" si="4"/>
        <v>GPR0603820R</v>
      </c>
    </row>
    <row r="244" spans="1:28">
      <c r="A244" s="16" t="s">
        <v>160</v>
      </c>
      <c r="B244" s="16" t="s">
        <v>160</v>
      </c>
      <c r="C244" s="16" t="s">
        <v>1362</v>
      </c>
      <c r="D244" s="16" t="s">
        <v>21</v>
      </c>
      <c r="E244" s="16" t="s">
        <v>22</v>
      </c>
      <c r="F244" s="16" t="s">
        <v>161</v>
      </c>
      <c r="G244" s="17" t="str">
        <f>Config!$B$3</f>
        <v>SCH/R_IEC.SchLib</v>
      </c>
      <c r="H244" s="16" t="s">
        <v>419</v>
      </c>
      <c r="I244" s="18" t="s">
        <v>461</v>
      </c>
      <c r="J244" s="16" t="s">
        <v>462</v>
      </c>
      <c r="K244" s="16"/>
      <c r="L244" s="16"/>
      <c r="M244" s="20">
        <v>910</v>
      </c>
      <c r="N244" s="17" t="s">
        <v>13979</v>
      </c>
      <c r="O244" s="16" t="s">
        <v>477</v>
      </c>
      <c r="P244" s="16" t="s">
        <v>1363</v>
      </c>
      <c r="Q244" s="16" t="s">
        <v>25</v>
      </c>
      <c r="R244" s="16" t="s">
        <v>1364</v>
      </c>
      <c r="S244" s="16" t="s">
        <v>477</v>
      </c>
      <c r="T244" s="16" t="s">
        <v>1365</v>
      </c>
      <c r="U244" s="16" t="s">
        <v>25</v>
      </c>
      <c r="V244" s="16" t="s">
        <v>1366</v>
      </c>
      <c r="W244" s="17"/>
      <c r="X244" s="17"/>
      <c r="Y244" s="17"/>
      <c r="Z244" s="17"/>
      <c r="AA244" s="17"/>
      <c r="AB244" s="17" t="str">
        <f t="shared" si="4"/>
        <v>GPR0603910R</v>
      </c>
    </row>
    <row r="245" spans="1:28">
      <c r="A245" s="16" t="s">
        <v>162</v>
      </c>
      <c r="B245" s="16" t="s">
        <v>162</v>
      </c>
      <c r="C245" s="16" t="s">
        <v>1367</v>
      </c>
      <c r="D245" s="16" t="s">
        <v>21</v>
      </c>
      <c r="E245" s="16" t="s">
        <v>22</v>
      </c>
      <c r="F245" s="16" t="s">
        <v>163</v>
      </c>
      <c r="G245" s="17" t="str">
        <f>Config!$B$3</f>
        <v>SCH/R_IEC.SchLib</v>
      </c>
      <c r="H245" s="16" t="s">
        <v>419</v>
      </c>
      <c r="I245" s="18" t="s">
        <v>461</v>
      </c>
      <c r="J245" s="16" t="s">
        <v>462</v>
      </c>
      <c r="K245" s="16"/>
      <c r="L245" s="16"/>
      <c r="M245" s="20">
        <v>1000</v>
      </c>
      <c r="N245" s="17" t="s">
        <v>13979</v>
      </c>
      <c r="O245" s="16" t="s">
        <v>477</v>
      </c>
      <c r="P245" s="16" t="s">
        <v>1368</v>
      </c>
      <c r="Q245" s="16" t="s">
        <v>25</v>
      </c>
      <c r="R245" s="16" t="s">
        <v>1369</v>
      </c>
      <c r="S245" s="16" t="s">
        <v>477</v>
      </c>
      <c r="T245" s="16" t="s">
        <v>1370</v>
      </c>
      <c r="U245" s="16" t="s">
        <v>25</v>
      </c>
      <c r="V245" s="16" t="s">
        <v>1371</v>
      </c>
      <c r="W245" s="17" t="s">
        <v>4729</v>
      </c>
      <c r="X245" s="17" t="s">
        <v>4732</v>
      </c>
      <c r="Y245" s="16" t="s">
        <v>4559</v>
      </c>
      <c r="Z245" s="17" t="s">
        <v>4733</v>
      </c>
      <c r="AA245" s="17" t="s">
        <v>4728</v>
      </c>
      <c r="AB245" s="17" t="str">
        <f t="shared" si="4"/>
        <v>GPR06031K</v>
      </c>
    </row>
    <row r="246" spans="1:28">
      <c r="A246" s="16" t="s">
        <v>164</v>
      </c>
      <c r="B246" s="16" t="s">
        <v>164</v>
      </c>
      <c r="C246" s="16" t="s">
        <v>1372</v>
      </c>
      <c r="D246" s="16" t="s">
        <v>21</v>
      </c>
      <c r="E246" s="16" t="s">
        <v>22</v>
      </c>
      <c r="F246" s="16" t="s">
        <v>165</v>
      </c>
      <c r="G246" s="17" t="str">
        <f>Config!$B$3</f>
        <v>SCH/R_IEC.SchLib</v>
      </c>
      <c r="H246" s="16" t="s">
        <v>419</v>
      </c>
      <c r="I246" s="18" t="s">
        <v>461</v>
      </c>
      <c r="J246" s="16" t="s">
        <v>462</v>
      </c>
      <c r="K246" s="16"/>
      <c r="L246" s="16"/>
      <c r="M246" s="20">
        <v>1100</v>
      </c>
      <c r="N246" s="17" t="s">
        <v>13979</v>
      </c>
      <c r="O246" s="16" t="s">
        <v>477</v>
      </c>
      <c r="P246" s="16" t="s">
        <v>1373</v>
      </c>
      <c r="Q246" s="16" t="s">
        <v>25</v>
      </c>
      <c r="R246" s="16" t="s">
        <v>1374</v>
      </c>
      <c r="S246" s="16" t="s">
        <v>477</v>
      </c>
      <c r="T246" s="16" t="s">
        <v>1375</v>
      </c>
      <c r="U246" s="16" t="s">
        <v>25</v>
      </c>
      <c r="V246" s="16" t="s">
        <v>1376</v>
      </c>
      <c r="W246" s="17"/>
      <c r="X246" s="17"/>
      <c r="Y246" s="17"/>
      <c r="Z246" s="17"/>
      <c r="AA246" s="17"/>
      <c r="AB246" s="17" t="str">
        <f t="shared" si="4"/>
        <v>GPR06031K1</v>
      </c>
    </row>
    <row r="247" spans="1:28">
      <c r="A247" s="16" t="s">
        <v>166</v>
      </c>
      <c r="B247" s="16" t="s">
        <v>166</v>
      </c>
      <c r="C247" s="16" t="s">
        <v>1377</v>
      </c>
      <c r="D247" s="16" t="s">
        <v>21</v>
      </c>
      <c r="E247" s="16" t="s">
        <v>22</v>
      </c>
      <c r="F247" s="16" t="s">
        <v>167</v>
      </c>
      <c r="G247" s="17" t="str">
        <f>Config!$B$3</f>
        <v>SCH/R_IEC.SchLib</v>
      </c>
      <c r="H247" s="16" t="s">
        <v>419</v>
      </c>
      <c r="I247" s="18" t="s">
        <v>461</v>
      </c>
      <c r="J247" s="16" t="s">
        <v>462</v>
      </c>
      <c r="K247" s="16"/>
      <c r="L247" s="16"/>
      <c r="M247" s="20">
        <v>1200</v>
      </c>
      <c r="N247" s="17" t="s">
        <v>13979</v>
      </c>
      <c r="O247" s="16" t="s">
        <v>477</v>
      </c>
      <c r="P247" s="16" t="s">
        <v>1378</v>
      </c>
      <c r="Q247" s="16" t="s">
        <v>25</v>
      </c>
      <c r="R247" s="16" t="s">
        <v>1379</v>
      </c>
      <c r="S247" s="16" t="s">
        <v>477</v>
      </c>
      <c r="T247" s="16" t="s">
        <v>1380</v>
      </c>
      <c r="U247" s="16" t="s">
        <v>25</v>
      </c>
      <c r="V247" s="16" t="s">
        <v>1381</v>
      </c>
      <c r="W247" s="17"/>
      <c r="X247" s="17"/>
      <c r="Y247" s="17"/>
      <c r="Z247" s="17"/>
      <c r="AA247" s="17"/>
      <c r="AB247" s="17" t="str">
        <f t="shared" si="4"/>
        <v>GPR06031K2</v>
      </c>
    </row>
    <row r="248" spans="1:28">
      <c r="A248" s="16" t="s">
        <v>168</v>
      </c>
      <c r="B248" s="16" t="s">
        <v>168</v>
      </c>
      <c r="C248" s="16" t="s">
        <v>1382</v>
      </c>
      <c r="D248" s="16" t="s">
        <v>21</v>
      </c>
      <c r="E248" s="16" t="s">
        <v>22</v>
      </c>
      <c r="F248" s="16" t="s">
        <v>169</v>
      </c>
      <c r="G248" s="17" t="str">
        <f>Config!$B$3</f>
        <v>SCH/R_IEC.SchLib</v>
      </c>
      <c r="H248" s="16" t="s">
        <v>419</v>
      </c>
      <c r="I248" s="18" t="s">
        <v>461</v>
      </c>
      <c r="J248" s="16" t="s">
        <v>462</v>
      </c>
      <c r="K248" s="16"/>
      <c r="L248" s="16"/>
      <c r="M248" s="20">
        <v>1300</v>
      </c>
      <c r="N248" s="17" t="s">
        <v>13979</v>
      </c>
      <c r="O248" s="16" t="s">
        <v>477</v>
      </c>
      <c r="P248" s="16" t="s">
        <v>1383</v>
      </c>
      <c r="Q248" s="16" t="s">
        <v>25</v>
      </c>
      <c r="R248" s="16" t="s">
        <v>1384</v>
      </c>
      <c r="S248" s="16" t="s">
        <v>477</v>
      </c>
      <c r="T248" s="16" t="s">
        <v>1385</v>
      </c>
      <c r="U248" s="16" t="s">
        <v>25</v>
      </c>
      <c r="V248" s="16" t="s">
        <v>1386</v>
      </c>
      <c r="W248" s="17"/>
      <c r="X248" s="17"/>
      <c r="Y248" s="17"/>
      <c r="Z248" s="17"/>
      <c r="AA248" s="17"/>
      <c r="AB248" s="17" t="str">
        <f t="shared" si="4"/>
        <v>GPR06031K3</v>
      </c>
    </row>
    <row r="249" spans="1:28">
      <c r="A249" s="16" t="s">
        <v>170</v>
      </c>
      <c r="B249" s="16" t="s">
        <v>170</v>
      </c>
      <c r="C249" s="16" t="s">
        <v>1387</v>
      </c>
      <c r="D249" s="16" t="s">
        <v>21</v>
      </c>
      <c r="E249" s="16" t="s">
        <v>22</v>
      </c>
      <c r="F249" s="16" t="s">
        <v>171</v>
      </c>
      <c r="G249" s="17" t="str">
        <f>Config!$B$3</f>
        <v>SCH/R_IEC.SchLib</v>
      </c>
      <c r="H249" s="16" t="s">
        <v>419</v>
      </c>
      <c r="I249" s="18" t="s">
        <v>461</v>
      </c>
      <c r="J249" s="16" t="s">
        <v>462</v>
      </c>
      <c r="K249" s="16"/>
      <c r="L249" s="16"/>
      <c r="M249" s="20">
        <v>1500</v>
      </c>
      <c r="N249" s="17" t="s">
        <v>13979</v>
      </c>
      <c r="O249" s="16" t="s">
        <v>477</v>
      </c>
      <c r="P249" s="16" t="s">
        <v>1388</v>
      </c>
      <c r="Q249" s="16" t="s">
        <v>25</v>
      </c>
      <c r="R249" s="16" t="s">
        <v>1389</v>
      </c>
      <c r="S249" s="16" t="s">
        <v>477</v>
      </c>
      <c r="T249" s="16" t="s">
        <v>172</v>
      </c>
      <c r="U249" s="16" t="s">
        <v>25</v>
      </c>
      <c r="V249" s="16" t="s">
        <v>173</v>
      </c>
      <c r="W249" s="16" t="s">
        <v>4729</v>
      </c>
      <c r="X249" s="17" t="s">
        <v>4752</v>
      </c>
      <c r="Y249" s="16" t="s">
        <v>4559</v>
      </c>
      <c r="Z249" s="17" t="s">
        <v>4753</v>
      </c>
      <c r="AA249" s="16" t="s">
        <v>4728</v>
      </c>
      <c r="AB249" s="17" t="str">
        <f t="shared" si="4"/>
        <v>GPR06031K5</v>
      </c>
    </row>
    <row r="250" spans="1:28">
      <c r="A250" s="16" t="s">
        <v>174</v>
      </c>
      <c r="B250" s="16" t="s">
        <v>174</v>
      </c>
      <c r="C250" s="16" t="s">
        <v>1390</v>
      </c>
      <c r="D250" s="16" t="s">
        <v>21</v>
      </c>
      <c r="E250" s="16" t="s">
        <v>22</v>
      </c>
      <c r="F250" s="16" t="s">
        <v>175</v>
      </c>
      <c r="G250" s="17" t="str">
        <f>Config!$B$3</f>
        <v>SCH/R_IEC.SchLib</v>
      </c>
      <c r="H250" s="16" t="s">
        <v>419</v>
      </c>
      <c r="I250" s="18" t="s">
        <v>461</v>
      </c>
      <c r="J250" s="16" t="s">
        <v>462</v>
      </c>
      <c r="K250" s="16"/>
      <c r="L250" s="16"/>
      <c r="M250" s="20">
        <v>1600</v>
      </c>
      <c r="N250" s="17" t="s">
        <v>13979</v>
      </c>
      <c r="O250" s="16" t="s">
        <v>477</v>
      </c>
      <c r="P250" s="16" t="s">
        <v>178</v>
      </c>
      <c r="Q250" s="16" t="s">
        <v>25</v>
      </c>
      <c r="R250" s="16" t="s">
        <v>179</v>
      </c>
      <c r="S250" s="16" t="s">
        <v>477</v>
      </c>
      <c r="T250" s="16" t="s">
        <v>176</v>
      </c>
      <c r="U250" s="16" t="s">
        <v>25</v>
      </c>
      <c r="V250" s="16" t="s">
        <v>177</v>
      </c>
      <c r="W250" s="17"/>
      <c r="X250" s="17"/>
      <c r="Y250" s="17"/>
      <c r="Z250" s="17"/>
      <c r="AA250" s="17"/>
      <c r="AB250" s="17" t="str">
        <f t="shared" si="4"/>
        <v>GPR06031K6</v>
      </c>
    </row>
    <row r="251" spans="1:28">
      <c r="A251" s="16" t="s">
        <v>180</v>
      </c>
      <c r="B251" s="16" t="s">
        <v>180</v>
      </c>
      <c r="C251" s="16" t="s">
        <v>1391</v>
      </c>
      <c r="D251" s="16" t="s">
        <v>21</v>
      </c>
      <c r="E251" s="16" t="s">
        <v>22</v>
      </c>
      <c r="F251" s="16" t="s">
        <v>181</v>
      </c>
      <c r="G251" s="17" t="str">
        <f>Config!$B$3</f>
        <v>SCH/R_IEC.SchLib</v>
      </c>
      <c r="H251" s="16" t="s">
        <v>419</v>
      </c>
      <c r="I251" s="18" t="s">
        <v>461</v>
      </c>
      <c r="J251" s="16" t="s">
        <v>462</v>
      </c>
      <c r="K251" s="16"/>
      <c r="L251" s="16"/>
      <c r="M251" s="20">
        <v>1800</v>
      </c>
      <c r="N251" s="17" t="s">
        <v>13979</v>
      </c>
      <c r="O251" s="16" t="s">
        <v>477</v>
      </c>
      <c r="P251" s="16" t="s">
        <v>1392</v>
      </c>
      <c r="Q251" s="16" t="s">
        <v>25</v>
      </c>
      <c r="R251" s="16" t="s">
        <v>1393</v>
      </c>
      <c r="S251" s="16" t="s">
        <v>477</v>
      </c>
      <c r="T251" s="16" t="s">
        <v>1394</v>
      </c>
      <c r="U251" s="16" t="s">
        <v>25</v>
      </c>
      <c r="V251" s="16" t="s">
        <v>1395</v>
      </c>
      <c r="W251" s="17"/>
      <c r="X251" s="17"/>
      <c r="Y251" s="17"/>
      <c r="Z251" s="17"/>
      <c r="AA251" s="17"/>
      <c r="AB251" s="17" t="str">
        <f t="shared" si="4"/>
        <v>GPR06031K8</v>
      </c>
    </row>
    <row r="252" spans="1:28">
      <c r="A252" s="16" t="s">
        <v>182</v>
      </c>
      <c r="B252" s="16" t="s">
        <v>182</v>
      </c>
      <c r="C252" s="16" t="s">
        <v>1396</v>
      </c>
      <c r="D252" s="16" t="s">
        <v>21</v>
      </c>
      <c r="E252" s="16" t="s">
        <v>22</v>
      </c>
      <c r="F252" s="16" t="s">
        <v>183</v>
      </c>
      <c r="G252" s="17" t="str">
        <f>Config!$B$3</f>
        <v>SCH/R_IEC.SchLib</v>
      </c>
      <c r="H252" s="16" t="s">
        <v>419</v>
      </c>
      <c r="I252" s="18" t="s">
        <v>461</v>
      </c>
      <c r="J252" s="16" t="s">
        <v>462</v>
      </c>
      <c r="K252" s="16"/>
      <c r="L252" s="16"/>
      <c r="M252" s="20">
        <v>2000</v>
      </c>
      <c r="N252" s="17" t="s">
        <v>13979</v>
      </c>
      <c r="O252" s="16" t="s">
        <v>477</v>
      </c>
      <c r="P252" s="16" t="s">
        <v>184</v>
      </c>
      <c r="Q252" s="16" t="s">
        <v>25</v>
      </c>
      <c r="R252" s="16" t="s">
        <v>185</v>
      </c>
      <c r="S252" s="16" t="s">
        <v>477</v>
      </c>
      <c r="T252" s="16" t="s">
        <v>1397</v>
      </c>
      <c r="U252" s="16" t="s">
        <v>25</v>
      </c>
      <c r="V252" s="16" t="s">
        <v>1398</v>
      </c>
      <c r="W252" s="17" t="s">
        <v>4729</v>
      </c>
      <c r="X252" s="17" t="s">
        <v>4738</v>
      </c>
      <c r="Y252" s="16" t="s">
        <v>4559</v>
      </c>
      <c r="Z252" s="17" t="s">
        <v>4739</v>
      </c>
      <c r="AA252" s="17" t="s">
        <v>4728</v>
      </c>
      <c r="AB252" s="17" t="str">
        <f t="shared" si="4"/>
        <v>GPR06032K</v>
      </c>
    </row>
    <row r="253" spans="1:28">
      <c r="A253" s="16" t="s">
        <v>186</v>
      </c>
      <c r="B253" s="16" t="s">
        <v>186</v>
      </c>
      <c r="C253" s="16" t="s">
        <v>1399</v>
      </c>
      <c r="D253" s="16" t="s">
        <v>21</v>
      </c>
      <c r="E253" s="16" t="s">
        <v>22</v>
      </c>
      <c r="F253" s="16" t="s">
        <v>187</v>
      </c>
      <c r="G253" s="17" t="str">
        <f>Config!$B$3</f>
        <v>SCH/R_IEC.SchLib</v>
      </c>
      <c r="H253" s="16" t="s">
        <v>419</v>
      </c>
      <c r="I253" s="18" t="s">
        <v>461</v>
      </c>
      <c r="J253" s="16" t="s">
        <v>462</v>
      </c>
      <c r="K253" s="16"/>
      <c r="L253" s="16"/>
      <c r="M253" s="20">
        <v>2200</v>
      </c>
      <c r="N253" s="17" t="s">
        <v>13979</v>
      </c>
      <c r="O253" s="16" t="s">
        <v>477</v>
      </c>
      <c r="P253" s="16" t="s">
        <v>188</v>
      </c>
      <c r="Q253" s="16" t="s">
        <v>25</v>
      </c>
      <c r="R253" s="16" t="s">
        <v>189</v>
      </c>
      <c r="S253" s="16" t="s">
        <v>477</v>
      </c>
      <c r="T253" s="16" t="s">
        <v>1400</v>
      </c>
      <c r="U253" s="16" t="s">
        <v>25</v>
      </c>
      <c r="V253" s="16" t="s">
        <v>1401</v>
      </c>
      <c r="W253" s="16" t="s">
        <v>477</v>
      </c>
      <c r="X253" t="s">
        <v>6589</v>
      </c>
      <c r="Y253" s="16" t="s">
        <v>4559</v>
      </c>
      <c r="Z253" t="s">
        <v>6590</v>
      </c>
      <c r="AA253" s="17"/>
      <c r="AB253" s="17" t="str">
        <f t="shared" si="4"/>
        <v>GPR06032K2</v>
      </c>
    </row>
    <row r="254" spans="1:28">
      <c r="A254" s="16" t="s">
        <v>190</v>
      </c>
      <c r="B254" s="16" t="s">
        <v>190</v>
      </c>
      <c r="C254" s="16" t="s">
        <v>1402</v>
      </c>
      <c r="D254" s="16" t="s">
        <v>21</v>
      </c>
      <c r="E254" s="16" t="s">
        <v>22</v>
      </c>
      <c r="F254" s="16" t="s">
        <v>191</v>
      </c>
      <c r="G254" s="17" t="str">
        <f>Config!$B$3</f>
        <v>SCH/R_IEC.SchLib</v>
      </c>
      <c r="H254" s="16" t="s">
        <v>419</v>
      </c>
      <c r="I254" s="18" t="s">
        <v>461</v>
      </c>
      <c r="J254" s="16" t="s">
        <v>462</v>
      </c>
      <c r="K254" s="16"/>
      <c r="L254" s="16"/>
      <c r="M254" s="20">
        <v>2400</v>
      </c>
      <c r="N254" s="17" t="s">
        <v>13979</v>
      </c>
      <c r="O254" s="16" t="s">
        <v>477</v>
      </c>
      <c r="P254" s="16" t="s">
        <v>1403</v>
      </c>
      <c r="Q254" s="16" t="s">
        <v>25</v>
      </c>
      <c r="R254" s="16" t="s">
        <v>1404</v>
      </c>
      <c r="S254" s="16" t="s">
        <v>477</v>
      </c>
      <c r="T254" s="16" t="s">
        <v>1405</v>
      </c>
      <c r="U254" s="16" t="s">
        <v>25</v>
      </c>
      <c r="V254" s="16" t="s">
        <v>1406</v>
      </c>
      <c r="W254" s="17"/>
      <c r="X254" s="17"/>
      <c r="Y254" s="17"/>
      <c r="Z254" s="17"/>
      <c r="AA254" s="17"/>
      <c r="AB254" s="17" t="str">
        <f t="shared" si="4"/>
        <v>GPR06032K4</v>
      </c>
    </row>
    <row r="255" spans="1:28">
      <c r="A255" s="16" t="s">
        <v>192</v>
      </c>
      <c r="B255" s="16" t="s">
        <v>192</v>
      </c>
      <c r="C255" s="16" t="s">
        <v>1407</v>
      </c>
      <c r="D255" s="16" t="s">
        <v>21</v>
      </c>
      <c r="E255" s="16" t="s">
        <v>22</v>
      </c>
      <c r="F255" s="16" t="s">
        <v>193</v>
      </c>
      <c r="G255" s="17" t="str">
        <f>Config!$B$3</f>
        <v>SCH/R_IEC.SchLib</v>
      </c>
      <c r="H255" s="16" t="s">
        <v>419</v>
      </c>
      <c r="I255" s="18" t="s">
        <v>461</v>
      </c>
      <c r="J255" s="16" t="s">
        <v>462</v>
      </c>
      <c r="K255" s="16"/>
      <c r="L255" s="16"/>
      <c r="M255" s="20">
        <v>2700</v>
      </c>
      <c r="N255" s="17" t="s">
        <v>13979</v>
      </c>
      <c r="O255" s="16" t="s">
        <v>477</v>
      </c>
      <c r="P255" s="16" t="s">
        <v>1408</v>
      </c>
      <c r="Q255" s="16" t="s">
        <v>25</v>
      </c>
      <c r="R255" s="16" t="s">
        <v>1409</v>
      </c>
      <c r="S255" s="16" t="s">
        <v>477</v>
      </c>
      <c r="T255" s="16" t="s">
        <v>194</v>
      </c>
      <c r="U255" s="16" t="s">
        <v>25</v>
      </c>
      <c r="V255" s="16" t="s">
        <v>195</v>
      </c>
      <c r="W255" s="17"/>
      <c r="X255" s="17"/>
      <c r="Y255" s="17"/>
      <c r="Z255" s="17"/>
      <c r="AA255" s="17"/>
      <c r="AB255" s="17" t="str">
        <f t="shared" si="4"/>
        <v>GPR06032K7</v>
      </c>
    </row>
    <row r="256" spans="1:28">
      <c r="A256" s="16" t="s">
        <v>196</v>
      </c>
      <c r="B256" s="16" t="s">
        <v>196</v>
      </c>
      <c r="C256" s="16" t="s">
        <v>1410</v>
      </c>
      <c r="D256" s="16" t="s">
        <v>21</v>
      </c>
      <c r="E256" s="16" t="s">
        <v>22</v>
      </c>
      <c r="F256" s="16" t="s">
        <v>197</v>
      </c>
      <c r="G256" s="17" t="str">
        <f>Config!$B$3</f>
        <v>SCH/R_IEC.SchLib</v>
      </c>
      <c r="H256" s="16" t="s">
        <v>419</v>
      </c>
      <c r="I256" s="18" t="s">
        <v>461</v>
      </c>
      <c r="J256" s="16" t="s">
        <v>462</v>
      </c>
      <c r="K256" s="16"/>
      <c r="L256" s="16"/>
      <c r="M256" s="20">
        <v>3000</v>
      </c>
      <c r="N256" s="17" t="s">
        <v>13979</v>
      </c>
      <c r="O256" s="16" t="s">
        <v>477</v>
      </c>
      <c r="P256" s="16" t="s">
        <v>198</v>
      </c>
      <c r="Q256" s="16" t="s">
        <v>25</v>
      </c>
      <c r="R256" s="16" t="s">
        <v>199</v>
      </c>
      <c r="S256" s="16" t="s">
        <v>477</v>
      </c>
      <c r="T256" s="16" t="s">
        <v>1411</v>
      </c>
      <c r="U256" s="16" t="s">
        <v>25</v>
      </c>
      <c r="V256" s="16" t="s">
        <v>1412</v>
      </c>
      <c r="W256" s="17"/>
      <c r="X256" s="17"/>
      <c r="Y256" s="17"/>
      <c r="Z256" s="17"/>
      <c r="AA256" s="17"/>
      <c r="AB256" s="17" t="str">
        <f t="shared" si="4"/>
        <v>GPR06033K</v>
      </c>
    </row>
    <row r="257" spans="1:28">
      <c r="A257" s="16" t="s">
        <v>200</v>
      </c>
      <c r="B257" s="16" t="s">
        <v>200</v>
      </c>
      <c r="C257" s="16" t="s">
        <v>1413</v>
      </c>
      <c r="D257" s="16" t="s">
        <v>21</v>
      </c>
      <c r="E257" s="16" t="s">
        <v>22</v>
      </c>
      <c r="F257" s="16" t="s">
        <v>201</v>
      </c>
      <c r="G257" s="17" t="str">
        <f>Config!$B$3</f>
        <v>SCH/R_IEC.SchLib</v>
      </c>
      <c r="H257" s="16" t="s">
        <v>419</v>
      </c>
      <c r="I257" s="18" t="s">
        <v>461</v>
      </c>
      <c r="J257" s="16" t="s">
        <v>462</v>
      </c>
      <c r="K257" s="16"/>
      <c r="L257" s="16"/>
      <c r="M257" s="20">
        <v>3300</v>
      </c>
      <c r="N257" s="17" t="s">
        <v>13979</v>
      </c>
      <c r="O257" s="16" t="s">
        <v>477</v>
      </c>
      <c r="P257" s="16" t="s">
        <v>1414</v>
      </c>
      <c r="Q257" s="16" t="s">
        <v>25</v>
      </c>
      <c r="R257" s="16" t="s">
        <v>1415</v>
      </c>
      <c r="S257" s="16" t="s">
        <v>477</v>
      </c>
      <c r="T257" s="16" t="s">
        <v>1416</v>
      </c>
      <c r="U257" s="16" t="s">
        <v>25</v>
      </c>
      <c r="V257" s="16" t="s">
        <v>1417</v>
      </c>
      <c r="W257" s="17"/>
      <c r="X257" s="17"/>
      <c r="Y257" s="17"/>
      <c r="Z257" s="17"/>
      <c r="AA257" s="17"/>
      <c r="AB257" s="17" t="str">
        <f t="shared" si="4"/>
        <v>GPR06033K3</v>
      </c>
    </row>
    <row r="258" spans="1:28">
      <c r="A258" s="16" t="s">
        <v>202</v>
      </c>
      <c r="B258" s="16" t="s">
        <v>202</v>
      </c>
      <c r="C258" s="16" t="s">
        <v>1418</v>
      </c>
      <c r="D258" s="16" t="s">
        <v>21</v>
      </c>
      <c r="E258" s="16" t="s">
        <v>22</v>
      </c>
      <c r="F258" s="16" t="s">
        <v>203</v>
      </c>
      <c r="G258" s="17" t="str">
        <f>Config!$B$3</f>
        <v>SCH/R_IEC.SchLib</v>
      </c>
      <c r="H258" s="16" t="s">
        <v>419</v>
      </c>
      <c r="I258" s="18" t="s">
        <v>461</v>
      </c>
      <c r="J258" s="16" t="s">
        <v>462</v>
      </c>
      <c r="K258" s="16"/>
      <c r="L258" s="16"/>
      <c r="M258" s="20">
        <v>3600</v>
      </c>
      <c r="N258" s="17" t="s">
        <v>13979</v>
      </c>
      <c r="O258" s="16" t="s">
        <v>477</v>
      </c>
      <c r="P258" s="16" t="s">
        <v>1419</v>
      </c>
      <c r="Q258" s="16" t="s">
        <v>25</v>
      </c>
      <c r="R258" s="16" t="s">
        <v>1420</v>
      </c>
      <c r="S258" s="16" t="s">
        <v>477</v>
      </c>
      <c r="T258" s="16" t="s">
        <v>1421</v>
      </c>
      <c r="U258" s="16" t="s">
        <v>25</v>
      </c>
      <c r="V258" s="16" t="s">
        <v>1422</v>
      </c>
      <c r="W258" s="17"/>
      <c r="X258" s="17"/>
      <c r="Y258" s="17"/>
      <c r="Z258" s="17"/>
      <c r="AA258" s="17"/>
      <c r="AB258" s="17" t="str">
        <f t="shared" si="4"/>
        <v>GPR06033K6</v>
      </c>
    </row>
    <row r="259" spans="1:28">
      <c r="A259" s="16" t="s">
        <v>204</v>
      </c>
      <c r="B259" s="16" t="s">
        <v>204</v>
      </c>
      <c r="C259" s="16" t="s">
        <v>1423</v>
      </c>
      <c r="D259" s="16" t="s">
        <v>21</v>
      </c>
      <c r="E259" s="16" t="s">
        <v>22</v>
      </c>
      <c r="F259" s="16" t="s">
        <v>205</v>
      </c>
      <c r="G259" s="17" t="str">
        <f>Config!$B$3</f>
        <v>SCH/R_IEC.SchLib</v>
      </c>
      <c r="H259" s="16" t="s">
        <v>419</v>
      </c>
      <c r="I259" s="18" t="s">
        <v>461</v>
      </c>
      <c r="J259" s="16" t="s">
        <v>462</v>
      </c>
      <c r="K259" s="16"/>
      <c r="L259" s="16"/>
      <c r="M259" s="20">
        <v>3900</v>
      </c>
      <c r="N259" s="17" t="s">
        <v>13979</v>
      </c>
      <c r="O259" s="16" t="s">
        <v>477</v>
      </c>
      <c r="P259" s="16" t="s">
        <v>1424</v>
      </c>
      <c r="Q259" s="16" t="s">
        <v>25</v>
      </c>
      <c r="R259" s="16" t="s">
        <v>1425</v>
      </c>
      <c r="S259" s="16" t="s">
        <v>477</v>
      </c>
      <c r="T259" s="16" t="s">
        <v>1426</v>
      </c>
      <c r="U259" s="16" t="s">
        <v>25</v>
      </c>
      <c r="V259" s="16" t="s">
        <v>1427</v>
      </c>
      <c r="W259" s="17"/>
      <c r="X259" s="17"/>
      <c r="Y259" s="17"/>
      <c r="Z259" s="17"/>
      <c r="AA259" s="17"/>
      <c r="AB259" s="17" t="str">
        <f t="shared" si="4"/>
        <v>GPR06033K9</v>
      </c>
    </row>
    <row r="260" spans="1:28">
      <c r="A260" s="16" t="s">
        <v>206</v>
      </c>
      <c r="B260" s="16" t="s">
        <v>206</v>
      </c>
      <c r="C260" s="16" t="s">
        <v>1428</v>
      </c>
      <c r="D260" s="16" t="s">
        <v>21</v>
      </c>
      <c r="E260" s="16" t="s">
        <v>22</v>
      </c>
      <c r="F260" s="16" t="s">
        <v>207</v>
      </c>
      <c r="G260" s="17" t="str">
        <f>Config!$B$3</f>
        <v>SCH/R_IEC.SchLib</v>
      </c>
      <c r="H260" s="16" t="s">
        <v>419</v>
      </c>
      <c r="I260" s="18" t="s">
        <v>461</v>
      </c>
      <c r="J260" s="16" t="s">
        <v>462</v>
      </c>
      <c r="K260" s="16"/>
      <c r="L260" s="16"/>
      <c r="M260" s="20">
        <v>4300</v>
      </c>
      <c r="N260" s="17" t="s">
        <v>13979</v>
      </c>
      <c r="O260" s="16" t="s">
        <v>477</v>
      </c>
      <c r="P260" s="16" t="s">
        <v>1429</v>
      </c>
      <c r="Q260" s="16" t="s">
        <v>25</v>
      </c>
      <c r="R260" s="16" t="s">
        <v>1430</v>
      </c>
      <c r="S260" s="16" t="s">
        <v>477</v>
      </c>
      <c r="T260" s="16" t="s">
        <v>1431</v>
      </c>
      <c r="U260" s="16" t="s">
        <v>25</v>
      </c>
      <c r="V260" s="16" t="s">
        <v>1432</v>
      </c>
      <c r="W260" s="17"/>
      <c r="X260" s="17"/>
      <c r="Y260" s="17"/>
      <c r="Z260" s="17"/>
      <c r="AA260" s="17"/>
      <c r="AB260" s="17" t="str">
        <f t="shared" si="4"/>
        <v>GPR06034K3</v>
      </c>
    </row>
    <row r="261" spans="1:28">
      <c r="A261" s="16" t="s">
        <v>208</v>
      </c>
      <c r="B261" s="16" t="s">
        <v>208</v>
      </c>
      <c r="C261" s="16" t="s">
        <v>1433</v>
      </c>
      <c r="D261" s="16" t="s">
        <v>21</v>
      </c>
      <c r="E261" s="16" t="s">
        <v>22</v>
      </c>
      <c r="F261" s="16" t="s">
        <v>209</v>
      </c>
      <c r="G261" s="17" t="str">
        <f>Config!$B$3</f>
        <v>SCH/R_IEC.SchLib</v>
      </c>
      <c r="H261" s="16" t="s">
        <v>419</v>
      </c>
      <c r="I261" s="18" t="s">
        <v>461</v>
      </c>
      <c r="J261" s="16" t="s">
        <v>462</v>
      </c>
      <c r="K261" s="16"/>
      <c r="L261" s="16"/>
      <c r="M261" s="20">
        <v>4700</v>
      </c>
      <c r="N261" s="17" t="s">
        <v>13979</v>
      </c>
      <c r="O261" s="16" t="s">
        <v>477</v>
      </c>
      <c r="P261" s="16" t="s">
        <v>210</v>
      </c>
      <c r="Q261" s="16" t="s">
        <v>25</v>
      </c>
      <c r="R261" s="16" t="s">
        <v>211</v>
      </c>
      <c r="S261" s="16" t="s">
        <v>477</v>
      </c>
      <c r="T261" s="16" t="s">
        <v>1434</v>
      </c>
      <c r="U261" s="16" t="s">
        <v>25</v>
      </c>
      <c r="V261" s="16" t="s">
        <v>1435</v>
      </c>
      <c r="W261" s="16" t="s">
        <v>4729</v>
      </c>
      <c r="X261" s="17" t="s">
        <v>4787</v>
      </c>
      <c r="Y261" s="16" t="s">
        <v>4559</v>
      </c>
      <c r="Z261" s="17" t="s">
        <v>4788</v>
      </c>
      <c r="AA261" s="16" t="s">
        <v>4728</v>
      </c>
      <c r="AB261" s="17" t="str">
        <f t="shared" si="4"/>
        <v>GPR06034K7</v>
      </c>
    </row>
    <row r="262" spans="1:28">
      <c r="A262" s="16" t="s">
        <v>212</v>
      </c>
      <c r="B262" s="16" t="s">
        <v>212</v>
      </c>
      <c r="C262" s="16" t="s">
        <v>1436</v>
      </c>
      <c r="D262" s="16" t="s">
        <v>21</v>
      </c>
      <c r="E262" s="16" t="s">
        <v>22</v>
      </c>
      <c r="F262" s="16" t="s">
        <v>213</v>
      </c>
      <c r="G262" s="17" t="str">
        <f>Config!$B$3</f>
        <v>SCH/R_IEC.SchLib</v>
      </c>
      <c r="H262" s="16" t="s">
        <v>419</v>
      </c>
      <c r="I262" s="18" t="s">
        <v>461</v>
      </c>
      <c r="J262" s="16" t="s">
        <v>462</v>
      </c>
      <c r="K262" s="16"/>
      <c r="L262" s="16"/>
      <c r="M262" s="20">
        <v>5100</v>
      </c>
      <c r="N262" s="17" t="s">
        <v>13979</v>
      </c>
      <c r="O262" s="16" t="s">
        <v>477</v>
      </c>
      <c r="P262" s="16" t="s">
        <v>1437</v>
      </c>
      <c r="Q262" s="16" t="s">
        <v>25</v>
      </c>
      <c r="R262" s="16" t="s">
        <v>1438</v>
      </c>
      <c r="S262" s="16" t="s">
        <v>477</v>
      </c>
      <c r="T262" s="16" t="s">
        <v>1439</v>
      </c>
      <c r="U262" s="16" t="s">
        <v>25</v>
      </c>
      <c r="V262" s="16" t="s">
        <v>1440</v>
      </c>
      <c r="W262" s="16" t="s">
        <v>4729</v>
      </c>
      <c r="X262" s="17" t="s">
        <v>4740</v>
      </c>
      <c r="Y262" s="16" t="s">
        <v>4559</v>
      </c>
      <c r="Z262" s="17" t="s">
        <v>4741</v>
      </c>
      <c r="AA262" s="16" t="s">
        <v>4728</v>
      </c>
      <c r="AB262" s="17" t="str">
        <f t="shared" si="4"/>
        <v>GPR06035K1</v>
      </c>
    </row>
    <row r="263" spans="1:28">
      <c r="A263" s="16" t="s">
        <v>214</v>
      </c>
      <c r="B263" s="16" t="s">
        <v>214</v>
      </c>
      <c r="C263" s="16" t="s">
        <v>1441</v>
      </c>
      <c r="D263" s="16" t="s">
        <v>21</v>
      </c>
      <c r="E263" s="16" t="s">
        <v>22</v>
      </c>
      <c r="F263" s="16" t="s">
        <v>215</v>
      </c>
      <c r="G263" s="17" t="str">
        <f>Config!$B$3</f>
        <v>SCH/R_IEC.SchLib</v>
      </c>
      <c r="H263" s="16" t="s">
        <v>419</v>
      </c>
      <c r="I263" s="18" t="s">
        <v>461</v>
      </c>
      <c r="J263" s="16" t="s">
        <v>462</v>
      </c>
      <c r="K263" s="16"/>
      <c r="L263" s="16"/>
      <c r="M263" s="20">
        <v>5600</v>
      </c>
      <c r="N263" s="17" t="s">
        <v>13979</v>
      </c>
      <c r="O263" s="16" t="s">
        <v>477</v>
      </c>
      <c r="P263" s="16" t="s">
        <v>1442</v>
      </c>
      <c r="Q263" s="16" t="s">
        <v>25</v>
      </c>
      <c r="R263" s="16" t="s">
        <v>1443</v>
      </c>
      <c r="S263" s="16" t="s">
        <v>477</v>
      </c>
      <c r="T263" s="16" t="s">
        <v>1444</v>
      </c>
      <c r="U263" s="16" t="s">
        <v>25</v>
      </c>
      <c r="V263" s="16" t="s">
        <v>1445</v>
      </c>
      <c r="W263" s="17"/>
      <c r="X263" s="17"/>
      <c r="Y263" s="17"/>
      <c r="Z263" s="17"/>
      <c r="AA263" s="17"/>
      <c r="AB263" s="17" t="str">
        <f t="shared" si="4"/>
        <v>GPR06035K6</v>
      </c>
    </row>
    <row r="264" spans="1:28">
      <c r="A264" s="16" t="s">
        <v>216</v>
      </c>
      <c r="B264" s="16" t="s">
        <v>216</v>
      </c>
      <c r="C264" s="16" t="s">
        <v>1446</v>
      </c>
      <c r="D264" s="16" t="s">
        <v>21</v>
      </c>
      <c r="E264" s="16" t="s">
        <v>22</v>
      </c>
      <c r="F264" s="16" t="s">
        <v>217</v>
      </c>
      <c r="G264" s="17" t="str">
        <f>Config!$B$3</f>
        <v>SCH/R_IEC.SchLib</v>
      </c>
      <c r="H264" s="16" t="s">
        <v>419</v>
      </c>
      <c r="I264" s="18" t="s">
        <v>461</v>
      </c>
      <c r="J264" s="16" t="s">
        <v>462</v>
      </c>
      <c r="K264" s="16"/>
      <c r="L264" s="16"/>
      <c r="M264" s="20">
        <v>6200</v>
      </c>
      <c r="N264" s="17" t="s">
        <v>13979</v>
      </c>
      <c r="O264" s="16" t="s">
        <v>477</v>
      </c>
      <c r="P264" s="16" t="s">
        <v>1447</v>
      </c>
      <c r="Q264" s="16" t="s">
        <v>25</v>
      </c>
      <c r="R264" s="16" t="s">
        <v>1448</v>
      </c>
      <c r="S264" s="16" t="s">
        <v>477</v>
      </c>
      <c r="T264" s="16" t="s">
        <v>1449</v>
      </c>
      <c r="U264" s="16" t="s">
        <v>25</v>
      </c>
      <c r="V264" s="16" t="s">
        <v>1450</v>
      </c>
      <c r="W264" s="17" t="s">
        <v>14467</v>
      </c>
      <c r="X264" s="17" t="s">
        <v>16744</v>
      </c>
      <c r="Y264" s="16" t="s">
        <v>4559</v>
      </c>
      <c r="Z264" s="17" t="s">
        <v>16745</v>
      </c>
      <c r="AA264" t="s">
        <v>4728</v>
      </c>
      <c r="AB264" s="17" t="str">
        <f t="shared" si="4"/>
        <v>GPR06036K2</v>
      </c>
    </row>
    <row r="265" spans="1:28">
      <c r="A265" s="16" t="s">
        <v>218</v>
      </c>
      <c r="B265" s="16" t="s">
        <v>218</v>
      </c>
      <c r="C265" s="16" t="s">
        <v>1451</v>
      </c>
      <c r="D265" s="16" t="s">
        <v>21</v>
      </c>
      <c r="E265" s="16" t="s">
        <v>22</v>
      </c>
      <c r="F265" s="16" t="s">
        <v>219</v>
      </c>
      <c r="G265" s="17" t="str">
        <f>Config!$B$3</f>
        <v>SCH/R_IEC.SchLib</v>
      </c>
      <c r="H265" s="16" t="s">
        <v>419</v>
      </c>
      <c r="I265" s="18" t="s">
        <v>461</v>
      </c>
      <c r="J265" s="16" t="s">
        <v>462</v>
      </c>
      <c r="K265" s="16"/>
      <c r="L265" s="16"/>
      <c r="M265" s="20">
        <v>6800</v>
      </c>
      <c r="N265" s="17" t="s">
        <v>13979</v>
      </c>
      <c r="O265" s="16" t="s">
        <v>477</v>
      </c>
      <c r="P265" s="16" t="s">
        <v>1452</v>
      </c>
      <c r="Q265" s="16" t="s">
        <v>25</v>
      </c>
      <c r="R265" s="16" t="s">
        <v>1453</v>
      </c>
      <c r="S265" s="16" t="s">
        <v>477</v>
      </c>
      <c r="T265" s="16" t="s">
        <v>1454</v>
      </c>
      <c r="U265" s="16" t="s">
        <v>25</v>
      </c>
      <c r="V265" s="16" t="s">
        <v>1455</v>
      </c>
      <c r="W265" s="17" t="s">
        <v>14467</v>
      </c>
      <c r="X265" s="17" t="s">
        <v>16750</v>
      </c>
      <c r="Y265" s="16" t="s">
        <v>4559</v>
      </c>
      <c r="Z265" s="17" t="s">
        <v>16751</v>
      </c>
      <c r="AA265" t="s">
        <v>4728</v>
      </c>
      <c r="AB265" s="17" t="str">
        <f t="shared" si="4"/>
        <v>GPR06036K8</v>
      </c>
    </row>
    <row r="266" spans="1:28" ht="15.75">
      <c r="A266" s="16" t="s">
        <v>220</v>
      </c>
      <c r="B266" s="16" t="s">
        <v>220</v>
      </c>
      <c r="C266" s="16" t="s">
        <v>1456</v>
      </c>
      <c r="D266" s="16" t="s">
        <v>21</v>
      </c>
      <c r="E266" s="16" t="s">
        <v>22</v>
      </c>
      <c r="F266" s="16" t="s">
        <v>221</v>
      </c>
      <c r="G266" s="17" t="str">
        <f>Config!$B$3</f>
        <v>SCH/R_IEC.SchLib</v>
      </c>
      <c r="H266" s="16" t="s">
        <v>419</v>
      </c>
      <c r="I266" s="18" t="s">
        <v>461</v>
      </c>
      <c r="J266" s="16" t="s">
        <v>462</v>
      </c>
      <c r="K266" s="16"/>
      <c r="L266" s="16"/>
      <c r="M266" s="20">
        <v>7500</v>
      </c>
      <c r="N266" s="17" t="s">
        <v>13979</v>
      </c>
      <c r="O266" s="16" t="s">
        <v>477</v>
      </c>
      <c r="P266" s="16" t="s">
        <v>1457</v>
      </c>
      <c r="Q266" s="16" t="s">
        <v>25</v>
      </c>
      <c r="R266" s="16" t="s">
        <v>1458</v>
      </c>
      <c r="S266" s="16" t="s">
        <v>477</v>
      </c>
      <c r="T266" s="16" t="s">
        <v>1459</v>
      </c>
      <c r="U266" s="16" t="s">
        <v>25</v>
      </c>
      <c r="V266" s="16" t="s">
        <v>1460</v>
      </c>
      <c r="W266" s="42" t="s">
        <v>14467</v>
      </c>
      <c r="X266" s="8" t="s">
        <v>13490</v>
      </c>
      <c r="Y266" s="16" t="s">
        <v>4559</v>
      </c>
      <c r="Z266" s="8" t="s">
        <v>13489</v>
      </c>
      <c r="AA266" s="17" t="s">
        <v>4728</v>
      </c>
      <c r="AB266" s="17" t="str">
        <f t="shared" si="4"/>
        <v>GPR06037K5</v>
      </c>
    </row>
    <row r="267" spans="1:28">
      <c r="A267" s="16" t="s">
        <v>222</v>
      </c>
      <c r="B267" s="16" t="s">
        <v>222</v>
      </c>
      <c r="C267" s="16" t="s">
        <v>1461</v>
      </c>
      <c r="D267" s="16" t="s">
        <v>21</v>
      </c>
      <c r="E267" s="16" t="s">
        <v>22</v>
      </c>
      <c r="F267" s="16" t="s">
        <v>223</v>
      </c>
      <c r="G267" s="17" t="str">
        <f>Config!$B$3</f>
        <v>SCH/R_IEC.SchLib</v>
      </c>
      <c r="H267" s="16" t="s">
        <v>419</v>
      </c>
      <c r="I267" s="18" t="s">
        <v>461</v>
      </c>
      <c r="J267" s="16" t="s">
        <v>462</v>
      </c>
      <c r="K267" s="16"/>
      <c r="L267" s="16"/>
      <c r="M267" s="20">
        <v>8200</v>
      </c>
      <c r="N267" s="17" t="s">
        <v>13979</v>
      </c>
      <c r="O267" s="16" t="s">
        <v>477</v>
      </c>
      <c r="P267" s="16" t="s">
        <v>1462</v>
      </c>
      <c r="Q267" s="16" t="s">
        <v>25</v>
      </c>
      <c r="R267" s="16" t="s">
        <v>1463</v>
      </c>
      <c r="S267" s="16" t="s">
        <v>477</v>
      </c>
      <c r="T267" s="16" t="s">
        <v>1464</v>
      </c>
      <c r="U267" s="16" t="s">
        <v>25</v>
      </c>
      <c r="V267" s="16" t="s">
        <v>1465</v>
      </c>
      <c r="W267" s="17"/>
      <c r="X267" s="17"/>
      <c r="Y267" s="17"/>
      <c r="Z267" s="17"/>
      <c r="AA267" s="17"/>
      <c r="AB267" s="17" t="str">
        <f t="shared" si="4"/>
        <v>GPR06038K2</v>
      </c>
    </row>
    <row r="268" spans="1:28">
      <c r="A268" s="16" t="s">
        <v>224</v>
      </c>
      <c r="B268" s="16" t="s">
        <v>224</v>
      </c>
      <c r="C268" s="16" t="s">
        <v>1466</v>
      </c>
      <c r="D268" s="16" t="s">
        <v>21</v>
      </c>
      <c r="E268" s="16" t="s">
        <v>22</v>
      </c>
      <c r="F268" s="16" t="s">
        <v>225</v>
      </c>
      <c r="G268" s="17" t="str">
        <f>Config!$B$3</f>
        <v>SCH/R_IEC.SchLib</v>
      </c>
      <c r="H268" s="16" t="s">
        <v>419</v>
      </c>
      <c r="I268" s="18" t="s">
        <v>461</v>
      </c>
      <c r="J268" s="16" t="s">
        <v>462</v>
      </c>
      <c r="K268" s="16"/>
      <c r="L268" s="16"/>
      <c r="M268" s="20">
        <v>9100</v>
      </c>
      <c r="N268" s="17" t="s">
        <v>13979</v>
      </c>
      <c r="O268" s="16" t="s">
        <v>477</v>
      </c>
      <c r="P268" s="16" t="s">
        <v>1467</v>
      </c>
      <c r="Q268" s="16" t="s">
        <v>25</v>
      </c>
      <c r="R268" s="16" t="s">
        <v>1468</v>
      </c>
      <c r="S268" s="16" t="s">
        <v>477</v>
      </c>
      <c r="T268" s="16" t="s">
        <v>226</v>
      </c>
      <c r="U268" s="16" t="s">
        <v>25</v>
      </c>
      <c r="V268" s="16" t="s">
        <v>227</v>
      </c>
      <c r="W268" s="17"/>
      <c r="X268" s="17"/>
      <c r="Y268" s="17"/>
      <c r="Z268" s="17"/>
      <c r="AA268" s="17"/>
      <c r="AB268" s="17" t="str">
        <f t="shared" si="4"/>
        <v>GPR06039K1</v>
      </c>
    </row>
    <row r="269" spans="1:28">
      <c r="A269" s="16" t="s">
        <v>228</v>
      </c>
      <c r="B269" s="16" t="s">
        <v>228</v>
      </c>
      <c r="C269" s="16" t="s">
        <v>1469</v>
      </c>
      <c r="D269" s="16" t="s">
        <v>21</v>
      </c>
      <c r="E269" s="16" t="s">
        <v>22</v>
      </c>
      <c r="F269" s="16" t="s">
        <v>229</v>
      </c>
      <c r="G269" s="17" t="str">
        <f>Config!$B$3</f>
        <v>SCH/R_IEC.SchLib</v>
      </c>
      <c r="H269" s="16" t="s">
        <v>419</v>
      </c>
      <c r="I269" s="18" t="s">
        <v>461</v>
      </c>
      <c r="J269" s="16" t="s">
        <v>462</v>
      </c>
      <c r="K269" s="16"/>
      <c r="L269" s="16"/>
      <c r="M269" s="20">
        <v>10000</v>
      </c>
      <c r="N269" s="17" t="s">
        <v>13979</v>
      </c>
      <c r="O269" s="16" t="s">
        <v>477</v>
      </c>
      <c r="P269" s="16" t="s">
        <v>1470</v>
      </c>
      <c r="Q269" s="16" t="s">
        <v>25</v>
      </c>
      <c r="R269" s="16" t="s">
        <v>1471</v>
      </c>
      <c r="S269" s="16" t="s">
        <v>477</v>
      </c>
      <c r="T269" s="16" t="s">
        <v>230</v>
      </c>
      <c r="U269" s="16" t="s">
        <v>25</v>
      </c>
      <c r="V269" s="16" t="s">
        <v>231</v>
      </c>
      <c r="W269" s="17" t="s">
        <v>4729</v>
      </c>
      <c r="X269" s="17" t="s">
        <v>4734</v>
      </c>
      <c r="Y269" s="16" t="s">
        <v>4559</v>
      </c>
      <c r="Z269" s="17" t="s">
        <v>4735</v>
      </c>
      <c r="AA269" s="17" t="s">
        <v>4728</v>
      </c>
      <c r="AB269" s="17" t="str">
        <f t="shared" si="4"/>
        <v>GPR060310K</v>
      </c>
    </row>
    <row r="270" spans="1:28">
      <c r="A270" s="16" t="s">
        <v>232</v>
      </c>
      <c r="B270" s="16" t="s">
        <v>232</v>
      </c>
      <c r="C270" s="16" t="s">
        <v>1472</v>
      </c>
      <c r="D270" s="16" t="s">
        <v>21</v>
      </c>
      <c r="E270" s="16" t="s">
        <v>22</v>
      </c>
      <c r="F270" s="16" t="s">
        <v>233</v>
      </c>
      <c r="G270" s="17" t="str">
        <f>Config!$B$3</f>
        <v>SCH/R_IEC.SchLib</v>
      </c>
      <c r="H270" s="16" t="s">
        <v>419</v>
      </c>
      <c r="I270" s="18" t="s">
        <v>461</v>
      </c>
      <c r="J270" s="16" t="s">
        <v>462</v>
      </c>
      <c r="K270" s="16"/>
      <c r="L270" s="16"/>
      <c r="M270" s="20">
        <v>11000</v>
      </c>
      <c r="N270" s="17" t="s">
        <v>13979</v>
      </c>
      <c r="O270" s="16" t="s">
        <v>477</v>
      </c>
      <c r="P270" s="16" t="s">
        <v>1473</v>
      </c>
      <c r="Q270" s="16" t="s">
        <v>25</v>
      </c>
      <c r="R270" s="16" t="s">
        <v>1474</v>
      </c>
      <c r="S270" s="16" t="s">
        <v>477</v>
      </c>
      <c r="T270" s="16" t="s">
        <v>1475</v>
      </c>
      <c r="U270" s="16" t="s">
        <v>25</v>
      </c>
      <c r="V270" s="16" t="s">
        <v>1476</v>
      </c>
      <c r="W270" s="17"/>
      <c r="X270" s="17"/>
      <c r="Y270" s="17"/>
      <c r="Z270" s="17"/>
      <c r="AA270" s="17"/>
      <c r="AB270" s="17" t="str">
        <f t="shared" si="4"/>
        <v>GPR060311K</v>
      </c>
    </row>
    <row r="271" spans="1:28">
      <c r="A271" s="16" t="s">
        <v>234</v>
      </c>
      <c r="B271" s="16" t="s">
        <v>234</v>
      </c>
      <c r="C271" s="16" t="s">
        <v>1477</v>
      </c>
      <c r="D271" s="16" t="s">
        <v>21</v>
      </c>
      <c r="E271" s="16" t="s">
        <v>22</v>
      </c>
      <c r="F271" s="16" t="s">
        <v>235</v>
      </c>
      <c r="G271" s="17" t="str">
        <f>Config!$B$3</f>
        <v>SCH/R_IEC.SchLib</v>
      </c>
      <c r="H271" s="16" t="s">
        <v>419</v>
      </c>
      <c r="I271" s="18" t="s">
        <v>461</v>
      </c>
      <c r="J271" s="16" t="s">
        <v>462</v>
      </c>
      <c r="K271" s="16"/>
      <c r="L271" s="16"/>
      <c r="M271" s="20">
        <v>12000</v>
      </c>
      <c r="N271" s="17" t="s">
        <v>13979</v>
      </c>
      <c r="O271" s="16" t="s">
        <v>477</v>
      </c>
      <c r="P271" s="16" t="s">
        <v>236</v>
      </c>
      <c r="Q271" s="16" t="s">
        <v>25</v>
      </c>
      <c r="R271" s="16" t="s">
        <v>237</v>
      </c>
      <c r="S271" s="16" t="s">
        <v>477</v>
      </c>
      <c r="T271" s="16" t="s">
        <v>1478</v>
      </c>
      <c r="U271" s="16" t="s">
        <v>25</v>
      </c>
      <c r="V271" s="16" t="s">
        <v>1479</v>
      </c>
      <c r="W271" s="17"/>
      <c r="X271" s="17"/>
      <c r="Y271" s="17"/>
      <c r="Z271" s="17"/>
      <c r="AA271" s="17"/>
      <c r="AB271" s="17" t="str">
        <f t="shared" si="4"/>
        <v>GPR060312K</v>
      </c>
    </row>
    <row r="272" spans="1:28">
      <c r="A272" s="16" t="s">
        <v>238</v>
      </c>
      <c r="B272" s="16" t="s">
        <v>238</v>
      </c>
      <c r="C272" s="16" t="s">
        <v>1480</v>
      </c>
      <c r="D272" s="16" t="s">
        <v>21</v>
      </c>
      <c r="E272" s="16" t="s">
        <v>22</v>
      </c>
      <c r="F272" s="16" t="s">
        <v>239</v>
      </c>
      <c r="G272" s="17" t="str">
        <f>Config!$B$3</f>
        <v>SCH/R_IEC.SchLib</v>
      </c>
      <c r="H272" s="16" t="s">
        <v>419</v>
      </c>
      <c r="I272" s="18" t="s">
        <v>461</v>
      </c>
      <c r="J272" s="16" t="s">
        <v>462</v>
      </c>
      <c r="K272" s="16"/>
      <c r="L272" s="16"/>
      <c r="M272" s="20">
        <v>13000</v>
      </c>
      <c r="N272" s="17" t="s">
        <v>13979</v>
      </c>
      <c r="O272" s="16" t="s">
        <v>477</v>
      </c>
      <c r="P272" s="16" t="s">
        <v>1481</v>
      </c>
      <c r="Q272" s="16" t="s">
        <v>25</v>
      </c>
      <c r="R272" s="16" t="s">
        <v>1482</v>
      </c>
      <c r="S272" s="16" t="s">
        <v>477</v>
      </c>
      <c r="T272" s="16" t="s">
        <v>240</v>
      </c>
      <c r="U272" s="16" t="s">
        <v>25</v>
      </c>
      <c r="V272" s="16" t="s">
        <v>241</v>
      </c>
      <c r="W272" s="16" t="s">
        <v>4729</v>
      </c>
      <c r="X272" s="17" t="s">
        <v>4780</v>
      </c>
      <c r="Y272" s="16" t="s">
        <v>4559</v>
      </c>
      <c r="Z272" s="16" t="s">
        <v>4781</v>
      </c>
      <c r="AA272" s="16" t="s">
        <v>4728</v>
      </c>
      <c r="AB272" s="17" t="str">
        <f t="shared" si="4"/>
        <v>GPR060313K</v>
      </c>
    </row>
    <row r="273" spans="1:28">
      <c r="A273" s="16" t="s">
        <v>242</v>
      </c>
      <c r="B273" s="16" t="s">
        <v>242</v>
      </c>
      <c r="C273" s="16" t="s">
        <v>1483</v>
      </c>
      <c r="D273" s="16" t="s">
        <v>21</v>
      </c>
      <c r="E273" s="16" t="s">
        <v>22</v>
      </c>
      <c r="F273" s="16" t="s">
        <v>243</v>
      </c>
      <c r="G273" s="17" t="str">
        <f>Config!$B$3</f>
        <v>SCH/R_IEC.SchLib</v>
      </c>
      <c r="H273" s="16" t="s">
        <v>419</v>
      </c>
      <c r="I273" s="18" t="s">
        <v>461</v>
      </c>
      <c r="J273" s="16" t="s">
        <v>462</v>
      </c>
      <c r="K273" s="16"/>
      <c r="L273" s="16"/>
      <c r="M273" s="20">
        <v>15000</v>
      </c>
      <c r="N273" s="17" t="s">
        <v>13979</v>
      </c>
      <c r="O273" s="16" t="s">
        <v>477</v>
      </c>
      <c r="P273" s="16" t="s">
        <v>244</v>
      </c>
      <c r="Q273" s="16" t="s">
        <v>25</v>
      </c>
      <c r="R273" s="16" t="s">
        <v>245</v>
      </c>
      <c r="S273" s="16" t="s">
        <v>477</v>
      </c>
      <c r="T273" s="16" t="s">
        <v>1484</v>
      </c>
      <c r="U273" s="16" t="s">
        <v>25</v>
      </c>
      <c r="V273" s="16" t="s">
        <v>1485</v>
      </c>
      <c r="W273" s="45" t="s">
        <v>4729</v>
      </c>
      <c r="X273" s="44" t="s">
        <v>13588</v>
      </c>
      <c r="Y273" s="16" t="s">
        <v>4559</v>
      </c>
      <c r="Z273" s="44" t="s">
        <v>13587</v>
      </c>
      <c r="AA273" s="16" t="s">
        <v>4728</v>
      </c>
      <c r="AB273" s="17" t="str">
        <f t="shared" si="4"/>
        <v>GPR060315K</v>
      </c>
    </row>
    <row r="274" spans="1:28">
      <c r="A274" s="16" t="s">
        <v>246</v>
      </c>
      <c r="B274" s="16" t="s">
        <v>246</v>
      </c>
      <c r="C274" s="16" t="s">
        <v>1486</v>
      </c>
      <c r="D274" s="16" t="s">
        <v>21</v>
      </c>
      <c r="E274" s="16" t="s">
        <v>22</v>
      </c>
      <c r="F274" s="16" t="s">
        <v>247</v>
      </c>
      <c r="G274" s="17" t="str">
        <f>Config!$B$3</f>
        <v>SCH/R_IEC.SchLib</v>
      </c>
      <c r="H274" s="16" t="s">
        <v>419</v>
      </c>
      <c r="I274" s="18" t="s">
        <v>461</v>
      </c>
      <c r="J274" s="16" t="s">
        <v>462</v>
      </c>
      <c r="K274" s="16"/>
      <c r="L274" s="16"/>
      <c r="M274" s="20">
        <v>16000</v>
      </c>
      <c r="N274" s="17" t="s">
        <v>13979</v>
      </c>
      <c r="O274" s="16" t="s">
        <v>477</v>
      </c>
      <c r="P274" s="16" t="s">
        <v>1487</v>
      </c>
      <c r="Q274" s="16" t="s">
        <v>25</v>
      </c>
      <c r="R274" s="16" t="s">
        <v>1488</v>
      </c>
      <c r="S274" s="16" t="s">
        <v>477</v>
      </c>
      <c r="T274" s="16" t="s">
        <v>248</v>
      </c>
      <c r="U274" s="16" t="s">
        <v>25</v>
      </c>
      <c r="V274" s="16" t="s">
        <v>249</v>
      </c>
      <c r="W274" s="17" t="s">
        <v>477</v>
      </c>
      <c r="X274" s="17" t="s">
        <v>16754</v>
      </c>
      <c r="Y274" s="16" t="s">
        <v>4559</v>
      </c>
      <c r="Z274" s="17" t="s">
        <v>16755</v>
      </c>
      <c r="AA274" t="s">
        <v>4727</v>
      </c>
      <c r="AB274" s="17" t="str">
        <f t="shared" si="4"/>
        <v>GPR060316K</v>
      </c>
    </row>
    <row r="275" spans="1:28">
      <c r="A275" s="16" t="s">
        <v>250</v>
      </c>
      <c r="B275" s="16" t="s">
        <v>250</v>
      </c>
      <c r="C275" s="16" t="s">
        <v>1489</v>
      </c>
      <c r="D275" s="16" t="s">
        <v>21</v>
      </c>
      <c r="E275" s="16" t="s">
        <v>22</v>
      </c>
      <c r="F275" s="16" t="s">
        <v>251</v>
      </c>
      <c r="G275" s="17" t="str">
        <f>Config!$B$3</f>
        <v>SCH/R_IEC.SchLib</v>
      </c>
      <c r="H275" s="16" t="s">
        <v>419</v>
      </c>
      <c r="I275" s="18" t="s">
        <v>461</v>
      </c>
      <c r="J275" s="16" t="s">
        <v>462</v>
      </c>
      <c r="K275" s="16"/>
      <c r="L275" s="16"/>
      <c r="M275" s="20">
        <v>18000</v>
      </c>
      <c r="N275" s="17" t="s">
        <v>13979</v>
      </c>
      <c r="O275" s="16" t="s">
        <v>477</v>
      </c>
      <c r="P275" s="16" t="s">
        <v>252</v>
      </c>
      <c r="Q275" s="16" t="s">
        <v>25</v>
      </c>
      <c r="R275" s="16" t="s">
        <v>253</v>
      </c>
      <c r="S275" s="16" t="s">
        <v>477</v>
      </c>
      <c r="T275" s="16" t="s">
        <v>1490</v>
      </c>
      <c r="U275" s="16" t="s">
        <v>25</v>
      </c>
      <c r="V275" s="16" t="s">
        <v>1491</v>
      </c>
      <c r="W275" s="17" t="s">
        <v>14467</v>
      </c>
      <c r="X275" s="17" t="s">
        <v>16752</v>
      </c>
      <c r="Y275" s="16" t="s">
        <v>4559</v>
      </c>
      <c r="Z275" s="17" t="s">
        <v>16753</v>
      </c>
      <c r="AA275" t="s">
        <v>4728</v>
      </c>
      <c r="AB275" s="17" t="str">
        <f t="shared" si="4"/>
        <v>GPR060318K</v>
      </c>
    </row>
    <row r="276" spans="1:28" ht="15.75">
      <c r="A276" s="16" t="s">
        <v>254</v>
      </c>
      <c r="B276" s="16" t="s">
        <v>254</v>
      </c>
      <c r="C276" s="16" t="s">
        <v>1492</v>
      </c>
      <c r="D276" s="16" t="s">
        <v>21</v>
      </c>
      <c r="E276" s="16" t="s">
        <v>22</v>
      </c>
      <c r="F276" s="16" t="s">
        <v>255</v>
      </c>
      <c r="G276" s="17" t="str">
        <f>Config!$B$3</f>
        <v>SCH/R_IEC.SchLib</v>
      </c>
      <c r="H276" s="16" t="s">
        <v>419</v>
      </c>
      <c r="I276" s="18" t="s">
        <v>461</v>
      </c>
      <c r="J276" s="16" t="s">
        <v>462</v>
      </c>
      <c r="K276" s="16"/>
      <c r="L276" s="16"/>
      <c r="M276" s="20">
        <v>20000</v>
      </c>
      <c r="N276" s="17" t="s">
        <v>13979</v>
      </c>
      <c r="O276" s="16" t="s">
        <v>477</v>
      </c>
      <c r="P276" s="16" t="s">
        <v>1493</v>
      </c>
      <c r="Q276" s="16" t="s">
        <v>25</v>
      </c>
      <c r="R276" s="16" t="s">
        <v>1494</v>
      </c>
      <c r="S276" s="16" t="s">
        <v>477</v>
      </c>
      <c r="T276" s="16" t="s">
        <v>1495</v>
      </c>
      <c r="U276" s="16" t="s">
        <v>25</v>
      </c>
      <c r="V276" s="16" t="s">
        <v>1496</v>
      </c>
      <c r="W276" s="42" t="s">
        <v>4729</v>
      </c>
      <c r="X276" s="42" t="s">
        <v>13512</v>
      </c>
      <c r="Y276" s="16" t="s">
        <v>4559</v>
      </c>
      <c r="Z276" s="8" t="s">
        <v>13511</v>
      </c>
      <c r="AA276" s="17" t="s">
        <v>4728</v>
      </c>
      <c r="AB276" s="17" t="str">
        <f t="shared" si="4"/>
        <v>GPR060320K</v>
      </c>
    </row>
    <row r="277" spans="1:28">
      <c r="A277" s="16" t="s">
        <v>256</v>
      </c>
      <c r="B277" s="16" t="s">
        <v>256</v>
      </c>
      <c r="C277" s="16" t="s">
        <v>1497</v>
      </c>
      <c r="D277" s="16" t="s">
        <v>21</v>
      </c>
      <c r="E277" s="16" t="s">
        <v>22</v>
      </c>
      <c r="F277" s="16" t="s">
        <v>257</v>
      </c>
      <c r="G277" s="17" t="str">
        <f>Config!$B$3</f>
        <v>SCH/R_IEC.SchLib</v>
      </c>
      <c r="H277" s="16" t="s">
        <v>419</v>
      </c>
      <c r="I277" s="18" t="s">
        <v>461</v>
      </c>
      <c r="J277" s="16" t="s">
        <v>462</v>
      </c>
      <c r="K277" s="16"/>
      <c r="L277" s="16"/>
      <c r="M277" s="20">
        <v>22000</v>
      </c>
      <c r="N277" s="17" t="s">
        <v>13979</v>
      </c>
      <c r="O277" s="16" t="s">
        <v>477</v>
      </c>
      <c r="P277" s="16" t="s">
        <v>1498</v>
      </c>
      <c r="Q277" s="16" t="s">
        <v>25</v>
      </c>
      <c r="R277" s="16" t="s">
        <v>1499</v>
      </c>
      <c r="S277" s="16" t="s">
        <v>477</v>
      </c>
      <c r="T277" s="16" t="s">
        <v>1500</v>
      </c>
      <c r="U277" s="16" t="s">
        <v>25</v>
      </c>
      <c r="V277" s="16" t="s">
        <v>1501</v>
      </c>
      <c r="W277" s="16" t="s">
        <v>4729</v>
      </c>
      <c r="X277" s="17" t="s">
        <v>4782</v>
      </c>
      <c r="Y277" s="16" t="s">
        <v>4559</v>
      </c>
      <c r="Z277" s="16" t="s">
        <v>4783</v>
      </c>
      <c r="AA277" s="16" t="s">
        <v>4728</v>
      </c>
      <c r="AB277" s="17" t="str">
        <f t="shared" si="4"/>
        <v>GPR060322K</v>
      </c>
    </row>
    <row r="278" spans="1:28">
      <c r="A278" s="16" t="s">
        <v>258</v>
      </c>
      <c r="B278" s="16" t="s">
        <v>258</v>
      </c>
      <c r="C278" s="16" t="s">
        <v>1502</v>
      </c>
      <c r="D278" s="16" t="s">
        <v>21</v>
      </c>
      <c r="E278" s="16" t="s">
        <v>22</v>
      </c>
      <c r="F278" s="16" t="s">
        <v>259</v>
      </c>
      <c r="G278" s="17" t="str">
        <f>Config!$B$3</f>
        <v>SCH/R_IEC.SchLib</v>
      </c>
      <c r="H278" s="16" t="s">
        <v>419</v>
      </c>
      <c r="I278" s="18" t="s">
        <v>461</v>
      </c>
      <c r="J278" s="16" t="s">
        <v>462</v>
      </c>
      <c r="K278" s="16"/>
      <c r="L278" s="16"/>
      <c r="M278" s="20">
        <v>24000</v>
      </c>
      <c r="N278" s="17" t="s">
        <v>13979</v>
      </c>
      <c r="O278" s="16" t="s">
        <v>477</v>
      </c>
      <c r="P278" s="16" t="s">
        <v>1503</v>
      </c>
      <c r="Q278" s="16" t="s">
        <v>25</v>
      </c>
      <c r="R278" s="16" t="s">
        <v>1504</v>
      </c>
      <c r="S278" s="16" t="s">
        <v>477</v>
      </c>
      <c r="T278" s="16" t="s">
        <v>260</v>
      </c>
      <c r="U278" s="16" t="s">
        <v>25</v>
      </c>
      <c r="V278" s="16" t="s">
        <v>261</v>
      </c>
      <c r="W278" s="17"/>
      <c r="X278" s="17"/>
      <c r="Y278" s="17"/>
      <c r="Z278" s="17"/>
      <c r="AA278" s="17"/>
      <c r="AB278" s="17" t="str">
        <f t="shared" si="4"/>
        <v>GPR060324K</v>
      </c>
    </row>
    <row r="279" spans="1:28" ht="15.75">
      <c r="A279" s="16" t="s">
        <v>262</v>
      </c>
      <c r="B279" s="16" t="s">
        <v>262</v>
      </c>
      <c r="C279" s="16" t="s">
        <v>1505</v>
      </c>
      <c r="D279" s="16" t="s">
        <v>21</v>
      </c>
      <c r="E279" s="16" t="s">
        <v>22</v>
      </c>
      <c r="F279" s="16" t="s">
        <v>263</v>
      </c>
      <c r="G279" s="17" t="str">
        <f>Config!$B$3</f>
        <v>SCH/R_IEC.SchLib</v>
      </c>
      <c r="H279" s="16" t="s">
        <v>419</v>
      </c>
      <c r="I279" s="18" t="s">
        <v>461</v>
      </c>
      <c r="J279" s="16" t="s">
        <v>462</v>
      </c>
      <c r="K279" s="16"/>
      <c r="L279" s="16"/>
      <c r="M279" s="20">
        <v>27000</v>
      </c>
      <c r="N279" s="17" t="s">
        <v>13979</v>
      </c>
      <c r="O279" s="16" t="s">
        <v>477</v>
      </c>
      <c r="P279" s="16" t="s">
        <v>1506</v>
      </c>
      <c r="Q279" s="16" t="s">
        <v>25</v>
      </c>
      <c r="R279" s="16" t="s">
        <v>1507</v>
      </c>
      <c r="S279" s="16" t="s">
        <v>477</v>
      </c>
      <c r="T279" s="16" t="s">
        <v>1508</v>
      </c>
      <c r="U279" s="16" t="s">
        <v>25</v>
      </c>
      <c r="V279" s="16" t="s">
        <v>1509</v>
      </c>
      <c r="W279" s="42" t="s">
        <v>4729</v>
      </c>
      <c r="X279" s="8" t="s">
        <v>13518</v>
      </c>
      <c r="Y279" s="16" t="s">
        <v>4559</v>
      </c>
      <c r="Z279" s="8" t="s">
        <v>13517</v>
      </c>
      <c r="AA279" s="16" t="s">
        <v>4728</v>
      </c>
      <c r="AB279" s="17" t="str">
        <f t="shared" si="4"/>
        <v>GPR060327K</v>
      </c>
    </row>
    <row r="280" spans="1:28" ht="15.75">
      <c r="A280" s="16" t="s">
        <v>264</v>
      </c>
      <c r="B280" s="16" t="s">
        <v>264</v>
      </c>
      <c r="C280" s="16" t="s">
        <v>1510</v>
      </c>
      <c r="D280" s="16" t="s">
        <v>21</v>
      </c>
      <c r="E280" s="16" t="s">
        <v>22</v>
      </c>
      <c r="F280" s="16" t="s">
        <v>265</v>
      </c>
      <c r="G280" s="17" t="str">
        <f>Config!$B$3</f>
        <v>SCH/R_IEC.SchLib</v>
      </c>
      <c r="H280" s="16" t="s">
        <v>419</v>
      </c>
      <c r="I280" s="18" t="s">
        <v>461</v>
      </c>
      <c r="J280" s="16" t="s">
        <v>462</v>
      </c>
      <c r="K280" s="16"/>
      <c r="L280" s="16"/>
      <c r="M280" s="20">
        <v>30000</v>
      </c>
      <c r="N280" s="17" t="s">
        <v>13979</v>
      </c>
      <c r="O280" s="16" t="s">
        <v>477</v>
      </c>
      <c r="P280" s="16" t="s">
        <v>1511</v>
      </c>
      <c r="Q280" s="16" t="s">
        <v>25</v>
      </c>
      <c r="R280" s="16" t="s">
        <v>1512</v>
      </c>
      <c r="S280" s="16" t="s">
        <v>477</v>
      </c>
      <c r="T280" s="16" t="s">
        <v>1513</v>
      </c>
      <c r="U280" s="16" t="s">
        <v>25</v>
      </c>
      <c r="V280" s="16" t="s">
        <v>1514</v>
      </c>
      <c r="W280" s="42" t="s">
        <v>4729</v>
      </c>
      <c r="X280" s="8" t="s">
        <v>13510</v>
      </c>
      <c r="Y280" s="16" t="s">
        <v>4559</v>
      </c>
      <c r="Z280" s="8" t="s">
        <v>13509</v>
      </c>
      <c r="AA280" s="17" t="s">
        <v>4728</v>
      </c>
      <c r="AB280" s="17" t="str">
        <f t="shared" si="4"/>
        <v>GPR060330K</v>
      </c>
    </row>
    <row r="281" spans="1:28">
      <c r="A281" s="16" t="s">
        <v>266</v>
      </c>
      <c r="B281" s="16" t="s">
        <v>266</v>
      </c>
      <c r="C281" s="16" t="s">
        <v>1515</v>
      </c>
      <c r="D281" s="16" t="s">
        <v>21</v>
      </c>
      <c r="E281" s="16" t="s">
        <v>22</v>
      </c>
      <c r="F281" s="16" t="s">
        <v>267</v>
      </c>
      <c r="G281" s="17" t="str">
        <f>Config!$B$3</f>
        <v>SCH/R_IEC.SchLib</v>
      </c>
      <c r="H281" s="16" t="s">
        <v>419</v>
      </c>
      <c r="I281" s="18" t="s">
        <v>461</v>
      </c>
      <c r="J281" s="16" t="s">
        <v>462</v>
      </c>
      <c r="K281" s="16"/>
      <c r="L281" s="16"/>
      <c r="M281" s="20">
        <v>33000</v>
      </c>
      <c r="N281" s="17" t="s">
        <v>13979</v>
      </c>
      <c r="O281" s="16" t="s">
        <v>477</v>
      </c>
      <c r="P281" s="16" t="s">
        <v>1516</v>
      </c>
      <c r="Q281" s="16" t="s">
        <v>25</v>
      </c>
      <c r="R281" s="16" t="s">
        <v>1517</v>
      </c>
      <c r="S281" s="16" t="s">
        <v>477</v>
      </c>
      <c r="T281" s="16" t="s">
        <v>1518</v>
      </c>
      <c r="U281" s="16" t="s">
        <v>25</v>
      </c>
      <c r="V281" s="16" t="s">
        <v>1519</v>
      </c>
      <c r="W281" s="17"/>
      <c r="X281" s="17"/>
      <c r="Y281" s="17"/>
      <c r="Z281" s="17"/>
      <c r="AA281" s="17"/>
      <c r="AB281" s="17" t="str">
        <f t="shared" si="4"/>
        <v>GPR060333K</v>
      </c>
    </row>
    <row r="282" spans="1:28">
      <c r="A282" s="16" t="s">
        <v>268</v>
      </c>
      <c r="B282" s="16" t="s">
        <v>268</v>
      </c>
      <c r="C282" s="16" t="s">
        <v>1520</v>
      </c>
      <c r="D282" s="16" t="s">
        <v>21</v>
      </c>
      <c r="E282" s="16" t="s">
        <v>22</v>
      </c>
      <c r="F282" s="16" t="s">
        <v>269</v>
      </c>
      <c r="G282" s="17" t="str">
        <f>Config!$B$3</f>
        <v>SCH/R_IEC.SchLib</v>
      </c>
      <c r="H282" s="16" t="s">
        <v>419</v>
      </c>
      <c r="I282" s="18" t="s">
        <v>461</v>
      </c>
      <c r="J282" s="16" t="s">
        <v>462</v>
      </c>
      <c r="K282" s="16"/>
      <c r="L282" s="16"/>
      <c r="M282" s="20">
        <v>36000</v>
      </c>
      <c r="N282" s="17" t="s">
        <v>13979</v>
      </c>
      <c r="O282" s="16" t="s">
        <v>477</v>
      </c>
      <c r="P282" s="16" t="s">
        <v>1521</v>
      </c>
      <c r="Q282" s="16" t="s">
        <v>25</v>
      </c>
      <c r="R282" s="16" t="s">
        <v>1522</v>
      </c>
      <c r="S282" s="16" t="s">
        <v>477</v>
      </c>
      <c r="T282" s="16" t="s">
        <v>270</v>
      </c>
      <c r="U282" s="16" t="s">
        <v>25</v>
      </c>
      <c r="V282" s="16" t="s">
        <v>271</v>
      </c>
      <c r="W282" s="17"/>
      <c r="X282" s="17"/>
      <c r="Y282" s="17"/>
      <c r="Z282" s="17"/>
      <c r="AA282" s="17"/>
      <c r="AB282" s="17" t="str">
        <f t="shared" si="4"/>
        <v>GPR060336K</v>
      </c>
    </row>
    <row r="283" spans="1:28">
      <c r="A283" s="16" t="s">
        <v>272</v>
      </c>
      <c r="B283" s="16" t="s">
        <v>272</v>
      </c>
      <c r="C283" s="16" t="s">
        <v>1523</v>
      </c>
      <c r="D283" s="16" t="s">
        <v>21</v>
      </c>
      <c r="E283" s="16" t="s">
        <v>22</v>
      </c>
      <c r="F283" s="16" t="s">
        <v>273</v>
      </c>
      <c r="G283" s="17" t="str">
        <f>Config!$B$3</f>
        <v>SCH/R_IEC.SchLib</v>
      </c>
      <c r="H283" s="16" t="s">
        <v>419</v>
      </c>
      <c r="I283" s="18" t="s">
        <v>461</v>
      </c>
      <c r="J283" s="16" t="s">
        <v>462</v>
      </c>
      <c r="K283" s="16"/>
      <c r="L283" s="16"/>
      <c r="M283" s="20">
        <v>39000</v>
      </c>
      <c r="N283" s="17" t="s">
        <v>13979</v>
      </c>
      <c r="O283" s="16" t="s">
        <v>477</v>
      </c>
      <c r="P283" s="16" t="s">
        <v>274</v>
      </c>
      <c r="Q283" s="16" t="s">
        <v>25</v>
      </c>
      <c r="R283" s="16" t="s">
        <v>275</v>
      </c>
      <c r="S283" s="16" t="s">
        <v>477</v>
      </c>
      <c r="T283" s="16" t="s">
        <v>1524</v>
      </c>
      <c r="U283" s="16" t="s">
        <v>25</v>
      </c>
      <c r="V283" s="16" t="s">
        <v>1525</v>
      </c>
      <c r="W283" s="17"/>
      <c r="X283" s="17"/>
      <c r="Y283" s="17"/>
      <c r="Z283" s="17"/>
      <c r="AA283" s="17"/>
      <c r="AB283" s="17" t="str">
        <f t="shared" si="4"/>
        <v>GPR060339K</v>
      </c>
    </row>
    <row r="284" spans="1:28">
      <c r="A284" s="16" t="s">
        <v>276</v>
      </c>
      <c r="B284" s="16" t="s">
        <v>276</v>
      </c>
      <c r="C284" s="16" t="s">
        <v>1526</v>
      </c>
      <c r="D284" s="16" t="s">
        <v>21</v>
      </c>
      <c r="E284" s="16" t="s">
        <v>22</v>
      </c>
      <c r="F284" s="16" t="s">
        <v>277</v>
      </c>
      <c r="G284" s="17" t="str">
        <f>Config!$B$3</f>
        <v>SCH/R_IEC.SchLib</v>
      </c>
      <c r="H284" s="16" t="s">
        <v>419</v>
      </c>
      <c r="I284" s="18" t="s">
        <v>461</v>
      </c>
      <c r="J284" s="16" t="s">
        <v>462</v>
      </c>
      <c r="K284" s="16"/>
      <c r="L284" s="16"/>
      <c r="M284" s="20">
        <v>43000</v>
      </c>
      <c r="N284" s="17" t="s">
        <v>13979</v>
      </c>
      <c r="O284" s="16" t="s">
        <v>477</v>
      </c>
      <c r="P284" s="16" t="s">
        <v>1527</v>
      </c>
      <c r="Q284" s="16" t="s">
        <v>25</v>
      </c>
      <c r="R284" s="16" t="s">
        <v>1528</v>
      </c>
      <c r="S284" s="16" t="s">
        <v>477</v>
      </c>
      <c r="T284" s="16" t="s">
        <v>1529</v>
      </c>
      <c r="U284" s="16" t="s">
        <v>25</v>
      </c>
      <c r="V284" s="16" t="s">
        <v>1530</v>
      </c>
      <c r="W284" s="17" t="s">
        <v>477</v>
      </c>
      <c r="X284" s="17" t="s">
        <v>16756</v>
      </c>
      <c r="Y284" s="16" t="s">
        <v>4559</v>
      </c>
      <c r="Z284" s="17" t="s">
        <v>16757</v>
      </c>
      <c r="AA284" t="s">
        <v>4727</v>
      </c>
      <c r="AB284" s="17" t="str">
        <f t="shared" si="4"/>
        <v>GPR060343K</v>
      </c>
    </row>
    <row r="285" spans="1:28">
      <c r="A285" s="16" t="s">
        <v>278</v>
      </c>
      <c r="B285" s="16" t="s">
        <v>278</v>
      </c>
      <c r="C285" s="16" t="s">
        <v>1531</v>
      </c>
      <c r="D285" s="16" t="s">
        <v>21</v>
      </c>
      <c r="E285" s="16" t="s">
        <v>22</v>
      </c>
      <c r="F285" s="16" t="s">
        <v>279</v>
      </c>
      <c r="G285" s="17" t="str">
        <f>Config!$B$3</f>
        <v>SCH/R_IEC.SchLib</v>
      </c>
      <c r="H285" s="16" t="s">
        <v>419</v>
      </c>
      <c r="I285" s="18" t="s">
        <v>461</v>
      </c>
      <c r="J285" s="16" t="s">
        <v>462</v>
      </c>
      <c r="K285" s="16"/>
      <c r="L285" s="16"/>
      <c r="M285" s="20">
        <v>47000</v>
      </c>
      <c r="N285" s="17" t="s">
        <v>13979</v>
      </c>
      <c r="O285" s="16" t="s">
        <v>477</v>
      </c>
      <c r="P285" s="16" t="s">
        <v>280</v>
      </c>
      <c r="Q285" s="16" t="s">
        <v>25</v>
      </c>
      <c r="R285" s="16" t="s">
        <v>281</v>
      </c>
      <c r="S285" s="16" t="s">
        <v>477</v>
      </c>
      <c r="T285" s="16" t="s">
        <v>1532</v>
      </c>
      <c r="U285" s="16" t="s">
        <v>25</v>
      </c>
      <c r="V285" s="16" t="s">
        <v>1533</v>
      </c>
      <c r="W285" s="16" t="s">
        <v>4729</v>
      </c>
      <c r="X285" s="17" t="s">
        <v>4758</v>
      </c>
      <c r="Y285" s="16" t="s">
        <v>4559</v>
      </c>
      <c r="Z285" s="17" t="s">
        <v>4759</v>
      </c>
      <c r="AA285" s="16" t="s">
        <v>4728</v>
      </c>
      <c r="AB285" s="17" t="str">
        <f t="shared" si="4"/>
        <v>GPR060347K</v>
      </c>
    </row>
    <row r="286" spans="1:28">
      <c r="A286" s="16" t="s">
        <v>282</v>
      </c>
      <c r="B286" s="16" t="s">
        <v>282</v>
      </c>
      <c r="C286" s="16" t="s">
        <v>1534</v>
      </c>
      <c r="D286" s="16" t="s">
        <v>21</v>
      </c>
      <c r="E286" s="16" t="s">
        <v>22</v>
      </c>
      <c r="F286" s="16" t="s">
        <v>283</v>
      </c>
      <c r="G286" s="17" t="str">
        <f>Config!$B$3</f>
        <v>SCH/R_IEC.SchLib</v>
      </c>
      <c r="H286" s="16" t="s">
        <v>419</v>
      </c>
      <c r="I286" s="18" t="s">
        <v>461</v>
      </c>
      <c r="J286" s="16" t="s">
        <v>462</v>
      </c>
      <c r="K286" s="16"/>
      <c r="L286" s="16"/>
      <c r="M286" s="20">
        <v>51000</v>
      </c>
      <c r="N286" s="17" t="s">
        <v>13979</v>
      </c>
      <c r="O286" s="16" t="s">
        <v>477</v>
      </c>
      <c r="P286" s="16" t="s">
        <v>284</v>
      </c>
      <c r="Q286" s="16" t="s">
        <v>25</v>
      </c>
      <c r="R286" s="16" t="s">
        <v>285</v>
      </c>
      <c r="S286" s="16" t="s">
        <v>477</v>
      </c>
      <c r="T286" s="16" t="s">
        <v>1535</v>
      </c>
      <c r="U286" s="16" t="s">
        <v>25</v>
      </c>
      <c r="V286" s="16" t="s">
        <v>1536</v>
      </c>
      <c r="W286" s="16"/>
      <c r="X286" s="17"/>
      <c r="Y286" s="16" t="s">
        <v>4559</v>
      </c>
      <c r="Z286" s="25" t="s">
        <v>6380</v>
      </c>
      <c r="AA286" s="16" t="s">
        <v>4728</v>
      </c>
      <c r="AB286" s="17" t="str">
        <f t="shared" si="4"/>
        <v>GPR060351K</v>
      </c>
    </row>
    <row r="287" spans="1:28">
      <c r="A287" s="16" t="s">
        <v>286</v>
      </c>
      <c r="B287" s="16" t="s">
        <v>286</v>
      </c>
      <c r="C287" s="16" t="s">
        <v>1537</v>
      </c>
      <c r="D287" s="16" t="s">
        <v>21</v>
      </c>
      <c r="E287" s="16" t="s">
        <v>22</v>
      </c>
      <c r="F287" s="16" t="s">
        <v>287</v>
      </c>
      <c r="G287" s="17" t="str">
        <f>Config!$B$3</f>
        <v>SCH/R_IEC.SchLib</v>
      </c>
      <c r="H287" s="16" t="s">
        <v>419</v>
      </c>
      <c r="I287" s="18" t="s">
        <v>461</v>
      </c>
      <c r="J287" s="16" t="s">
        <v>462</v>
      </c>
      <c r="K287" s="16"/>
      <c r="L287" s="16"/>
      <c r="M287" s="20">
        <v>56000</v>
      </c>
      <c r="N287" s="17" t="s">
        <v>13979</v>
      </c>
      <c r="O287" s="16" t="s">
        <v>477</v>
      </c>
      <c r="P287" s="16" t="s">
        <v>288</v>
      </c>
      <c r="Q287" s="16" t="s">
        <v>25</v>
      </c>
      <c r="R287" s="16" t="s">
        <v>289</v>
      </c>
      <c r="S287" s="16" t="s">
        <v>477</v>
      </c>
      <c r="T287" s="16" t="s">
        <v>1538</v>
      </c>
      <c r="U287" s="16" t="s">
        <v>25</v>
      </c>
      <c r="V287" s="16" t="s">
        <v>1539</v>
      </c>
      <c r="W287" s="17"/>
      <c r="X287" s="17"/>
      <c r="Y287" s="17"/>
      <c r="Z287" s="17"/>
      <c r="AA287" s="17"/>
      <c r="AB287" s="17" t="str">
        <f t="shared" si="4"/>
        <v>GPR060356K</v>
      </c>
    </row>
    <row r="288" spans="1:28" ht="15.75">
      <c r="A288" s="16" t="s">
        <v>290</v>
      </c>
      <c r="B288" s="16" t="s">
        <v>290</v>
      </c>
      <c r="C288" s="16" t="s">
        <v>1540</v>
      </c>
      <c r="D288" s="16" t="s">
        <v>21</v>
      </c>
      <c r="E288" s="16" t="s">
        <v>22</v>
      </c>
      <c r="F288" s="16" t="s">
        <v>291</v>
      </c>
      <c r="G288" s="17" t="str">
        <f>Config!$B$3</f>
        <v>SCH/R_IEC.SchLib</v>
      </c>
      <c r="H288" s="16" t="s">
        <v>419</v>
      </c>
      <c r="I288" s="18" t="s">
        <v>461</v>
      </c>
      <c r="J288" s="16" t="s">
        <v>462</v>
      </c>
      <c r="K288" s="16"/>
      <c r="L288" s="16"/>
      <c r="M288" s="20">
        <v>62000</v>
      </c>
      <c r="N288" s="17" t="s">
        <v>13979</v>
      </c>
      <c r="O288" s="16" t="s">
        <v>477</v>
      </c>
      <c r="P288" s="16" t="s">
        <v>1541</v>
      </c>
      <c r="Q288" s="16" t="s">
        <v>25</v>
      </c>
      <c r="R288" s="16" t="s">
        <v>1542</v>
      </c>
      <c r="S288" s="16" t="s">
        <v>477</v>
      </c>
      <c r="T288" s="16" t="s">
        <v>292</v>
      </c>
      <c r="U288" s="16" t="s">
        <v>25</v>
      </c>
      <c r="V288" s="16" t="s">
        <v>293</v>
      </c>
      <c r="W288" s="42" t="s">
        <v>4729</v>
      </c>
      <c r="X288" s="42" t="s">
        <v>13513</v>
      </c>
      <c r="Y288" s="16" t="s">
        <v>4559</v>
      </c>
      <c r="Z288" s="8" t="s">
        <v>13514</v>
      </c>
      <c r="AA288" s="17" t="s">
        <v>4727</v>
      </c>
      <c r="AB288" s="17" t="str">
        <f t="shared" si="4"/>
        <v>GPR060362K</v>
      </c>
    </row>
    <row r="289" spans="1:28">
      <c r="A289" s="16" t="s">
        <v>294</v>
      </c>
      <c r="B289" s="16" t="s">
        <v>294</v>
      </c>
      <c r="C289" s="16" t="s">
        <v>1543</v>
      </c>
      <c r="D289" s="16" t="s">
        <v>21</v>
      </c>
      <c r="E289" s="16" t="s">
        <v>22</v>
      </c>
      <c r="F289" s="16" t="s">
        <v>295</v>
      </c>
      <c r="G289" s="17" t="str">
        <f>Config!$B$3</f>
        <v>SCH/R_IEC.SchLib</v>
      </c>
      <c r="H289" s="16" t="s">
        <v>419</v>
      </c>
      <c r="I289" s="18" t="s">
        <v>461</v>
      </c>
      <c r="J289" s="16" t="s">
        <v>462</v>
      </c>
      <c r="K289" s="16"/>
      <c r="L289" s="16"/>
      <c r="M289" s="20">
        <v>68000</v>
      </c>
      <c r="N289" s="17" t="s">
        <v>13979</v>
      </c>
      <c r="O289" s="16" t="s">
        <v>477</v>
      </c>
      <c r="P289" s="16" t="s">
        <v>1544</v>
      </c>
      <c r="Q289" s="16" t="s">
        <v>25</v>
      </c>
      <c r="R289" s="16" t="s">
        <v>1545</v>
      </c>
      <c r="S289" s="16" t="s">
        <v>477</v>
      </c>
      <c r="T289" s="16" t="s">
        <v>296</v>
      </c>
      <c r="U289" s="16" t="s">
        <v>25</v>
      </c>
      <c r="V289" s="16" t="s">
        <v>297</v>
      </c>
      <c r="W289" s="16" t="s">
        <v>477</v>
      </c>
      <c r="X289" t="s">
        <v>6593</v>
      </c>
      <c r="Y289" s="16" t="s">
        <v>4559</v>
      </c>
      <c r="Z289" t="s">
        <v>6594</v>
      </c>
      <c r="AA289" s="16" t="s">
        <v>4728</v>
      </c>
      <c r="AB289" s="17" t="str">
        <f t="shared" si="4"/>
        <v>GPR060368K</v>
      </c>
    </row>
    <row r="290" spans="1:28">
      <c r="A290" s="16" t="s">
        <v>298</v>
      </c>
      <c r="B290" s="16" t="s">
        <v>298</v>
      </c>
      <c r="C290" s="16" t="s">
        <v>1546</v>
      </c>
      <c r="D290" s="16" t="s">
        <v>21</v>
      </c>
      <c r="E290" s="16" t="s">
        <v>22</v>
      </c>
      <c r="F290" s="16" t="s">
        <v>299</v>
      </c>
      <c r="G290" s="17" t="str">
        <f>Config!$B$3</f>
        <v>SCH/R_IEC.SchLib</v>
      </c>
      <c r="H290" s="16" t="s">
        <v>419</v>
      </c>
      <c r="I290" s="18" t="s">
        <v>461</v>
      </c>
      <c r="J290" s="16" t="s">
        <v>462</v>
      </c>
      <c r="K290" s="16"/>
      <c r="L290" s="16"/>
      <c r="M290" s="20">
        <v>75000</v>
      </c>
      <c r="N290" s="17" t="s">
        <v>13979</v>
      </c>
      <c r="O290" s="16" t="s">
        <v>477</v>
      </c>
      <c r="P290" s="16" t="s">
        <v>1547</v>
      </c>
      <c r="Q290" s="16" t="s">
        <v>25</v>
      </c>
      <c r="R290" s="16" t="s">
        <v>1548</v>
      </c>
      <c r="S290" s="16" t="s">
        <v>477</v>
      </c>
      <c r="T290" s="16" t="s">
        <v>1549</v>
      </c>
      <c r="U290" s="16" t="s">
        <v>25</v>
      </c>
      <c r="V290" s="16" t="s">
        <v>1550</v>
      </c>
      <c r="W290" s="45" t="s">
        <v>4729</v>
      </c>
      <c r="X290" s="44" t="s">
        <v>13589</v>
      </c>
      <c r="Y290" s="16" t="s">
        <v>4559</v>
      </c>
      <c r="Z290" s="44" t="s">
        <v>13590</v>
      </c>
      <c r="AA290" s="16" t="s">
        <v>4728</v>
      </c>
      <c r="AB290" s="17" t="str">
        <f t="shared" si="4"/>
        <v>GPR060375K</v>
      </c>
    </row>
    <row r="291" spans="1:28">
      <c r="A291" s="16" t="s">
        <v>300</v>
      </c>
      <c r="B291" s="16" t="s">
        <v>300</v>
      </c>
      <c r="C291" s="16" t="s">
        <v>1551</v>
      </c>
      <c r="D291" s="16" t="s">
        <v>21</v>
      </c>
      <c r="E291" s="16" t="s">
        <v>22</v>
      </c>
      <c r="F291" s="16" t="s">
        <v>301</v>
      </c>
      <c r="G291" s="17" t="str">
        <f>Config!$B$3</f>
        <v>SCH/R_IEC.SchLib</v>
      </c>
      <c r="H291" s="16" t="s">
        <v>419</v>
      </c>
      <c r="I291" s="18" t="s">
        <v>461</v>
      </c>
      <c r="J291" s="16" t="s">
        <v>462</v>
      </c>
      <c r="K291" s="16"/>
      <c r="L291" s="16"/>
      <c r="M291" s="20">
        <v>82000</v>
      </c>
      <c r="N291" s="17" t="s">
        <v>13979</v>
      </c>
      <c r="O291" s="16" t="s">
        <v>477</v>
      </c>
      <c r="P291" s="16" t="s">
        <v>1552</v>
      </c>
      <c r="Q291" s="16" t="s">
        <v>25</v>
      </c>
      <c r="R291" s="16" t="s">
        <v>1553</v>
      </c>
      <c r="S291" s="16" t="s">
        <v>477</v>
      </c>
      <c r="T291" s="16" t="s">
        <v>1554</v>
      </c>
      <c r="U291" s="16" t="s">
        <v>25</v>
      </c>
      <c r="V291" s="16" t="s">
        <v>1555</v>
      </c>
      <c r="W291" s="17"/>
      <c r="X291" s="17"/>
      <c r="Y291" s="17"/>
      <c r="Z291" s="17"/>
      <c r="AA291" s="17"/>
      <c r="AB291" s="17" t="str">
        <f t="shared" si="4"/>
        <v>GPR060382K</v>
      </c>
    </row>
    <row r="292" spans="1:28" ht="15.75">
      <c r="A292" s="16" t="s">
        <v>302</v>
      </c>
      <c r="B292" s="16" t="s">
        <v>302</v>
      </c>
      <c r="C292" s="16" t="s">
        <v>1556</v>
      </c>
      <c r="D292" s="16" t="s">
        <v>21</v>
      </c>
      <c r="E292" s="16" t="s">
        <v>22</v>
      </c>
      <c r="F292" s="16" t="s">
        <v>303</v>
      </c>
      <c r="G292" s="17" t="str">
        <f>Config!$B$3</f>
        <v>SCH/R_IEC.SchLib</v>
      </c>
      <c r="H292" s="16" t="s">
        <v>419</v>
      </c>
      <c r="I292" s="18" t="s">
        <v>461</v>
      </c>
      <c r="J292" s="16" t="s">
        <v>462</v>
      </c>
      <c r="K292" s="16"/>
      <c r="L292" s="16"/>
      <c r="M292" s="20">
        <v>91000</v>
      </c>
      <c r="N292" s="17" t="s">
        <v>13979</v>
      </c>
      <c r="O292" s="16" t="s">
        <v>477</v>
      </c>
      <c r="P292" s="16" t="s">
        <v>1557</v>
      </c>
      <c r="Q292" s="16" t="s">
        <v>25</v>
      </c>
      <c r="R292" s="16" t="s">
        <v>1558</v>
      </c>
      <c r="S292" s="16" t="s">
        <v>477</v>
      </c>
      <c r="T292" s="16" t="s">
        <v>1559</v>
      </c>
      <c r="U292" s="16" t="s">
        <v>25</v>
      </c>
      <c r="V292" s="16" t="s">
        <v>1560</v>
      </c>
      <c r="W292" s="42" t="s">
        <v>4729</v>
      </c>
      <c r="X292" s="8" t="s">
        <v>13496</v>
      </c>
      <c r="Y292" s="8" t="s">
        <v>4559</v>
      </c>
      <c r="Z292" s="8" t="s">
        <v>13495</v>
      </c>
      <c r="AA292" s="17" t="s">
        <v>4727</v>
      </c>
      <c r="AB292" s="17" t="str">
        <f t="shared" si="4"/>
        <v>GPR060391K</v>
      </c>
    </row>
    <row r="293" spans="1:28">
      <c r="A293" s="16" t="s">
        <v>304</v>
      </c>
      <c r="B293" s="16" t="s">
        <v>304</v>
      </c>
      <c r="C293" s="16" t="s">
        <v>1561</v>
      </c>
      <c r="D293" s="16" t="s">
        <v>21</v>
      </c>
      <c r="E293" s="16" t="s">
        <v>22</v>
      </c>
      <c r="F293" s="16" t="s">
        <v>305</v>
      </c>
      <c r="G293" s="17" t="str">
        <f>Config!$B$3</f>
        <v>SCH/R_IEC.SchLib</v>
      </c>
      <c r="H293" s="16" t="s">
        <v>419</v>
      </c>
      <c r="I293" s="18" t="s">
        <v>461</v>
      </c>
      <c r="J293" s="16" t="s">
        <v>462</v>
      </c>
      <c r="K293" s="16"/>
      <c r="L293" s="16"/>
      <c r="M293" s="20">
        <v>100000</v>
      </c>
      <c r="N293" s="17" t="s">
        <v>13979</v>
      </c>
      <c r="O293" s="16" t="s">
        <v>477</v>
      </c>
      <c r="P293" s="16" t="s">
        <v>1562</v>
      </c>
      <c r="Q293" s="16" t="s">
        <v>25</v>
      </c>
      <c r="R293" s="16" t="s">
        <v>1563</v>
      </c>
      <c r="S293" s="16" t="s">
        <v>477</v>
      </c>
      <c r="T293" s="16" t="s">
        <v>306</v>
      </c>
      <c r="U293" s="16" t="s">
        <v>25</v>
      </c>
      <c r="V293" s="16" t="s">
        <v>307</v>
      </c>
      <c r="W293" s="16" t="s">
        <v>4729</v>
      </c>
      <c r="X293" s="17" t="s">
        <v>4750</v>
      </c>
      <c r="Y293" s="16" t="s">
        <v>4559</v>
      </c>
      <c r="Z293" s="17" t="s">
        <v>4751</v>
      </c>
      <c r="AA293" s="16" t="s">
        <v>4728</v>
      </c>
      <c r="AB293" s="17" t="str">
        <f t="shared" si="4"/>
        <v>GPR0603100K</v>
      </c>
    </row>
    <row r="294" spans="1:28" ht="15.75">
      <c r="A294" s="16" t="s">
        <v>308</v>
      </c>
      <c r="B294" s="16" t="s">
        <v>308</v>
      </c>
      <c r="C294" s="16" t="s">
        <v>1564</v>
      </c>
      <c r="D294" s="16" t="s">
        <v>21</v>
      </c>
      <c r="E294" s="16" t="s">
        <v>22</v>
      </c>
      <c r="F294" s="16" t="s">
        <v>309</v>
      </c>
      <c r="G294" s="17" t="str">
        <f>Config!$B$3</f>
        <v>SCH/R_IEC.SchLib</v>
      </c>
      <c r="H294" s="16" t="s">
        <v>419</v>
      </c>
      <c r="I294" s="18" t="s">
        <v>461</v>
      </c>
      <c r="J294" s="16" t="s">
        <v>462</v>
      </c>
      <c r="K294" s="16"/>
      <c r="L294" s="16"/>
      <c r="M294" s="20">
        <v>110000</v>
      </c>
      <c r="N294" s="17" t="s">
        <v>13979</v>
      </c>
      <c r="O294" s="16" t="s">
        <v>477</v>
      </c>
      <c r="P294" s="16" t="s">
        <v>1565</v>
      </c>
      <c r="Q294" s="16" t="s">
        <v>25</v>
      </c>
      <c r="R294" s="16" t="s">
        <v>1566</v>
      </c>
      <c r="S294" s="16" t="s">
        <v>477</v>
      </c>
      <c r="T294" s="16" t="s">
        <v>310</v>
      </c>
      <c r="U294" s="16" t="s">
        <v>25</v>
      </c>
      <c r="V294" s="16" t="s">
        <v>311</v>
      </c>
      <c r="W294" s="42" t="s">
        <v>4729</v>
      </c>
      <c r="X294" s="8" t="s">
        <v>13501</v>
      </c>
      <c r="Y294" s="16" t="s">
        <v>4559</v>
      </c>
      <c r="Z294" s="8" t="s">
        <v>13502</v>
      </c>
      <c r="AA294" s="16" t="s">
        <v>4727</v>
      </c>
      <c r="AB294" s="17" t="str">
        <f t="shared" si="4"/>
        <v>GPR0603110K</v>
      </c>
    </row>
    <row r="295" spans="1:28" ht="15.75">
      <c r="A295" s="16" t="s">
        <v>312</v>
      </c>
      <c r="B295" s="16" t="s">
        <v>312</v>
      </c>
      <c r="C295" s="16" t="s">
        <v>1567</v>
      </c>
      <c r="D295" s="16" t="s">
        <v>21</v>
      </c>
      <c r="E295" s="16" t="s">
        <v>22</v>
      </c>
      <c r="F295" s="16" t="s">
        <v>313</v>
      </c>
      <c r="G295" s="17" t="str">
        <f>Config!$B$3</f>
        <v>SCH/R_IEC.SchLib</v>
      </c>
      <c r="H295" s="16" t="s">
        <v>419</v>
      </c>
      <c r="I295" s="18" t="s">
        <v>461</v>
      </c>
      <c r="J295" s="16" t="s">
        <v>462</v>
      </c>
      <c r="K295" s="16"/>
      <c r="L295" s="16"/>
      <c r="M295" s="20">
        <v>120000</v>
      </c>
      <c r="N295" s="17" t="s">
        <v>13979</v>
      </c>
      <c r="O295" s="16" t="s">
        <v>477</v>
      </c>
      <c r="P295" s="16" t="s">
        <v>314</v>
      </c>
      <c r="Q295" s="16" t="s">
        <v>25</v>
      </c>
      <c r="R295" s="16" t="s">
        <v>315</v>
      </c>
      <c r="S295" s="16" t="s">
        <v>477</v>
      </c>
      <c r="T295" s="16" t="s">
        <v>1568</v>
      </c>
      <c r="U295" s="16" t="s">
        <v>25</v>
      </c>
      <c r="V295" s="16" t="s">
        <v>1569</v>
      </c>
      <c r="W295" s="42" t="s">
        <v>4729</v>
      </c>
      <c r="X295" s="42" t="s">
        <v>13504</v>
      </c>
      <c r="Y295" s="16" t="s">
        <v>4559</v>
      </c>
      <c r="Z295" s="8" t="s">
        <v>13503</v>
      </c>
      <c r="AA295" s="16" t="s">
        <v>4728</v>
      </c>
      <c r="AB295" s="17" t="str">
        <f t="shared" si="4"/>
        <v>GPR0603120K</v>
      </c>
    </row>
    <row r="296" spans="1:28">
      <c r="A296" s="16" t="s">
        <v>316</v>
      </c>
      <c r="B296" s="16" t="s">
        <v>316</v>
      </c>
      <c r="C296" s="16" t="s">
        <v>1570</v>
      </c>
      <c r="D296" s="16" t="s">
        <v>21</v>
      </c>
      <c r="E296" s="16" t="s">
        <v>22</v>
      </c>
      <c r="F296" s="16" t="s">
        <v>317</v>
      </c>
      <c r="G296" s="17" t="str">
        <f>Config!$B$3</f>
        <v>SCH/R_IEC.SchLib</v>
      </c>
      <c r="H296" s="16" t="s">
        <v>419</v>
      </c>
      <c r="I296" s="18" t="s">
        <v>461</v>
      </c>
      <c r="J296" s="16" t="s">
        <v>462</v>
      </c>
      <c r="K296" s="16"/>
      <c r="L296" s="16"/>
      <c r="M296" s="20">
        <v>130000</v>
      </c>
      <c r="N296" s="17" t="s">
        <v>13979</v>
      </c>
      <c r="O296" s="16" t="s">
        <v>477</v>
      </c>
      <c r="P296" s="16" t="s">
        <v>318</v>
      </c>
      <c r="Q296" s="16" t="s">
        <v>25</v>
      </c>
      <c r="R296" s="16" t="s">
        <v>319</v>
      </c>
      <c r="S296" s="16"/>
      <c r="T296" s="16"/>
      <c r="U296" s="16"/>
      <c r="V296" s="16"/>
      <c r="W296" s="17" t="s">
        <v>477</v>
      </c>
      <c r="X296" s="17" t="s">
        <v>318</v>
      </c>
      <c r="Y296" s="16" t="s">
        <v>4559</v>
      </c>
      <c r="Z296" s="17" t="s">
        <v>16758</v>
      </c>
      <c r="AA296" s="16" t="s">
        <v>4727</v>
      </c>
      <c r="AB296" s="17" t="str">
        <f t="shared" si="4"/>
        <v>GPR0603130K</v>
      </c>
    </row>
    <row r="297" spans="1:28">
      <c r="A297" s="16" t="s">
        <v>320</v>
      </c>
      <c r="B297" s="16" t="s">
        <v>320</v>
      </c>
      <c r="C297" s="16" t="s">
        <v>1571</v>
      </c>
      <c r="D297" s="16" t="s">
        <v>21</v>
      </c>
      <c r="E297" s="16" t="s">
        <v>22</v>
      </c>
      <c r="F297" s="16" t="s">
        <v>321</v>
      </c>
      <c r="G297" s="17" t="str">
        <f>Config!$B$3</f>
        <v>SCH/R_IEC.SchLib</v>
      </c>
      <c r="H297" s="16" t="s">
        <v>419</v>
      </c>
      <c r="I297" s="18" t="s">
        <v>461</v>
      </c>
      <c r="J297" s="16" t="s">
        <v>462</v>
      </c>
      <c r="K297" s="16"/>
      <c r="L297" s="16"/>
      <c r="M297" s="20">
        <v>150000</v>
      </c>
      <c r="N297" s="17" t="s">
        <v>13979</v>
      </c>
      <c r="O297" s="16" t="s">
        <v>477</v>
      </c>
      <c r="P297" s="16" t="s">
        <v>1572</v>
      </c>
      <c r="Q297" s="16" t="s">
        <v>25</v>
      </c>
      <c r="R297" s="16" t="s">
        <v>1573</v>
      </c>
      <c r="S297" s="16" t="s">
        <v>477</v>
      </c>
      <c r="T297" s="16" t="s">
        <v>1574</v>
      </c>
      <c r="U297" s="16" t="s">
        <v>25</v>
      </c>
      <c r="V297" s="16" t="s">
        <v>1575</v>
      </c>
      <c r="W297" s="16" t="s">
        <v>4729</v>
      </c>
      <c r="X297" s="17" t="s">
        <v>4744</v>
      </c>
      <c r="Y297" s="16" t="s">
        <v>4559</v>
      </c>
      <c r="Z297" s="17" t="s">
        <v>4745</v>
      </c>
      <c r="AA297" s="16" t="s">
        <v>4728</v>
      </c>
      <c r="AB297" s="17" t="str">
        <f t="shared" si="4"/>
        <v>GPR0603150K</v>
      </c>
    </row>
    <row r="298" spans="1:28">
      <c r="A298" s="16" t="s">
        <v>322</v>
      </c>
      <c r="B298" s="16" t="s">
        <v>322</v>
      </c>
      <c r="C298" s="16" t="s">
        <v>1576</v>
      </c>
      <c r="D298" s="16" t="s">
        <v>21</v>
      </c>
      <c r="E298" s="16" t="s">
        <v>22</v>
      </c>
      <c r="F298" s="16" t="s">
        <v>323</v>
      </c>
      <c r="G298" s="17" t="str">
        <f>Config!$B$3</f>
        <v>SCH/R_IEC.SchLib</v>
      </c>
      <c r="H298" s="16" t="s">
        <v>419</v>
      </c>
      <c r="I298" s="18" t="s">
        <v>461</v>
      </c>
      <c r="J298" s="16" t="s">
        <v>462</v>
      </c>
      <c r="K298" s="16"/>
      <c r="L298" s="16"/>
      <c r="M298" s="20">
        <v>160000</v>
      </c>
      <c r="N298" s="17" t="s">
        <v>13979</v>
      </c>
      <c r="O298" s="16" t="s">
        <v>477</v>
      </c>
      <c r="P298" s="16" t="s">
        <v>1577</v>
      </c>
      <c r="Q298" s="16" t="s">
        <v>25</v>
      </c>
      <c r="R298" s="16" t="s">
        <v>1578</v>
      </c>
      <c r="S298" s="16" t="s">
        <v>477</v>
      </c>
      <c r="T298" s="16" t="s">
        <v>324</v>
      </c>
      <c r="U298" s="16" t="s">
        <v>25</v>
      </c>
      <c r="V298" s="16" t="s">
        <v>325</v>
      </c>
      <c r="W298" s="17"/>
      <c r="X298" s="17"/>
      <c r="Y298" s="17"/>
      <c r="Z298" s="17"/>
      <c r="AA298" s="17"/>
      <c r="AB298" s="17" t="str">
        <f t="shared" si="4"/>
        <v>GPR0603160K</v>
      </c>
    </row>
    <row r="299" spans="1:28" ht="15.75">
      <c r="A299" s="16" t="s">
        <v>326</v>
      </c>
      <c r="B299" s="16" t="s">
        <v>326</v>
      </c>
      <c r="C299" s="16" t="s">
        <v>1579</v>
      </c>
      <c r="D299" s="16" t="s">
        <v>21</v>
      </c>
      <c r="E299" s="16" t="s">
        <v>22</v>
      </c>
      <c r="F299" s="16" t="s">
        <v>327</v>
      </c>
      <c r="G299" s="17" t="str">
        <f>Config!$B$3</f>
        <v>SCH/R_IEC.SchLib</v>
      </c>
      <c r="H299" s="16" t="s">
        <v>419</v>
      </c>
      <c r="I299" s="18" t="s">
        <v>461</v>
      </c>
      <c r="J299" s="16" t="s">
        <v>462</v>
      </c>
      <c r="K299" s="16"/>
      <c r="L299" s="16"/>
      <c r="M299" s="20">
        <v>180000</v>
      </c>
      <c r="N299" s="17" t="s">
        <v>13979</v>
      </c>
      <c r="O299" s="16" t="s">
        <v>477</v>
      </c>
      <c r="P299" s="16" t="s">
        <v>1580</v>
      </c>
      <c r="Q299" s="16" t="s">
        <v>25</v>
      </c>
      <c r="R299" s="16" t="s">
        <v>1581</v>
      </c>
      <c r="S299" s="16" t="s">
        <v>477</v>
      </c>
      <c r="T299" s="16" t="s">
        <v>328</v>
      </c>
      <c r="U299" s="16" t="s">
        <v>25</v>
      </c>
      <c r="V299" s="16" t="s">
        <v>329</v>
      </c>
      <c r="W299" s="42" t="s">
        <v>4729</v>
      </c>
      <c r="X299" s="8" t="s">
        <v>13506</v>
      </c>
      <c r="Y299" s="8" t="s">
        <v>4559</v>
      </c>
      <c r="Z299" s="8" t="s">
        <v>13505</v>
      </c>
      <c r="AA299" s="16" t="s">
        <v>4727</v>
      </c>
      <c r="AB299" s="17" t="str">
        <f t="shared" si="4"/>
        <v>GPR0603180K</v>
      </c>
    </row>
    <row r="300" spans="1:28" ht="15.75">
      <c r="A300" s="16" t="s">
        <v>330</v>
      </c>
      <c r="B300" s="16" t="s">
        <v>330</v>
      </c>
      <c r="C300" s="16" t="s">
        <v>1582</v>
      </c>
      <c r="D300" s="16" t="s">
        <v>21</v>
      </c>
      <c r="E300" s="16" t="s">
        <v>22</v>
      </c>
      <c r="F300" s="16" t="s">
        <v>331</v>
      </c>
      <c r="G300" s="17" t="str">
        <f>Config!$B$3</f>
        <v>SCH/R_IEC.SchLib</v>
      </c>
      <c r="H300" s="16" t="s">
        <v>419</v>
      </c>
      <c r="I300" s="18" t="s">
        <v>461</v>
      </c>
      <c r="J300" s="16" t="s">
        <v>462</v>
      </c>
      <c r="K300" s="16"/>
      <c r="L300" s="16"/>
      <c r="M300" s="20">
        <v>200000</v>
      </c>
      <c r="N300" s="17" t="s">
        <v>13979</v>
      </c>
      <c r="O300" s="16" t="s">
        <v>477</v>
      </c>
      <c r="P300" s="16" t="s">
        <v>1583</v>
      </c>
      <c r="Q300" s="16" t="s">
        <v>25</v>
      </c>
      <c r="R300" s="16" t="s">
        <v>1584</v>
      </c>
      <c r="S300" s="16" t="s">
        <v>477</v>
      </c>
      <c r="T300" s="16" t="s">
        <v>1585</v>
      </c>
      <c r="U300" s="16" t="s">
        <v>25</v>
      </c>
      <c r="V300" s="16" t="s">
        <v>1586</v>
      </c>
      <c r="W300" s="42" t="s">
        <v>4729</v>
      </c>
      <c r="X300" s="8" t="s">
        <v>13488</v>
      </c>
      <c r="Y300" s="16" t="s">
        <v>4559</v>
      </c>
      <c r="Z300" s="8" t="s">
        <v>13487</v>
      </c>
      <c r="AA300" s="17" t="s">
        <v>4728</v>
      </c>
      <c r="AB300" s="17" t="str">
        <f t="shared" si="4"/>
        <v>GPR0603200K</v>
      </c>
    </row>
    <row r="301" spans="1:28">
      <c r="A301" s="16" t="s">
        <v>332</v>
      </c>
      <c r="B301" s="16" t="s">
        <v>332</v>
      </c>
      <c r="C301" s="16" t="s">
        <v>1587</v>
      </c>
      <c r="D301" s="16" t="s">
        <v>21</v>
      </c>
      <c r="E301" s="16" t="s">
        <v>22</v>
      </c>
      <c r="F301" s="16" t="s">
        <v>333</v>
      </c>
      <c r="G301" s="17" t="str">
        <f>Config!$B$3</f>
        <v>SCH/R_IEC.SchLib</v>
      </c>
      <c r="H301" s="16" t="s">
        <v>419</v>
      </c>
      <c r="I301" s="18" t="s">
        <v>461</v>
      </c>
      <c r="J301" s="16" t="s">
        <v>462</v>
      </c>
      <c r="K301" s="16"/>
      <c r="L301" s="16"/>
      <c r="M301" s="20">
        <v>220000</v>
      </c>
      <c r="N301" s="17" t="s">
        <v>13979</v>
      </c>
      <c r="O301" s="16" t="s">
        <v>477</v>
      </c>
      <c r="P301" s="16" t="s">
        <v>1588</v>
      </c>
      <c r="Q301" s="16" t="s">
        <v>25</v>
      </c>
      <c r="R301" s="16" t="s">
        <v>1589</v>
      </c>
      <c r="S301" s="16" t="s">
        <v>477</v>
      </c>
      <c r="T301" s="16" t="s">
        <v>1590</v>
      </c>
      <c r="U301" s="16" t="s">
        <v>25</v>
      </c>
      <c r="V301" s="16" t="s">
        <v>1591</v>
      </c>
      <c r="W301" s="16" t="s">
        <v>4729</v>
      </c>
      <c r="X301" s="17" t="s">
        <v>4778</v>
      </c>
      <c r="Y301" s="16" t="s">
        <v>4559</v>
      </c>
      <c r="Z301" s="16" t="s">
        <v>4779</v>
      </c>
      <c r="AA301" s="16" t="s">
        <v>4728</v>
      </c>
      <c r="AB301" s="17" t="str">
        <f t="shared" ref="AB301:AB365" si="5">"GPR"&amp;E301&amp;F301</f>
        <v>GPR0603220K</v>
      </c>
    </row>
    <row r="302" spans="1:28" ht="15.75">
      <c r="A302" s="16" t="s">
        <v>334</v>
      </c>
      <c r="B302" s="16" t="s">
        <v>334</v>
      </c>
      <c r="C302" s="16" t="s">
        <v>1592</v>
      </c>
      <c r="D302" s="16" t="s">
        <v>21</v>
      </c>
      <c r="E302" s="16" t="s">
        <v>22</v>
      </c>
      <c r="F302" s="16" t="s">
        <v>335</v>
      </c>
      <c r="G302" s="17" t="str">
        <f>Config!$B$3</f>
        <v>SCH/R_IEC.SchLib</v>
      </c>
      <c r="H302" s="16" t="s">
        <v>419</v>
      </c>
      <c r="I302" s="18" t="s">
        <v>461</v>
      </c>
      <c r="J302" s="16" t="s">
        <v>462</v>
      </c>
      <c r="K302" s="16"/>
      <c r="L302" s="16"/>
      <c r="M302" s="20">
        <v>240000</v>
      </c>
      <c r="N302" s="17" t="s">
        <v>13979</v>
      </c>
      <c r="O302" s="16" t="s">
        <v>477</v>
      </c>
      <c r="P302" s="16" t="s">
        <v>1593</v>
      </c>
      <c r="Q302" s="16" t="s">
        <v>25</v>
      </c>
      <c r="R302" s="16" t="s">
        <v>1594</v>
      </c>
      <c r="S302" s="16" t="s">
        <v>477</v>
      </c>
      <c r="T302" s="16" t="s">
        <v>1595</v>
      </c>
      <c r="U302" s="16" t="s">
        <v>25</v>
      </c>
      <c r="V302" s="16" t="s">
        <v>1596</v>
      </c>
      <c r="W302" s="42" t="s">
        <v>4729</v>
      </c>
      <c r="X302" s="8" t="s">
        <v>13508</v>
      </c>
      <c r="Y302" s="16" t="s">
        <v>4559</v>
      </c>
      <c r="Z302" s="8" t="s">
        <v>13507</v>
      </c>
      <c r="AA302" t="s">
        <v>4727</v>
      </c>
      <c r="AB302" s="17" t="str">
        <f t="shared" si="5"/>
        <v>GPR0603240K</v>
      </c>
    </row>
    <row r="303" spans="1:28">
      <c r="A303" s="16" t="s">
        <v>336</v>
      </c>
      <c r="B303" s="16" t="s">
        <v>336</v>
      </c>
      <c r="C303" s="16" t="s">
        <v>1597</v>
      </c>
      <c r="D303" s="16" t="s">
        <v>21</v>
      </c>
      <c r="E303" s="16" t="s">
        <v>22</v>
      </c>
      <c r="F303" s="16" t="s">
        <v>337</v>
      </c>
      <c r="G303" s="17" t="str">
        <f>Config!$B$3</f>
        <v>SCH/R_IEC.SchLib</v>
      </c>
      <c r="H303" s="16" t="s">
        <v>419</v>
      </c>
      <c r="I303" s="18" t="s">
        <v>461</v>
      </c>
      <c r="J303" s="16" t="s">
        <v>462</v>
      </c>
      <c r="K303" s="16"/>
      <c r="L303" s="16"/>
      <c r="M303" s="20">
        <v>270000</v>
      </c>
      <c r="N303" s="17" t="s">
        <v>13979</v>
      </c>
      <c r="O303" s="16" t="s">
        <v>477</v>
      </c>
      <c r="P303" s="16" t="s">
        <v>1598</v>
      </c>
      <c r="Q303" s="16" t="s">
        <v>25</v>
      </c>
      <c r="R303" s="16" t="s">
        <v>1599</v>
      </c>
      <c r="S303" s="16" t="s">
        <v>477</v>
      </c>
      <c r="T303" s="16" t="s">
        <v>1600</v>
      </c>
      <c r="U303" s="16" t="s">
        <v>25</v>
      </c>
      <c r="V303" s="16" t="s">
        <v>1601</v>
      </c>
      <c r="W303" s="17"/>
      <c r="X303" s="17"/>
      <c r="Y303" s="17"/>
      <c r="Z303" s="17"/>
      <c r="AA303" s="17"/>
      <c r="AB303" s="17" t="str">
        <f t="shared" si="5"/>
        <v>GPR0603270K</v>
      </c>
    </row>
    <row r="304" spans="1:28">
      <c r="A304" s="16" t="s">
        <v>338</v>
      </c>
      <c r="B304" s="16" t="s">
        <v>338</v>
      </c>
      <c r="C304" s="16" t="s">
        <v>1602</v>
      </c>
      <c r="D304" s="16" t="s">
        <v>21</v>
      </c>
      <c r="E304" s="16" t="s">
        <v>22</v>
      </c>
      <c r="F304" s="16" t="s">
        <v>339</v>
      </c>
      <c r="G304" s="17" t="str">
        <f>Config!$B$3</f>
        <v>SCH/R_IEC.SchLib</v>
      </c>
      <c r="H304" s="16" t="s">
        <v>419</v>
      </c>
      <c r="I304" s="18" t="s">
        <v>461</v>
      </c>
      <c r="J304" s="16" t="s">
        <v>462</v>
      </c>
      <c r="K304" s="16"/>
      <c r="L304" s="16"/>
      <c r="M304" s="20">
        <v>300000</v>
      </c>
      <c r="N304" s="17" t="s">
        <v>13979</v>
      </c>
      <c r="O304" s="16" t="s">
        <v>477</v>
      </c>
      <c r="P304" s="16" t="s">
        <v>1603</v>
      </c>
      <c r="Q304" s="16" t="s">
        <v>25</v>
      </c>
      <c r="R304" s="16" t="s">
        <v>1604</v>
      </c>
      <c r="S304" s="16" t="s">
        <v>477</v>
      </c>
      <c r="T304" s="16" t="s">
        <v>1605</v>
      </c>
      <c r="U304" s="16" t="s">
        <v>25</v>
      </c>
      <c r="V304" s="16" t="s">
        <v>1606</v>
      </c>
      <c r="W304" s="45" t="s">
        <v>4729</v>
      </c>
      <c r="X304" s="44" t="s">
        <v>13592</v>
      </c>
      <c r="Y304" s="16" t="s">
        <v>4559</v>
      </c>
      <c r="Z304" s="44" t="s">
        <v>13591</v>
      </c>
      <c r="AA304" s="16" t="s">
        <v>4728</v>
      </c>
      <c r="AB304" s="17" t="str">
        <f t="shared" si="5"/>
        <v>GPR0603300K</v>
      </c>
    </row>
    <row r="305" spans="1:28">
      <c r="A305" s="16" t="s">
        <v>340</v>
      </c>
      <c r="B305" s="16" t="s">
        <v>340</v>
      </c>
      <c r="C305" s="16" t="s">
        <v>1607</v>
      </c>
      <c r="D305" s="16" t="s">
        <v>21</v>
      </c>
      <c r="E305" s="16" t="s">
        <v>22</v>
      </c>
      <c r="F305" s="16" t="s">
        <v>341</v>
      </c>
      <c r="G305" s="17" t="str">
        <f>Config!$B$3</f>
        <v>SCH/R_IEC.SchLib</v>
      </c>
      <c r="H305" s="16" t="s">
        <v>419</v>
      </c>
      <c r="I305" s="18" t="s">
        <v>461</v>
      </c>
      <c r="J305" s="16" t="s">
        <v>462</v>
      </c>
      <c r="K305" s="16"/>
      <c r="L305" s="16"/>
      <c r="M305" s="20">
        <v>330000</v>
      </c>
      <c r="N305" s="17" t="s">
        <v>13979</v>
      </c>
      <c r="O305" s="16" t="s">
        <v>477</v>
      </c>
      <c r="P305" s="16" t="s">
        <v>342</v>
      </c>
      <c r="Q305" s="16" t="s">
        <v>25</v>
      </c>
      <c r="R305" s="16" t="s">
        <v>343</v>
      </c>
      <c r="S305" s="16" t="s">
        <v>477</v>
      </c>
      <c r="T305" s="16" t="s">
        <v>1608</v>
      </c>
      <c r="U305" s="16" t="s">
        <v>25</v>
      </c>
      <c r="V305" s="16" t="s">
        <v>1609</v>
      </c>
      <c r="W305" s="16" t="s">
        <v>477</v>
      </c>
      <c r="X305" t="s">
        <v>6595</v>
      </c>
      <c r="Y305" s="16" t="s">
        <v>4559</v>
      </c>
      <c r="Z305" s="16" t="s">
        <v>6596</v>
      </c>
      <c r="AA305" s="16" t="s">
        <v>4728</v>
      </c>
      <c r="AB305" s="17" t="str">
        <f t="shared" si="5"/>
        <v>GPR0603330K</v>
      </c>
    </row>
    <row r="306" spans="1:28" ht="15.75">
      <c r="A306" s="16" t="s">
        <v>344</v>
      </c>
      <c r="B306" s="16" t="s">
        <v>344</v>
      </c>
      <c r="C306" s="16" t="s">
        <v>1610</v>
      </c>
      <c r="D306" s="16" t="s">
        <v>21</v>
      </c>
      <c r="E306" s="16" t="s">
        <v>22</v>
      </c>
      <c r="F306" s="16" t="s">
        <v>345</v>
      </c>
      <c r="G306" s="17" t="str">
        <f>Config!$B$3</f>
        <v>SCH/R_IEC.SchLib</v>
      </c>
      <c r="H306" s="16" t="s">
        <v>419</v>
      </c>
      <c r="I306" s="18" t="s">
        <v>461</v>
      </c>
      <c r="J306" s="16" t="s">
        <v>462</v>
      </c>
      <c r="K306" s="16"/>
      <c r="L306" s="16"/>
      <c r="M306" s="20">
        <v>360000</v>
      </c>
      <c r="N306" s="17" t="s">
        <v>13979</v>
      </c>
      <c r="O306" s="16" t="s">
        <v>477</v>
      </c>
      <c r="P306" s="16" t="s">
        <v>346</v>
      </c>
      <c r="Q306" s="16" t="s">
        <v>25</v>
      </c>
      <c r="R306" s="16" t="s">
        <v>347</v>
      </c>
      <c r="S306" s="16"/>
      <c r="T306" s="16"/>
      <c r="U306" s="16"/>
      <c r="V306" s="16"/>
      <c r="W306" s="42" t="s">
        <v>4729</v>
      </c>
      <c r="X306" s="8" t="s">
        <v>13492</v>
      </c>
      <c r="Y306" s="16" t="s">
        <v>4559</v>
      </c>
      <c r="Z306" s="8" t="s">
        <v>13491</v>
      </c>
      <c r="AA306" s="16" t="s">
        <v>4727</v>
      </c>
      <c r="AB306" s="17" t="str">
        <f t="shared" si="5"/>
        <v>GPR0603360K</v>
      </c>
    </row>
    <row r="307" spans="1:28">
      <c r="A307" s="16" t="s">
        <v>348</v>
      </c>
      <c r="B307" s="16" t="s">
        <v>348</v>
      </c>
      <c r="C307" s="16" t="s">
        <v>1611</v>
      </c>
      <c r="D307" s="16" t="s">
        <v>21</v>
      </c>
      <c r="E307" s="16" t="s">
        <v>22</v>
      </c>
      <c r="F307" s="16" t="s">
        <v>349</v>
      </c>
      <c r="G307" s="17" t="str">
        <f>Config!$B$3</f>
        <v>SCH/R_IEC.SchLib</v>
      </c>
      <c r="H307" s="16" t="s">
        <v>419</v>
      </c>
      <c r="I307" s="18" t="s">
        <v>461</v>
      </c>
      <c r="J307" s="16" t="s">
        <v>462</v>
      </c>
      <c r="K307" s="16"/>
      <c r="L307" s="16"/>
      <c r="M307" s="20">
        <v>390000</v>
      </c>
      <c r="N307" s="17" t="s">
        <v>13979</v>
      </c>
      <c r="O307" s="16" t="s">
        <v>477</v>
      </c>
      <c r="P307" s="16" t="s">
        <v>1612</v>
      </c>
      <c r="Q307" s="16" t="s">
        <v>25</v>
      </c>
      <c r="R307" s="16" t="s">
        <v>1613</v>
      </c>
      <c r="S307" s="16" t="s">
        <v>477</v>
      </c>
      <c r="T307" s="16" t="s">
        <v>1614</v>
      </c>
      <c r="U307" s="16" t="s">
        <v>25</v>
      </c>
      <c r="V307" s="16" t="s">
        <v>1615</v>
      </c>
      <c r="W307" s="16" t="s">
        <v>477</v>
      </c>
      <c r="X307" t="s">
        <v>6597</v>
      </c>
      <c r="Y307" s="16" t="s">
        <v>4559</v>
      </c>
      <c r="Z307" t="s">
        <v>6598</v>
      </c>
      <c r="AA307" s="16" t="s">
        <v>4728</v>
      </c>
      <c r="AB307" s="17" t="str">
        <f t="shared" si="5"/>
        <v>GPR0603390K</v>
      </c>
    </row>
    <row r="308" spans="1:28">
      <c r="A308" s="16" t="s">
        <v>350</v>
      </c>
      <c r="B308" s="16" t="s">
        <v>350</v>
      </c>
      <c r="C308" s="16" t="s">
        <v>1616</v>
      </c>
      <c r="D308" s="16" t="s">
        <v>21</v>
      </c>
      <c r="E308" s="16" t="s">
        <v>22</v>
      </c>
      <c r="F308" s="16" t="s">
        <v>351</v>
      </c>
      <c r="G308" s="17" t="str">
        <f>Config!$B$3</f>
        <v>SCH/R_IEC.SchLib</v>
      </c>
      <c r="H308" s="16" t="s">
        <v>419</v>
      </c>
      <c r="I308" s="18" t="s">
        <v>461</v>
      </c>
      <c r="J308" s="16" t="s">
        <v>462</v>
      </c>
      <c r="K308" s="16"/>
      <c r="L308" s="16"/>
      <c r="M308" s="20">
        <v>430000</v>
      </c>
      <c r="N308" s="17" t="s">
        <v>13979</v>
      </c>
      <c r="O308" s="16" t="s">
        <v>477</v>
      </c>
      <c r="P308" s="16" t="s">
        <v>1617</v>
      </c>
      <c r="Q308" s="16" t="s">
        <v>25</v>
      </c>
      <c r="R308" s="16" t="s">
        <v>1618</v>
      </c>
      <c r="S308" s="16" t="s">
        <v>477</v>
      </c>
      <c r="T308" s="16" t="s">
        <v>1619</v>
      </c>
      <c r="U308" s="16" t="s">
        <v>25</v>
      </c>
      <c r="V308" s="16" t="s">
        <v>1620</v>
      </c>
      <c r="W308" s="17"/>
      <c r="X308" s="17"/>
      <c r="Y308" s="17"/>
      <c r="Z308" s="17"/>
      <c r="AA308" s="17"/>
      <c r="AB308" s="17" t="str">
        <f t="shared" si="5"/>
        <v>GPR0603430K</v>
      </c>
    </row>
    <row r="309" spans="1:28">
      <c r="A309" s="16" t="s">
        <v>352</v>
      </c>
      <c r="B309" s="16" t="s">
        <v>352</v>
      </c>
      <c r="C309" s="16" t="s">
        <v>1621</v>
      </c>
      <c r="D309" s="16" t="s">
        <v>21</v>
      </c>
      <c r="E309" s="16" t="s">
        <v>22</v>
      </c>
      <c r="F309" s="16" t="s">
        <v>353</v>
      </c>
      <c r="G309" s="17" t="str">
        <f>Config!$B$3</f>
        <v>SCH/R_IEC.SchLib</v>
      </c>
      <c r="H309" s="16" t="s">
        <v>419</v>
      </c>
      <c r="I309" s="18" t="s">
        <v>461</v>
      </c>
      <c r="J309" s="16" t="s">
        <v>462</v>
      </c>
      <c r="K309" s="16"/>
      <c r="L309" s="16"/>
      <c r="M309" s="20">
        <v>470000</v>
      </c>
      <c r="N309" s="17" t="s">
        <v>13979</v>
      </c>
      <c r="O309" s="16" t="s">
        <v>477</v>
      </c>
      <c r="P309" s="16" t="s">
        <v>1622</v>
      </c>
      <c r="Q309" s="16" t="s">
        <v>25</v>
      </c>
      <c r="R309" s="16" t="s">
        <v>1623</v>
      </c>
      <c r="S309" s="16" t="s">
        <v>477</v>
      </c>
      <c r="T309" s="16" t="s">
        <v>1624</v>
      </c>
      <c r="U309" s="16" t="s">
        <v>25</v>
      </c>
      <c r="V309" s="16" t="s">
        <v>1625</v>
      </c>
      <c r="W309" s="17"/>
      <c r="X309" s="17"/>
      <c r="Y309" s="17"/>
      <c r="Z309" s="17"/>
      <c r="AA309" s="17"/>
      <c r="AB309" s="17" t="str">
        <f t="shared" si="5"/>
        <v>GPR0603470K</v>
      </c>
    </row>
    <row r="310" spans="1:28">
      <c r="A310" s="16" t="s">
        <v>354</v>
      </c>
      <c r="B310" s="16" t="s">
        <v>354</v>
      </c>
      <c r="C310" s="16" t="s">
        <v>1626</v>
      </c>
      <c r="D310" s="16" t="s">
        <v>21</v>
      </c>
      <c r="E310" s="16" t="s">
        <v>22</v>
      </c>
      <c r="F310" s="16" t="s">
        <v>355</v>
      </c>
      <c r="G310" s="17" t="str">
        <f>Config!$B$3</f>
        <v>SCH/R_IEC.SchLib</v>
      </c>
      <c r="H310" s="16" t="s">
        <v>419</v>
      </c>
      <c r="I310" s="18" t="s">
        <v>461</v>
      </c>
      <c r="J310" s="16" t="s">
        <v>462</v>
      </c>
      <c r="K310" s="16"/>
      <c r="L310" s="16"/>
      <c r="M310" s="20">
        <v>510000</v>
      </c>
      <c r="N310" s="17" t="s">
        <v>13979</v>
      </c>
      <c r="O310" s="16" t="s">
        <v>477</v>
      </c>
      <c r="P310" s="16" t="s">
        <v>1627</v>
      </c>
      <c r="Q310" s="16" t="s">
        <v>25</v>
      </c>
      <c r="R310" s="16" t="s">
        <v>1628</v>
      </c>
      <c r="S310" s="16" t="s">
        <v>477</v>
      </c>
      <c r="T310" s="16" t="s">
        <v>1629</v>
      </c>
      <c r="U310" s="16" t="s">
        <v>25</v>
      </c>
      <c r="V310" s="16" t="s">
        <v>1630</v>
      </c>
      <c r="W310" s="17"/>
      <c r="X310" s="17"/>
      <c r="Y310" s="17"/>
      <c r="Z310" s="17"/>
      <c r="AA310" s="17"/>
      <c r="AB310" s="17" t="str">
        <f t="shared" si="5"/>
        <v>GPR0603510K</v>
      </c>
    </row>
    <row r="311" spans="1:28">
      <c r="A311" s="16" t="s">
        <v>356</v>
      </c>
      <c r="B311" s="16" t="s">
        <v>356</v>
      </c>
      <c r="C311" s="16" t="s">
        <v>1631</v>
      </c>
      <c r="D311" s="16" t="s">
        <v>21</v>
      </c>
      <c r="E311" s="16" t="s">
        <v>22</v>
      </c>
      <c r="F311" s="16" t="s">
        <v>357</v>
      </c>
      <c r="G311" s="17" t="str">
        <f>Config!$B$3</f>
        <v>SCH/R_IEC.SchLib</v>
      </c>
      <c r="H311" s="16" t="s">
        <v>419</v>
      </c>
      <c r="I311" s="18" t="s">
        <v>461</v>
      </c>
      <c r="J311" s="16" t="s">
        <v>462</v>
      </c>
      <c r="K311" s="16"/>
      <c r="L311" s="16"/>
      <c r="M311" s="20">
        <v>560000</v>
      </c>
      <c r="N311" s="17" t="s">
        <v>13979</v>
      </c>
      <c r="O311" s="16" t="s">
        <v>477</v>
      </c>
      <c r="P311" s="16" t="s">
        <v>1632</v>
      </c>
      <c r="Q311" s="16" t="s">
        <v>25</v>
      </c>
      <c r="R311" s="16" t="s">
        <v>1633</v>
      </c>
      <c r="S311" s="16" t="s">
        <v>477</v>
      </c>
      <c r="T311" s="16" t="s">
        <v>1634</v>
      </c>
      <c r="U311" s="16" t="s">
        <v>25</v>
      </c>
      <c r="V311" s="16" t="s">
        <v>1635</v>
      </c>
      <c r="W311" s="17"/>
      <c r="X311" s="17"/>
      <c r="Y311" s="17"/>
      <c r="Z311" s="17"/>
      <c r="AA311" s="17"/>
      <c r="AB311" s="17" t="str">
        <f t="shared" si="5"/>
        <v>GPR0603560K</v>
      </c>
    </row>
    <row r="312" spans="1:28">
      <c r="A312" s="16" t="s">
        <v>358</v>
      </c>
      <c r="B312" s="16" t="s">
        <v>358</v>
      </c>
      <c r="C312" s="16" t="s">
        <v>1636</v>
      </c>
      <c r="D312" s="16" t="s">
        <v>21</v>
      </c>
      <c r="E312" s="16" t="s">
        <v>22</v>
      </c>
      <c r="F312" s="16" t="s">
        <v>359</v>
      </c>
      <c r="G312" s="17" t="str">
        <f>Config!$B$3</f>
        <v>SCH/R_IEC.SchLib</v>
      </c>
      <c r="H312" s="16" t="s">
        <v>419</v>
      </c>
      <c r="I312" s="18" t="s">
        <v>461</v>
      </c>
      <c r="J312" s="16" t="s">
        <v>462</v>
      </c>
      <c r="K312" s="16"/>
      <c r="L312" s="16"/>
      <c r="M312" s="20">
        <v>620000</v>
      </c>
      <c r="N312" s="17" t="s">
        <v>13979</v>
      </c>
      <c r="O312" s="16" t="s">
        <v>477</v>
      </c>
      <c r="P312" s="16" t="s">
        <v>1637</v>
      </c>
      <c r="Q312" s="16" t="s">
        <v>25</v>
      </c>
      <c r="R312" s="16" t="s">
        <v>1638</v>
      </c>
      <c r="S312" s="16" t="s">
        <v>477</v>
      </c>
      <c r="T312" s="16" t="s">
        <v>1639</v>
      </c>
      <c r="U312" s="16" t="s">
        <v>25</v>
      </c>
      <c r="V312" s="16" t="s">
        <v>1640</v>
      </c>
      <c r="W312" s="17"/>
      <c r="X312" s="17"/>
      <c r="Y312" s="17"/>
      <c r="Z312" s="17"/>
      <c r="AA312" s="17"/>
      <c r="AB312" s="17" t="str">
        <f t="shared" si="5"/>
        <v>GPR0603620K</v>
      </c>
    </row>
    <row r="313" spans="1:28">
      <c r="A313" s="16" t="s">
        <v>360</v>
      </c>
      <c r="B313" s="16" t="s">
        <v>360</v>
      </c>
      <c r="C313" s="16" t="s">
        <v>1641</v>
      </c>
      <c r="D313" s="16" t="s">
        <v>21</v>
      </c>
      <c r="E313" s="16" t="s">
        <v>22</v>
      </c>
      <c r="F313" s="16" t="s">
        <v>361</v>
      </c>
      <c r="G313" s="17" t="str">
        <f>Config!$B$3</f>
        <v>SCH/R_IEC.SchLib</v>
      </c>
      <c r="H313" s="16" t="s">
        <v>419</v>
      </c>
      <c r="I313" s="18" t="s">
        <v>461</v>
      </c>
      <c r="J313" s="16" t="s">
        <v>462</v>
      </c>
      <c r="K313" s="16"/>
      <c r="L313" s="16"/>
      <c r="M313" s="20">
        <v>680000</v>
      </c>
      <c r="N313" s="17" t="s">
        <v>13979</v>
      </c>
      <c r="O313" s="16" t="s">
        <v>477</v>
      </c>
      <c r="P313" s="16" t="s">
        <v>1642</v>
      </c>
      <c r="Q313" s="16" t="s">
        <v>25</v>
      </c>
      <c r="R313" s="16" t="s">
        <v>1643</v>
      </c>
      <c r="S313" s="16" t="s">
        <v>477</v>
      </c>
      <c r="T313" s="16" t="s">
        <v>1644</v>
      </c>
      <c r="U313" s="16" t="s">
        <v>25</v>
      </c>
      <c r="V313" s="16" t="s">
        <v>1645</v>
      </c>
      <c r="W313" s="17"/>
      <c r="X313" s="17"/>
      <c r="Y313" s="17"/>
      <c r="Z313" s="17"/>
      <c r="AA313" s="17"/>
      <c r="AB313" s="17" t="str">
        <f t="shared" si="5"/>
        <v>GPR0603680K</v>
      </c>
    </row>
    <row r="314" spans="1:28">
      <c r="A314" s="16" t="s">
        <v>362</v>
      </c>
      <c r="B314" s="16" t="s">
        <v>362</v>
      </c>
      <c r="C314" s="16" t="s">
        <v>1646</v>
      </c>
      <c r="D314" s="16" t="s">
        <v>21</v>
      </c>
      <c r="E314" s="16" t="s">
        <v>22</v>
      </c>
      <c r="F314" s="16" t="s">
        <v>363</v>
      </c>
      <c r="G314" s="17" t="str">
        <f>Config!$B$3</f>
        <v>SCH/R_IEC.SchLib</v>
      </c>
      <c r="H314" s="16" t="s">
        <v>419</v>
      </c>
      <c r="I314" s="18" t="s">
        <v>461</v>
      </c>
      <c r="J314" s="16" t="s">
        <v>462</v>
      </c>
      <c r="K314" s="16"/>
      <c r="L314" s="16"/>
      <c r="M314" s="20">
        <v>750000</v>
      </c>
      <c r="N314" s="17" t="s">
        <v>13979</v>
      </c>
      <c r="O314" s="16" t="s">
        <v>477</v>
      </c>
      <c r="P314" s="16" t="s">
        <v>1647</v>
      </c>
      <c r="Q314" s="16" t="s">
        <v>25</v>
      </c>
      <c r="R314" s="16" t="s">
        <v>1648</v>
      </c>
      <c r="S314" s="16" t="s">
        <v>477</v>
      </c>
      <c r="T314" s="16" t="s">
        <v>1649</v>
      </c>
      <c r="U314" s="16" t="s">
        <v>25</v>
      </c>
      <c r="V314" s="16" t="s">
        <v>1650</v>
      </c>
      <c r="W314" s="17"/>
      <c r="X314" s="17"/>
      <c r="Y314" s="17"/>
      <c r="Z314" s="17"/>
      <c r="AA314" s="17"/>
      <c r="AB314" s="17" t="str">
        <f t="shared" si="5"/>
        <v>GPR0603750K</v>
      </c>
    </row>
    <row r="315" spans="1:28">
      <c r="A315" s="16" t="s">
        <v>364</v>
      </c>
      <c r="B315" s="16" t="s">
        <v>364</v>
      </c>
      <c r="C315" s="16" t="s">
        <v>1651</v>
      </c>
      <c r="D315" s="16" t="s">
        <v>21</v>
      </c>
      <c r="E315" s="16" t="s">
        <v>22</v>
      </c>
      <c r="F315" s="16" t="s">
        <v>365</v>
      </c>
      <c r="G315" s="17" t="str">
        <f>Config!$B$3</f>
        <v>SCH/R_IEC.SchLib</v>
      </c>
      <c r="H315" s="16" t="s">
        <v>419</v>
      </c>
      <c r="I315" s="18" t="s">
        <v>461</v>
      </c>
      <c r="J315" s="16" t="s">
        <v>462</v>
      </c>
      <c r="K315" s="16"/>
      <c r="L315" s="16"/>
      <c r="M315" s="20">
        <v>820000</v>
      </c>
      <c r="N315" s="17" t="s">
        <v>13979</v>
      </c>
      <c r="O315" s="16" t="s">
        <v>477</v>
      </c>
      <c r="P315" s="16" t="s">
        <v>1652</v>
      </c>
      <c r="Q315" s="16" t="s">
        <v>25</v>
      </c>
      <c r="R315" s="16" t="s">
        <v>1653</v>
      </c>
      <c r="S315" s="16" t="s">
        <v>477</v>
      </c>
      <c r="T315" s="16" t="s">
        <v>1654</v>
      </c>
      <c r="U315" s="16" t="s">
        <v>25</v>
      </c>
      <c r="V315" s="16" t="s">
        <v>1655</v>
      </c>
      <c r="W315" s="17"/>
      <c r="X315" s="17"/>
      <c r="Y315" s="17"/>
      <c r="Z315" s="17"/>
      <c r="AA315" s="17"/>
      <c r="AB315" s="17" t="str">
        <f t="shared" si="5"/>
        <v>GPR0603820K</v>
      </c>
    </row>
    <row r="316" spans="1:28">
      <c r="A316" s="16" t="s">
        <v>366</v>
      </c>
      <c r="B316" s="16" t="s">
        <v>366</v>
      </c>
      <c r="C316" s="16" t="s">
        <v>1656</v>
      </c>
      <c r="D316" s="16" t="s">
        <v>21</v>
      </c>
      <c r="E316" s="16" t="s">
        <v>22</v>
      </c>
      <c r="F316" s="16" t="s">
        <v>367</v>
      </c>
      <c r="G316" s="17" t="str">
        <f>Config!$B$3</f>
        <v>SCH/R_IEC.SchLib</v>
      </c>
      <c r="H316" s="16" t="s">
        <v>419</v>
      </c>
      <c r="I316" s="18" t="s">
        <v>461</v>
      </c>
      <c r="J316" s="16" t="s">
        <v>462</v>
      </c>
      <c r="K316" s="16"/>
      <c r="L316" s="16"/>
      <c r="M316" s="20">
        <v>910000</v>
      </c>
      <c r="N316" s="17" t="s">
        <v>13979</v>
      </c>
      <c r="O316" s="16" t="s">
        <v>477</v>
      </c>
      <c r="P316" s="16" t="s">
        <v>1657</v>
      </c>
      <c r="Q316" s="16" t="s">
        <v>25</v>
      </c>
      <c r="R316" s="16" t="s">
        <v>1658</v>
      </c>
      <c r="S316" s="16"/>
      <c r="T316" s="16"/>
      <c r="U316" s="16"/>
      <c r="V316" s="16"/>
      <c r="W316" s="17" t="s">
        <v>477</v>
      </c>
      <c r="X316" s="17" t="s">
        <v>1657</v>
      </c>
      <c r="Y316" s="17" t="s">
        <v>4559</v>
      </c>
      <c r="Z316" s="17" t="s">
        <v>16759</v>
      </c>
      <c r="AA316" t="s">
        <v>4727</v>
      </c>
      <c r="AB316" s="17" t="str">
        <f t="shared" si="5"/>
        <v>GPR0603910K</v>
      </c>
    </row>
    <row r="317" spans="1:28">
      <c r="A317" s="16" t="s">
        <v>368</v>
      </c>
      <c r="B317" s="16" t="s">
        <v>368</v>
      </c>
      <c r="C317" s="16" t="s">
        <v>1659</v>
      </c>
      <c r="D317" s="16" t="s">
        <v>21</v>
      </c>
      <c r="E317" s="16" t="s">
        <v>22</v>
      </c>
      <c r="F317" s="16" t="s">
        <v>369</v>
      </c>
      <c r="G317" s="17" t="str">
        <f>Config!$B$3</f>
        <v>SCH/R_IEC.SchLib</v>
      </c>
      <c r="H317" s="16" t="s">
        <v>419</v>
      </c>
      <c r="I317" s="18" t="s">
        <v>461</v>
      </c>
      <c r="J317" s="16" t="s">
        <v>462</v>
      </c>
      <c r="K317" s="16"/>
      <c r="L317" s="16"/>
      <c r="M317" s="20">
        <v>1000000</v>
      </c>
      <c r="N317" s="17" t="s">
        <v>13979</v>
      </c>
      <c r="O317" s="16" t="s">
        <v>477</v>
      </c>
      <c r="P317" s="16" t="s">
        <v>1660</v>
      </c>
      <c r="Q317" s="16" t="s">
        <v>25</v>
      </c>
      <c r="R317" s="16" t="s">
        <v>1661</v>
      </c>
      <c r="S317" s="16" t="s">
        <v>477</v>
      </c>
      <c r="T317" s="16" t="s">
        <v>1662</v>
      </c>
      <c r="U317" s="16" t="s">
        <v>25</v>
      </c>
      <c r="V317" s="16" t="s">
        <v>1663</v>
      </c>
      <c r="W317" s="17" t="s">
        <v>4729</v>
      </c>
      <c r="X317" s="17" t="s">
        <v>4736</v>
      </c>
      <c r="Y317" s="17" t="s">
        <v>4559</v>
      </c>
      <c r="Z317" s="17" t="s">
        <v>4737</v>
      </c>
      <c r="AA317" s="17" t="s">
        <v>4728</v>
      </c>
      <c r="AB317" s="17" t="str">
        <f t="shared" si="5"/>
        <v>GPR06031M</v>
      </c>
    </row>
    <row r="318" spans="1:28">
      <c r="A318" s="16" t="s">
        <v>370</v>
      </c>
      <c r="B318" s="16" t="s">
        <v>370</v>
      </c>
      <c r="C318" s="16" t="s">
        <v>1664</v>
      </c>
      <c r="D318" s="16" t="s">
        <v>21</v>
      </c>
      <c r="E318" s="16" t="s">
        <v>22</v>
      </c>
      <c r="F318" s="16" t="s">
        <v>371</v>
      </c>
      <c r="G318" s="17" t="str">
        <f>Config!$B$3</f>
        <v>SCH/R_IEC.SchLib</v>
      </c>
      <c r="H318" s="16" t="s">
        <v>419</v>
      </c>
      <c r="I318" s="18" t="s">
        <v>461</v>
      </c>
      <c r="J318" s="16" t="s">
        <v>462</v>
      </c>
      <c r="K318" s="16"/>
      <c r="L318" s="16"/>
      <c r="M318" s="20">
        <v>1100000</v>
      </c>
      <c r="N318" s="17" t="s">
        <v>13979</v>
      </c>
      <c r="O318" s="16" t="s">
        <v>477</v>
      </c>
      <c r="P318" s="16" t="s">
        <v>1665</v>
      </c>
      <c r="Q318" s="16" t="s">
        <v>25</v>
      </c>
      <c r="R318" s="16" t="s">
        <v>1666</v>
      </c>
      <c r="S318" s="16"/>
      <c r="T318" s="16"/>
      <c r="U318" s="16"/>
      <c r="V318" s="16"/>
      <c r="W318" s="17"/>
      <c r="X318" s="17"/>
      <c r="Y318" s="17"/>
      <c r="Z318" s="17"/>
      <c r="AA318" s="17"/>
      <c r="AB318" s="17" t="str">
        <f t="shared" si="5"/>
        <v>GPR06031M1</v>
      </c>
    </row>
    <row r="319" spans="1:28">
      <c r="A319" s="16" t="s">
        <v>372</v>
      </c>
      <c r="B319" s="16" t="s">
        <v>372</v>
      </c>
      <c r="C319" s="16" t="s">
        <v>1667</v>
      </c>
      <c r="D319" s="16" t="s">
        <v>21</v>
      </c>
      <c r="E319" s="16" t="s">
        <v>22</v>
      </c>
      <c r="F319" s="16" t="s">
        <v>373</v>
      </c>
      <c r="G319" s="17" t="str">
        <f>Config!$B$3</f>
        <v>SCH/R_IEC.SchLib</v>
      </c>
      <c r="H319" s="16" t="s">
        <v>419</v>
      </c>
      <c r="I319" s="18" t="s">
        <v>461</v>
      </c>
      <c r="J319" s="16" t="s">
        <v>462</v>
      </c>
      <c r="K319" s="16"/>
      <c r="L319" s="16"/>
      <c r="M319" s="20">
        <v>1200000</v>
      </c>
      <c r="N319" s="17" t="s">
        <v>13979</v>
      </c>
      <c r="O319" s="16" t="s">
        <v>477</v>
      </c>
      <c r="P319" s="16" t="s">
        <v>1668</v>
      </c>
      <c r="Q319" s="16" t="s">
        <v>25</v>
      </c>
      <c r="R319" s="16" t="s">
        <v>1669</v>
      </c>
      <c r="S319" s="16" t="s">
        <v>477</v>
      </c>
      <c r="T319" s="16" t="s">
        <v>1670</v>
      </c>
      <c r="U319" s="16" t="s">
        <v>25</v>
      </c>
      <c r="V319" s="16" t="s">
        <v>1671</v>
      </c>
      <c r="W319" s="17"/>
      <c r="X319" s="17"/>
      <c r="Y319" s="17"/>
      <c r="Z319" s="17"/>
      <c r="AA319" s="17"/>
      <c r="AB319" s="17" t="str">
        <f t="shared" si="5"/>
        <v>GPR06031M2</v>
      </c>
    </row>
    <row r="320" spans="1:28" ht="15.75">
      <c r="A320" s="16" t="s">
        <v>374</v>
      </c>
      <c r="B320" s="16" t="s">
        <v>374</v>
      </c>
      <c r="C320" s="16" t="s">
        <v>1672</v>
      </c>
      <c r="D320" s="16" t="s">
        <v>21</v>
      </c>
      <c r="E320" s="16" t="s">
        <v>22</v>
      </c>
      <c r="F320" s="16" t="s">
        <v>375</v>
      </c>
      <c r="G320" s="17" t="str">
        <f>Config!$B$3</f>
        <v>SCH/R_IEC.SchLib</v>
      </c>
      <c r="H320" s="16" t="s">
        <v>419</v>
      </c>
      <c r="I320" s="18" t="s">
        <v>461</v>
      </c>
      <c r="J320" s="16" t="s">
        <v>462</v>
      </c>
      <c r="K320" s="16"/>
      <c r="L320" s="16"/>
      <c r="M320" s="20">
        <v>1300000</v>
      </c>
      <c r="N320" s="17" t="s">
        <v>13979</v>
      </c>
      <c r="O320" s="16" t="s">
        <v>477</v>
      </c>
      <c r="P320" s="16" t="s">
        <v>1673</v>
      </c>
      <c r="Q320" s="16" t="s">
        <v>25</v>
      </c>
      <c r="R320" s="16" t="s">
        <v>1674</v>
      </c>
      <c r="S320" s="16"/>
      <c r="T320" s="16"/>
      <c r="U320" s="16"/>
      <c r="V320" s="16"/>
      <c r="W320" s="8" t="s">
        <v>6379</v>
      </c>
      <c r="X320" s="8" t="s">
        <v>13475</v>
      </c>
      <c r="Y320" s="17" t="s">
        <v>4559</v>
      </c>
      <c r="Z320" s="8" t="s">
        <v>13474</v>
      </c>
      <c r="AA320" s="17"/>
      <c r="AB320" s="17" t="str">
        <f t="shared" si="5"/>
        <v>GPR06031M3</v>
      </c>
    </row>
    <row r="321" spans="1:28">
      <c r="A321" s="16" t="s">
        <v>376</v>
      </c>
      <c r="B321" s="16" t="s">
        <v>376</v>
      </c>
      <c r="C321" s="16" t="s">
        <v>1675</v>
      </c>
      <c r="D321" s="16" t="s">
        <v>21</v>
      </c>
      <c r="E321" s="16" t="s">
        <v>22</v>
      </c>
      <c r="F321" s="16" t="s">
        <v>377</v>
      </c>
      <c r="G321" s="17" t="str">
        <f>Config!$B$3</f>
        <v>SCH/R_IEC.SchLib</v>
      </c>
      <c r="H321" s="16" t="s">
        <v>419</v>
      </c>
      <c r="I321" s="18" t="s">
        <v>461</v>
      </c>
      <c r="J321" s="16" t="s">
        <v>462</v>
      </c>
      <c r="K321" s="16"/>
      <c r="L321" s="16"/>
      <c r="M321" s="20">
        <v>1500000</v>
      </c>
      <c r="N321" s="17" t="s">
        <v>13979</v>
      </c>
      <c r="O321" s="16" t="s">
        <v>477</v>
      </c>
      <c r="P321" s="16" t="s">
        <v>1676</v>
      </c>
      <c r="Q321" s="16" t="s">
        <v>25</v>
      </c>
      <c r="R321" s="16" t="s">
        <v>1677</v>
      </c>
      <c r="S321" s="16" t="s">
        <v>477</v>
      </c>
      <c r="T321" s="16" t="s">
        <v>1678</v>
      </c>
      <c r="U321" s="16" t="s">
        <v>25</v>
      </c>
      <c r="V321" s="16" t="s">
        <v>1679</v>
      </c>
      <c r="W321" s="17"/>
      <c r="X321" s="17"/>
      <c r="Y321" s="17"/>
      <c r="Z321" s="17"/>
      <c r="AA321" s="17"/>
      <c r="AB321" s="17" t="str">
        <f t="shared" si="5"/>
        <v>GPR06031M5</v>
      </c>
    </row>
    <row r="322" spans="1:28">
      <c r="A322" s="16" t="s">
        <v>378</v>
      </c>
      <c r="B322" s="16" t="s">
        <v>378</v>
      </c>
      <c r="C322" s="16" t="s">
        <v>1680</v>
      </c>
      <c r="D322" s="16" t="s">
        <v>21</v>
      </c>
      <c r="E322" s="16" t="s">
        <v>22</v>
      </c>
      <c r="F322" s="16" t="s">
        <v>379</v>
      </c>
      <c r="G322" s="17" t="str">
        <f>Config!$B$3</f>
        <v>SCH/R_IEC.SchLib</v>
      </c>
      <c r="H322" s="16" t="s">
        <v>419</v>
      </c>
      <c r="I322" s="18" t="s">
        <v>461</v>
      </c>
      <c r="J322" s="16" t="s">
        <v>462</v>
      </c>
      <c r="K322" s="16"/>
      <c r="L322" s="16"/>
      <c r="M322" s="20">
        <v>1600000</v>
      </c>
      <c r="N322" s="17" t="s">
        <v>13979</v>
      </c>
      <c r="O322" s="16" t="s">
        <v>477</v>
      </c>
      <c r="P322" s="16" t="s">
        <v>1681</v>
      </c>
      <c r="Q322" s="16" t="s">
        <v>25</v>
      </c>
      <c r="R322" s="16" t="s">
        <v>1682</v>
      </c>
      <c r="S322" s="16"/>
      <c r="T322" s="16"/>
      <c r="U322" s="16"/>
      <c r="V322" s="16"/>
      <c r="W322" s="17"/>
      <c r="X322" s="17"/>
      <c r="Y322" s="17"/>
      <c r="Z322" s="17"/>
      <c r="AA322" s="17"/>
      <c r="AB322" s="17" t="str">
        <f t="shared" si="5"/>
        <v>GPR06031M6</v>
      </c>
    </row>
    <row r="323" spans="1:28">
      <c r="A323" s="16" t="s">
        <v>380</v>
      </c>
      <c r="B323" s="16" t="s">
        <v>380</v>
      </c>
      <c r="C323" s="16" t="s">
        <v>1683</v>
      </c>
      <c r="D323" s="16" t="s">
        <v>21</v>
      </c>
      <c r="E323" s="16" t="s">
        <v>22</v>
      </c>
      <c r="F323" s="16" t="s">
        <v>381</v>
      </c>
      <c r="G323" s="17" t="str">
        <f>Config!$B$3</f>
        <v>SCH/R_IEC.SchLib</v>
      </c>
      <c r="H323" s="16" t="s">
        <v>419</v>
      </c>
      <c r="I323" s="18" t="s">
        <v>461</v>
      </c>
      <c r="J323" s="16" t="s">
        <v>462</v>
      </c>
      <c r="K323" s="16"/>
      <c r="L323" s="16"/>
      <c r="M323" s="20">
        <v>1800000</v>
      </c>
      <c r="N323" s="17" t="s">
        <v>13979</v>
      </c>
      <c r="O323" s="16" t="s">
        <v>477</v>
      </c>
      <c r="P323" s="16" t="s">
        <v>1684</v>
      </c>
      <c r="Q323" s="16" t="s">
        <v>25</v>
      </c>
      <c r="R323" s="16" t="s">
        <v>1685</v>
      </c>
      <c r="S323" s="16"/>
      <c r="T323" s="16"/>
      <c r="U323" s="16"/>
      <c r="V323" s="16"/>
      <c r="W323" s="17"/>
      <c r="X323" s="17"/>
      <c r="Y323" s="17"/>
      <c r="Z323" s="17"/>
      <c r="AA323" s="17"/>
      <c r="AB323" s="17" t="str">
        <f t="shared" si="5"/>
        <v>GPR06031M8</v>
      </c>
    </row>
    <row r="324" spans="1:28">
      <c r="A324" s="16" t="s">
        <v>382</v>
      </c>
      <c r="B324" s="16" t="s">
        <v>382</v>
      </c>
      <c r="C324" s="16" t="s">
        <v>1686</v>
      </c>
      <c r="D324" s="16" t="s">
        <v>21</v>
      </c>
      <c r="E324" s="16" t="s">
        <v>22</v>
      </c>
      <c r="F324" s="16" t="s">
        <v>383</v>
      </c>
      <c r="G324" s="17" t="str">
        <f>Config!$B$3</f>
        <v>SCH/R_IEC.SchLib</v>
      </c>
      <c r="H324" s="16" t="s">
        <v>419</v>
      </c>
      <c r="I324" s="18" t="s">
        <v>461</v>
      </c>
      <c r="J324" s="16" t="s">
        <v>462</v>
      </c>
      <c r="K324" s="16"/>
      <c r="L324" s="16"/>
      <c r="M324" s="20">
        <v>2000000</v>
      </c>
      <c r="N324" s="17" t="s">
        <v>13979</v>
      </c>
      <c r="O324" s="16" t="s">
        <v>477</v>
      </c>
      <c r="P324" s="16" t="s">
        <v>1687</v>
      </c>
      <c r="Q324" s="16" t="s">
        <v>25</v>
      </c>
      <c r="R324" s="16" t="s">
        <v>1688</v>
      </c>
      <c r="S324" s="16" t="s">
        <v>477</v>
      </c>
      <c r="T324" s="16" t="s">
        <v>1689</v>
      </c>
      <c r="U324" s="16" t="s">
        <v>25</v>
      </c>
      <c r="V324" s="16" t="s">
        <v>1690</v>
      </c>
      <c r="W324" s="17"/>
      <c r="X324" s="17"/>
      <c r="Y324" s="17"/>
      <c r="Z324" s="17"/>
      <c r="AA324" s="17"/>
      <c r="AB324" s="17" t="str">
        <f t="shared" si="5"/>
        <v>GPR06032M</v>
      </c>
    </row>
    <row r="325" spans="1:28">
      <c r="A325" s="16" t="s">
        <v>384</v>
      </c>
      <c r="B325" s="16" t="s">
        <v>384</v>
      </c>
      <c r="C325" s="16" t="s">
        <v>1691</v>
      </c>
      <c r="D325" s="16" t="s">
        <v>21</v>
      </c>
      <c r="E325" s="16" t="s">
        <v>22</v>
      </c>
      <c r="F325" s="16" t="s">
        <v>385</v>
      </c>
      <c r="G325" s="17" t="str">
        <f>Config!$B$3</f>
        <v>SCH/R_IEC.SchLib</v>
      </c>
      <c r="H325" s="16" t="s">
        <v>419</v>
      </c>
      <c r="I325" s="18" t="s">
        <v>461</v>
      </c>
      <c r="J325" s="16" t="s">
        <v>462</v>
      </c>
      <c r="K325" s="16"/>
      <c r="L325" s="16"/>
      <c r="M325" s="20">
        <v>2200000</v>
      </c>
      <c r="N325" s="17" t="s">
        <v>13979</v>
      </c>
      <c r="O325" s="16" t="s">
        <v>477</v>
      </c>
      <c r="P325" s="16" t="s">
        <v>1692</v>
      </c>
      <c r="Q325" s="16" t="s">
        <v>25</v>
      </c>
      <c r="R325" s="16" t="s">
        <v>1693</v>
      </c>
      <c r="S325" s="16" t="s">
        <v>477</v>
      </c>
      <c r="T325" s="16" t="s">
        <v>1694</v>
      </c>
      <c r="U325" s="16" t="s">
        <v>25</v>
      </c>
      <c r="V325" s="16" t="s">
        <v>1695</v>
      </c>
      <c r="W325" s="17"/>
      <c r="X325" s="17"/>
      <c r="Y325" s="17"/>
      <c r="Z325" s="17"/>
      <c r="AA325" s="17"/>
      <c r="AB325" s="17" t="str">
        <f t="shared" si="5"/>
        <v>GPR06032M2</v>
      </c>
    </row>
    <row r="326" spans="1:28">
      <c r="A326" s="16" t="s">
        <v>386</v>
      </c>
      <c r="B326" s="16" t="s">
        <v>386</v>
      </c>
      <c r="C326" s="16" t="s">
        <v>1696</v>
      </c>
      <c r="D326" s="16" t="s">
        <v>21</v>
      </c>
      <c r="E326" s="16" t="s">
        <v>22</v>
      </c>
      <c r="F326" s="16" t="s">
        <v>387</v>
      </c>
      <c r="G326" s="17" t="str">
        <f>Config!$B$3</f>
        <v>SCH/R_IEC.SchLib</v>
      </c>
      <c r="H326" s="16" t="s">
        <v>419</v>
      </c>
      <c r="I326" s="18" t="s">
        <v>461</v>
      </c>
      <c r="J326" s="16" t="s">
        <v>462</v>
      </c>
      <c r="K326" s="16"/>
      <c r="L326" s="16"/>
      <c r="M326" s="20">
        <v>2400000</v>
      </c>
      <c r="N326" s="17" t="s">
        <v>13979</v>
      </c>
      <c r="O326" s="16" t="s">
        <v>477</v>
      </c>
      <c r="P326" s="16" t="s">
        <v>1697</v>
      </c>
      <c r="Q326" s="16" t="s">
        <v>25</v>
      </c>
      <c r="R326" s="16" t="s">
        <v>1698</v>
      </c>
      <c r="S326" s="16"/>
      <c r="T326" s="16"/>
      <c r="U326" s="16"/>
      <c r="V326" s="16"/>
      <c r="W326" s="17"/>
      <c r="X326" s="17"/>
      <c r="Y326" s="17"/>
      <c r="Z326" s="17"/>
      <c r="AA326" s="17"/>
      <c r="AB326" s="17" t="str">
        <f t="shared" si="5"/>
        <v>GPR06032M4</v>
      </c>
    </row>
    <row r="327" spans="1:28">
      <c r="A327" s="16" t="s">
        <v>388</v>
      </c>
      <c r="B327" s="16" t="s">
        <v>388</v>
      </c>
      <c r="C327" s="16" t="s">
        <v>1699</v>
      </c>
      <c r="D327" s="16" t="s">
        <v>21</v>
      </c>
      <c r="E327" s="16" t="s">
        <v>22</v>
      </c>
      <c r="F327" s="16" t="s">
        <v>389</v>
      </c>
      <c r="G327" s="17" t="str">
        <f>Config!$B$3</f>
        <v>SCH/R_IEC.SchLib</v>
      </c>
      <c r="H327" s="16" t="s">
        <v>419</v>
      </c>
      <c r="I327" s="18" t="s">
        <v>461</v>
      </c>
      <c r="J327" s="16" t="s">
        <v>462</v>
      </c>
      <c r="K327" s="16"/>
      <c r="L327" s="16"/>
      <c r="M327" s="20">
        <v>2700000</v>
      </c>
      <c r="N327" s="17" t="s">
        <v>13979</v>
      </c>
      <c r="O327" s="16" t="s">
        <v>477</v>
      </c>
      <c r="P327" s="16" t="s">
        <v>1700</v>
      </c>
      <c r="Q327" s="16" t="s">
        <v>25</v>
      </c>
      <c r="R327" s="16" t="s">
        <v>1701</v>
      </c>
      <c r="S327" s="16"/>
      <c r="T327" s="16"/>
      <c r="U327" s="16"/>
      <c r="V327" s="16"/>
      <c r="W327" s="17"/>
      <c r="X327" s="17"/>
      <c r="Y327" s="17"/>
      <c r="Z327" s="17"/>
      <c r="AA327" s="17"/>
      <c r="AB327" s="17" t="str">
        <f t="shared" si="5"/>
        <v>GPR06032M7</v>
      </c>
    </row>
    <row r="328" spans="1:28">
      <c r="A328" s="16" t="s">
        <v>390</v>
      </c>
      <c r="B328" s="16" t="s">
        <v>390</v>
      </c>
      <c r="C328" s="16" t="s">
        <v>1702</v>
      </c>
      <c r="D328" s="16" t="s">
        <v>21</v>
      </c>
      <c r="E328" s="16" t="s">
        <v>22</v>
      </c>
      <c r="F328" s="16" t="s">
        <v>391</v>
      </c>
      <c r="G328" s="17" t="str">
        <f>Config!$B$3</f>
        <v>SCH/R_IEC.SchLib</v>
      </c>
      <c r="H328" s="16" t="s">
        <v>419</v>
      </c>
      <c r="I328" s="18" t="s">
        <v>461</v>
      </c>
      <c r="J328" s="16" t="s">
        <v>462</v>
      </c>
      <c r="K328" s="16"/>
      <c r="L328" s="16"/>
      <c r="M328" s="20">
        <v>3000000</v>
      </c>
      <c r="N328" s="17" t="s">
        <v>13979</v>
      </c>
      <c r="O328" s="16" t="s">
        <v>477</v>
      </c>
      <c r="P328" s="16" t="s">
        <v>1703</v>
      </c>
      <c r="Q328" s="16" t="s">
        <v>25</v>
      </c>
      <c r="R328" s="16" t="s">
        <v>1704</v>
      </c>
      <c r="S328" s="16"/>
      <c r="T328" s="16"/>
      <c r="U328" s="16"/>
      <c r="V328" s="16"/>
      <c r="W328" s="17"/>
      <c r="X328" s="17"/>
      <c r="Y328" s="17"/>
      <c r="Z328" s="17"/>
      <c r="AA328" s="17"/>
      <c r="AB328" s="17" t="str">
        <f t="shared" si="5"/>
        <v>GPR06033M</v>
      </c>
    </row>
    <row r="329" spans="1:28">
      <c r="A329" s="16" t="s">
        <v>392</v>
      </c>
      <c r="B329" s="16" t="s">
        <v>392</v>
      </c>
      <c r="C329" s="16" t="s">
        <v>1705</v>
      </c>
      <c r="D329" s="16" t="s">
        <v>21</v>
      </c>
      <c r="E329" s="16" t="s">
        <v>22</v>
      </c>
      <c r="F329" s="16" t="s">
        <v>393</v>
      </c>
      <c r="G329" s="17" t="str">
        <f>Config!$B$3</f>
        <v>SCH/R_IEC.SchLib</v>
      </c>
      <c r="H329" s="16" t="s">
        <v>419</v>
      </c>
      <c r="I329" s="18" t="s">
        <v>461</v>
      </c>
      <c r="J329" s="16" t="s">
        <v>462</v>
      </c>
      <c r="K329" s="16"/>
      <c r="L329" s="16"/>
      <c r="M329" s="20">
        <v>3300000</v>
      </c>
      <c r="N329" s="17" t="s">
        <v>13979</v>
      </c>
      <c r="O329" s="16" t="s">
        <v>477</v>
      </c>
      <c r="P329" s="16" t="s">
        <v>1706</v>
      </c>
      <c r="Q329" s="16" t="s">
        <v>25</v>
      </c>
      <c r="R329" s="16" t="s">
        <v>1707</v>
      </c>
      <c r="S329" s="16"/>
      <c r="T329" s="16"/>
      <c r="U329" s="16"/>
      <c r="V329" s="16"/>
      <c r="W329" s="17"/>
      <c r="X329" s="17"/>
      <c r="Y329" s="17"/>
      <c r="Z329" s="17"/>
      <c r="AA329" s="17"/>
      <c r="AB329" s="17" t="str">
        <f t="shared" si="5"/>
        <v>GPR06033M3</v>
      </c>
    </row>
    <row r="330" spans="1:28">
      <c r="A330" s="16" t="s">
        <v>394</v>
      </c>
      <c r="B330" s="16" t="s">
        <v>394</v>
      </c>
      <c r="C330" s="16" t="s">
        <v>1708</v>
      </c>
      <c r="D330" s="16" t="s">
        <v>21</v>
      </c>
      <c r="E330" s="16" t="s">
        <v>22</v>
      </c>
      <c r="F330" s="16" t="s">
        <v>395</v>
      </c>
      <c r="G330" s="17" t="str">
        <f>Config!$B$3</f>
        <v>SCH/R_IEC.SchLib</v>
      </c>
      <c r="H330" s="16" t="s">
        <v>419</v>
      </c>
      <c r="I330" s="18" t="s">
        <v>461</v>
      </c>
      <c r="J330" s="16" t="s">
        <v>462</v>
      </c>
      <c r="K330" s="16"/>
      <c r="L330" s="16"/>
      <c r="M330" s="20">
        <v>3600000</v>
      </c>
      <c r="N330" s="17" t="s">
        <v>13979</v>
      </c>
      <c r="O330" s="16" t="s">
        <v>477</v>
      </c>
      <c r="P330" s="16" t="s">
        <v>1709</v>
      </c>
      <c r="Q330" s="16" t="s">
        <v>25</v>
      </c>
      <c r="R330" s="16" t="s">
        <v>1710</v>
      </c>
      <c r="S330" s="16"/>
      <c r="T330" s="16"/>
      <c r="U330" s="16"/>
      <c r="V330" s="16"/>
      <c r="W330" s="17"/>
      <c r="X330" s="17"/>
      <c r="Y330" s="17"/>
      <c r="Z330" s="17"/>
      <c r="AA330" s="17"/>
      <c r="AB330" s="17" t="str">
        <f t="shared" si="5"/>
        <v>GPR06033M6</v>
      </c>
    </row>
    <row r="331" spans="1:28">
      <c r="A331" s="16" t="s">
        <v>396</v>
      </c>
      <c r="B331" s="16" t="s">
        <v>396</v>
      </c>
      <c r="C331" s="16" t="s">
        <v>1711</v>
      </c>
      <c r="D331" s="16" t="s">
        <v>21</v>
      </c>
      <c r="E331" s="16" t="s">
        <v>22</v>
      </c>
      <c r="F331" s="16" t="s">
        <v>397</v>
      </c>
      <c r="G331" s="17" t="str">
        <f>Config!$B$3</f>
        <v>SCH/R_IEC.SchLib</v>
      </c>
      <c r="H331" s="16" t="s">
        <v>419</v>
      </c>
      <c r="I331" s="18" t="s">
        <v>461</v>
      </c>
      <c r="J331" s="16" t="s">
        <v>462</v>
      </c>
      <c r="K331" s="16"/>
      <c r="L331" s="16"/>
      <c r="M331" s="20">
        <v>3900000</v>
      </c>
      <c r="N331" s="17" t="s">
        <v>13979</v>
      </c>
      <c r="O331" s="16" t="s">
        <v>477</v>
      </c>
      <c r="P331" s="16" t="s">
        <v>1712</v>
      </c>
      <c r="Q331" s="16" t="s">
        <v>25</v>
      </c>
      <c r="R331" s="16" t="s">
        <v>1713</v>
      </c>
      <c r="S331" s="16"/>
      <c r="T331" s="16"/>
      <c r="U331" s="16"/>
      <c r="V331" s="16"/>
      <c r="W331" s="17"/>
      <c r="X331" s="17"/>
      <c r="Y331" s="17"/>
      <c r="Z331" s="17"/>
      <c r="AA331" s="17"/>
      <c r="AB331" s="17" t="str">
        <f t="shared" si="5"/>
        <v>GPR06033M9</v>
      </c>
    </row>
    <row r="332" spans="1:28">
      <c r="A332" s="16" t="s">
        <v>398</v>
      </c>
      <c r="B332" s="16" t="s">
        <v>398</v>
      </c>
      <c r="C332" s="16" t="s">
        <v>1714</v>
      </c>
      <c r="D332" s="16" t="s">
        <v>21</v>
      </c>
      <c r="E332" s="16" t="s">
        <v>22</v>
      </c>
      <c r="F332" s="16" t="s">
        <v>399</v>
      </c>
      <c r="G332" s="17" t="str">
        <f>Config!$B$3</f>
        <v>SCH/R_IEC.SchLib</v>
      </c>
      <c r="H332" s="16" t="s">
        <v>419</v>
      </c>
      <c r="I332" s="18" t="s">
        <v>461</v>
      </c>
      <c r="J332" s="16" t="s">
        <v>462</v>
      </c>
      <c r="K332" s="16"/>
      <c r="L332" s="16"/>
      <c r="M332" s="20">
        <v>4300000</v>
      </c>
      <c r="N332" s="17" t="s">
        <v>13979</v>
      </c>
      <c r="O332" s="16" t="s">
        <v>477</v>
      </c>
      <c r="P332" s="16" t="s">
        <v>1715</v>
      </c>
      <c r="Q332" s="16" t="s">
        <v>25</v>
      </c>
      <c r="R332" s="16" t="s">
        <v>1716</v>
      </c>
      <c r="S332" s="16"/>
      <c r="T332" s="16"/>
      <c r="U332" s="16"/>
      <c r="V332" s="16"/>
      <c r="W332" s="17"/>
      <c r="X332" s="17"/>
      <c r="Y332" s="17"/>
      <c r="Z332" s="17"/>
      <c r="AA332" s="17"/>
      <c r="AB332" s="17" t="str">
        <f t="shared" si="5"/>
        <v>GPR06034M3</v>
      </c>
    </row>
    <row r="333" spans="1:28">
      <c r="A333" s="16" t="s">
        <v>400</v>
      </c>
      <c r="B333" s="16" t="s">
        <v>400</v>
      </c>
      <c r="C333" s="16" t="s">
        <v>1717</v>
      </c>
      <c r="D333" s="16" t="s">
        <v>21</v>
      </c>
      <c r="E333" s="16" t="s">
        <v>22</v>
      </c>
      <c r="F333" s="16" t="s">
        <v>401</v>
      </c>
      <c r="G333" s="17" t="str">
        <f>Config!$B$3</f>
        <v>SCH/R_IEC.SchLib</v>
      </c>
      <c r="H333" s="16" t="s">
        <v>419</v>
      </c>
      <c r="I333" s="18" t="s">
        <v>461</v>
      </c>
      <c r="J333" s="16" t="s">
        <v>462</v>
      </c>
      <c r="K333" s="16"/>
      <c r="L333" s="16"/>
      <c r="M333" s="20">
        <v>4700000</v>
      </c>
      <c r="N333" s="17" t="s">
        <v>13979</v>
      </c>
      <c r="O333" s="16" t="s">
        <v>477</v>
      </c>
      <c r="P333" s="16" t="s">
        <v>1718</v>
      </c>
      <c r="Q333" s="16" t="s">
        <v>25</v>
      </c>
      <c r="R333" s="16" t="s">
        <v>1719</v>
      </c>
      <c r="S333" s="16" t="s">
        <v>477</v>
      </c>
      <c r="T333" s="16" t="s">
        <v>1720</v>
      </c>
      <c r="U333" s="16" t="s">
        <v>25</v>
      </c>
      <c r="V333" s="16" t="s">
        <v>1721</v>
      </c>
      <c r="W333" s="17"/>
      <c r="X333" s="17"/>
      <c r="Y333" s="17"/>
      <c r="Z333" s="17"/>
      <c r="AA333" s="17"/>
      <c r="AB333" s="17" t="str">
        <f t="shared" si="5"/>
        <v>GPR06034M7</v>
      </c>
    </row>
    <row r="334" spans="1:28">
      <c r="A334" s="16" t="s">
        <v>402</v>
      </c>
      <c r="B334" s="16" t="s">
        <v>402</v>
      </c>
      <c r="C334" s="16" t="s">
        <v>1722</v>
      </c>
      <c r="D334" s="16" t="s">
        <v>21</v>
      </c>
      <c r="E334" s="16" t="s">
        <v>22</v>
      </c>
      <c r="F334" s="16" t="s">
        <v>403</v>
      </c>
      <c r="G334" s="17" t="str">
        <f>Config!$B$3</f>
        <v>SCH/R_IEC.SchLib</v>
      </c>
      <c r="H334" s="16" t="s">
        <v>419</v>
      </c>
      <c r="I334" s="18" t="s">
        <v>461</v>
      </c>
      <c r="J334" s="16" t="s">
        <v>462</v>
      </c>
      <c r="K334" s="16"/>
      <c r="L334" s="16"/>
      <c r="M334" s="20">
        <v>5100000</v>
      </c>
      <c r="N334" s="17" t="s">
        <v>13979</v>
      </c>
      <c r="O334" s="16" t="s">
        <v>477</v>
      </c>
      <c r="P334" s="16" t="s">
        <v>1723</v>
      </c>
      <c r="Q334" s="16" t="s">
        <v>25</v>
      </c>
      <c r="R334" s="16" t="s">
        <v>1724</v>
      </c>
      <c r="S334" s="16"/>
      <c r="T334" s="16"/>
      <c r="U334" s="16"/>
      <c r="V334" s="16"/>
      <c r="W334" s="17"/>
      <c r="X334" s="17"/>
      <c r="Y334" s="17"/>
      <c r="Z334" s="17"/>
      <c r="AA334" s="17"/>
      <c r="AB334" s="17" t="str">
        <f t="shared" si="5"/>
        <v>GPR06035M1</v>
      </c>
    </row>
    <row r="335" spans="1:28">
      <c r="A335" s="16" t="s">
        <v>404</v>
      </c>
      <c r="B335" s="16" t="s">
        <v>404</v>
      </c>
      <c r="C335" s="16" t="s">
        <v>1725</v>
      </c>
      <c r="D335" s="16" t="s">
        <v>21</v>
      </c>
      <c r="E335" s="16" t="s">
        <v>22</v>
      </c>
      <c r="F335" s="16" t="s">
        <v>405</v>
      </c>
      <c r="G335" s="17" t="str">
        <f>Config!$B$3</f>
        <v>SCH/R_IEC.SchLib</v>
      </c>
      <c r="H335" s="16" t="s">
        <v>419</v>
      </c>
      <c r="I335" s="18" t="s">
        <v>461</v>
      </c>
      <c r="J335" s="16" t="s">
        <v>462</v>
      </c>
      <c r="K335" s="16"/>
      <c r="L335" s="16"/>
      <c r="M335" s="20">
        <v>5600000</v>
      </c>
      <c r="N335" s="17" t="s">
        <v>13979</v>
      </c>
      <c r="O335" s="16" t="s">
        <v>477</v>
      </c>
      <c r="P335" s="16" t="s">
        <v>1726</v>
      </c>
      <c r="Q335" s="16" t="s">
        <v>25</v>
      </c>
      <c r="R335" s="16" t="s">
        <v>1727</v>
      </c>
      <c r="S335" s="16"/>
      <c r="T335" s="16"/>
      <c r="U335" s="16"/>
      <c r="V335" s="16"/>
      <c r="W335" s="17"/>
      <c r="X335" s="17"/>
      <c r="Y335" s="17"/>
      <c r="Z335" s="17"/>
      <c r="AA335" s="17"/>
      <c r="AB335" s="17" t="str">
        <f t="shared" si="5"/>
        <v>GPR06035M6</v>
      </c>
    </row>
    <row r="336" spans="1:28">
      <c r="A336" s="16" t="s">
        <v>406</v>
      </c>
      <c r="B336" s="16" t="s">
        <v>406</v>
      </c>
      <c r="C336" s="16" t="s">
        <v>1728</v>
      </c>
      <c r="D336" s="16" t="s">
        <v>21</v>
      </c>
      <c r="E336" s="16" t="s">
        <v>22</v>
      </c>
      <c r="F336" s="16" t="s">
        <v>407</v>
      </c>
      <c r="G336" s="17" t="str">
        <f>Config!$B$3</f>
        <v>SCH/R_IEC.SchLib</v>
      </c>
      <c r="H336" s="16" t="s">
        <v>419</v>
      </c>
      <c r="I336" s="18" t="s">
        <v>461</v>
      </c>
      <c r="J336" s="16" t="s">
        <v>462</v>
      </c>
      <c r="K336" s="16"/>
      <c r="L336" s="16"/>
      <c r="M336" s="20">
        <v>6200000</v>
      </c>
      <c r="N336" s="17" t="s">
        <v>13979</v>
      </c>
      <c r="O336" s="16" t="s">
        <v>477</v>
      </c>
      <c r="P336" s="16" t="s">
        <v>1729</v>
      </c>
      <c r="Q336" s="16" t="s">
        <v>25</v>
      </c>
      <c r="R336" s="16" t="s">
        <v>1730</v>
      </c>
      <c r="S336" s="16"/>
      <c r="T336" s="16"/>
      <c r="U336" s="16"/>
      <c r="V336" s="16"/>
      <c r="W336" s="17"/>
      <c r="X336" s="17"/>
      <c r="Y336" s="17"/>
      <c r="Z336" s="17"/>
      <c r="AA336" s="17"/>
      <c r="AB336" s="17" t="str">
        <f t="shared" si="5"/>
        <v>GPR06036M2</v>
      </c>
    </row>
    <row r="337" spans="1:28" ht="15.75">
      <c r="A337" s="16" t="s">
        <v>408</v>
      </c>
      <c r="B337" s="16" t="s">
        <v>408</v>
      </c>
      <c r="C337" s="16" t="s">
        <v>1731</v>
      </c>
      <c r="D337" s="16" t="s">
        <v>21</v>
      </c>
      <c r="E337" s="16" t="s">
        <v>22</v>
      </c>
      <c r="F337" s="16" t="s">
        <v>409</v>
      </c>
      <c r="G337" s="17" t="str">
        <f>Config!$B$3</f>
        <v>SCH/R_IEC.SchLib</v>
      </c>
      <c r="H337" s="16" t="s">
        <v>419</v>
      </c>
      <c r="I337" s="18" t="s">
        <v>461</v>
      </c>
      <c r="J337" s="16" t="s">
        <v>462</v>
      </c>
      <c r="K337" s="16"/>
      <c r="L337" s="16"/>
      <c r="M337" s="20">
        <v>6800000</v>
      </c>
      <c r="N337" s="17" t="s">
        <v>13979</v>
      </c>
      <c r="O337" s="16" t="s">
        <v>477</v>
      </c>
      <c r="P337" s="16" t="s">
        <v>1732</v>
      </c>
      <c r="Q337" s="16" t="s">
        <v>25</v>
      </c>
      <c r="R337" s="16" t="s">
        <v>1733</v>
      </c>
      <c r="S337" s="16"/>
      <c r="T337" s="16"/>
      <c r="U337" s="16"/>
      <c r="V337" s="16"/>
      <c r="W337" s="8" t="s">
        <v>6379</v>
      </c>
      <c r="X337" s="8" t="s">
        <v>13486</v>
      </c>
      <c r="Y337" t="s">
        <v>4559</v>
      </c>
      <c r="Z337" s="8" t="s">
        <v>13485</v>
      </c>
      <c r="AA337" s="17" t="s">
        <v>4727</v>
      </c>
      <c r="AB337" s="17" t="str">
        <f t="shared" si="5"/>
        <v>GPR06036M8</v>
      </c>
    </row>
    <row r="338" spans="1:28">
      <c r="A338" s="16" t="s">
        <v>410</v>
      </c>
      <c r="B338" s="16" t="s">
        <v>410</v>
      </c>
      <c r="C338" s="16" t="s">
        <v>1734</v>
      </c>
      <c r="D338" s="16" t="s">
        <v>21</v>
      </c>
      <c r="E338" s="16" t="s">
        <v>22</v>
      </c>
      <c r="F338" s="16" t="s">
        <v>411</v>
      </c>
      <c r="G338" s="17" t="str">
        <f>Config!$B$3</f>
        <v>SCH/R_IEC.SchLib</v>
      </c>
      <c r="H338" s="16" t="s">
        <v>419</v>
      </c>
      <c r="I338" s="16" t="s">
        <v>461</v>
      </c>
      <c r="J338" s="16" t="s">
        <v>462</v>
      </c>
      <c r="K338" s="16"/>
      <c r="L338" s="16"/>
      <c r="M338" s="20">
        <v>7500000</v>
      </c>
      <c r="N338" s="17" t="s">
        <v>13979</v>
      </c>
      <c r="O338" s="16" t="s">
        <v>477</v>
      </c>
      <c r="P338" s="16" t="s">
        <v>1735</v>
      </c>
      <c r="Q338" s="16" t="s">
        <v>25</v>
      </c>
      <c r="R338" s="16" t="s">
        <v>1736</v>
      </c>
      <c r="S338" s="16"/>
      <c r="T338" s="16"/>
      <c r="U338" s="16"/>
      <c r="V338" s="16"/>
      <c r="W338" s="17"/>
      <c r="X338" s="17"/>
      <c r="Y338" s="17"/>
      <c r="Z338" s="17"/>
      <c r="AA338" s="17"/>
      <c r="AB338" s="17" t="str">
        <f t="shared" si="5"/>
        <v>GPR06037M5</v>
      </c>
    </row>
    <row r="339" spans="1:28" ht="16.5">
      <c r="A339" s="17" t="s">
        <v>412</v>
      </c>
      <c r="B339" s="17" t="s">
        <v>412</v>
      </c>
      <c r="C339" s="17" t="s">
        <v>1737</v>
      </c>
      <c r="D339" s="17" t="s">
        <v>21</v>
      </c>
      <c r="E339" s="24" t="s">
        <v>22</v>
      </c>
      <c r="F339" s="17" t="s">
        <v>413</v>
      </c>
      <c r="G339" s="17" t="str">
        <f>Config!$B$3</f>
        <v>SCH/R_IEC.SchLib</v>
      </c>
      <c r="H339" s="17" t="s">
        <v>419</v>
      </c>
      <c r="I339" s="17" t="s">
        <v>461</v>
      </c>
      <c r="J339" s="17" t="s">
        <v>462</v>
      </c>
      <c r="K339" s="17"/>
      <c r="L339" s="17"/>
      <c r="M339" s="21">
        <v>8200000</v>
      </c>
      <c r="N339" s="17" t="s">
        <v>13979</v>
      </c>
      <c r="O339" s="17" t="s">
        <v>477</v>
      </c>
      <c r="P339" s="17" t="s">
        <v>1738</v>
      </c>
      <c r="Q339" s="17" t="s">
        <v>25</v>
      </c>
      <c r="R339" s="17" t="s">
        <v>1739</v>
      </c>
      <c r="S339" s="17"/>
      <c r="T339" s="17"/>
      <c r="U339" s="17"/>
      <c r="V339" s="17"/>
      <c r="W339" s="9" t="s">
        <v>6379</v>
      </c>
      <c r="X339" s="9" t="s">
        <v>13580</v>
      </c>
      <c r="Y339" s="17" t="s">
        <v>4559</v>
      </c>
      <c r="Z339" s="9" t="s">
        <v>13579</v>
      </c>
      <c r="AA339" s="9" t="s">
        <v>4727</v>
      </c>
      <c r="AB339" s="17" t="str">
        <f t="shared" si="5"/>
        <v>GPR06038M2</v>
      </c>
    </row>
    <row r="340" spans="1:28">
      <c r="A340" s="17" t="s">
        <v>414</v>
      </c>
      <c r="B340" s="17" t="s">
        <v>414</v>
      </c>
      <c r="C340" s="17" t="s">
        <v>1740</v>
      </c>
      <c r="D340" s="17" t="s">
        <v>21</v>
      </c>
      <c r="E340" s="24" t="s">
        <v>22</v>
      </c>
      <c r="F340" s="17" t="s">
        <v>415</v>
      </c>
      <c r="G340" s="17" t="str">
        <f>Config!$B$3</f>
        <v>SCH/R_IEC.SchLib</v>
      </c>
      <c r="H340" s="17" t="s">
        <v>419</v>
      </c>
      <c r="I340" s="17" t="s">
        <v>461</v>
      </c>
      <c r="J340" s="17" t="s">
        <v>462</v>
      </c>
      <c r="K340" s="17"/>
      <c r="L340" s="17"/>
      <c r="M340" s="21">
        <v>9100000</v>
      </c>
      <c r="N340" s="17" t="s">
        <v>13979</v>
      </c>
      <c r="O340" s="17" t="s">
        <v>477</v>
      </c>
      <c r="P340" s="17" t="s">
        <v>1741</v>
      </c>
      <c r="Q340" s="17" t="s">
        <v>25</v>
      </c>
      <c r="R340" s="17" t="s">
        <v>1742</v>
      </c>
      <c r="S340" s="17"/>
      <c r="T340" s="17"/>
      <c r="U340" s="17"/>
      <c r="V340" s="17"/>
      <c r="W340" s="17"/>
      <c r="X340" s="17"/>
      <c r="Y340" s="17"/>
      <c r="Z340" s="17"/>
      <c r="AA340" s="17"/>
      <c r="AB340" s="17" t="str">
        <f t="shared" si="5"/>
        <v>GPR06039M1</v>
      </c>
    </row>
    <row r="341" spans="1:28">
      <c r="A341" s="17" t="s">
        <v>416</v>
      </c>
      <c r="B341" s="17" t="s">
        <v>416</v>
      </c>
      <c r="C341" s="17" t="s">
        <v>1743</v>
      </c>
      <c r="D341" s="17" t="s">
        <v>21</v>
      </c>
      <c r="E341" s="24" t="s">
        <v>22</v>
      </c>
      <c r="F341" s="17" t="s">
        <v>417</v>
      </c>
      <c r="G341" s="17" t="str">
        <f>Config!$B$3</f>
        <v>SCH/R_IEC.SchLib</v>
      </c>
      <c r="H341" s="17" t="s">
        <v>419</v>
      </c>
      <c r="I341" s="17" t="s">
        <v>461</v>
      </c>
      <c r="J341" s="17" t="s">
        <v>462</v>
      </c>
      <c r="K341" s="17"/>
      <c r="L341" s="17"/>
      <c r="M341" s="21">
        <v>10000000</v>
      </c>
      <c r="N341" s="17" t="s">
        <v>13979</v>
      </c>
      <c r="O341" s="17" t="s">
        <v>477</v>
      </c>
      <c r="P341" s="17" t="s">
        <v>1744</v>
      </c>
      <c r="Q341" s="17" t="s">
        <v>25</v>
      </c>
      <c r="R341" s="17" t="s">
        <v>1745</v>
      </c>
      <c r="S341" s="17" t="s">
        <v>477</v>
      </c>
      <c r="T341" s="17" t="s">
        <v>1746</v>
      </c>
      <c r="U341" s="17" t="s">
        <v>25</v>
      </c>
      <c r="V341" s="17" t="s">
        <v>1747</v>
      </c>
      <c r="W341" s="17" t="s">
        <v>4729</v>
      </c>
      <c r="X341" s="17" t="s">
        <v>4742</v>
      </c>
      <c r="Y341" s="17" t="s">
        <v>4559</v>
      </c>
      <c r="Z341" s="17" t="s">
        <v>4743</v>
      </c>
      <c r="AA341" s="17" t="s">
        <v>4728</v>
      </c>
      <c r="AB341" s="17" t="str">
        <f t="shared" si="5"/>
        <v>GPR060310M</v>
      </c>
    </row>
    <row r="342" spans="1:28">
      <c r="A342" s="17" t="s">
        <v>14007</v>
      </c>
      <c r="B342" s="17" t="s">
        <v>14007</v>
      </c>
      <c r="C342" s="17" t="s">
        <v>14008</v>
      </c>
      <c r="D342" s="17" t="s">
        <v>21</v>
      </c>
      <c r="E342" s="24" t="s">
        <v>22</v>
      </c>
      <c r="F342" s="17" t="s">
        <v>417</v>
      </c>
      <c r="G342" s="17" t="str">
        <f>Config!$B$3</f>
        <v>SCH/R_IEC.SchLib</v>
      </c>
      <c r="H342" s="17" t="s">
        <v>419</v>
      </c>
      <c r="I342" s="17" t="s">
        <v>461</v>
      </c>
      <c r="J342" s="17" t="s">
        <v>462</v>
      </c>
      <c r="K342" s="17"/>
      <c r="L342" s="17"/>
      <c r="M342" s="21">
        <v>10000000</v>
      </c>
      <c r="N342" s="17" t="s">
        <v>13980</v>
      </c>
      <c r="O342" s="17" t="s">
        <v>477</v>
      </c>
      <c r="P342" s="17" t="s">
        <v>14009</v>
      </c>
      <c r="Q342" t="s">
        <v>25</v>
      </c>
      <c r="R342" s="17" t="s">
        <v>14010</v>
      </c>
      <c r="S342" s="17"/>
      <c r="T342" s="17"/>
      <c r="U342" s="17"/>
      <c r="V342" s="17"/>
      <c r="W342" s="17" t="s">
        <v>477</v>
      </c>
      <c r="X342" s="17" t="s">
        <v>14009</v>
      </c>
      <c r="Y342" t="s">
        <v>4559</v>
      </c>
      <c r="Z342" s="17" t="s">
        <v>14011</v>
      </c>
      <c r="AA342" t="s">
        <v>4727</v>
      </c>
      <c r="AB342" s="17"/>
    </row>
    <row r="343" spans="1:28" ht="15.75">
      <c r="A343" s="17" t="s">
        <v>418</v>
      </c>
      <c r="B343" s="17" t="s">
        <v>418</v>
      </c>
      <c r="C343" s="17" t="s">
        <v>1751</v>
      </c>
      <c r="D343" s="17" t="s">
        <v>21</v>
      </c>
      <c r="E343" s="24" t="s">
        <v>6446</v>
      </c>
      <c r="F343" s="17" t="s">
        <v>23</v>
      </c>
      <c r="G343" s="17" t="str">
        <f>Config!$B$3</f>
        <v>SCH/R_IEC.SchLib</v>
      </c>
      <c r="H343" s="17" t="s">
        <v>419</v>
      </c>
      <c r="I343" s="17" t="s">
        <v>461</v>
      </c>
      <c r="J343" s="17" t="s">
        <v>1752</v>
      </c>
      <c r="K343" s="17"/>
      <c r="L343" s="17"/>
      <c r="M343" s="17">
        <v>0</v>
      </c>
      <c r="N343" s="17" t="s">
        <v>13979</v>
      </c>
      <c r="O343" s="17" t="s">
        <v>477</v>
      </c>
      <c r="P343" s="17" t="s">
        <v>2645</v>
      </c>
      <c r="Q343" s="17" t="s">
        <v>25</v>
      </c>
      <c r="R343" s="17" t="s">
        <v>2648</v>
      </c>
      <c r="S343" s="17" t="s">
        <v>477</v>
      </c>
      <c r="T343" s="17" t="s">
        <v>2646</v>
      </c>
      <c r="U343" s="17" t="s">
        <v>25</v>
      </c>
      <c r="V343" s="17" t="s">
        <v>2647</v>
      </c>
      <c r="W343" s="17" t="s">
        <v>4729</v>
      </c>
      <c r="X343" s="8" t="s">
        <v>13480</v>
      </c>
      <c r="Y343" t="s">
        <v>4559</v>
      </c>
      <c r="Z343" s="8" t="s">
        <v>13481</v>
      </c>
      <c r="AA343" t="s">
        <v>4728</v>
      </c>
      <c r="AB343" s="17" t="str">
        <f t="shared" si="5"/>
        <v>GPR08050R</v>
      </c>
    </row>
    <row r="344" spans="1:28">
      <c r="A344" s="17" t="s">
        <v>1750</v>
      </c>
      <c r="B344" s="17" t="s">
        <v>1750</v>
      </c>
      <c r="C344" s="17" t="s">
        <v>1751</v>
      </c>
      <c r="D344" s="17" t="s">
        <v>21</v>
      </c>
      <c r="E344" s="24" t="s">
        <v>6446</v>
      </c>
      <c r="F344" s="17" t="s">
        <v>29</v>
      </c>
      <c r="G344" s="17" t="str">
        <f>Config!$B$3</f>
        <v>SCH/R_IEC.SchLib</v>
      </c>
      <c r="H344" s="17" t="s">
        <v>419</v>
      </c>
      <c r="I344" s="17" t="s">
        <v>461</v>
      </c>
      <c r="J344" s="17" t="s">
        <v>1752</v>
      </c>
      <c r="K344" s="17"/>
      <c r="L344" s="17"/>
      <c r="M344" s="17">
        <v>1</v>
      </c>
      <c r="N344" s="17" t="s">
        <v>13979</v>
      </c>
      <c r="O344" s="17" t="s">
        <v>477</v>
      </c>
      <c r="P344" s="17" t="s">
        <v>1753</v>
      </c>
      <c r="Q344" s="17" t="s">
        <v>25</v>
      </c>
      <c r="R344" s="17" t="s">
        <v>1754</v>
      </c>
      <c r="S344" s="17" t="s">
        <v>477</v>
      </c>
      <c r="T344" s="17" t="s">
        <v>1755</v>
      </c>
      <c r="U344" s="17" t="s">
        <v>25</v>
      </c>
      <c r="V344" s="17" t="s">
        <v>1756</v>
      </c>
      <c r="W344" s="17" t="s">
        <v>4729</v>
      </c>
      <c r="X344" s="17" t="s">
        <v>4756</v>
      </c>
      <c r="Y344" s="17" t="s">
        <v>4559</v>
      </c>
      <c r="Z344" s="17" t="s">
        <v>4757</v>
      </c>
      <c r="AA344" s="17" t="s">
        <v>4728</v>
      </c>
      <c r="AB344" s="17" t="str">
        <f t="shared" si="5"/>
        <v>GPR08051R</v>
      </c>
    </row>
    <row r="345" spans="1:28">
      <c r="A345" s="17" t="s">
        <v>1757</v>
      </c>
      <c r="B345" s="17" t="s">
        <v>1757</v>
      </c>
      <c r="C345" s="17" t="s">
        <v>1758</v>
      </c>
      <c r="D345" s="17" t="s">
        <v>21</v>
      </c>
      <c r="E345" s="24" t="s">
        <v>6446</v>
      </c>
      <c r="F345" s="17" t="s">
        <v>1042</v>
      </c>
      <c r="G345" s="17" t="str">
        <f>Config!$B$3</f>
        <v>SCH/R_IEC.SchLib</v>
      </c>
      <c r="H345" s="17" t="s">
        <v>419</v>
      </c>
      <c r="I345" s="17" t="s">
        <v>461</v>
      </c>
      <c r="J345" s="17" t="s">
        <v>1752</v>
      </c>
      <c r="K345" s="17"/>
      <c r="L345" s="17"/>
      <c r="M345" s="17">
        <v>1.1000000000000001</v>
      </c>
      <c r="N345" s="17" t="s">
        <v>13979</v>
      </c>
      <c r="O345" s="17" t="s">
        <v>477</v>
      </c>
      <c r="P345" s="17" t="s">
        <v>1759</v>
      </c>
      <c r="Q345" s="17" t="s">
        <v>25</v>
      </c>
      <c r="R345" s="17" t="s">
        <v>1760</v>
      </c>
      <c r="S345" s="17"/>
      <c r="T345" s="17"/>
      <c r="U345" s="17"/>
      <c r="V345" s="17"/>
      <c r="W345" s="17"/>
      <c r="X345" s="17"/>
      <c r="Y345" s="17"/>
      <c r="Z345" s="17"/>
      <c r="AA345" s="17"/>
      <c r="AB345" s="17" t="str">
        <f t="shared" si="5"/>
        <v>GPR08051R1</v>
      </c>
    </row>
    <row r="346" spans="1:28">
      <c r="A346" s="17" t="s">
        <v>1761</v>
      </c>
      <c r="B346" s="17" t="s">
        <v>1761</v>
      </c>
      <c r="C346" s="17" t="s">
        <v>1762</v>
      </c>
      <c r="D346" s="17" t="s">
        <v>21</v>
      </c>
      <c r="E346" s="24" t="s">
        <v>6446</v>
      </c>
      <c r="F346" s="17" t="s">
        <v>31</v>
      </c>
      <c r="G346" s="17" t="str">
        <f>Config!$B$3</f>
        <v>SCH/R_IEC.SchLib</v>
      </c>
      <c r="H346" s="17" t="s">
        <v>419</v>
      </c>
      <c r="I346" s="17" t="s">
        <v>461</v>
      </c>
      <c r="J346" s="17" t="s">
        <v>1752</v>
      </c>
      <c r="K346" s="17"/>
      <c r="L346" s="17"/>
      <c r="M346" s="17">
        <v>1.2</v>
      </c>
      <c r="N346" s="17" t="s">
        <v>13979</v>
      </c>
      <c r="O346" s="17" t="s">
        <v>477</v>
      </c>
      <c r="P346" s="17" t="s">
        <v>1763</v>
      </c>
      <c r="Q346" s="17" t="s">
        <v>25</v>
      </c>
      <c r="R346" s="17" t="s">
        <v>1764</v>
      </c>
      <c r="S346" s="17" t="s">
        <v>477</v>
      </c>
      <c r="T346" s="17" t="s">
        <v>1765</v>
      </c>
      <c r="U346" s="17" t="s">
        <v>25</v>
      </c>
      <c r="V346" s="17" t="s">
        <v>1766</v>
      </c>
      <c r="W346" s="17"/>
      <c r="X346" s="17"/>
      <c r="Y346" s="17"/>
      <c r="Z346" s="17"/>
      <c r="AA346" s="17"/>
      <c r="AB346" s="17" t="str">
        <f t="shared" si="5"/>
        <v>GPR08051R2</v>
      </c>
    </row>
    <row r="347" spans="1:28">
      <c r="A347" s="17" t="s">
        <v>1767</v>
      </c>
      <c r="B347" s="17" t="s">
        <v>1767</v>
      </c>
      <c r="C347" s="17" t="s">
        <v>1768</v>
      </c>
      <c r="D347" s="17" t="s">
        <v>21</v>
      </c>
      <c r="E347" s="24" t="s">
        <v>6446</v>
      </c>
      <c r="F347" s="17" t="s">
        <v>1052</v>
      </c>
      <c r="G347" s="17" t="str">
        <f>Config!$B$3</f>
        <v>SCH/R_IEC.SchLib</v>
      </c>
      <c r="H347" s="17" t="s">
        <v>419</v>
      </c>
      <c r="I347" s="17" t="s">
        <v>461</v>
      </c>
      <c r="J347" s="17" t="s">
        <v>1752</v>
      </c>
      <c r="K347" s="17"/>
      <c r="L347" s="17"/>
      <c r="M347" s="17">
        <v>1.3</v>
      </c>
      <c r="N347" s="17" t="s">
        <v>13979</v>
      </c>
      <c r="O347" s="17" t="s">
        <v>477</v>
      </c>
      <c r="P347" s="17" t="s">
        <v>1769</v>
      </c>
      <c r="Q347" s="17" t="s">
        <v>25</v>
      </c>
      <c r="R347" s="17" t="s">
        <v>1770</v>
      </c>
      <c r="S347" s="17"/>
      <c r="T347" s="17"/>
      <c r="U347" s="17"/>
      <c r="V347" s="17"/>
      <c r="W347" s="17"/>
      <c r="X347" s="17"/>
      <c r="Y347" s="17"/>
      <c r="Z347" s="17"/>
      <c r="AA347" s="17"/>
      <c r="AB347" s="17" t="str">
        <f t="shared" si="5"/>
        <v>GPR08051R3</v>
      </c>
    </row>
    <row r="348" spans="1:28">
      <c r="A348" s="17" t="s">
        <v>1771</v>
      </c>
      <c r="B348" s="17" t="s">
        <v>1771</v>
      </c>
      <c r="C348" s="17" t="s">
        <v>1772</v>
      </c>
      <c r="D348" s="17" t="s">
        <v>21</v>
      </c>
      <c r="E348" s="24" t="s">
        <v>6446</v>
      </c>
      <c r="F348" s="17" t="s">
        <v>33</v>
      </c>
      <c r="G348" s="17" t="str">
        <f>Config!$B$3</f>
        <v>SCH/R_IEC.SchLib</v>
      </c>
      <c r="H348" s="17" t="s">
        <v>419</v>
      </c>
      <c r="I348" s="17" t="s">
        <v>461</v>
      </c>
      <c r="J348" s="17" t="s">
        <v>1752</v>
      </c>
      <c r="K348" s="17"/>
      <c r="L348" s="17"/>
      <c r="M348" s="17">
        <v>1.5</v>
      </c>
      <c r="N348" s="17" t="s">
        <v>13979</v>
      </c>
      <c r="O348" s="17" t="s">
        <v>477</v>
      </c>
      <c r="P348" s="17" t="s">
        <v>1773</v>
      </c>
      <c r="Q348" s="17" t="s">
        <v>25</v>
      </c>
      <c r="R348" s="17" t="s">
        <v>1774</v>
      </c>
      <c r="S348" s="17" t="s">
        <v>477</v>
      </c>
      <c r="T348" s="17" t="s">
        <v>1775</v>
      </c>
      <c r="U348" s="17" t="s">
        <v>25</v>
      </c>
      <c r="V348" s="17" t="s">
        <v>1776</v>
      </c>
      <c r="W348" s="17"/>
      <c r="X348" s="17"/>
      <c r="Y348" s="17"/>
      <c r="Z348" s="17"/>
      <c r="AA348" s="17"/>
      <c r="AB348" s="17" t="str">
        <f t="shared" si="5"/>
        <v>GPR08051R5</v>
      </c>
    </row>
    <row r="349" spans="1:28">
      <c r="A349" s="17" t="s">
        <v>1777</v>
      </c>
      <c r="B349" s="17" t="s">
        <v>1777</v>
      </c>
      <c r="C349" s="17" t="s">
        <v>1778</v>
      </c>
      <c r="D349" s="17" t="s">
        <v>21</v>
      </c>
      <c r="E349" s="24" t="s">
        <v>6446</v>
      </c>
      <c r="F349" s="17" t="s">
        <v>1062</v>
      </c>
      <c r="G349" s="17" t="str">
        <f>Config!$B$3</f>
        <v>SCH/R_IEC.SchLib</v>
      </c>
      <c r="H349" s="17" t="s">
        <v>419</v>
      </c>
      <c r="I349" s="17" t="s">
        <v>461</v>
      </c>
      <c r="J349" s="17" t="s">
        <v>1752</v>
      </c>
      <c r="K349" s="17"/>
      <c r="L349" s="17"/>
      <c r="M349" s="17">
        <v>1.6</v>
      </c>
      <c r="N349" s="17" t="s">
        <v>13979</v>
      </c>
      <c r="O349" s="17" t="s">
        <v>477</v>
      </c>
      <c r="P349" s="17" t="s">
        <v>1779</v>
      </c>
      <c r="Q349" s="17" t="s">
        <v>25</v>
      </c>
      <c r="R349" s="17" t="s">
        <v>1780</v>
      </c>
      <c r="S349" s="17"/>
      <c r="T349" s="17"/>
      <c r="U349" s="17"/>
      <c r="V349" s="17"/>
      <c r="W349" s="17"/>
      <c r="X349" s="17"/>
      <c r="Y349" s="17"/>
      <c r="Z349" s="17"/>
      <c r="AA349" s="17"/>
      <c r="AB349" s="17" t="str">
        <f t="shared" si="5"/>
        <v>GPR08051R6</v>
      </c>
    </row>
    <row r="350" spans="1:28">
      <c r="A350" s="17" t="s">
        <v>1781</v>
      </c>
      <c r="B350" s="17" t="s">
        <v>1781</v>
      </c>
      <c r="C350" s="17" t="s">
        <v>1782</v>
      </c>
      <c r="D350" s="17" t="s">
        <v>21</v>
      </c>
      <c r="E350" s="24" t="s">
        <v>6446</v>
      </c>
      <c r="F350" s="17" t="s">
        <v>35</v>
      </c>
      <c r="G350" s="17" t="str">
        <f>Config!$B$3</f>
        <v>SCH/R_IEC.SchLib</v>
      </c>
      <c r="H350" s="17" t="s">
        <v>419</v>
      </c>
      <c r="I350" s="17" t="s">
        <v>461</v>
      </c>
      <c r="J350" s="17" t="s">
        <v>1752</v>
      </c>
      <c r="K350" s="17"/>
      <c r="L350" s="17"/>
      <c r="M350" s="17">
        <v>1.8</v>
      </c>
      <c r="N350" s="17" t="s">
        <v>13979</v>
      </c>
      <c r="O350" s="17" t="s">
        <v>477</v>
      </c>
      <c r="P350" s="17" t="s">
        <v>1783</v>
      </c>
      <c r="Q350" s="17" t="s">
        <v>25</v>
      </c>
      <c r="R350" s="17" t="s">
        <v>1784</v>
      </c>
      <c r="S350" s="17"/>
      <c r="T350" s="17"/>
      <c r="U350" s="17"/>
      <c r="V350" s="17"/>
      <c r="W350" s="17"/>
      <c r="X350" s="17"/>
      <c r="Y350" s="17"/>
      <c r="Z350" s="17"/>
      <c r="AA350" s="17"/>
      <c r="AB350" s="17" t="str">
        <f t="shared" si="5"/>
        <v>GPR08051R8</v>
      </c>
    </row>
    <row r="351" spans="1:28">
      <c r="A351" s="17" t="s">
        <v>1785</v>
      </c>
      <c r="B351" s="17" t="s">
        <v>1785</v>
      </c>
      <c r="C351" s="17" t="s">
        <v>1786</v>
      </c>
      <c r="D351" s="17" t="s">
        <v>21</v>
      </c>
      <c r="E351" s="24" t="s">
        <v>6446</v>
      </c>
      <c r="F351" s="17" t="s">
        <v>1070</v>
      </c>
      <c r="G351" s="17" t="str">
        <f>Config!$B$3</f>
        <v>SCH/R_IEC.SchLib</v>
      </c>
      <c r="H351" s="17" t="s">
        <v>419</v>
      </c>
      <c r="I351" s="17" t="s">
        <v>461</v>
      </c>
      <c r="J351" s="17" t="s">
        <v>1752</v>
      </c>
      <c r="K351" s="17"/>
      <c r="L351" s="17"/>
      <c r="M351" s="17">
        <v>2</v>
      </c>
      <c r="N351" s="17" t="s">
        <v>13979</v>
      </c>
      <c r="O351" s="17" t="s">
        <v>477</v>
      </c>
      <c r="P351" s="17" t="s">
        <v>1787</v>
      </c>
      <c r="Q351" s="17" t="s">
        <v>25</v>
      </c>
      <c r="R351" s="17" t="s">
        <v>1788</v>
      </c>
      <c r="S351" s="17"/>
      <c r="T351" s="17"/>
      <c r="U351" s="17"/>
      <c r="V351" s="17"/>
      <c r="W351" s="17"/>
      <c r="X351" s="17"/>
      <c r="Y351" s="17"/>
      <c r="Z351" s="17"/>
      <c r="AA351" s="17"/>
      <c r="AB351" s="17" t="str">
        <f t="shared" si="5"/>
        <v>GPR08052R</v>
      </c>
    </row>
    <row r="352" spans="1:28">
      <c r="A352" s="17" t="s">
        <v>1789</v>
      </c>
      <c r="B352" s="17" t="s">
        <v>1789</v>
      </c>
      <c r="C352" s="17" t="s">
        <v>1790</v>
      </c>
      <c r="D352" s="17" t="s">
        <v>21</v>
      </c>
      <c r="E352" s="24" t="s">
        <v>6446</v>
      </c>
      <c r="F352" s="17" t="s">
        <v>37</v>
      </c>
      <c r="G352" s="17" t="str">
        <f>Config!$B$3</f>
        <v>SCH/R_IEC.SchLib</v>
      </c>
      <c r="H352" s="17" t="s">
        <v>419</v>
      </c>
      <c r="I352" s="17" t="s">
        <v>461</v>
      </c>
      <c r="J352" s="17" t="s">
        <v>1752</v>
      </c>
      <c r="K352" s="17"/>
      <c r="L352" s="17"/>
      <c r="M352" s="17">
        <v>2.2000000000000002</v>
      </c>
      <c r="N352" s="17" t="s">
        <v>13979</v>
      </c>
      <c r="O352" s="17" t="s">
        <v>477</v>
      </c>
      <c r="P352" s="17" t="s">
        <v>1791</v>
      </c>
      <c r="Q352" s="17" t="s">
        <v>25</v>
      </c>
      <c r="R352" s="17" t="s">
        <v>1792</v>
      </c>
      <c r="S352" s="17" t="s">
        <v>477</v>
      </c>
      <c r="T352" s="17" t="s">
        <v>1793</v>
      </c>
      <c r="U352" s="17" t="s">
        <v>25</v>
      </c>
      <c r="V352" s="17" t="s">
        <v>1794</v>
      </c>
      <c r="W352" s="17"/>
      <c r="X352" s="17"/>
      <c r="Y352" s="17"/>
      <c r="Z352" s="17"/>
      <c r="AA352" s="17"/>
      <c r="AB352" s="17" t="str">
        <f t="shared" si="5"/>
        <v>GPR08052R2</v>
      </c>
    </row>
    <row r="353" spans="1:28">
      <c r="A353" s="17" t="s">
        <v>1795</v>
      </c>
      <c r="B353" s="17" t="s">
        <v>1795</v>
      </c>
      <c r="C353" s="17" t="s">
        <v>1796</v>
      </c>
      <c r="D353" s="17" t="s">
        <v>21</v>
      </c>
      <c r="E353" s="24" t="s">
        <v>6446</v>
      </c>
      <c r="F353" s="17" t="s">
        <v>1080</v>
      </c>
      <c r="G353" s="17" t="str">
        <f>Config!$B$3</f>
        <v>SCH/R_IEC.SchLib</v>
      </c>
      <c r="H353" s="17" t="s">
        <v>419</v>
      </c>
      <c r="I353" s="17" t="s">
        <v>461</v>
      </c>
      <c r="J353" s="17" t="s">
        <v>1752</v>
      </c>
      <c r="K353" s="17"/>
      <c r="L353" s="17"/>
      <c r="M353" s="17">
        <v>2.4</v>
      </c>
      <c r="N353" s="17" t="s">
        <v>13979</v>
      </c>
      <c r="O353" s="17" t="s">
        <v>477</v>
      </c>
      <c r="P353" s="17" t="s">
        <v>1797</v>
      </c>
      <c r="Q353" s="17" t="s">
        <v>25</v>
      </c>
      <c r="R353" s="17" t="s">
        <v>1798</v>
      </c>
      <c r="S353" s="17"/>
      <c r="T353" s="17"/>
      <c r="U353" s="17"/>
      <c r="V353" s="17"/>
      <c r="W353" s="17"/>
      <c r="X353" s="17"/>
      <c r="Y353" s="17"/>
      <c r="Z353" s="17"/>
      <c r="AA353" s="17"/>
      <c r="AB353" s="17" t="str">
        <f t="shared" si="5"/>
        <v>GPR08052R4</v>
      </c>
    </row>
    <row r="354" spans="1:28">
      <c r="A354" s="17" t="s">
        <v>1799</v>
      </c>
      <c r="B354" s="17" t="s">
        <v>1799</v>
      </c>
      <c r="C354" s="17" t="s">
        <v>1800</v>
      </c>
      <c r="D354" s="17" t="s">
        <v>21</v>
      </c>
      <c r="E354" s="24" t="s">
        <v>6446</v>
      </c>
      <c r="F354" s="17" t="s">
        <v>39</v>
      </c>
      <c r="G354" s="17" t="str">
        <f>Config!$B$3</f>
        <v>SCH/R_IEC.SchLib</v>
      </c>
      <c r="H354" s="17" t="s">
        <v>419</v>
      </c>
      <c r="I354" s="17" t="s">
        <v>461</v>
      </c>
      <c r="J354" s="17" t="s">
        <v>1752</v>
      </c>
      <c r="K354" s="17"/>
      <c r="L354" s="17"/>
      <c r="M354" s="17">
        <v>2.7</v>
      </c>
      <c r="N354" s="17" t="s">
        <v>13979</v>
      </c>
      <c r="O354" s="17" t="s">
        <v>477</v>
      </c>
      <c r="P354" s="17" t="s">
        <v>1801</v>
      </c>
      <c r="Q354" s="17" t="s">
        <v>25</v>
      </c>
      <c r="R354" s="17" t="s">
        <v>1802</v>
      </c>
      <c r="S354" s="17"/>
      <c r="T354" s="17"/>
      <c r="U354" s="17"/>
      <c r="V354" s="17"/>
      <c r="W354" s="17"/>
      <c r="X354" s="17"/>
      <c r="Y354" s="17"/>
      <c r="Z354" s="17"/>
      <c r="AA354" s="17"/>
      <c r="AB354" s="17" t="str">
        <f t="shared" si="5"/>
        <v>GPR08052R7</v>
      </c>
    </row>
    <row r="355" spans="1:28">
      <c r="A355" s="17" t="s">
        <v>1803</v>
      </c>
      <c r="B355" s="17" t="s">
        <v>1803</v>
      </c>
      <c r="C355" s="17" t="s">
        <v>1804</v>
      </c>
      <c r="D355" s="17" t="s">
        <v>21</v>
      </c>
      <c r="E355" s="24" t="s">
        <v>6446</v>
      </c>
      <c r="F355" s="17" t="s">
        <v>1088</v>
      </c>
      <c r="G355" s="17" t="str">
        <f>Config!$B$3</f>
        <v>SCH/R_IEC.SchLib</v>
      </c>
      <c r="H355" s="17" t="s">
        <v>419</v>
      </c>
      <c r="I355" s="17" t="s">
        <v>461</v>
      </c>
      <c r="J355" s="17" t="s">
        <v>1752</v>
      </c>
      <c r="K355" s="17"/>
      <c r="L355" s="17"/>
      <c r="M355" s="17">
        <v>3</v>
      </c>
      <c r="N355" s="17" t="s">
        <v>13979</v>
      </c>
      <c r="O355" s="17" t="s">
        <v>477</v>
      </c>
      <c r="P355" s="17" t="s">
        <v>1805</v>
      </c>
      <c r="Q355" s="17" t="s">
        <v>25</v>
      </c>
      <c r="R355" s="17" t="s">
        <v>1806</v>
      </c>
      <c r="S355" s="17"/>
      <c r="T355" s="17"/>
      <c r="U355" s="17"/>
      <c r="V355" s="17"/>
      <c r="W355" s="17"/>
      <c r="X355" s="17"/>
      <c r="Y355" s="17"/>
      <c r="Z355" s="17"/>
      <c r="AA355" s="17"/>
      <c r="AB355" s="17" t="str">
        <f t="shared" si="5"/>
        <v>GPR08053R</v>
      </c>
    </row>
    <row r="356" spans="1:28">
      <c r="A356" s="17" t="s">
        <v>1807</v>
      </c>
      <c r="B356" s="17" t="s">
        <v>1807</v>
      </c>
      <c r="C356" s="17" t="s">
        <v>1808</v>
      </c>
      <c r="D356" s="17" t="s">
        <v>21</v>
      </c>
      <c r="E356" s="24" t="s">
        <v>6446</v>
      </c>
      <c r="F356" s="17" t="s">
        <v>41</v>
      </c>
      <c r="G356" s="17" t="str">
        <f>Config!$B$3</f>
        <v>SCH/R_IEC.SchLib</v>
      </c>
      <c r="H356" s="17" t="s">
        <v>419</v>
      </c>
      <c r="I356" s="17" t="s">
        <v>461</v>
      </c>
      <c r="J356" s="17" t="s">
        <v>1752</v>
      </c>
      <c r="K356" s="17"/>
      <c r="L356" s="17"/>
      <c r="M356" s="17">
        <v>3.3</v>
      </c>
      <c r="N356" s="17" t="s">
        <v>13979</v>
      </c>
      <c r="O356" s="17" t="s">
        <v>477</v>
      </c>
      <c r="P356" s="17" t="s">
        <v>1809</v>
      </c>
      <c r="Q356" s="17" t="s">
        <v>25</v>
      </c>
      <c r="R356" s="17" t="s">
        <v>1810</v>
      </c>
      <c r="S356" s="17" t="s">
        <v>477</v>
      </c>
      <c r="T356" s="17" t="s">
        <v>1811</v>
      </c>
      <c r="U356" s="17" t="s">
        <v>25</v>
      </c>
      <c r="V356" s="17" t="s">
        <v>1812</v>
      </c>
      <c r="W356" s="17"/>
      <c r="X356" s="17"/>
      <c r="Y356" s="17"/>
      <c r="Z356" s="17"/>
      <c r="AA356" s="17"/>
      <c r="AB356" s="17" t="str">
        <f t="shared" si="5"/>
        <v>GPR08053R3</v>
      </c>
    </row>
    <row r="357" spans="1:28">
      <c r="A357" s="17" t="s">
        <v>1813</v>
      </c>
      <c r="B357" s="17" t="s">
        <v>1813</v>
      </c>
      <c r="C357" s="17" t="s">
        <v>1814</v>
      </c>
      <c r="D357" s="17" t="s">
        <v>21</v>
      </c>
      <c r="E357" s="24" t="s">
        <v>6446</v>
      </c>
      <c r="F357" s="17" t="s">
        <v>1098</v>
      </c>
      <c r="G357" s="17" t="str">
        <f>Config!$B$3</f>
        <v>SCH/R_IEC.SchLib</v>
      </c>
      <c r="H357" s="17" t="s">
        <v>419</v>
      </c>
      <c r="I357" s="17" t="s">
        <v>461</v>
      </c>
      <c r="J357" s="17" t="s">
        <v>1752</v>
      </c>
      <c r="K357" s="17"/>
      <c r="L357" s="17"/>
      <c r="M357" s="17">
        <v>3.6</v>
      </c>
      <c r="N357" s="17" t="s">
        <v>13979</v>
      </c>
      <c r="O357" s="17" t="s">
        <v>477</v>
      </c>
      <c r="P357" s="17" t="s">
        <v>1815</v>
      </c>
      <c r="Q357" s="17" t="s">
        <v>25</v>
      </c>
      <c r="R357" s="17" t="s">
        <v>1816</v>
      </c>
      <c r="S357" s="17"/>
      <c r="T357" s="17"/>
      <c r="U357" s="17"/>
      <c r="V357" s="17"/>
      <c r="W357" s="17"/>
      <c r="X357" s="17"/>
      <c r="Y357" s="17"/>
      <c r="Z357" s="17"/>
      <c r="AA357" s="17"/>
      <c r="AB357" s="17" t="str">
        <f t="shared" si="5"/>
        <v>GPR08053R6</v>
      </c>
    </row>
    <row r="358" spans="1:28">
      <c r="A358" s="17" t="s">
        <v>1817</v>
      </c>
      <c r="B358" s="17" t="s">
        <v>1817</v>
      </c>
      <c r="C358" s="17" t="s">
        <v>1818</v>
      </c>
      <c r="D358" s="17" t="s">
        <v>21</v>
      </c>
      <c r="E358" s="24" t="s">
        <v>6446</v>
      </c>
      <c r="F358" s="17" t="s">
        <v>43</v>
      </c>
      <c r="G358" s="17" t="str">
        <f>Config!$B$3</f>
        <v>SCH/R_IEC.SchLib</v>
      </c>
      <c r="H358" s="17" t="s">
        <v>419</v>
      </c>
      <c r="I358" s="17" t="s">
        <v>461</v>
      </c>
      <c r="J358" s="17" t="s">
        <v>1752</v>
      </c>
      <c r="K358" s="17"/>
      <c r="L358" s="17"/>
      <c r="M358" s="17">
        <v>3.9</v>
      </c>
      <c r="N358" s="17" t="s">
        <v>13979</v>
      </c>
      <c r="O358" s="17" t="s">
        <v>477</v>
      </c>
      <c r="P358" s="17" t="s">
        <v>1819</v>
      </c>
      <c r="Q358" s="17" t="s">
        <v>25</v>
      </c>
      <c r="R358" s="17" t="s">
        <v>1820</v>
      </c>
      <c r="S358" s="17"/>
      <c r="T358" s="17"/>
      <c r="U358" s="17"/>
      <c r="V358" s="17"/>
      <c r="W358" s="17"/>
      <c r="X358" s="17"/>
      <c r="Y358" s="17"/>
      <c r="Z358" s="17"/>
      <c r="AA358" s="17"/>
      <c r="AB358" s="17" t="str">
        <f t="shared" si="5"/>
        <v>GPR08053R9</v>
      </c>
    </row>
    <row r="359" spans="1:28">
      <c r="A359" s="17" t="s">
        <v>1821</v>
      </c>
      <c r="B359" s="17" t="s">
        <v>1821</v>
      </c>
      <c r="C359" s="17" t="s">
        <v>1822</v>
      </c>
      <c r="D359" s="17" t="s">
        <v>21</v>
      </c>
      <c r="E359" s="24" t="s">
        <v>6446</v>
      </c>
      <c r="F359" s="17" t="s">
        <v>1106</v>
      </c>
      <c r="G359" s="17" t="str">
        <f>Config!$B$3</f>
        <v>SCH/R_IEC.SchLib</v>
      </c>
      <c r="H359" s="17" t="s">
        <v>419</v>
      </c>
      <c r="I359" s="17" t="s">
        <v>461</v>
      </c>
      <c r="J359" s="17" t="s">
        <v>1752</v>
      </c>
      <c r="K359" s="17"/>
      <c r="L359" s="17"/>
      <c r="M359" s="17">
        <v>4.3</v>
      </c>
      <c r="N359" s="17" t="s">
        <v>13979</v>
      </c>
      <c r="O359" s="17" t="s">
        <v>477</v>
      </c>
      <c r="P359" s="17" t="s">
        <v>1823</v>
      </c>
      <c r="Q359" s="17" t="s">
        <v>25</v>
      </c>
      <c r="R359" s="17" t="s">
        <v>1824</v>
      </c>
      <c r="S359" s="17"/>
      <c r="T359" s="17"/>
      <c r="U359" s="17"/>
      <c r="V359" s="17"/>
      <c r="W359" s="17"/>
      <c r="X359" s="17"/>
      <c r="Y359" s="17"/>
      <c r="Z359" s="17"/>
      <c r="AA359" s="17"/>
      <c r="AB359" s="17" t="str">
        <f t="shared" si="5"/>
        <v>GPR08054R3</v>
      </c>
    </row>
    <row r="360" spans="1:28">
      <c r="A360" s="17" t="s">
        <v>1825</v>
      </c>
      <c r="B360" s="17" t="s">
        <v>1825</v>
      </c>
      <c r="C360" s="17" t="s">
        <v>1826</v>
      </c>
      <c r="D360" s="17" t="s">
        <v>21</v>
      </c>
      <c r="E360" s="24" t="s">
        <v>6446</v>
      </c>
      <c r="F360" s="17" t="s">
        <v>45</v>
      </c>
      <c r="G360" s="17" t="str">
        <f>Config!$B$3</f>
        <v>SCH/R_IEC.SchLib</v>
      </c>
      <c r="H360" s="17" t="s">
        <v>419</v>
      </c>
      <c r="I360" s="17" t="s">
        <v>461</v>
      </c>
      <c r="J360" s="17" t="s">
        <v>1752</v>
      </c>
      <c r="K360" s="17"/>
      <c r="L360" s="17"/>
      <c r="M360" s="17">
        <v>4.7</v>
      </c>
      <c r="N360" s="17" t="s">
        <v>13979</v>
      </c>
      <c r="O360" s="17" t="s">
        <v>477</v>
      </c>
      <c r="P360" s="17" t="s">
        <v>1827</v>
      </c>
      <c r="Q360" s="17" t="s">
        <v>25</v>
      </c>
      <c r="R360" s="17" t="s">
        <v>1828</v>
      </c>
      <c r="S360" s="17" t="s">
        <v>477</v>
      </c>
      <c r="T360" s="17" t="s">
        <v>1829</v>
      </c>
      <c r="U360" s="17" t="s">
        <v>25</v>
      </c>
      <c r="V360" s="17" t="s">
        <v>1830</v>
      </c>
      <c r="W360" s="17"/>
      <c r="X360" s="17"/>
      <c r="Y360" s="17"/>
      <c r="Z360" s="17"/>
      <c r="AA360" s="17"/>
      <c r="AB360" s="17" t="str">
        <f t="shared" si="5"/>
        <v>GPR08054R7</v>
      </c>
    </row>
    <row r="361" spans="1:28">
      <c r="A361" s="17" t="s">
        <v>1831</v>
      </c>
      <c r="B361" s="17" t="s">
        <v>1831</v>
      </c>
      <c r="C361" s="17" t="s">
        <v>1832</v>
      </c>
      <c r="D361" s="17" t="s">
        <v>21</v>
      </c>
      <c r="E361" s="24" t="s">
        <v>6446</v>
      </c>
      <c r="F361" s="17" t="s">
        <v>1116</v>
      </c>
      <c r="G361" s="17" t="str">
        <f>Config!$B$3</f>
        <v>SCH/R_IEC.SchLib</v>
      </c>
      <c r="H361" s="17" t="s">
        <v>419</v>
      </c>
      <c r="I361" s="17" t="s">
        <v>461</v>
      </c>
      <c r="J361" s="17" t="s">
        <v>1752</v>
      </c>
      <c r="K361" s="17"/>
      <c r="L361" s="17"/>
      <c r="M361" s="17">
        <v>5.0999999999999996</v>
      </c>
      <c r="N361" s="17" t="s">
        <v>13979</v>
      </c>
      <c r="O361" s="17" t="s">
        <v>477</v>
      </c>
      <c r="P361" s="17" t="s">
        <v>1833</v>
      </c>
      <c r="Q361" s="17" t="s">
        <v>25</v>
      </c>
      <c r="R361" s="17" t="s">
        <v>1834</v>
      </c>
      <c r="S361" s="17"/>
      <c r="T361" s="17"/>
      <c r="U361" s="17"/>
      <c r="V361" s="17"/>
      <c r="W361" s="17"/>
      <c r="X361" s="17"/>
      <c r="Y361" s="17"/>
      <c r="Z361" s="17"/>
      <c r="AA361" s="17"/>
      <c r="AB361" s="17" t="str">
        <f t="shared" si="5"/>
        <v>GPR08055R1</v>
      </c>
    </row>
    <row r="362" spans="1:28">
      <c r="A362" s="17" t="s">
        <v>1835</v>
      </c>
      <c r="B362" s="17" t="s">
        <v>1835</v>
      </c>
      <c r="C362" s="17" t="s">
        <v>1836</v>
      </c>
      <c r="D362" s="17" t="s">
        <v>21</v>
      </c>
      <c r="E362" s="24" t="s">
        <v>6446</v>
      </c>
      <c r="F362" s="17" t="s">
        <v>47</v>
      </c>
      <c r="G362" s="17" t="str">
        <f>Config!$B$3</f>
        <v>SCH/R_IEC.SchLib</v>
      </c>
      <c r="H362" s="17" t="s">
        <v>419</v>
      </c>
      <c r="I362" s="17" t="s">
        <v>461</v>
      </c>
      <c r="J362" s="17" t="s">
        <v>1752</v>
      </c>
      <c r="K362" s="17"/>
      <c r="L362" s="17"/>
      <c r="M362" s="17">
        <v>5.6</v>
      </c>
      <c r="N362" s="17" t="s">
        <v>13979</v>
      </c>
      <c r="O362" s="17" t="s">
        <v>477</v>
      </c>
      <c r="P362" s="17" t="s">
        <v>1837</v>
      </c>
      <c r="Q362" s="17" t="s">
        <v>25</v>
      </c>
      <c r="R362" s="17" t="s">
        <v>1838</v>
      </c>
      <c r="S362" s="17"/>
      <c r="T362" s="17"/>
      <c r="U362" s="17"/>
      <c r="V362" s="17"/>
      <c r="W362" s="17"/>
      <c r="X362" s="17"/>
      <c r="Y362" s="17"/>
      <c r="Z362" s="17"/>
      <c r="AA362" s="17"/>
      <c r="AB362" s="17" t="str">
        <f t="shared" si="5"/>
        <v>GPR08055R6</v>
      </c>
    </row>
    <row r="363" spans="1:28">
      <c r="A363" s="17" t="s">
        <v>1839</v>
      </c>
      <c r="B363" s="17" t="s">
        <v>1839</v>
      </c>
      <c r="C363" s="17" t="s">
        <v>1840</v>
      </c>
      <c r="D363" s="17" t="s">
        <v>21</v>
      </c>
      <c r="E363" s="24" t="s">
        <v>6446</v>
      </c>
      <c r="F363" s="17" t="s">
        <v>1128</v>
      </c>
      <c r="G363" s="17" t="str">
        <f>Config!$B$3</f>
        <v>SCH/R_IEC.SchLib</v>
      </c>
      <c r="H363" s="17" t="s">
        <v>419</v>
      </c>
      <c r="I363" s="17" t="s">
        <v>461</v>
      </c>
      <c r="J363" s="17" t="s">
        <v>1752</v>
      </c>
      <c r="K363" s="17"/>
      <c r="L363" s="17"/>
      <c r="M363" s="17">
        <v>6.2</v>
      </c>
      <c r="N363" s="17" t="s">
        <v>13979</v>
      </c>
      <c r="O363" s="17" t="s">
        <v>477</v>
      </c>
      <c r="P363" s="17" t="s">
        <v>1841</v>
      </c>
      <c r="Q363" s="17" t="s">
        <v>25</v>
      </c>
      <c r="R363" s="17" t="s">
        <v>1842</v>
      </c>
      <c r="S363" s="17"/>
      <c r="T363" s="17"/>
      <c r="U363" s="17"/>
      <c r="V363" s="17"/>
      <c r="W363" s="17"/>
      <c r="X363" s="17"/>
      <c r="Y363" s="17"/>
      <c r="Z363" s="17"/>
      <c r="AA363" s="17"/>
      <c r="AB363" s="17" t="str">
        <f t="shared" si="5"/>
        <v>GPR08056R2</v>
      </c>
    </row>
    <row r="364" spans="1:28">
      <c r="A364" s="17" t="s">
        <v>1843</v>
      </c>
      <c r="B364" s="17" t="s">
        <v>1843</v>
      </c>
      <c r="C364" s="17" t="s">
        <v>1844</v>
      </c>
      <c r="D364" s="17" t="s">
        <v>21</v>
      </c>
      <c r="E364" s="24" t="s">
        <v>6446</v>
      </c>
      <c r="F364" s="17" t="s">
        <v>49</v>
      </c>
      <c r="G364" s="17" t="str">
        <f>Config!$B$3</f>
        <v>SCH/R_IEC.SchLib</v>
      </c>
      <c r="H364" s="17" t="s">
        <v>419</v>
      </c>
      <c r="I364" s="17" t="s">
        <v>461</v>
      </c>
      <c r="J364" s="17" t="s">
        <v>1752</v>
      </c>
      <c r="K364" s="17"/>
      <c r="L364" s="17"/>
      <c r="M364" s="17">
        <v>6.8</v>
      </c>
      <c r="N364" s="17" t="s">
        <v>13979</v>
      </c>
      <c r="O364" s="17" t="s">
        <v>477</v>
      </c>
      <c r="P364" s="17" t="s">
        <v>1845</v>
      </c>
      <c r="Q364" s="17" t="s">
        <v>25</v>
      </c>
      <c r="R364" s="17" t="s">
        <v>1846</v>
      </c>
      <c r="S364" s="17"/>
      <c r="T364" s="17"/>
      <c r="U364" s="17"/>
      <c r="V364" s="17"/>
      <c r="W364" s="17"/>
      <c r="X364" s="17"/>
      <c r="Y364" s="17"/>
      <c r="Z364" s="17"/>
      <c r="AA364" s="17"/>
      <c r="AB364" s="17" t="str">
        <f t="shared" si="5"/>
        <v>GPR08056R8</v>
      </c>
    </row>
    <row r="365" spans="1:28">
      <c r="A365" s="17" t="s">
        <v>1847</v>
      </c>
      <c r="B365" s="17" t="s">
        <v>1847</v>
      </c>
      <c r="C365" s="17" t="s">
        <v>1848</v>
      </c>
      <c r="D365" s="17" t="s">
        <v>21</v>
      </c>
      <c r="E365" s="24" t="s">
        <v>6446</v>
      </c>
      <c r="F365" s="17" t="s">
        <v>1138</v>
      </c>
      <c r="G365" s="17" t="str">
        <f>Config!$B$3</f>
        <v>SCH/R_IEC.SchLib</v>
      </c>
      <c r="H365" s="17" t="s">
        <v>419</v>
      </c>
      <c r="I365" s="17" t="s">
        <v>461</v>
      </c>
      <c r="J365" s="17" t="s">
        <v>1752</v>
      </c>
      <c r="K365" s="17"/>
      <c r="L365" s="17"/>
      <c r="M365" s="17">
        <v>7.5</v>
      </c>
      <c r="N365" s="17" t="s">
        <v>13979</v>
      </c>
      <c r="O365" s="17" t="s">
        <v>477</v>
      </c>
      <c r="P365" s="17" t="s">
        <v>1849</v>
      </c>
      <c r="Q365" s="17" t="s">
        <v>25</v>
      </c>
      <c r="R365" s="17" t="s">
        <v>1850</v>
      </c>
      <c r="S365" s="17"/>
      <c r="T365" s="17"/>
      <c r="U365" s="17"/>
      <c r="V365" s="17"/>
      <c r="W365" s="17"/>
      <c r="X365" s="17"/>
      <c r="Y365" s="17"/>
      <c r="Z365" s="17"/>
      <c r="AA365" s="17"/>
      <c r="AB365" s="17" t="str">
        <f t="shared" si="5"/>
        <v>GPR08057R5</v>
      </c>
    </row>
    <row r="366" spans="1:28">
      <c r="A366" s="17" t="s">
        <v>1851</v>
      </c>
      <c r="B366" s="17" t="s">
        <v>1851</v>
      </c>
      <c r="C366" s="17" t="s">
        <v>1852</v>
      </c>
      <c r="D366" s="17" t="s">
        <v>21</v>
      </c>
      <c r="E366" s="24" t="s">
        <v>6446</v>
      </c>
      <c r="F366" s="17" t="s">
        <v>51</v>
      </c>
      <c r="G366" s="17" t="str">
        <f>Config!$B$3</f>
        <v>SCH/R_IEC.SchLib</v>
      </c>
      <c r="H366" s="17" t="s">
        <v>419</v>
      </c>
      <c r="I366" s="17" t="s">
        <v>461</v>
      </c>
      <c r="J366" s="17" t="s">
        <v>1752</v>
      </c>
      <c r="K366" s="17"/>
      <c r="L366" s="17"/>
      <c r="M366" s="17">
        <v>8.1999999999999993</v>
      </c>
      <c r="N366" s="17" t="s">
        <v>13979</v>
      </c>
      <c r="O366" s="17" t="s">
        <v>477</v>
      </c>
      <c r="P366" s="17" t="s">
        <v>1853</v>
      </c>
      <c r="Q366" s="17" t="s">
        <v>25</v>
      </c>
      <c r="R366" s="17" t="s">
        <v>1854</v>
      </c>
      <c r="S366" s="17" t="s">
        <v>477</v>
      </c>
      <c r="T366" s="17" t="s">
        <v>1855</v>
      </c>
      <c r="U366" s="17" t="s">
        <v>25</v>
      </c>
      <c r="V366" s="17" t="s">
        <v>1856</v>
      </c>
      <c r="W366" s="17"/>
      <c r="X366" s="17"/>
      <c r="Y366" s="17"/>
      <c r="Z366" s="17"/>
      <c r="AA366" s="17"/>
      <c r="AB366" s="17" t="str">
        <f t="shared" ref="AB366:AB429" si="6">"GPR"&amp;E366&amp;F366</f>
        <v>GPR08058R2</v>
      </c>
    </row>
    <row r="367" spans="1:28">
      <c r="A367" s="17" t="s">
        <v>1857</v>
      </c>
      <c r="B367" s="17" t="s">
        <v>1857</v>
      </c>
      <c r="C367" s="17" t="s">
        <v>1858</v>
      </c>
      <c r="D367" s="17" t="s">
        <v>21</v>
      </c>
      <c r="E367" s="24" t="s">
        <v>6446</v>
      </c>
      <c r="F367" s="17" t="s">
        <v>1148</v>
      </c>
      <c r="G367" s="17" t="str">
        <f>Config!$B$3</f>
        <v>SCH/R_IEC.SchLib</v>
      </c>
      <c r="H367" s="17" t="s">
        <v>419</v>
      </c>
      <c r="I367" s="17" t="s">
        <v>461</v>
      </c>
      <c r="J367" s="17" t="s">
        <v>1752</v>
      </c>
      <c r="K367" s="17"/>
      <c r="L367" s="17"/>
      <c r="M367" s="17">
        <v>9.1</v>
      </c>
      <c r="N367" s="17" t="s">
        <v>13979</v>
      </c>
      <c r="O367" s="17" t="s">
        <v>477</v>
      </c>
      <c r="P367" s="17" t="s">
        <v>1859</v>
      </c>
      <c r="Q367" s="17" t="s">
        <v>25</v>
      </c>
      <c r="R367" s="17" t="s">
        <v>1860</v>
      </c>
      <c r="S367" s="17"/>
      <c r="T367" s="17"/>
      <c r="U367" s="17"/>
      <c r="V367" s="17"/>
      <c r="W367" s="17"/>
      <c r="X367" s="17"/>
      <c r="Y367" s="17"/>
      <c r="Z367" s="17"/>
      <c r="AA367" s="17"/>
      <c r="AB367" s="17" t="str">
        <f t="shared" si="6"/>
        <v>GPR08059R1</v>
      </c>
    </row>
    <row r="368" spans="1:28">
      <c r="A368" s="17" t="s">
        <v>1861</v>
      </c>
      <c r="B368" s="17" t="s">
        <v>1861</v>
      </c>
      <c r="C368" s="17" t="s">
        <v>1862</v>
      </c>
      <c r="D368" s="17" t="s">
        <v>21</v>
      </c>
      <c r="E368" s="24" t="s">
        <v>6446</v>
      </c>
      <c r="F368" s="17" t="s">
        <v>53</v>
      </c>
      <c r="G368" s="17" t="str">
        <f>Config!$B$3</f>
        <v>SCH/R_IEC.SchLib</v>
      </c>
      <c r="H368" s="17" t="s">
        <v>419</v>
      </c>
      <c r="I368" s="17" t="s">
        <v>461</v>
      </c>
      <c r="J368" s="17" t="s">
        <v>1752</v>
      </c>
      <c r="K368" s="17"/>
      <c r="L368" s="17"/>
      <c r="M368" s="21">
        <v>10</v>
      </c>
      <c r="N368" s="17" t="s">
        <v>13979</v>
      </c>
      <c r="O368" s="17" t="s">
        <v>477</v>
      </c>
      <c r="P368" s="17" t="s">
        <v>1863</v>
      </c>
      <c r="Q368" s="17" t="s">
        <v>25</v>
      </c>
      <c r="R368" s="17" t="s">
        <v>1864</v>
      </c>
      <c r="S368" s="17" t="s">
        <v>477</v>
      </c>
      <c r="T368" s="17" t="s">
        <v>1865</v>
      </c>
      <c r="U368" s="17" t="s">
        <v>25</v>
      </c>
      <c r="V368" s="17" t="s">
        <v>1866</v>
      </c>
      <c r="W368" s="17"/>
      <c r="X368" s="17"/>
      <c r="Y368" s="17"/>
      <c r="Z368" s="17"/>
      <c r="AA368" s="17"/>
      <c r="AB368" s="17" t="str">
        <f t="shared" si="6"/>
        <v>GPR080510R</v>
      </c>
    </row>
    <row r="369" spans="1:28">
      <c r="A369" s="17" t="s">
        <v>1867</v>
      </c>
      <c r="B369" s="17" t="s">
        <v>1867</v>
      </c>
      <c r="C369" s="17" t="s">
        <v>1868</v>
      </c>
      <c r="D369" s="17" t="s">
        <v>21</v>
      </c>
      <c r="E369" s="24" t="s">
        <v>6446</v>
      </c>
      <c r="F369" s="17" t="s">
        <v>57</v>
      </c>
      <c r="G369" s="17" t="str">
        <f>Config!$B$3</f>
        <v>SCH/R_IEC.SchLib</v>
      </c>
      <c r="H369" s="17" t="s">
        <v>419</v>
      </c>
      <c r="I369" s="17" t="s">
        <v>461</v>
      </c>
      <c r="J369" s="17" t="s">
        <v>1752</v>
      </c>
      <c r="K369" s="17"/>
      <c r="L369" s="17"/>
      <c r="M369" s="21">
        <v>11</v>
      </c>
      <c r="N369" s="17" t="s">
        <v>13979</v>
      </c>
      <c r="O369" s="17" t="s">
        <v>477</v>
      </c>
      <c r="P369" s="17" t="s">
        <v>1869</v>
      </c>
      <c r="Q369" s="17" t="s">
        <v>25</v>
      </c>
      <c r="R369" s="17" t="s">
        <v>1870</v>
      </c>
      <c r="S369" s="17"/>
      <c r="T369" s="17"/>
      <c r="U369" s="17"/>
      <c r="V369" s="17"/>
      <c r="W369" s="17"/>
      <c r="X369" s="17"/>
      <c r="Y369" s="17"/>
      <c r="Z369" s="17"/>
      <c r="AA369" s="17"/>
      <c r="AB369" s="17" t="str">
        <f t="shared" si="6"/>
        <v>GPR080511R</v>
      </c>
    </row>
    <row r="370" spans="1:28">
      <c r="A370" s="17" t="s">
        <v>1871</v>
      </c>
      <c r="B370" s="17" t="s">
        <v>1871</v>
      </c>
      <c r="C370" s="17" t="s">
        <v>1872</v>
      </c>
      <c r="D370" s="17" t="s">
        <v>21</v>
      </c>
      <c r="E370" s="24" t="s">
        <v>6446</v>
      </c>
      <c r="F370" s="17" t="s">
        <v>59</v>
      </c>
      <c r="G370" s="17" t="str">
        <f>Config!$B$3</f>
        <v>SCH/R_IEC.SchLib</v>
      </c>
      <c r="H370" s="17" t="s">
        <v>419</v>
      </c>
      <c r="I370" s="17" t="s">
        <v>461</v>
      </c>
      <c r="J370" s="17" t="s">
        <v>1752</v>
      </c>
      <c r="K370" s="17"/>
      <c r="L370" s="17"/>
      <c r="M370" s="21">
        <v>12</v>
      </c>
      <c r="N370" s="17" t="s">
        <v>13979</v>
      </c>
      <c r="O370" s="17" t="s">
        <v>477</v>
      </c>
      <c r="P370" s="17" t="s">
        <v>1873</v>
      </c>
      <c r="Q370" s="17" t="s">
        <v>25</v>
      </c>
      <c r="R370" s="17" t="s">
        <v>1874</v>
      </c>
      <c r="S370" s="17" t="s">
        <v>477</v>
      </c>
      <c r="T370" s="17" t="s">
        <v>1875</v>
      </c>
      <c r="U370" s="17" t="s">
        <v>25</v>
      </c>
      <c r="V370" s="17" t="s">
        <v>1876</v>
      </c>
      <c r="W370" s="17"/>
      <c r="X370" s="17"/>
      <c r="Y370" s="17"/>
      <c r="Z370" s="17"/>
      <c r="AA370" s="17"/>
      <c r="AB370" s="17" t="str">
        <f t="shared" si="6"/>
        <v>GPR080512R</v>
      </c>
    </row>
    <row r="371" spans="1:28">
      <c r="A371" s="17" t="s">
        <v>1877</v>
      </c>
      <c r="B371" s="17" t="s">
        <v>1877</v>
      </c>
      <c r="C371" s="17" t="s">
        <v>1878</v>
      </c>
      <c r="D371" s="17" t="s">
        <v>21</v>
      </c>
      <c r="E371" s="24" t="s">
        <v>6446</v>
      </c>
      <c r="F371" s="17" t="s">
        <v>61</v>
      </c>
      <c r="G371" s="17" t="str">
        <f>Config!$B$3</f>
        <v>SCH/R_IEC.SchLib</v>
      </c>
      <c r="H371" s="17" t="s">
        <v>419</v>
      </c>
      <c r="I371" s="17" t="s">
        <v>461</v>
      </c>
      <c r="J371" s="17" t="s">
        <v>1752</v>
      </c>
      <c r="K371" s="17"/>
      <c r="L371" s="17"/>
      <c r="M371" s="21">
        <v>13</v>
      </c>
      <c r="N371" s="17" t="s">
        <v>13979</v>
      </c>
      <c r="O371" s="17" t="s">
        <v>477</v>
      </c>
      <c r="P371" s="17" t="s">
        <v>1879</v>
      </c>
      <c r="Q371" s="17" t="s">
        <v>25</v>
      </c>
      <c r="R371" s="17" t="s">
        <v>1880</v>
      </c>
      <c r="S371" s="17"/>
      <c r="T371" s="17"/>
      <c r="U371" s="17"/>
      <c r="V371" s="17"/>
      <c r="W371" s="17"/>
      <c r="X371" s="17"/>
      <c r="Y371" s="17"/>
      <c r="Z371" s="17"/>
      <c r="AA371" s="17"/>
      <c r="AB371" s="17" t="str">
        <f t="shared" si="6"/>
        <v>GPR080513R</v>
      </c>
    </row>
    <row r="372" spans="1:28">
      <c r="A372" s="17" t="s">
        <v>1881</v>
      </c>
      <c r="B372" s="17" t="s">
        <v>1881</v>
      </c>
      <c r="C372" s="17" t="s">
        <v>1882</v>
      </c>
      <c r="D372" s="17" t="s">
        <v>21</v>
      </c>
      <c r="E372" s="24" t="s">
        <v>6446</v>
      </c>
      <c r="F372" s="17" t="s">
        <v>63</v>
      </c>
      <c r="G372" s="17" t="str">
        <f>Config!$B$3</f>
        <v>SCH/R_IEC.SchLib</v>
      </c>
      <c r="H372" s="17" t="s">
        <v>419</v>
      </c>
      <c r="I372" s="17" t="s">
        <v>461</v>
      </c>
      <c r="J372" s="17" t="s">
        <v>1752</v>
      </c>
      <c r="K372" s="17"/>
      <c r="L372" s="17"/>
      <c r="M372" s="21">
        <v>15</v>
      </c>
      <c r="N372" s="17" t="s">
        <v>13979</v>
      </c>
      <c r="O372" s="17" t="s">
        <v>477</v>
      </c>
      <c r="P372" s="17" t="s">
        <v>1883</v>
      </c>
      <c r="Q372" s="17" t="s">
        <v>25</v>
      </c>
      <c r="R372" s="17" t="s">
        <v>1884</v>
      </c>
      <c r="S372" s="17" t="s">
        <v>477</v>
      </c>
      <c r="T372" s="17" t="s">
        <v>1885</v>
      </c>
      <c r="U372" s="17" t="s">
        <v>25</v>
      </c>
      <c r="V372" s="17" t="s">
        <v>1886</v>
      </c>
      <c r="W372" s="17"/>
      <c r="X372" s="17"/>
      <c r="Y372" s="17"/>
      <c r="Z372" s="17"/>
      <c r="AA372" s="17"/>
      <c r="AB372" s="17" t="str">
        <f t="shared" si="6"/>
        <v>GPR080515R</v>
      </c>
    </row>
    <row r="373" spans="1:28">
      <c r="A373" s="17" t="s">
        <v>1887</v>
      </c>
      <c r="B373" s="17" t="s">
        <v>1887</v>
      </c>
      <c r="C373" s="17" t="s">
        <v>1888</v>
      </c>
      <c r="D373" s="17" t="s">
        <v>21</v>
      </c>
      <c r="E373" s="24" t="s">
        <v>6446</v>
      </c>
      <c r="F373" s="17" t="s">
        <v>65</v>
      </c>
      <c r="G373" s="17" t="str">
        <f>Config!$B$3</f>
        <v>SCH/R_IEC.SchLib</v>
      </c>
      <c r="H373" s="17" t="s">
        <v>419</v>
      </c>
      <c r="I373" s="17" t="s">
        <v>461</v>
      </c>
      <c r="J373" s="17" t="s">
        <v>1752</v>
      </c>
      <c r="K373" s="17"/>
      <c r="L373" s="17"/>
      <c r="M373" s="21">
        <v>16</v>
      </c>
      <c r="N373" s="17" t="s">
        <v>13979</v>
      </c>
      <c r="O373" s="17" t="s">
        <v>477</v>
      </c>
      <c r="P373" s="17" t="s">
        <v>1889</v>
      </c>
      <c r="Q373" s="17" t="s">
        <v>25</v>
      </c>
      <c r="R373" s="17" t="s">
        <v>1890</v>
      </c>
      <c r="S373" s="17"/>
      <c r="T373" s="17"/>
      <c r="U373" s="17"/>
      <c r="V373" s="17"/>
      <c r="W373" s="17"/>
      <c r="X373" s="17"/>
      <c r="Y373" s="17"/>
      <c r="Z373" s="17"/>
      <c r="AA373" s="17"/>
      <c r="AB373" s="17" t="str">
        <f t="shared" si="6"/>
        <v>GPR080516R</v>
      </c>
    </row>
    <row r="374" spans="1:28">
      <c r="A374" s="17" t="s">
        <v>1891</v>
      </c>
      <c r="B374" s="17" t="s">
        <v>1891</v>
      </c>
      <c r="C374" s="17" t="s">
        <v>1892</v>
      </c>
      <c r="D374" s="17" t="s">
        <v>21</v>
      </c>
      <c r="E374" s="24" t="s">
        <v>6446</v>
      </c>
      <c r="F374" s="17" t="s">
        <v>67</v>
      </c>
      <c r="G374" s="17" t="str">
        <f>Config!$B$3</f>
        <v>SCH/R_IEC.SchLib</v>
      </c>
      <c r="H374" s="17" t="s">
        <v>419</v>
      </c>
      <c r="I374" s="17" t="s">
        <v>461</v>
      </c>
      <c r="J374" s="17" t="s">
        <v>1752</v>
      </c>
      <c r="K374" s="17"/>
      <c r="L374" s="17"/>
      <c r="M374" s="21">
        <v>18</v>
      </c>
      <c r="N374" s="17" t="s">
        <v>13979</v>
      </c>
      <c r="O374" s="17" t="s">
        <v>477</v>
      </c>
      <c r="P374" s="17" t="s">
        <v>1893</v>
      </c>
      <c r="Q374" s="17" t="s">
        <v>25</v>
      </c>
      <c r="R374" s="17" t="s">
        <v>1894</v>
      </c>
      <c r="S374" s="17"/>
      <c r="T374" s="17"/>
      <c r="U374" s="17"/>
      <c r="V374" s="17"/>
      <c r="W374" s="17"/>
      <c r="X374" s="17"/>
      <c r="Y374" s="17"/>
      <c r="Z374" s="17"/>
      <c r="AA374" s="17"/>
      <c r="AB374" s="17" t="str">
        <f t="shared" si="6"/>
        <v>GPR080518R</v>
      </c>
    </row>
    <row r="375" spans="1:28">
      <c r="A375" s="17" t="s">
        <v>1895</v>
      </c>
      <c r="B375" s="17" t="s">
        <v>1895</v>
      </c>
      <c r="C375" s="17" t="s">
        <v>1896</v>
      </c>
      <c r="D375" s="17" t="s">
        <v>21</v>
      </c>
      <c r="E375" s="24" t="s">
        <v>6446</v>
      </c>
      <c r="F375" s="17" t="s">
        <v>69</v>
      </c>
      <c r="G375" s="17" t="str">
        <f>Config!$B$3</f>
        <v>SCH/R_IEC.SchLib</v>
      </c>
      <c r="H375" s="17" t="s">
        <v>419</v>
      </c>
      <c r="I375" s="17" t="s">
        <v>461</v>
      </c>
      <c r="J375" s="17" t="s">
        <v>1752</v>
      </c>
      <c r="K375" s="17"/>
      <c r="L375" s="17"/>
      <c r="M375" s="21">
        <v>20</v>
      </c>
      <c r="N375" s="17" t="s">
        <v>13979</v>
      </c>
      <c r="O375" s="17" t="s">
        <v>477</v>
      </c>
      <c r="P375" s="17" t="s">
        <v>1897</v>
      </c>
      <c r="Q375" s="17" t="s">
        <v>25</v>
      </c>
      <c r="R375" s="17" t="s">
        <v>1898</v>
      </c>
      <c r="S375" s="17" t="s">
        <v>477</v>
      </c>
      <c r="T375" s="17" t="s">
        <v>1899</v>
      </c>
      <c r="U375" s="17" t="s">
        <v>25</v>
      </c>
      <c r="V375" s="17" t="s">
        <v>1900</v>
      </c>
      <c r="W375" s="17"/>
      <c r="X375" s="17"/>
      <c r="Y375" s="17"/>
      <c r="Z375" s="17"/>
      <c r="AA375" s="17"/>
      <c r="AB375" s="17" t="str">
        <f t="shared" si="6"/>
        <v>GPR080520R</v>
      </c>
    </row>
    <row r="376" spans="1:28">
      <c r="A376" s="17" t="s">
        <v>1901</v>
      </c>
      <c r="B376" s="17" t="s">
        <v>1901</v>
      </c>
      <c r="C376" s="17" t="s">
        <v>1902</v>
      </c>
      <c r="D376" s="17" t="s">
        <v>21</v>
      </c>
      <c r="E376" s="24" t="s">
        <v>6446</v>
      </c>
      <c r="F376" s="17" t="s">
        <v>71</v>
      </c>
      <c r="G376" s="17" t="str">
        <f>Config!$B$3</f>
        <v>SCH/R_IEC.SchLib</v>
      </c>
      <c r="H376" s="17" t="s">
        <v>419</v>
      </c>
      <c r="I376" s="17" t="s">
        <v>461</v>
      </c>
      <c r="J376" s="17" t="s">
        <v>1752</v>
      </c>
      <c r="K376" s="17"/>
      <c r="L376" s="17"/>
      <c r="M376" s="21">
        <v>22</v>
      </c>
      <c r="N376" s="17" t="s">
        <v>13979</v>
      </c>
      <c r="O376" s="17" t="s">
        <v>477</v>
      </c>
      <c r="P376" s="17" t="s">
        <v>1903</v>
      </c>
      <c r="Q376" s="17" t="s">
        <v>25</v>
      </c>
      <c r="R376" s="17" t="s">
        <v>1904</v>
      </c>
      <c r="S376" s="17" t="s">
        <v>477</v>
      </c>
      <c r="T376" s="17" t="s">
        <v>1905</v>
      </c>
      <c r="U376" s="17" t="s">
        <v>25</v>
      </c>
      <c r="V376" s="17" t="s">
        <v>1906</v>
      </c>
      <c r="W376" s="17"/>
      <c r="X376" s="17"/>
      <c r="Y376" s="17"/>
      <c r="Z376" s="17"/>
      <c r="AA376" s="17"/>
      <c r="AB376" s="17" t="str">
        <f t="shared" si="6"/>
        <v>GPR080522R</v>
      </c>
    </row>
    <row r="377" spans="1:28">
      <c r="A377" s="17" t="s">
        <v>1907</v>
      </c>
      <c r="B377" s="17" t="s">
        <v>1907</v>
      </c>
      <c r="C377" s="17" t="s">
        <v>1908</v>
      </c>
      <c r="D377" s="17" t="s">
        <v>21</v>
      </c>
      <c r="E377" s="24" t="s">
        <v>6446</v>
      </c>
      <c r="F377" s="17" t="s">
        <v>75</v>
      </c>
      <c r="G377" s="17" t="str">
        <f>Config!$B$3</f>
        <v>SCH/R_IEC.SchLib</v>
      </c>
      <c r="H377" s="17" t="s">
        <v>419</v>
      </c>
      <c r="I377" s="17" t="s">
        <v>461</v>
      </c>
      <c r="J377" s="17" t="s">
        <v>1752</v>
      </c>
      <c r="K377" s="17"/>
      <c r="L377" s="17"/>
      <c r="M377" s="21">
        <v>24</v>
      </c>
      <c r="N377" s="17" t="s">
        <v>13979</v>
      </c>
      <c r="O377" s="17" t="s">
        <v>477</v>
      </c>
      <c r="P377" s="17" t="s">
        <v>1909</v>
      </c>
      <c r="Q377" s="17" t="s">
        <v>25</v>
      </c>
      <c r="R377" s="17" t="s">
        <v>1910</v>
      </c>
      <c r="S377" s="17" t="s">
        <v>477</v>
      </c>
      <c r="T377" s="17" t="s">
        <v>1911</v>
      </c>
      <c r="U377" s="17" t="s">
        <v>25</v>
      </c>
      <c r="V377" s="17" t="s">
        <v>1912</v>
      </c>
      <c r="W377" s="17"/>
      <c r="X377" s="17"/>
      <c r="Y377" s="17"/>
      <c r="Z377" s="17"/>
      <c r="AA377" s="17"/>
      <c r="AB377" s="17" t="str">
        <f t="shared" si="6"/>
        <v>GPR080524R</v>
      </c>
    </row>
    <row r="378" spans="1:28">
      <c r="A378" s="17" t="s">
        <v>1913</v>
      </c>
      <c r="B378" s="17" t="s">
        <v>1913</v>
      </c>
      <c r="C378" s="17" t="s">
        <v>1914</v>
      </c>
      <c r="D378" s="17" t="s">
        <v>21</v>
      </c>
      <c r="E378" s="24" t="s">
        <v>6446</v>
      </c>
      <c r="F378" s="17" t="s">
        <v>77</v>
      </c>
      <c r="G378" s="17" t="str">
        <f>Config!$B$3</f>
        <v>SCH/R_IEC.SchLib</v>
      </c>
      <c r="H378" s="17" t="s">
        <v>419</v>
      </c>
      <c r="I378" s="17" t="s">
        <v>461</v>
      </c>
      <c r="J378" s="17" t="s">
        <v>1752</v>
      </c>
      <c r="K378" s="17"/>
      <c r="L378" s="17"/>
      <c r="M378" s="21">
        <v>27</v>
      </c>
      <c r="N378" s="17" t="s">
        <v>13979</v>
      </c>
      <c r="O378" s="17" t="s">
        <v>477</v>
      </c>
      <c r="P378" s="17" t="s">
        <v>1915</v>
      </c>
      <c r="Q378" s="17" t="s">
        <v>25</v>
      </c>
      <c r="R378" s="17" t="s">
        <v>1916</v>
      </c>
      <c r="S378" s="17" t="s">
        <v>477</v>
      </c>
      <c r="T378" s="17" t="s">
        <v>1917</v>
      </c>
      <c r="U378" s="17" t="s">
        <v>25</v>
      </c>
      <c r="V378" s="17" t="s">
        <v>1918</v>
      </c>
      <c r="W378" s="17"/>
      <c r="X378" s="17"/>
      <c r="Y378" s="17"/>
      <c r="Z378" s="17"/>
      <c r="AA378" s="17"/>
      <c r="AB378" s="17" t="str">
        <f t="shared" si="6"/>
        <v>GPR080527R</v>
      </c>
    </row>
    <row r="379" spans="1:28">
      <c r="A379" s="17" t="s">
        <v>1919</v>
      </c>
      <c r="B379" s="17" t="s">
        <v>1919</v>
      </c>
      <c r="C379" s="17" t="s">
        <v>1920</v>
      </c>
      <c r="D379" s="17" t="s">
        <v>21</v>
      </c>
      <c r="E379" s="24" t="s">
        <v>6446</v>
      </c>
      <c r="F379" s="17" t="s">
        <v>79</v>
      </c>
      <c r="G379" s="17" t="str">
        <f>Config!$B$3</f>
        <v>SCH/R_IEC.SchLib</v>
      </c>
      <c r="H379" s="17" t="s">
        <v>419</v>
      </c>
      <c r="I379" s="17" t="s">
        <v>461</v>
      </c>
      <c r="J379" s="17" t="s">
        <v>1752</v>
      </c>
      <c r="K379" s="17"/>
      <c r="L379" s="17"/>
      <c r="M379" s="21">
        <v>30</v>
      </c>
      <c r="N379" s="17" t="s">
        <v>13979</v>
      </c>
      <c r="O379" s="17" t="s">
        <v>477</v>
      </c>
      <c r="P379" s="17" t="s">
        <v>1921</v>
      </c>
      <c r="Q379" s="17" t="s">
        <v>25</v>
      </c>
      <c r="R379" s="17" t="s">
        <v>1922</v>
      </c>
      <c r="S379" s="17" t="s">
        <v>477</v>
      </c>
      <c r="T379" s="17" t="s">
        <v>1923</v>
      </c>
      <c r="U379" s="17" t="s">
        <v>25</v>
      </c>
      <c r="V379" s="17" t="s">
        <v>1924</v>
      </c>
      <c r="W379" s="17"/>
      <c r="X379" s="17"/>
      <c r="Y379" s="17"/>
      <c r="Z379" s="17"/>
      <c r="AA379" s="17"/>
      <c r="AB379" s="17" t="str">
        <f t="shared" si="6"/>
        <v>GPR080530R</v>
      </c>
    </row>
    <row r="380" spans="1:28">
      <c r="A380" s="17" t="s">
        <v>1925</v>
      </c>
      <c r="B380" s="17" t="s">
        <v>1925</v>
      </c>
      <c r="C380" s="17" t="s">
        <v>1926</v>
      </c>
      <c r="D380" s="17" t="s">
        <v>21</v>
      </c>
      <c r="E380" s="24" t="s">
        <v>6446</v>
      </c>
      <c r="F380" s="17" t="s">
        <v>81</v>
      </c>
      <c r="G380" s="17" t="str">
        <f>Config!$B$3</f>
        <v>SCH/R_IEC.SchLib</v>
      </c>
      <c r="H380" s="17" t="s">
        <v>419</v>
      </c>
      <c r="I380" s="17" t="s">
        <v>461</v>
      </c>
      <c r="J380" s="17" t="s">
        <v>1752</v>
      </c>
      <c r="K380" s="17"/>
      <c r="L380" s="17"/>
      <c r="M380" s="21">
        <v>33</v>
      </c>
      <c r="N380" s="17" t="s">
        <v>13979</v>
      </c>
      <c r="O380" s="17" t="s">
        <v>477</v>
      </c>
      <c r="P380" s="17" t="s">
        <v>1927</v>
      </c>
      <c r="Q380" s="17" t="s">
        <v>25</v>
      </c>
      <c r="R380" s="17" t="s">
        <v>1928</v>
      </c>
      <c r="S380" s="17" t="s">
        <v>477</v>
      </c>
      <c r="T380" s="17" t="s">
        <v>1929</v>
      </c>
      <c r="U380" s="17" t="s">
        <v>25</v>
      </c>
      <c r="V380" s="17" t="s">
        <v>1930</v>
      </c>
      <c r="W380" s="17"/>
      <c r="X380" s="17"/>
      <c r="Y380" s="17"/>
      <c r="Z380" s="17"/>
      <c r="AA380" s="17"/>
      <c r="AB380" s="17" t="str">
        <f t="shared" si="6"/>
        <v>GPR080533R</v>
      </c>
    </row>
    <row r="381" spans="1:28">
      <c r="A381" s="17" t="s">
        <v>1931</v>
      </c>
      <c r="B381" s="17" t="s">
        <v>1931</v>
      </c>
      <c r="C381" s="17" t="s">
        <v>1932</v>
      </c>
      <c r="D381" s="17" t="s">
        <v>21</v>
      </c>
      <c r="E381" s="24" t="s">
        <v>6446</v>
      </c>
      <c r="F381" s="17" t="s">
        <v>83</v>
      </c>
      <c r="G381" s="17" t="str">
        <f>Config!$B$3</f>
        <v>SCH/R_IEC.SchLib</v>
      </c>
      <c r="H381" s="17" t="s">
        <v>419</v>
      </c>
      <c r="I381" s="17" t="s">
        <v>461</v>
      </c>
      <c r="J381" s="17" t="s">
        <v>1752</v>
      </c>
      <c r="K381" s="17"/>
      <c r="L381" s="17"/>
      <c r="M381" s="21">
        <v>36</v>
      </c>
      <c r="N381" s="17" t="s">
        <v>13979</v>
      </c>
      <c r="O381" s="17" t="s">
        <v>477</v>
      </c>
      <c r="P381" s="17" t="s">
        <v>1933</v>
      </c>
      <c r="Q381" s="17" t="s">
        <v>25</v>
      </c>
      <c r="R381" s="17" t="s">
        <v>1934</v>
      </c>
      <c r="S381" s="17"/>
      <c r="T381" s="17"/>
      <c r="U381" s="17"/>
      <c r="V381" s="17"/>
      <c r="W381" s="17"/>
      <c r="X381" s="17"/>
      <c r="Y381" s="17"/>
      <c r="Z381" s="17"/>
      <c r="AA381" s="17"/>
      <c r="AB381" s="17" t="str">
        <f t="shared" si="6"/>
        <v>GPR080536R</v>
      </c>
    </row>
    <row r="382" spans="1:28">
      <c r="A382" s="17" t="s">
        <v>1935</v>
      </c>
      <c r="B382" s="17" t="s">
        <v>1935</v>
      </c>
      <c r="C382" s="17" t="s">
        <v>1936</v>
      </c>
      <c r="D382" s="17" t="s">
        <v>21</v>
      </c>
      <c r="E382" s="24" t="s">
        <v>6446</v>
      </c>
      <c r="F382" s="17" t="s">
        <v>85</v>
      </c>
      <c r="G382" s="17" t="str">
        <f>Config!$B$3</f>
        <v>SCH/R_IEC.SchLib</v>
      </c>
      <c r="H382" s="17" t="s">
        <v>419</v>
      </c>
      <c r="I382" s="17" t="s">
        <v>461</v>
      </c>
      <c r="J382" s="17" t="s">
        <v>1752</v>
      </c>
      <c r="K382" s="17"/>
      <c r="L382" s="17"/>
      <c r="M382" s="21">
        <v>39</v>
      </c>
      <c r="N382" s="17" t="s">
        <v>13979</v>
      </c>
      <c r="O382" s="17" t="s">
        <v>477</v>
      </c>
      <c r="P382" s="17" t="s">
        <v>1937</v>
      </c>
      <c r="Q382" s="17" t="s">
        <v>25</v>
      </c>
      <c r="R382" s="17" t="s">
        <v>1938</v>
      </c>
      <c r="S382" s="17" t="s">
        <v>477</v>
      </c>
      <c r="T382" s="17" t="s">
        <v>1939</v>
      </c>
      <c r="U382" s="17" t="s">
        <v>25</v>
      </c>
      <c r="V382" s="17" t="s">
        <v>1940</v>
      </c>
      <c r="W382" s="17"/>
      <c r="X382" s="17"/>
      <c r="Y382" s="17"/>
      <c r="Z382" s="17"/>
      <c r="AA382" s="17"/>
      <c r="AB382" s="17" t="str">
        <f t="shared" si="6"/>
        <v>GPR080539R</v>
      </c>
    </row>
    <row r="383" spans="1:28">
      <c r="A383" s="17" t="s">
        <v>1941</v>
      </c>
      <c r="B383" s="17" t="s">
        <v>1941</v>
      </c>
      <c r="C383" s="17" t="s">
        <v>1942</v>
      </c>
      <c r="D383" s="17" t="s">
        <v>21</v>
      </c>
      <c r="E383" s="24" t="s">
        <v>6446</v>
      </c>
      <c r="F383" s="17" t="s">
        <v>87</v>
      </c>
      <c r="G383" s="17" t="str">
        <f>Config!$B$3</f>
        <v>SCH/R_IEC.SchLib</v>
      </c>
      <c r="H383" s="17" t="s">
        <v>419</v>
      </c>
      <c r="I383" s="17" t="s">
        <v>461</v>
      </c>
      <c r="J383" s="17" t="s">
        <v>1752</v>
      </c>
      <c r="K383" s="17"/>
      <c r="L383" s="17"/>
      <c r="M383" s="21">
        <v>43</v>
      </c>
      <c r="N383" s="17" t="s">
        <v>13979</v>
      </c>
      <c r="O383" s="17" t="s">
        <v>477</v>
      </c>
      <c r="P383" s="17" t="s">
        <v>1943</v>
      </c>
      <c r="Q383" s="17" t="s">
        <v>25</v>
      </c>
      <c r="R383" s="17" t="s">
        <v>1944</v>
      </c>
      <c r="S383" s="17"/>
      <c r="T383" s="17"/>
      <c r="U383" s="17"/>
      <c r="V383" s="17"/>
      <c r="W383" s="17"/>
      <c r="X383" s="17"/>
      <c r="Y383" s="17"/>
      <c r="Z383" s="17"/>
      <c r="AA383" s="17"/>
      <c r="AB383" s="17" t="str">
        <f t="shared" si="6"/>
        <v>GPR080543R</v>
      </c>
    </row>
    <row r="384" spans="1:28">
      <c r="A384" s="17" t="s">
        <v>1945</v>
      </c>
      <c r="B384" s="17" t="s">
        <v>1945</v>
      </c>
      <c r="C384" s="17" t="s">
        <v>1946</v>
      </c>
      <c r="D384" s="17" t="s">
        <v>21</v>
      </c>
      <c r="E384" s="24" t="s">
        <v>6446</v>
      </c>
      <c r="F384" s="17" t="s">
        <v>89</v>
      </c>
      <c r="G384" s="17" t="str">
        <f>Config!$B$3</f>
        <v>SCH/R_IEC.SchLib</v>
      </c>
      <c r="H384" s="17" t="s">
        <v>419</v>
      </c>
      <c r="I384" s="17" t="s">
        <v>461</v>
      </c>
      <c r="J384" s="17" t="s">
        <v>1752</v>
      </c>
      <c r="K384" s="17"/>
      <c r="L384" s="17"/>
      <c r="M384" s="21">
        <v>47</v>
      </c>
      <c r="N384" s="17" t="s">
        <v>13979</v>
      </c>
      <c r="O384" s="17" t="s">
        <v>477</v>
      </c>
      <c r="P384" s="17" t="s">
        <v>1947</v>
      </c>
      <c r="Q384" s="17" t="s">
        <v>25</v>
      </c>
      <c r="R384" s="17" t="s">
        <v>1948</v>
      </c>
      <c r="S384" s="17" t="s">
        <v>477</v>
      </c>
      <c r="T384" s="17" t="s">
        <v>1949</v>
      </c>
      <c r="U384" s="17" t="s">
        <v>25</v>
      </c>
      <c r="V384" s="17" t="s">
        <v>1950</v>
      </c>
      <c r="W384" s="17"/>
      <c r="X384" s="17"/>
      <c r="Y384" s="17"/>
      <c r="Z384" s="17"/>
      <c r="AA384" s="17"/>
      <c r="AB384" s="17" t="str">
        <f t="shared" si="6"/>
        <v>GPR080547R</v>
      </c>
    </row>
    <row r="385" spans="1:28">
      <c r="A385" s="17" t="s">
        <v>1951</v>
      </c>
      <c r="B385" s="17" t="s">
        <v>1951</v>
      </c>
      <c r="C385" s="17" t="s">
        <v>1952</v>
      </c>
      <c r="D385" s="17" t="s">
        <v>21</v>
      </c>
      <c r="E385" s="24" t="s">
        <v>6446</v>
      </c>
      <c r="F385" s="17" t="s">
        <v>91</v>
      </c>
      <c r="G385" s="17" t="str">
        <f>Config!$B$3</f>
        <v>SCH/R_IEC.SchLib</v>
      </c>
      <c r="H385" s="17" t="s">
        <v>419</v>
      </c>
      <c r="I385" s="17" t="s">
        <v>461</v>
      </c>
      <c r="J385" s="17" t="s">
        <v>1752</v>
      </c>
      <c r="K385" s="17"/>
      <c r="L385" s="17"/>
      <c r="M385" s="21">
        <v>51</v>
      </c>
      <c r="N385" s="17" t="s">
        <v>13979</v>
      </c>
      <c r="O385" s="17" t="s">
        <v>477</v>
      </c>
      <c r="P385" s="17" t="s">
        <v>1953</v>
      </c>
      <c r="Q385" s="17" t="s">
        <v>25</v>
      </c>
      <c r="R385" s="17" t="s">
        <v>1954</v>
      </c>
      <c r="S385" s="17" t="s">
        <v>477</v>
      </c>
      <c r="T385" s="17" t="s">
        <v>1955</v>
      </c>
      <c r="U385" s="17" t="s">
        <v>25</v>
      </c>
      <c r="V385" s="17" t="s">
        <v>1956</v>
      </c>
      <c r="W385" s="17"/>
      <c r="X385" s="17"/>
      <c r="Y385" s="17"/>
      <c r="Z385" s="17"/>
      <c r="AA385" s="17"/>
      <c r="AB385" s="17" t="str">
        <f t="shared" si="6"/>
        <v>GPR080551R</v>
      </c>
    </row>
    <row r="386" spans="1:28">
      <c r="A386" s="17" t="s">
        <v>1957</v>
      </c>
      <c r="B386" s="17" t="s">
        <v>1957</v>
      </c>
      <c r="C386" s="17" t="s">
        <v>1958</v>
      </c>
      <c r="D386" s="17" t="s">
        <v>21</v>
      </c>
      <c r="E386" s="24" t="s">
        <v>6446</v>
      </c>
      <c r="F386" s="17" t="s">
        <v>93</v>
      </c>
      <c r="G386" s="17" t="str">
        <f>Config!$B$3</f>
        <v>SCH/R_IEC.SchLib</v>
      </c>
      <c r="H386" s="17" t="s">
        <v>419</v>
      </c>
      <c r="I386" s="17" t="s">
        <v>461</v>
      </c>
      <c r="J386" s="17" t="s">
        <v>1752</v>
      </c>
      <c r="K386" s="17"/>
      <c r="L386" s="17"/>
      <c r="M386" s="21">
        <v>56</v>
      </c>
      <c r="N386" s="17" t="s">
        <v>13979</v>
      </c>
      <c r="O386" s="17" t="s">
        <v>477</v>
      </c>
      <c r="P386" s="17" t="s">
        <v>1959</v>
      </c>
      <c r="Q386" s="17" t="s">
        <v>25</v>
      </c>
      <c r="R386" s="17" t="s">
        <v>1960</v>
      </c>
      <c r="S386" s="17" t="s">
        <v>477</v>
      </c>
      <c r="T386" s="17" t="s">
        <v>1961</v>
      </c>
      <c r="U386" s="17" t="s">
        <v>25</v>
      </c>
      <c r="V386" s="17" t="s">
        <v>1962</v>
      </c>
      <c r="W386" s="17"/>
      <c r="X386" s="17"/>
      <c r="Y386" s="17"/>
      <c r="Z386" s="17"/>
      <c r="AA386" s="17"/>
      <c r="AB386" s="17" t="str">
        <f t="shared" si="6"/>
        <v>GPR080556R</v>
      </c>
    </row>
    <row r="387" spans="1:28">
      <c r="A387" s="17" t="s">
        <v>1963</v>
      </c>
      <c r="B387" s="17" t="s">
        <v>1963</v>
      </c>
      <c r="C387" s="17" t="s">
        <v>1964</v>
      </c>
      <c r="D387" s="17" t="s">
        <v>21</v>
      </c>
      <c r="E387" s="24" t="s">
        <v>6446</v>
      </c>
      <c r="F387" s="17" t="s">
        <v>95</v>
      </c>
      <c r="G387" s="17" t="str">
        <f>Config!$B$3</f>
        <v>SCH/R_IEC.SchLib</v>
      </c>
      <c r="H387" s="17" t="s">
        <v>419</v>
      </c>
      <c r="I387" s="17" t="s">
        <v>461</v>
      </c>
      <c r="J387" s="17" t="s">
        <v>1752</v>
      </c>
      <c r="K387" s="17"/>
      <c r="L387" s="17"/>
      <c r="M387" s="21">
        <v>62</v>
      </c>
      <c r="N387" s="17" t="s">
        <v>13979</v>
      </c>
      <c r="O387" s="17" t="s">
        <v>477</v>
      </c>
      <c r="P387" s="17" t="s">
        <v>1965</v>
      </c>
      <c r="Q387" s="17" t="s">
        <v>25</v>
      </c>
      <c r="R387" s="17" t="s">
        <v>1966</v>
      </c>
      <c r="S387" s="17"/>
      <c r="T387" s="17"/>
      <c r="U387" s="17"/>
      <c r="V387" s="17"/>
      <c r="W387" s="17"/>
      <c r="X387" s="17"/>
      <c r="Y387" s="17"/>
      <c r="Z387" s="17"/>
      <c r="AA387" s="17"/>
      <c r="AB387" s="17" t="str">
        <f t="shared" si="6"/>
        <v>GPR080562R</v>
      </c>
    </row>
    <row r="388" spans="1:28">
      <c r="A388" s="17" t="s">
        <v>1967</v>
      </c>
      <c r="B388" s="17" t="s">
        <v>1967</v>
      </c>
      <c r="C388" s="17" t="s">
        <v>1968</v>
      </c>
      <c r="D388" s="17" t="s">
        <v>21</v>
      </c>
      <c r="E388" s="24" t="s">
        <v>6446</v>
      </c>
      <c r="F388" s="17" t="s">
        <v>97</v>
      </c>
      <c r="G388" s="17" t="str">
        <f>Config!$B$3</f>
        <v>SCH/R_IEC.SchLib</v>
      </c>
      <c r="H388" s="17" t="s">
        <v>419</v>
      </c>
      <c r="I388" s="17" t="s">
        <v>461</v>
      </c>
      <c r="J388" s="17" t="s">
        <v>1752</v>
      </c>
      <c r="K388" s="17"/>
      <c r="L388" s="17"/>
      <c r="M388" s="21">
        <v>68</v>
      </c>
      <c r="N388" s="17" t="s">
        <v>13979</v>
      </c>
      <c r="O388" s="17" t="s">
        <v>477</v>
      </c>
      <c r="P388" s="17" t="s">
        <v>1969</v>
      </c>
      <c r="Q388" s="17" t="s">
        <v>25</v>
      </c>
      <c r="R388" s="17" t="s">
        <v>1970</v>
      </c>
      <c r="S388" s="17" t="s">
        <v>477</v>
      </c>
      <c r="T388" s="17" t="s">
        <v>1971</v>
      </c>
      <c r="U388" s="17" t="s">
        <v>25</v>
      </c>
      <c r="V388" s="17" t="s">
        <v>1972</v>
      </c>
      <c r="W388" s="17"/>
      <c r="X388" s="17"/>
      <c r="Y388" s="17"/>
      <c r="Z388" s="17"/>
      <c r="AA388" s="17"/>
      <c r="AB388" s="17" t="str">
        <f t="shared" si="6"/>
        <v>GPR080568R</v>
      </c>
    </row>
    <row r="389" spans="1:28">
      <c r="A389" s="17" t="s">
        <v>1973</v>
      </c>
      <c r="B389" s="17" t="s">
        <v>1973</v>
      </c>
      <c r="C389" s="17" t="s">
        <v>1974</v>
      </c>
      <c r="D389" s="17" t="s">
        <v>21</v>
      </c>
      <c r="E389" s="24" t="s">
        <v>6446</v>
      </c>
      <c r="F389" s="17" t="s">
        <v>99</v>
      </c>
      <c r="G389" s="17" t="str">
        <f>Config!$B$3</f>
        <v>SCH/R_IEC.SchLib</v>
      </c>
      <c r="H389" s="17" t="s">
        <v>419</v>
      </c>
      <c r="I389" s="17" t="s">
        <v>461</v>
      </c>
      <c r="J389" s="17" t="s">
        <v>1752</v>
      </c>
      <c r="K389" s="17"/>
      <c r="L389" s="17"/>
      <c r="M389" s="21">
        <v>75</v>
      </c>
      <c r="N389" s="17" t="s">
        <v>13979</v>
      </c>
      <c r="O389" s="17" t="s">
        <v>477</v>
      </c>
      <c r="P389" s="17" t="s">
        <v>1975</v>
      </c>
      <c r="Q389" s="17" t="s">
        <v>25</v>
      </c>
      <c r="R389" s="17" t="s">
        <v>1976</v>
      </c>
      <c r="S389" s="17" t="s">
        <v>477</v>
      </c>
      <c r="T389" s="17" t="s">
        <v>1977</v>
      </c>
      <c r="U389" s="17" t="s">
        <v>25</v>
      </c>
      <c r="V389" s="17" t="s">
        <v>1978</v>
      </c>
      <c r="W389" s="17"/>
      <c r="X389" s="17"/>
      <c r="Y389" s="17"/>
      <c r="Z389" s="17"/>
      <c r="AA389" s="17"/>
      <c r="AB389" s="17" t="str">
        <f t="shared" si="6"/>
        <v>GPR080575R</v>
      </c>
    </row>
    <row r="390" spans="1:28">
      <c r="A390" s="17" t="s">
        <v>1979</v>
      </c>
      <c r="B390" s="17" t="s">
        <v>1979</v>
      </c>
      <c r="C390" s="17" t="s">
        <v>1980</v>
      </c>
      <c r="D390" s="17" t="s">
        <v>21</v>
      </c>
      <c r="E390" s="24" t="s">
        <v>6446</v>
      </c>
      <c r="F390" s="17" t="s">
        <v>101</v>
      </c>
      <c r="G390" s="17" t="str">
        <f>Config!$B$3</f>
        <v>SCH/R_IEC.SchLib</v>
      </c>
      <c r="H390" s="17" t="s">
        <v>419</v>
      </c>
      <c r="I390" s="17" t="s">
        <v>461</v>
      </c>
      <c r="J390" s="17" t="s">
        <v>1752</v>
      </c>
      <c r="K390" s="17"/>
      <c r="L390" s="17"/>
      <c r="M390" s="21">
        <v>82</v>
      </c>
      <c r="N390" s="17" t="s">
        <v>13979</v>
      </c>
      <c r="O390" s="17" t="s">
        <v>477</v>
      </c>
      <c r="P390" s="17" t="s">
        <v>1981</v>
      </c>
      <c r="Q390" s="17" t="s">
        <v>25</v>
      </c>
      <c r="R390" s="17" t="s">
        <v>1982</v>
      </c>
      <c r="S390" s="17" t="s">
        <v>477</v>
      </c>
      <c r="T390" s="17" t="s">
        <v>1983</v>
      </c>
      <c r="U390" s="17" t="s">
        <v>25</v>
      </c>
      <c r="V390" s="17" t="s">
        <v>1984</v>
      </c>
      <c r="W390" s="17"/>
      <c r="X390" s="17"/>
      <c r="Y390" s="17"/>
      <c r="Z390" s="17"/>
      <c r="AA390" s="17"/>
      <c r="AB390" s="17" t="str">
        <f t="shared" si="6"/>
        <v>GPR080582R</v>
      </c>
    </row>
    <row r="391" spans="1:28">
      <c r="A391" s="17" t="s">
        <v>1985</v>
      </c>
      <c r="B391" s="17" t="s">
        <v>1985</v>
      </c>
      <c r="C391" s="17" t="s">
        <v>1986</v>
      </c>
      <c r="D391" s="17" t="s">
        <v>21</v>
      </c>
      <c r="E391" s="24" t="s">
        <v>6446</v>
      </c>
      <c r="F391" s="17" t="s">
        <v>103</v>
      </c>
      <c r="G391" s="17" t="str">
        <f>Config!$B$3</f>
        <v>SCH/R_IEC.SchLib</v>
      </c>
      <c r="H391" s="17" t="s">
        <v>419</v>
      </c>
      <c r="I391" s="17" t="s">
        <v>461</v>
      </c>
      <c r="J391" s="17" t="s">
        <v>1752</v>
      </c>
      <c r="K391" s="17"/>
      <c r="L391" s="17"/>
      <c r="M391" s="21">
        <v>91</v>
      </c>
      <c r="N391" s="17" t="s">
        <v>13979</v>
      </c>
      <c r="O391" s="17" t="s">
        <v>477</v>
      </c>
      <c r="P391" s="17" t="s">
        <v>1987</v>
      </c>
      <c r="Q391" s="17" t="s">
        <v>25</v>
      </c>
      <c r="R391" s="17" t="s">
        <v>1988</v>
      </c>
      <c r="S391" s="17" t="s">
        <v>477</v>
      </c>
      <c r="T391" s="17" t="s">
        <v>1989</v>
      </c>
      <c r="U391" s="17" t="s">
        <v>25</v>
      </c>
      <c r="V391" s="17" t="s">
        <v>1990</v>
      </c>
      <c r="W391" s="17"/>
      <c r="X391" s="17"/>
      <c r="Y391" s="17"/>
      <c r="Z391" s="17"/>
      <c r="AA391" s="17"/>
      <c r="AB391" s="17" t="str">
        <f t="shared" si="6"/>
        <v>GPR080591R</v>
      </c>
    </row>
    <row r="392" spans="1:28">
      <c r="A392" s="17" t="s">
        <v>1991</v>
      </c>
      <c r="B392" s="17" t="s">
        <v>1991</v>
      </c>
      <c r="C392" s="17" t="s">
        <v>1992</v>
      </c>
      <c r="D392" s="17" t="s">
        <v>21</v>
      </c>
      <c r="E392" s="24" t="s">
        <v>6446</v>
      </c>
      <c r="F392" s="17" t="s">
        <v>105</v>
      </c>
      <c r="G392" s="17" t="str">
        <f>Config!$B$3</f>
        <v>SCH/R_IEC.SchLib</v>
      </c>
      <c r="H392" s="17" t="s">
        <v>419</v>
      </c>
      <c r="I392" s="17" t="s">
        <v>461</v>
      </c>
      <c r="J392" s="17" t="s">
        <v>1752</v>
      </c>
      <c r="K392" s="17"/>
      <c r="L392" s="17"/>
      <c r="M392" s="21">
        <v>100</v>
      </c>
      <c r="N392" s="17" t="s">
        <v>13979</v>
      </c>
      <c r="O392" s="17" t="s">
        <v>477</v>
      </c>
      <c r="P392" s="17" t="s">
        <v>1993</v>
      </c>
      <c r="Q392" s="17" t="s">
        <v>25</v>
      </c>
      <c r="R392" s="17" t="s">
        <v>1994</v>
      </c>
      <c r="S392" s="17" t="s">
        <v>477</v>
      </c>
      <c r="T392" s="17" t="s">
        <v>1995</v>
      </c>
      <c r="U392" s="17" t="s">
        <v>25</v>
      </c>
      <c r="V392" s="17" t="s">
        <v>1996</v>
      </c>
      <c r="W392" s="17"/>
      <c r="X392" s="17"/>
      <c r="Y392" s="17"/>
      <c r="Z392" s="17"/>
      <c r="AA392" s="17"/>
      <c r="AB392" s="17" t="str">
        <f t="shared" si="6"/>
        <v>GPR0805100R</v>
      </c>
    </row>
    <row r="393" spans="1:28">
      <c r="A393" s="17" t="s">
        <v>1997</v>
      </c>
      <c r="B393" s="17" t="s">
        <v>1997</v>
      </c>
      <c r="C393" s="17" t="s">
        <v>1998</v>
      </c>
      <c r="D393" s="17" t="s">
        <v>21</v>
      </c>
      <c r="E393" s="24" t="s">
        <v>6446</v>
      </c>
      <c r="F393" s="17" t="s">
        <v>109</v>
      </c>
      <c r="G393" s="17" t="str">
        <f>Config!$B$3</f>
        <v>SCH/R_IEC.SchLib</v>
      </c>
      <c r="H393" s="17" t="s">
        <v>419</v>
      </c>
      <c r="I393" s="17" t="s">
        <v>461</v>
      </c>
      <c r="J393" s="17" t="s">
        <v>1752</v>
      </c>
      <c r="K393" s="17"/>
      <c r="L393" s="17"/>
      <c r="M393" s="21">
        <v>110</v>
      </c>
      <c r="N393" s="17" t="s">
        <v>13979</v>
      </c>
      <c r="O393" s="17" t="s">
        <v>477</v>
      </c>
      <c r="P393" s="17" t="s">
        <v>1999</v>
      </c>
      <c r="Q393" s="17" t="s">
        <v>25</v>
      </c>
      <c r="R393" s="17" t="s">
        <v>2000</v>
      </c>
      <c r="S393" s="17"/>
      <c r="T393" s="17"/>
      <c r="U393" s="17"/>
      <c r="V393" s="17"/>
      <c r="W393" s="17"/>
      <c r="X393" s="17"/>
      <c r="Y393" s="17"/>
      <c r="Z393" s="17"/>
      <c r="AA393" s="17"/>
      <c r="AB393" s="17" t="str">
        <f t="shared" si="6"/>
        <v>GPR0805110R</v>
      </c>
    </row>
    <row r="394" spans="1:28">
      <c r="A394" s="17" t="s">
        <v>2001</v>
      </c>
      <c r="B394" s="17" t="s">
        <v>2001</v>
      </c>
      <c r="C394" s="17" t="s">
        <v>2002</v>
      </c>
      <c r="D394" s="17" t="s">
        <v>21</v>
      </c>
      <c r="E394" s="24" t="s">
        <v>6446</v>
      </c>
      <c r="F394" s="17" t="s">
        <v>111</v>
      </c>
      <c r="G394" s="17" t="str">
        <f>Config!$B$3</f>
        <v>SCH/R_IEC.SchLib</v>
      </c>
      <c r="H394" s="17" t="s">
        <v>419</v>
      </c>
      <c r="I394" s="17" t="s">
        <v>461</v>
      </c>
      <c r="J394" s="17" t="s">
        <v>1752</v>
      </c>
      <c r="K394" s="17"/>
      <c r="L394" s="17"/>
      <c r="M394" s="21">
        <v>120</v>
      </c>
      <c r="N394" s="17" t="s">
        <v>13979</v>
      </c>
      <c r="O394" s="17" t="s">
        <v>477</v>
      </c>
      <c r="P394" s="17" t="s">
        <v>2003</v>
      </c>
      <c r="Q394" s="17" t="s">
        <v>25</v>
      </c>
      <c r="R394" s="17" t="s">
        <v>2004</v>
      </c>
      <c r="S394" s="17" t="s">
        <v>477</v>
      </c>
      <c r="T394" s="17" t="s">
        <v>2005</v>
      </c>
      <c r="U394" s="17" t="s">
        <v>25</v>
      </c>
      <c r="V394" s="17" t="s">
        <v>2006</v>
      </c>
      <c r="W394" s="17"/>
      <c r="X394" s="17"/>
      <c r="Y394" s="17"/>
      <c r="Z394" s="17"/>
      <c r="AA394" s="17"/>
      <c r="AB394" s="17" t="str">
        <f t="shared" si="6"/>
        <v>GPR0805120R</v>
      </c>
    </row>
    <row r="395" spans="1:28">
      <c r="A395" s="17" t="s">
        <v>2007</v>
      </c>
      <c r="B395" s="17" t="s">
        <v>2007</v>
      </c>
      <c r="C395" s="17" t="s">
        <v>2008</v>
      </c>
      <c r="D395" s="17" t="s">
        <v>21</v>
      </c>
      <c r="E395" s="24" t="s">
        <v>6446</v>
      </c>
      <c r="F395" s="17" t="s">
        <v>113</v>
      </c>
      <c r="G395" s="17" t="str">
        <f>Config!$B$3</f>
        <v>SCH/R_IEC.SchLib</v>
      </c>
      <c r="H395" s="17" t="s">
        <v>419</v>
      </c>
      <c r="I395" s="17" t="s">
        <v>461</v>
      </c>
      <c r="J395" s="17" t="s">
        <v>1752</v>
      </c>
      <c r="K395" s="17"/>
      <c r="L395" s="17"/>
      <c r="M395" s="21">
        <v>130</v>
      </c>
      <c r="N395" s="17" t="s">
        <v>13979</v>
      </c>
      <c r="O395" s="17" t="s">
        <v>477</v>
      </c>
      <c r="P395" s="17" t="s">
        <v>2009</v>
      </c>
      <c r="Q395" s="17" t="s">
        <v>25</v>
      </c>
      <c r="R395" s="17" t="s">
        <v>2010</v>
      </c>
      <c r="S395" s="17"/>
      <c r="T395" s="17"/>
      <c r="U395" s="17"/>
      <c r="V395" s="17"/>
      <c r="W395" s="17"/>
      <c r="X395" s="17"/>
      <c r="Y395" s="17"/>
      <c r="Z395" s="17"/>
      <c r="AA395" s="17"/>
      <c r="AB395" s="17" t="str">
        <f t="shared" si="6"/>
        <v>GPR0805130R</v>
      </c>
    </row>
    <row r="396" spans="1:28">
      <c r="A396" s="17" t="s">
        <v>2011</v>
      </c>
      <c r="B396" s="17" t="s">
        <v>2011</v>
      </c>
      <c r="C396" s="17" t="s">
        <v>2012</v>
      </c>
      <c r="D396" s="17" t="s">
        <v>21</v>
      </c>
      <c r="E396" s="24" t="s">
        <v>6446</v>
      </c>
      <c r="F396" s="17" t="s">
        <v>115</v>
      </c>
      <c r="G396" s="17" t="str">
        <f>Config!$B$3</f>
        <v>SCH/R_IEC.SchLib</v>
      </c>
      <c r="H396" s="17" t="s">
        <v>419</v>
      </c>
      <c r="I396" s="17" t="s">
        <v>461</v>
      </c>
      <c r="J396" s="17" t="s">
        <v>1752</v>
      </c>
      <c r="K396" s="17"/>
      <c r="L396" s="17"/>
      <c r="M396" s="21">
        <v>150</v>
      </c>
      <c r="N396" s="17" t="s">
        <v>13979</v>
      </c>
      <c r="O396" s="17" t="s">
        <v>477</v>
      </c>
      <c r="P396" s="17" t="s">
        <v>2013</v>
      </c>
      <c r="Q396" s="17" t="s">
        <v>25</v>
      </c>
      <c r="R396" s="17" t="s">
        <v>2014</v>
      </c>
      <c r="S396" s="17" t="s">
        <v>477</v>
      </c>
      <c r="T396" s="17" t="s">
        <v>2015</v>
      </c>
      <c r="U396" s="17" t="s">
        <v>25</v>
      </c>
      <c r="V396" s="17" t="s">
        <v>2016</v>
      </c>
      <c r="W396" s="17"/>
      <c r="X396" s="17"/>
      <c r="Y396" s="17"/>
      <c r="Z396" s="17"/>
      <c r="AA396" s="17"/>
      <c r="AB396" s="17" t="str">
        <f t="shared" si="6"/>
        <v>GPR0805150R</v>
      </c>
    </row>
    <row r="397" spans="1:28">
      <c r="A397" s="17" t="s">
        <v>2017</v>
      </c>
      <c r="B397" s="17" t="s">
        <v>2017</v>
      </c>
      <c r="C397" s="17" t="s">
        <v>2018</v>
      </c>
      <c r="D397" s="17" t="s">
        <v>21</v>
      </c>
      <c r="E397" s="24" t="s">
        <v>6446</v>
      </c>
      <c r="F397" s="17" t="s">
        <v>117</v>
      </c>
      <c r="G397" s="17" t="str">
        <f>Config!$B$3</f>
        <v>SCH/R_IEC.SchLib</v>
      </c>
      <c r="H397" s="17" t="s">
        <v>419</v>
      </c>
      <c r="I397" s="17" t="s">
        <v>461</v>
      </c>
      <c r="J397" s="17" t="s">
        <v>1752</v>
      </c>
      <c r="K397" s="17"/>
      <c r="L397" s="17"/>
      <c r="M397" s="21">
        <v>160</v>
      </c>
      <c r="N397" s="17" t="s">
        <v>13979</v>
      </c>
      <c r="O397" s="17" t="s">
        <v>477</v>
      </c>
      <c r="P397" s="17" t="s">
        <v>2019</v>
      </c>
      <c r="Q397" s="17" t="s">
        <v>25</v>
      </c>
      <c r="R397" s="17" t="s">
        <v>2020</v>
      </c>
      <c r="S397" s="17" t="s">
        <v>477</v>
      </c>
      <c r="T397" s="17" t="s">
        <v>2021</v>
      </c>
      <c r="U397" s="17" t="s">
        <v>25</v>
      </c>
      <c r="V397" s="17" t="s">
        <v>2022</v>
      </c>
      <c r="W397" s="17"/>
      <c r="X397" s="17"/>
      <c r="Y397" s="17"/>
      <c r="Z397" s="17"/>
      <c r="AA397" s="17"/>
      <c r="AB397" s="17" t="str">
        <f t="shared" si="6"/>
        <v>GPR0805160R</v>
      </c>
    </row>
    <row r="398" spans="1:28">
      <c r="A398" s="17" t="s">
        <v>2023</v>
      </c>
      <c r="B398" s="17" t="s">
        <v>2023</v>
      </c>
      <c r="C398" s="17" t="s">
        <v>2024</v>
      </c>
      <c r="D398" s="17" t="s">
        <v>21</v>
      </c>
      <c r="E398" s="24" t="s">
        <v>6446</v>
      </c>
      <c r="F398" s="17" t="s">
        <v>119</v>
      </c>
      <c r="G398" s="17" t="str">
        <f>Config!$B$3</f>
        <v>SCH/R_IEC.SchLib</v>
      </c>
      <c r="H398" s="17" t="s">
        <v>419</v>
      </c>
      <c r="I398" s="17" t="s">
        <v>461</v>
      </c>
      <c r="J398" s="17" t="s">
        <v>1752</v>
      </c>
      <c r="K398" s="17"/>
      <c r="L398" s="17"/>
      <c r="M398" s="21">
        <v>180</v>
      </c>
      <c r="N398" s="17" t="s">
        <v>13979</v>
      </c>
      <c r="O398" s="17" t="s">
        <v>477</v>
      </c>
      <c r="P398" s="17" t="s">
        <v>2025</v>
      </c>
      <c r="Q398" s="17" t="s">
        <v>25</v>
      </c>
      <c r="R398" s="17" t="s">
        <v>2026</v>
      </c>
      <c r="S398" s="17" t="s">
        <v>477</v>
      </c>
      <c r="T398" s="17" t="s">
        <v>2027</v>
      </c>
      <c r="U398" s="17" t="s">
        <v>25</v>
      </c>
      <c r="V398" s="17" t="s">
        <v>2028</v>
      </c>
      <c r="W398" s="17"/>
      <c r="X398" s="17"/>
      <c r="Y398" s="17"/>
      <c r="Z398" s="17"/>
      <c r="AA398" s="17"/>
      <c r="AB398" s="17" t="str">
        <f t="shared" si="6"/>
        <v>GPR0805180R</v>
      </c>
    </row>
    <row r="399" spans="1:28">
      <c r="A399" s="17" t="s">
        <v>2029</v>
      </c>
      <c r="B399" s="17" t="s">
        <v>2029</v>
      </c>
      <c r="C399" s="17" t="s">
        <v>2030</v>
      </c>
      <c r="D399" s="17" t="s">
        <v>21</v>
      </c>
      <c r="E399" s="24" t="s">
        <v>6446</v>
      </c>
      <c r="F399" s="17" t="s">
        <v>123</v>
      </c>
      <c r="G399" s="17" t="str">
        <f>Config!$B$3</f>
        <v>SCH/R_IEC.SchLib</v>
      </c>
      <c r="H399" s="17" t="s">
        <v>419</v>
      </c>
      <c r="I399" s="17" t="s">
        <v>461</v>
      </c>
      <c r="J399" s="17" t="s">
        <v>1752</v>
      </c>
      <c r="K399" s="17"/>
      <c r="L399" s="17"/>
      <c r="M399" s="21">
        <v>200</v>
      </c>
      <c r="N399" s="17" t="s">
        <v>13979</v>
      </c>
      <c r="O399" s="17" t="s">
        <v>477</v>
      </c>
      <c r="P399" s="17" t="s">
        <v>2031</v>
      </c>
      <c r="Q399" s="17" t="s">
        <v>25</v>
      </c>
      <c r="R399" s="17" t="s">
        <v>2032</v>
      </c>
      <c r="S399" s="17" t="s">
        <v>477</v>
      </c>
      <c r="T399" s="17" t="s">
        <v>2033</v>
      </c>
      <c r="U399" s="17" t="s">
        <v>25</v>
      </c>
      <c r="V399" s="17" t="s">
        <v>2034</v>
      </c>
      <c r="W399" s="17"/>
      <c r="X399" s="17"/>
      <c r="Y399" s="17"/>
      <c r="Z399" s="17"/>
      <c r="AA399" s="17"/>
      <c r="AB399" s="17" t="str">
        <f t="shared" si="6"/>
        <v>GPR0805200R</v>
      </c>
    </row>
    <row r="400" spans="1:28">
      <c r="A400" s="17" t="s">
        <v>2035</v>
      </c>
      <c r="B400" s="17" t="s">
        <v>2035</v>
      </c>
      <c r="C400" s="17" t="s">
        <v>2036</v>
      </c>
      <c r="D400" s="17" t="s">
        <v>21</v>
      </c>
      <c r="E400" s="24" t="s">
        <v>6446</v>
      </c>
      <c r="F400" s="17" t="s">
        <v>125</v>
      </c>
      <c r="G400" s="17" t="str">
        <f>Config!$B$3</f>
        <v>SCH/R_IEC.SchLib</v>
      </c>
      <c r="H400" s="17" t="s">
        <v>419</v>
      </c>
      <c r="I400" s="17" t="s">
        <v>461</v>
      </c>
      <c r="J400" s="17" t="s">
        <v>1752</v>
      </c>
      <c r="K400" s="17"/>
      <c r="L400" s="17"/>
      <c r="M400" s="21">
        <v>220</v>
      </c>
      <c r="N400" s="17" t="s">
        <v>13979</v>
      </c>
      <c r="O400" s="17" t="s">
        <v>477</v>
      </c>
      <c r="P400" s="17" t="s">
        <v>2037</v>
      </c>
      <c r="Q400" s="17" t="s">
        <v>25</v>
      </c>
      <c r="R400" s="17" t="s">
        <v>2038</v>
      </c>
      <c r="S400" s="17" t="s">
        <v>477</v>
      </c>
      <c r="T400" s="17" t="s">
        <v>2039</v>
      </c>
      <c r="U400" s="17" t="s">
        <v>25</v>
      </c>
      <c r="V400" s="17" t="s">
        <v>2040</v>
      </c>
      <c r="W400" s="17"/>
      <c r="X400" s="17"/>
      <c r="Y400" s="17"/>
      <c r="Z400" s="17"/>
      <c r="AA400" s="17"/>
      <c r="AB400" s="17" t="str">
        <f t="shared" si="6"/>
        <v>GPR0805220R</v>
      </c>
    </row>
    <row r="401" spans="1:28">
      <c r="A401" s="17" t="s">
        <v>2041</v>
      </c>
      <c r="B401" s="17" t="s">
        <v>2041</v>
      </c>
      <c r="C401" s="17" t="s">
        <v>2042</v>
      </c>
      <c r="D401" s="17" t="s">
        <v>21</v>
      </c>
      <c r="E401" s="24" t="s">
        <v>6446</v>
      </c>
      <c r="F401" s="17" t="s">
        <v>129</v>
      </c>
      <c r="G401" s="17" t="str">
        <f>Config!$B$3</f>
        <v>SCH/R_IEC.SchLib</v>
      </c>
      <c r="H401" s="17" t="s">
        <v>419</v>
      </c>
      <c r="I401" s="17" t="s">
        <v>461</v>
      </c>
      <c r="J401" s="17" t="s">
        <v>1752</v>
      </c>
      <c r="K401" s="17"/>
      <c r="L401" s="17"/>
      <c r="M401" s="21">
        <v>240</v>
      </c>
      <c r="N401" s="17" t="s">
        <v>13979</v>
      </c>
      <c r="O401" s="17" t="s">
        <v>477</v>
      </c>
      <c r="P401" s="17" t="s">
        <v>2043</v>
      </c>
      <c r="Q401" s="17" t="s">
        <v>25</v>
      </c>
      <c r="R401" s="17" t="s">
        <v>2044</v>
      </c>
      <c r="S401" s="17" t="s">
        <v>477</v>
      </c>
      <c r="T401" s="17" t="s">
        <v>2045</v>
      </c>
      <c r="U401" s="17" t="s">
        <v>25</v>
      </c>
      <c r="V401" s="17" t="s">
        <v>2046</v>
      </c>
      <c r="W401" s="17"/>
      <c r="X401" s="17"/>
      <c r="Y401" s="17"/>
      <c r="Z401" s="17"/>
      <c r="AA401" s="17"/>
      <c r="AB401" s="17" t="str">
        <f t="shared" si="6"/>
        <v>GPR0805240R</v>
      </c>
    </row>
    <row r="402" spans="1:28">
      <c r="A402" s="17" t="s">
        <v>2047</v>
      </c>
      <c r="B402" s="17" t="s">
        <v>2047</v>
      </c>
      <c r="C402" s="17" t="s">
        <v>2048</v>
      </c>
      <c r="D402" s="17" t="s">
        <v>21</v>
      </c>
      <c r="E402" s="24" t="s">
        <v>6446</v>
      </c>
      <c r="F402" s="17" t="s">
        <v>131</v>
      </c>
      <c r="G402" s="17" t="str">
        <f>Config!$B$3</f>
        <v>SCH/R_IEC.SchLib</v>
      </c>
      <c r="H402" s="17" t="s">
        <v>419</v>
      </c>
      <c r="I402" s="17" t="s">
        <v>461</v>
      </c>
      <c r="J402" s="17" t="s">
        <v>1752</v>
      </c>
      <c r="K402" s="17"/>
      <c r="L402" s="17"/>
      <c r="M402" s="21">
        <v>270</v>
      </c>
      <c r="N402" s="17" t="s">
        <v>13979</v>
      </c>
      <c r="O402" s="17" t="s">
        <v>477</v>
      </c>
      <c r="P402" s="17" t="s">
        <v>2049</v>
      </c>
      <c r="Q402" s="17" t="s">
        <v>25</v>
      </c>
      <c r="R402" s="17" t="s">
        <v>2050</v>
      </c>
      <c r="S402" s="17" t="s">
        <v>477</v>
      </c>
      <c r="T402" s="17" t="s">
        <v>2051</v>
      </c>
      <c r="U402" s="17" t="s">
        <v>25</v>
      </c>
      <c r="V402" s="17" t="s">
        <v>2052</v>
      </c>
      <c r="W402" s="17"/>
      <c r="X402" s="17"/>
      <c r="Y402" s="17"/>
      <c r="Z402" s="17"/>
      <c r="AA402" s="17"/>
      <c r="AB402" s="17" t="str">
        <f t="shared" si="6"/>
        <v>GPR0805270R</v>
      </c>
    </row>
    <row r="403" spans="1:28">
      <c r="A403" s="17" t="s">
        <v>2053</v>
      </c>
      <c r="B403" s="17" t="s">
        <v>2053</v>
      </c>
      <c r="C403" s="17" t="s">
        <v>2054</v>
      </c>
      <c r="D403" s="17" t="s">
        <v>21</v>
      </c>
      <c r="E403" s="24" t="s">
        <v>6446</v>
      </c>
      <c r="F403" s="17" t="s">
        <v>133</v>
      </c>
      <c r="G403" s="17" t="str">
        <f>Config!$B$3</f>
        <v>SCH/R_IEC.SchLib</v>
      </c>
      <c r="H403" s="17" t="s">
        <v>419</v>
      </c>
      <c r="I403" s="17" t="s">
        <v>461</v>
      </c>
      <c r="J403" s="17" t="s">
        <v>1752</v>
      </c>
      <c r="K403" s="17"/>
      <c r="L403" s="17"/>
      <c r="M403" s="21">
        <v>300</v>
      </c>
      <c r="N403" s="17" t="s">
        <v>13979</v>
      </c>
      <c r="O403" s="17" t="s">
        <v>477</v>
      </c>
      <c r="P403" s="17" t="s">
        <v>2055</v>
      </c>
      <c r="Q403" s="17" t="s">
        <v>25</v>
      </c>
      <c r="R403" s="17" t="s">
        <v>2056</v>
      </c>
      <c r="S403" s="17" t="s">
        <v>477</v>
      </c>
      <c r="T403" s="17" t="s">
        <v>2057</v>
      </c>
      <c r="U403" s="17" t="s">
        <v>25</v>
      </c>
      <c r="V403" s="17" t="s">
        <v>2058</v>
      </c>
      <c r="W403" s="17"/>
      <c r="X403" s="17"/>
      <c r="Y403" s="17"/>
      <c r="Z403" s="17"/>
      <c r="AA403" s="17"/>
      <c r="AB403" s="17" t="str">
        <f t="shared" si="6"/>
        <v>GPR0805300R</v>
      </c>
    </row>
    <row r="404" spans="1:28">
      <c r="A404" s="17" t="s">
        <v>2059</v>
      </c>
      <c r="B404" s="17" t="s">
        <v>2059</v>
      </c>
      <c r="C404" s="17" t="s">
        <v>2060</v>
      </c>
      <c r="D404" s="17" t="s">
        <v>21</v>
      </c>
      <c r="E404" s="24" t="s">
        <v>6446</v>
      </c>
      <c r="F404" s="17" t="s">
        <v>137</v>
      </c>
      <c r="G404" s="17" t="str">
        <f>Config!$B$3</f>
        <v>SCH/R_IEC.SchLib</v>
      </c>
      <c r="H404" s="17" t="s">
        <v>419</v>
      </c>
      <c r="I404" s="17" t="s">
        <v>461</v>
      </c>
      <c r="J404" s="17" t="s">
        <v>1752</v>
      </c>
      <c r="K404" s="17"/>
      <c r="L404" s="17"/>
      <c r="M404" s="21">
        <v>330</v>
      </c>
      <c r="N404" s="17" t="s">
        <v>13979</v>
      </c>
      <c r="O404" s="17" t="s">
        <v>477</v>
      </c>
      <c r="P404" s="17" t="s">
        <v>2061</v>
      </c>
      <c r="Q404" s="17" t="s">
        <v>25</v>
      </c>
      <c r="R404" s="17" t="s">
        <v>2062</v>
      </c>
      <c r="S404" s="17" t="s">
        <v>477</v>
      </c>
      <c r="T404" s="17" t="s">
        <v>2063</v>
      </c>
      <c r="U404" s="17" t="s">
        <v>25</v>
      </c>
      <c r="V404" s="17" t="s">
        <v>2064</v>
      </c>
      <c r="W404" s="17"/>
      <c r="X404" s="17"/>
      <c r="Y404" s="17"/>
      <c r="Z404" s="17"/>
      <c r="AA404" s="17"/>
      <c r="AB404" s="17" t="str">
        <f t="shared" si="6"/>
        <v>GPR0805330R</v>
      </c>
    </row>
    <row r="405" spans="1:28">
      <c r="A405" s="17" t="s">
        <v>2065</v>
      </c>
      <c r="B405" s="17" t="s">
        <v>2065</v>
      </c>
      <c r="C405" s="17" t="s">
        <v>2066</v>
      </c>
      <c r="D405" s="17" t="s">
        <v>21</v>
      </c>
      <c r="E405" s="24" t="s">
        <v>6446</v>
      </c>
      <c r="F405" s="17" t="s">
        <v>139</v>
      </c>
      <c r="G405" s="17" t="str">
        <f>Config!$B$3</f>
        <v>SCH/R_IEC.SchLib</v>
      </c>
      <c r="H405" s="17" t="s">
        <v>419</v>
      </c>
      <c r="I405" s="17" t="s">
        <v>461</v>
      </c>
      <c r="J405" s="17" t="s">
        <v>1752</v>
      </c>
      <c r="K405" s="17"/>
      <c r="L405" s="17"/>
      <c r="M405" s="21">
        <v>360</v>
      </c>
      <c r="N405" s="17" t="s">
        <v>13979</v>
      </c>
      <c r="O405" s="17" t="s">
        <v>477</v>
      </c>
      <c r="P405" s="17" t="s">
        <v>2067</v>
      </c>
      <c r="Q405" s="17" t="s">
        <v>25</v>
      </c>
      <c r="R405" s="17" t="s">
        <v>2068</v>
      </c>
      <c r="S405" s="17" t="s">
        <v>477</v>
      </c>
      <c r="T405" s="17" t="s">
        <v>2069</v>
      </c>
      <c r="U405" s="17" t="s">
        <v>25</v>
      </c>
      <c r="V405" s="17" t="s">
        <v>2070</v>
      </c>
      <c r="W405" s="17"/>
      <c r="X405" s="17"/>
      <c r="Y405" s="17"/>
      <c r="Z405" s="17"/>
      <c r="AA405" s="17"/>
      <c r="AB405" s="17" t="str">
        <f t="shared" si="6"/>
        <v>GPR0805360R</v>
      </c>
    </row>
    <row r="406" spans="1:28">
      <c r="A406" s="17" t="s">
        <v>2071</v>
      </c>
      <c r="B406" s="17" t="s">
        <v>2071</v>
      </c>
      <c r="C406" s="17" t="s">
        <v>2072</v>
      </c>
      <c r="D406" s="17" t="s">
        <v>21</v>
      </c>
      <c r="E406" s="24" t="s">
        <v>6446</v>
      </c>
      <c r="F406" s="17" t="s">
        <v>141</v>
      </c>
      <c r="G406" s="17" t="str">
        <f>Config!$B$3</f>
        <v>SCH/R_IEC.SchLib</v>
      </c>
      <c r="H406" s="17" t="s">
        <v>419</v>
      </c>
      <c r="I406" s="17" t="s">
        <v>461</v>
      </c>
      <c r="J406" s="17" t="s">
        <v>1752</v>
      </c>
      <c r="K406" s="17"/>
      <c r="L406" s="17"/>
      <c r="M406" s="21">
        <v>390</v>
      </c>
      <c r="N406" s="17" t="s">
        <v>13979</v>
      </c>
      <c r="O406" s="17" t="s">
        <v>477</v>
      </c>
      <c r="P406" s="17" t="s">
        <v>2073</v>
      </c>
      <c r="Q406" s="17" t="s">
        <v>25</v>
      </c>
      <c r="R406" s="17" t="s">
        <v>2074</v>
      </c>
      <c r="S406" s="17" t="s">
        <v>477</v>
      </c>
      <c r="T406" s="17" t="s">
        <v>2075</v>
      </c>
      <c r="U406" s="17" t="s">
        <v>25</v>
      </c>
      <c r="V406" s="17" t="s">
        <v>2076</v>
      </c>
      <c r="W406" s="17"/>
      <c r="X406" s="17"/>
      <c r="Y406" s="17"/>
      <c r="Z406" s="17"/>
      <c r="AA406" s="17"/>
      <c r="AB406" s="17" t="str">
        <f t="shared" si="6"/>
        <v>GPR0805390R</v>
      </c>
    </row>
    <row r="407" spans="1:28">
      <c r="A407" s="17" t="s">
        <v>2077</v>
      </c>
      <c r="B407" s="17" t="s">
        <v>2077</v>
      </c>
      <c r="C407" s="17" t="s">
        <v>2078</v>
      </c>
      <c r="D407" s="17" t="s">
        <v>21</v>
      </c>
      <c r="E407" s="24" t="s">
        <v>6446</v>
      </c>
      <c r="F407" s="17" t="s">
        <v>143</v>
      </c>
      <c r="G407" s="17" t="str">
        <f>Config!$B$3</f>
        <v>SCH/R_IEC.SchLib</v>
      </c>
      <c r="H407" s="17" t="s">
        <v>419</v>
      </c>
      <c r="I407" s="17" t="s">
        <v>461</v>
      </c>
      <c r="J407" s="17" t="s">
        <v>1752</v>
      </c>
      <c r="K407" s="17"/>
      <c r="L407" s="17"/>
      <c r="M407" s="21">
        <v>430</v>
      </c>
      <c r="N407" s="17" t="s">
        <v>13979</v>
      </c>
      <c r="O407" s="17" t="s">
        <v>477</v>
      </c>
      <c r="P407" s="17" t="s">
        <v>2079</v>
      </c>
      <c r="Q407" s="17" t="s">
        <v>25</v>
      </c>
      <c r="R407" s="17" t="s">
        <v>2080</v>
      </c>
      <c r="S407" s="17" t="s">
        <v>477</v>
      </c>
      <c r="T407" s="17" t="s">
        <v>2081</v>
      </c>
      <c r="U407" s="17" t="s">
        <v>25</v>
      </c>
      <c r="V407" s="17" t="s">
        <v>2082</v>
      </c>
      <c r="W407" s="17"/>
      <c r="X407" s="17"/>
      <c r="Y407" s="17"/>
      <c r="Z407" s="17"/>
      <c r="AA407" s="17"/>
      <c r="AB407" s="17" t="str">
        <f t="shared" si="6"/>
        <v>GPR0805430R</v>
      </c>
    </row>
    <row r="408" spans="1:28">
      <c r="A408" s="17" t="s">
        <v>2083</v>
      </c>
      <c r="B408" s="17" t="s">
        <v>2083</v>
      </c>
      <c r="C408" s="17" t="s">
        <v>2084</v>
      </c>
      <c r="D408" s="17" t="s">
        <v>21</v>
      </c>
      <c r="E408" s="24" t="s">
        <v>6446</v>
      </c>
      <c r="F408" s="17" t="s">
        <v>145</v>
      </c>
      <c r="G408" s="17" t="str">
        <f>Config!$B$3</f>
        <v>SCH/R_IEC.SchLib</v>
      </c>
      <c r="H408" s="17" t="s">
        <v>419</v>
      </c>
      <c r="I408" s="17" t="s">
        <v>461</v>
      </c>
      <c r="J408" s="17" t="s">
        <v>1752</v>
      </c>
      <c r="K408" s="17"/>
      <c r="L408" s="17"/>
      <c r="M408" s="21">
        <v>470</v>
      </c>
      <c r="N408" s="17" t="s">
        <v>13979</v>
      </c>
      <c r="O408" s="17" t="s">
        <v>477</v>
      </c>
      <c r="P408" s="17" t="s">
        <v>2085</v>
      </c>
      <c r="Q408" s="17" t="s">
        <v>25</v>
      </c>
      <c r="R408" s="17" t="s">
        <v>2086</v>
      </c>
      <c r="S408" s="17" t="s">
        <v>477</v>
      </c>
      <c r="T408" s="17" t="s">
        <v>2087</v>
      </c>
      <c r="U408" s="17" t="s">
        <v>25</v>
      </c>
      <c r="V408" s="17" t="s">
        <v>2088</v>
      </c>
      <c r="W408" s="17"/>
      <c r="X408" s="17"/>
      <c r="Y408" s="17"/>
      <c r="Z408" s="17"/>
      <c r="AA408" s="17"/>
      <c r="AB408" s="17" t="str">
        <f t="shared" si="6"/>
        <v>GPR0805470R</v>
      </c>
    </row>
    <row r="409" spans="1:28">
      <c r="A409" s="17" t="s">
        <v>2089</v>
      </c>
      <c r="B409" s="17" t="s">
        <v>2089</v>
      </c>
      <c r="C409" s="17" t="s">
        <v>2090</v>
      </c>
      <c r="D409" s="17" t="s">
        <v>21</v>
      </c>
      <c r="E409" s="24" t="s">
        <v>6446</v>
      </c>
      <c r="F409" s="17" t="s">
        <v>149</v>
      </c>
      <c r="G409" s="17" t="str">
        <f>Config!$B$3</f>
        <v>SCH/R_IEC.SchLib</v>
      </c>
      <c r="H409" s="17" t="s">
        <v>419</v>
      </c>
      <c r="I409" s="17" t="s">
        <v>461</v>
      </c>
      <c r="J409" s="17" t="s">
        <v>1752</v>
      </c>
      <c r="K409" s="17"/>
      <c r="L409" s="17"/>
      <c r="M409" s="21">
        <v>510</v>
      </c>
      <c r="N409" s="17" t="s">
        <v>13979</v>
      </c>
      <c r="O409" s="17" t="s">
        <v>477</v>
      </c>
      <c r="P409" s="17" t="s">
        <v>2091</v>
      </c>
      <c r="Q409" s="17" t="s">
        <v>25</v>
      </c>
      <c r="R409" s="17" t="s">
        <v>2092</v>
      </c>
      <c r="S409" s="17" t="s">
        <v>477</v>
      </c>
      <c r="T409" s="17" t="s">
        <v>2093</v>
      </c>
      <c r="U409" s="17" t="s">
        <v>25</v>
      </c>
      <c r="V409" s="17" t="s">
        <v>2094</v>
      </c>
      <c r="W409" s="17"/>
      <c r="X409" s="17"/>
      <c r="Y409" s="17"/>
      <c r="Z409" s="17"/>
      <c r="AA409" s="17"/>
      <c r="AB409" s="17" t="str">
        <f t="shared" si="6"/>
        <v>GPR0805510R</v>
      </c>
    </row>
    <row r="410" spans="1:28">
      <c r="A410" s="17" t="s">
        <v>2095</v>
      </c>
      <c r="B410" s="17" t="s">
        <v>2095</v>
      </c>
      <c r="C410" s="17" t="s">
        <v>2096</v>
      </c>
      <c r="D410" s="17" t="s">
        <v>21</v>
      </c>
      <c r="E410" s="24" t="s">
        <v>6446</v>
      </c>
      <c r="F410" s="17" t="s">
        <v>151</v>
      </c>
      <c r="G410" s="17" t="str">
        <f>Config!$B$3</f>
        <v>SCH/R_IEC.SchLib</v>
      </c>
      <c r="H410" s="17" t="s">
        <v>419</v>
      </c>
      <c r="I410" s="17" t="s">
        <v>461</v>
      </c>
      <c r="J410" s="17" t="s">
        <v>1752</v>
      </c>
      <c r="K410" s="17"/>
      <c r="L410" s="17"/>
      <c r="M410" s="21">
        <v>560</v>
      </c>
      <c r="N410" s="17" t="s">
        <v>13979</v>
      </c>
      <c r="O410" s="17" t="s">
        <v>477</v>
      </c>
      <c r="P410" s="17" t="s">
        <v>2097</v>
      </c>
      <c r="Q410" s="17" t="s">
        <v>25</v>
      </c>
      <c r="R410" s="17" t="s">
        <v>2098</v>
      </c>
      <c r="S410" s="17" t="s">
        <v>477</v>
      </c>
      <c r="T410" s="17" t="s">
        <v>2099</v>
      </c>
      <c r="U410" s="17" t="s">
        <v>25</v>
      </c>
      <c r="V410" s="17" t="s">
        <v>2100</v>
      </c>
      <c r="W410" s="17"/>
      <c r="X410" s="17"/>
      <c r="Y410" s="17"/>
      <c r="Z410" s="17"/>
      <c r="AA410" s="17"/>
      <c r="AB410" s="17" t="str">
        <f t="shared" si="6"/>
        <v>GPR0805560R</v>
      </c>
    </row>
    <row r="411" spans="1:28">
      <c r="A411" s="17" t="s">
        <v>2101</v>
      </c>
      <c r="B411" s="17" t="s">
        <v>2101</v>
      </c>
      <c r="C411" s="17" t="s">
        <v>2102</v>
      </c>
      <c r="D411" s="17" t="s">
        <v>21</v>
      </c>
      <c r="E411" s="24" t="s">
        <v>6446</v>
      </c>
      <c r="F411" s="17" t="s">
        <v>153</v>
      </c>
      <c r="G411" s="17" t="str">
        <f>Config!$B$3</f>
        <v>SCH/R_IEC.SchLib</v>
      </c>
      <c r="H411" s="17" t="s">
        <v>419</v>
      </c>
      <c r="I411" s="17" t="s">
        <v>461</v>
      </c>
      <c r="J411" s="17" t="s">
        <v>1752</v>
      </c>
      <c r="K411" s="17"/>
      <c r="L411" s="17"/>
      <c r="M411" s="21">
        <v>620</v>
      </c>
      <c r="N411" s="17" t="s">
        <v>13979</v>
      </c>
      <c r="O411" s="17" t="s">
        <v>477</v>
      </c>
      <c r="P411" s="17" t="s">
        <v>2103</v>
      </c>
      <c r="Q411" s="17" t="s">
        <v>25</v>
      </c>
      <c r="R411" s="17" t="s">
        <v>2104</v>
      </c>
      <c r="S411" s="17" t="s">
        <v>477</v>
      </c>
      <c r="T411" s="17" t="s">
        <v>2105</v>
      </c>
      <c r="U411" s="17" t="s">
        <v>25</v>
      </c>
      <c r="V411" s="17" t="s">
        <v>2106</v>
      </c>
      <c r="W411" s="17"/>
      <c r="X411" s="17"/>
      <c r="Y411" s="17"/>
      <c r="Z411" s="17"/>
      <c r="AA411" s="17"/>
      <c r="AB411" s="17" t="str">
        <f t="shared" si="6"/>
        <v>GPR0805620R</v>
      </c>
    </row>
    <row r="412" spans="1:28">
      <c r="A412" s="17" t="s">
        <v>2107</v>
      </c>
      <c r="B412" s="17" t="s">
        <v>2107</v>
      </c>
      <c r="C412" s="17" t="s">
        <v>2108</v>
      </c>
      <c r="D412" s="17" t="s">
        <v>21</v>
      </c>
      <c r="E412" s="24" t="s">
        <v>6446</v>
      </c>
      <c r="F412" s="17" t="s">
        <v>155</v>
      </c>
      <c r="G412" s="17" t="str">
        <f>Config!$B$3</f>
        <v>SCH/R_IEC.SchLib</v>
      </c>
      <c r="H412" s="17" t="s">
        <v>419</v>
      </c>
      <c r="I412" s="17" t="s">
        <v>461</v>
      </c>
      <c r="J412" s="17" t="s">
        <v>1752</v>
      </c>
      <c r="K412" s="17"/>
      <c r="L412" s="17"/>
      <c r="M412" s="21">
        <v>680</v>
      </c>
      <c r="N412" s="17" t="s">
        <v>13979</v>
      </c>
      <c r="O412" s="17" t="s">
        <v>477</v>
      </c>
      <c r="P412" s="17" t="s">
        <v>2109</v>
      </c>
      <c r="Q412" s="17" t="s">
        <v>25</v>
      </c>
      <c r="R412" s="17" t="s">
        <v>2110</v>
      </c>
      <c r="S412" s="17" t="s">
        <v>477</v>
      </c>
      <c r="T412" s="17" t="s">
        <v>2111</v>
      </c>
      <c r="U412" s="17" t="s">
        <v>25</v>
      </c>
      <c r="V412" s="17" t="s">
        <v>2112</v>
      </c>
      <c r="W412" s="17"/>
      <c r="X412" s="17"/>
      <c r="Y412" s="17"/>
      <c r="Z412" s="17"/>
      <c r="AA412" s="17"/>
      <c r="AB412" s="17" t="str">
        <f t="shared" si="6"/>
        <v>GPR0805680R</v>
      </c>
    </row>
    <row r="413" spans="1:28">
      <c r="A413" s="17" t="s">
        <v>2113</v>
      </c>
      <c r="B413" s="17" t="s">
        <v>2113</v>
      </c>
      <c r="C413" s="17" t="s">
        <v>2114</v>
      </c>
      <c r="D413" s="17" t="s">
        <v>21</v>
      </c>
      <c r="E413" s="24" t="s">
        <v>6446</v>
      </c>
      <c r="F413" s="17" t="s">
        <v>157</v>
      </c>
      <c r="G413" s="17" t="str">
        <f>Config!$B$3</f>
        <v>SCH/R_IEC.SchLib</v>
      </c>
      <c r="H413" s="17" t="s">
        <v>419</v>
      </c>
      <c r="I413" s="17" t="s">
        <v>461</v>
      </c>
      <c r="J413" s="17" t="s">
        <v>1752</v>
      </c>
      <c r="K413" s="17"/>
      <c r="L413" s="17"/>
      <c r="M413" s="21">
        <v>750</v>
      </c>
      <c r="N413" s="17" t="s">
        <v>13979</v>
      </c>
      <c r="O413" s="17" t="s">
        <v>477</v>
      </c>
      <c r="P413" s="17" t="s">
        <v>2115</v>
      </c>
      <c r="Q413" s="17" t="s">
        <v>25</v>
      </c>
      <c r="R413" s="17" t="s">
        <v>2116</v>
      </c>
      <c r="S413" s="17" t="s">
        <v>477</v>
      </c>
      <c r="T413" s="17" t="s">
        <v>2117</v>
      </c>
      <c r="U413" s="17" t="s">
        <v>25</v>
      </c>
      <c r="V413" s="17" t="s">
        <v>2118</v>
      </c>
      <c r="W413" s="17"/>
      <c r="X413" s="17"/>
      <c r="Y413" s="17"/>
      <c r="Z413" s="17"/>
      <c r="AA413" s="17"/>
      <c r="AB413" s="17" t="str">
        <f t="shared" si="6"/>
        <v>GPR0805750R</v>
      </c>
    </row>
    <row r="414" spans="1:28">
      <c r="A414" s="17" t="s">
        <v>2119</v>
      </c>
      <c r="B414" s="17" t="s">
        <v>2119</v>
      </c>
      <c r="C414" s="17" t="s">
        <v>2120</v>
      </c>
      <c r="D414" s="17" t="s">
        <v>21</v>
      </c>
      <c r="E414" s="24" t="s">
        <v>6446</v>
      </c>
      <c r="F414" s="17" t="s">
        <v>159</v>
      </c>
      <c r="G414" s="17" t="str">
        <f>Config!$B$3</f>
        <v>SCH/R_IEC.SchLib</v>
      </c>
      <c r="H414" s="17" t="s">
        <v>419</v>
      </c>
      <c r="I414" s="17" t="s">
        <v>461</v>
      </c>
      <c r="J414" s="17" t="s">
        <v>1752</v>
      </c>
      <c r="K414" s="17"/>
      <c r="L414" s="17"/>
      <c r="M414" s="21">
        <v>820</v>
      </c>
      <c r="N414" s="17" t="s">
        <v>13979</v>
      </c>
      <c r="O414" s="17" t="s">
        <v>477</v>
      </c>
      <c r="P414" s="17" t="s">
        <v>2121</v>
      </c>
      <c r="Q414" s="17" t="s">
        <v>25</v>
      </c>
      <c r="R414" s="17" t="s">
        <v>2122</v>
      </c>
      <c r="S414" s="17" t="s">
        <v>477</v>
      </c>
      <c r="T414" s="17" t="s">
        <v>2123</v>
      </c>
      <c r="U414" s="17" t="s">
        <v>25</v>
      </c>
      <c r="V414" s="17" t="s">
        <v>2124</v>
      </c>
      <c r="W414" s="17"/>
      <c r="X414" s="17"/>
      <c r="Y414" s="17"/>
      <c r="Z414" s="17"/>
      <c r="AA414" s="17"/>
      <c r="AB414" s="17" t="str">
        <f t="shared" si="6"/>
        <v>GPR0805820R</v>
      </c>
    </row>
    <row r="415" spans="1:28">
      <c r="A415" s="17" t="s">
        <v>2125</v>
      </c>
      <c r="B415" s="17" t="s">
        <v>2125</v>
      </c>
      <c r="C415" s="17" t="s">
        <v>2126</v>
      </c>
      <c r="D415" s="17" t="s">
        <v>21</v>
      </c>
      <c r="E415" s="24" t="s">
        <v>6446</v>
      </c>
      <c r="F415" s="17" t="s">
        <v>161</v>
      </c>
      <c r="G415" s="17" t="str">
        <f>Config!$B$3</f>
        <v>SCH/R_IEC.SchLib</v>
      </c>
      <c r="H415" s="17" t="s">
        <v>419</v>
      </c>
      <c r="I415" s="17" t="s">
        <v>461</v>
      </c>
      <c r="J415" s="17" t="s">
        <v>1752</v>
      </c>
      <c r="K415" s="17"/>
      <c r="L415" s="17"/>
      <c r="M415" s="21">
        <v>910</v>
      </c>
      <c r="N415" s="17" t="s">
        <v>13979</v>
      </c>
      <c r="O415" s="17" t="s">
        <v>477</v>
      </c>
      <c r="P415" s="17" t="s">
        <v>2127</v>
      </c>
      <c r="Q415" s="17" t="s">
        <v>25</v>
      </c>
      <c r="R415" s="17" t="s">
        <v>2128</v>
      </c>
      <c r="S415" s="17"/>
      <c r="T415" s="17"/>
      <c r="U415" s="17"/>
      <c r="V415" s="17"/>
      <c r="W415" s="17"/>
      <c r="X415" s="17"/>
      <c r="Y415" s="17"/>
      <c r="Z415" s="17"/>
      <c r="AA415" s="17"/>
      <c r="AB415" s="17" t="str">
        <f t="shared" si="6"/>
        <v>GPR0805910R</v>
      </c>
    </row>
    <row r="416" spans="1:28">
      <c r="A416" s="17" t="s">
        <v>2129</v>
      </c>
      <c r="B416" s="17" t="s">
        <v>2129</v>
      </c>
      <c r="C416" s="17" t="s">
        <v>2130</v>
      </c>
      <c r="D416" s="17" t="s">
        <v>21</v>
      </c>
      <c r="E416" s="24" t="s">
        <v>6446</v>
      </c>
      <c r="F416" s="17" t="s">
        <v>163</v>
      </c>
      <c r="G416" s="17" t="str">
        <f>Config!$B$3</f>
        <v>SCH/R_IEC.SchLib</v>
      </c>
      <c r="H416" s="17" t="s">
        <v>419</v>
      </c>
      <c r="I416" s="17" t="s">
        <v>461</v>
      </c>
      <c r="J416" s="17" t="s">
        <v>1752</v>
      </c>
      <c r="K416" s="17"/>
      <c r="L416" s="17"/>
      <c r="M416" s="21">
        <v>1000</v>
      </c>
      <c r="N416" s="17" t="s">
        <v>13979</v>
      </c>
      <c r="O416" s="17" t="s">
        <v>477</v>
      </c>
      <c r="P416" s="17" t="s">
        <v>2131</v>
      </c>
      <c r="Q416" s="17" t="s">
        <v>25</v>
      </c>
      <c r="R416" s="17" t="s">
        <v>2132</v>
      </c>
      <c r="S416" s="17" t="s">
        <v>477</v>
      </c>
      <c r="T416" s="17" t="s">
        <v>2133</v>
      </c>
      <c r="U416" s="17" t="s">
        <v>25</v>
      </c>
      <c r="V416" s="17" t="s">
        <v>2134</v>
      </c>
      <c r="W416" s="17"/>
      <c r="X416" s="17"/>
      <c r="Y416" s="17"/>
      <c r="Z416" s="17"/>
      <c r="AA416" s="17"/>
      <c r="AB416" s="17" t="str">
        <f t="shared" si="6"/>
        <v>GPR08051K</v>
      </c>
    </row>
    <row r="417" spans="1:28">
      <c r="A417" s="17" t="s">
        <v>2135</v>
      </c>
      <c r="B417" s="17" t="s">
        <v>2135</v>
      </c>
      <c r="C417" s="17" t="s">
        <v>2136</v>
      </c>
      <c r="D417" s="17" t="s">
        <v>21</v>
      </c>
      <c r="E417" s="24" t="s">
        <v>6446</v>
      </c>
      <c r="F417" s="17" t="s">
        <v>165</v>
      </c>
      <c r="G417" s="17" t="str">
        <f>Config!$B$3</f>
        <v>SCH/R_IEC.SchLib</v>
      </c>
      <c r="H417" s="17" t="s">
        <v>419</v>
      </c>
      <c r="I417" s="17" t="s">
        <v>461</v>
      </c>
      <c r="J417" s="17" t="s">
        <v>1752</v>
      </c>
      <c r="K417" s="17"/>
      <c r="L417" s="17"/>
      <c r="M417" s="21">
        <v>1100</v>
      </c>
      <c r="N417" s="17" t="s">
        <v>13979</v>
      </c>
      <c r="O417" s="17" t="s">
        <v>477</v>
      </c>
      <c r="P417" s="17" t="s">
        <v>2137</v>
      </c>
      <c r="Q417" s="17" t="s">
        <v>25</v>
      </c>
      <c r="R417" s="17" t="s">
        <v>2138</v>
      </c>
      <c r="S417" s="17" t="s">
        <v>477</v>
      </c>
      <c r="T417" s="17" t="s">
        <v>2139</v>
      </c>
      <c r="U417" s="17" t="s">
        <v>25</v>
      </c>
      <c r="V417" s="17" t="s">
        <v>2140</v>
      </c>
      <c r="W417" s="17"/>
      <c r="X417" s="17"/>
      <c r="Y417" s="17"/>
      <c r="Z417" s="17"/>
      <c r="AA417" s="17"/>
      <c r="AB417" s="17" t="str">
        <f t="shared" si="6"/>
        <v>GPR08051K1</v>
      </c>
    </row>
    <row r="418" spans="1:28">
      <c r="A418" s="17" t="s">
        <v>2141</v>
      </c>
      <c r="B418" s="17" t="s">
        <v>2141</v>
      </c>
      <c r="C418" s="17" t="s">
        <v>2142</v>
      </c>
      <c r="D418" s="17" t="s">
        <v>21</v>
      </c>
      <c r="E418" s="24" t="s">
        <v>6446</v>
      </c>
      <c r="F418" s="17" t="s">
        <v>167</v>
      </c>
      <c r="G418" s="17" t="str">
        <f>Config!$B$3</f>
        <v>SCH/R_IEC.SchLib</v>
      </c>
      <c r="H418" s="17" t="s">
        <v>419</v>
      </c>
      <c r="I418" s="17" t="s">
        <v>461</v>
      </c>
      <c r="J418" s="17" t="s">
        <v>1752</v>
      </c>
      <c r="K418" s="17"/>
      <c r="L418" s="17"/>
      <c r="M418" s="21">
        <v>1200</v>
      </c>
      <c r="N418" s="17" t="s">
        <v>13979</v>
      </c>
      <c r="O418" s="17" t="s">
        <v>477</v>
      </c>
      <c r="P418" s="17" t="s">
        <v>2143</v>
      </c>
      <c r="Q418" s="17" t="s">
        <v>25</v>
      </c>
      <c r="R418" s="17" t="s">
        <v>2144</v>
      </c>
      <c r="S418" s="17" t="s">
        <v>477</v>
      </c>
      <c r="T418" s="17" t="s">
        <v>2145</v>
      </c>
      <c r="U418" s="17" t="s">
        <v>25</v>
      </c>
      <c r="V418" s="17" t="s">
        <v>2146</v>
      </c>
      <c r="W418" s="17"/>
      <c r="X418" s="17"/>
      <c r="Y418" s="17"/>
      <c r="Z418" s="17"/>
      <c r="AA418" s="17"/>
      <c r="AB418" s="17" t="str">
        <f t="shared" si="6"/>
        <v>GPR08051K2</v>
      </c>
    </row>
    <row r="419" spans="1:28">
      <c r="A419" s="17" t="s">
        <v>2147</v>
      </c>
      <c r="B419" s="17" t="s">
        <v>2147</v>
      </c>
      <c r="C419" s="17" t="s">
        <v>2148</v>
      </c>
      <c r="D419" s="17" t="s">
        <v>21</v>
      </c>
      <c r="E419" s="24" t="s">
        <v>6446</v>
      </c>
      <c r="F419" s="17" t="s">
        <v>169</v>
      </c>
      <c r="G419" s="17" t="str">
        <f>Config!$B$3</f>
        <v>SCH/R_IEC.SchLib</v>
      </c>
      <c r="H419" s="17" t="s">
        <v>419</v>
      </c>
      <c r="I419" s="17" t="s">
        <v>461</v>
      </c>
      <c r="J419" s="17" t="s">
        <v>1752</v>
      </c>
      <c r="K419" s="17"/>
      <c r="L419" s="17"/>
      <c r="M419" s="21">
        <v>1300</v>
      </c>
      <c r="N419" s="17" t="s">
        <v>13979</v>
      </c>
      <c r="O419" s="17" t="s">
        <v>477</v>
      </c>
      <c r="P419" s="17" t="s">
        <v>2149</v>
      </c>
      <c r="Q419" s="17" t="s">
        <v>25</v>
      </c>
      <c r="R419" s="17" t="s">
        <v>2150</v>
      </c>
      <c r="S419" s="17" t="s">
        <v>477</v>
      </c>
      <c r="T419" s="17" t="s">
        <v>2151</v>
      </c>
      <c r="U419" s="17" t="s">
        <v>25</v>
      </c>
      <c r="V419" s="17" t="s">
        <v>2152</v>
      </c>
      <c r="W419" s="17"/>
      <c r="X419" s="17"/>
      <c r="Y419" s="17"/>
      <c r="Z419" s="17"/>
      <c r="AA419" s="17"/>
      <c r="AB419" s="17" t="str">
        <f t="shared" si="6"/>
        <v>GPR08051K3</v>
      </c>
    </row>
    <row r="420" spans="1:28">
      <c r="A420" s="17" t="s">
        <v>2153</v>
      </c>
      <c r="B420" s="17" t="s">
        <v>2153</v>
      </c>
      <c r="C420" s="17" t="s">
        <v>2154</v>
      </c>
      <c r="D420" s="17" t="s">
        <v>21</v>
      </c>
      <c r="E420" s="24" t="s">
        <v>6446</v>
      </c>
      <c r="F420" s="17" t="s">
        <v>171</v>
      </c>
      <c r="G420" s="17" t="str">
        <f>Config!$B$3</f>
        <v>SCH/R_IEC.SchLib</v>
      </c>
      <c r="H420" s="17" t="s">
        <v>419</v>
      </c>
      <c r="I420" s="17" t="s">
        <v>461</v>
      </c>
      <c r="J420" s="17" t="s">
        <v>1752</v>
      </c>
      <c r="K420" s="17"/>
      <c r="L420" s="17"/>
      <c r="M420" s="21">
        <v>1500</v>
      </c>
      <c r="N420" s="17" t="s">
        <v>13979</v>
      </c>
      <c r="O420" s="17" t="s">
        <v>477</v>
      </c>
      <c r="P420" s="17" t="s">
        <v>2155</v>
      </c>
      <c r="Q420" s="17" t="s">
        <v>25</v>
      </c>
      <c r="R420" s="17" t="s">
        <v>2156</v>
      </c>
      <c r="S420" s="17" t="s">
        <v>477</v>
      </c>
      <c r="T420" s="17" t="s">
        <v>2157</v>
      </c>
      <c r="U420" s="17" t="s">
        <v>25</v>
      </c>
      <c r="V420" s="17" t="s">
        <v>2158</v>
      </c>
      <c r="W420" s="17"/>
      <c r="X420" s="17"/>
      <c r="Y420" s="17"/>
      <c r="Z420" s="17"/>
      <c r="AA420" s="17"/>
      <c r="AB420" s="17" t="str">
        <f t="shared" si="6"/>
        <v>GPR08051K5</v>
      </c>
    </row>
    <row r="421" spans="1:28">
      <c r="A421" s="17" t="s">
        <v>2159</v>
      </c>
      <c r="B421" s="17" t="s">
        <v>2159</v>
      </c>
      <c r="C421" s="17" t="s">
        <v>2160</v>
      </c>
      <c r="D421" s="17" t="s">
        <v>21</v>
      </c>
      <c r="E421" s="24" t="s">
        <v>6446</v>
      </c>
      <c r="F421" s="17" t="s">
        <v>175</v>
      </c>
      <c r="G421" s="17" t="str">
        <f>Config!$B$3</f>
        <v>SCH/R_IEC.SchLib</v>
      </c>
      <c r="H421" s="17" t="s">
        <v>419</v>
      </c>
      <c r="I421" s="17" t="s">
        <v>461</v>
      </c>
      <c r="J421" s="17" t="s">
        <v>1752</v>
      </c>
      <c r="K421" s="17"/>
      <c r="L421" s="17"/>
      <c r="M421" s="21">
        <v>1600</v>
      </c>
      <c r="N421" s="17" t="s">
        <v>13979</v>
      </c>
      <c r="O421" s="17" t="s">
        <v>477</v>
      </c>
      <c r="P421" s="17" t="s">
        <v>2161</v>
      </c>
      <c r="Q421" s="17" t="s">
        <v>25</v>
      </c>
      <c r="R421" s="17" t="s">
        <v>2162</v>
      </c>
      <c r="S421" s="17" t="s">
        <v>477</v>
      </c>
      <c r="T421" s="17" t="s">
        <v>2163</v>
      </c>
      <c r="U421" s="17" t="s">
        <v>25</v>
      </c>
      <c r="V421" s="17" t="s">
        <v>2164</v>
      </c>
      <c r="W421" s="17"/>
      <c r="X421" s="17"/>
      <c r="Y421" s="17"/>
      <c r="Z421" s="17"/>
      <c r="AA421" s="17"/>
      <c r="AB421" s="17" t="str">
        <f t="shared" si="6"/>
        <v>GPR08051K6</v>
      </c>
    </row>
    <row r="422" spans="1:28">
      <c r="A422" s="17" t="s">
        <v>2165</v>
      </c>
      <c r="B422" s="17" t="s">
        <v>2165</v>
      </c>
      <c r="C422" s="17" t="s">
        <v>2166</v>
      </c>
      <c r="D422" s="17" t="s">
        <v>21</v>
      </c>
      <c r="E422" s="24" t="s">
        <v>6446</v>
      </c>
      <c r="F422" s="17" t="s">
        <v>181</v>
      </c>
      <c r="G422" s="17" t="str">
        <f>Config!$B$3</f>
        <v>SCH/R_IEC.SchLib</v>
      </c>
      <c r="H422" s="17" t="s">
        <v>419</v>
      </c>
      <c r="I422" s="17" t="s">
        <v>461</v>
      </c>
      <c r="J422" s="17" t="s">
        <v>1752</v>
      </c>
      <c r="K422" s="17"/>
      <c r="L422" s="17"/>
      <c r="M422" s="21">
        <v>1800</v>
      </c>
      <c r="N422" s="17" t="s">
        <v>13979</v>
      </c>
      <c r="O422" s="17" t="s">
        <v>477</v>
      </c>
      <c r="P422" s="17" t="s">
        <v>2167</v>
      </c>
      <c r="Q422" s="17" t="s">
        <v>25</v>
      </c>
      <c r="R422" s="17" t="s">
        <v>2168</v>
      </c>
      <c r="S422" s="17" t="s">
        <v>477</v>
      </c>
      <c r="T422" s="17" t="s">
        <v>2169</v>
      </c>
      <c r="U422" s="17" t="s">
        <v>25</v>
      </c>
      <c r="V422" s="17" t="s">
        <v>2170</v>
      </c>
      <c r="W422" s="17"/>
      <c r="X422" s="17"/>
      <c r="Y422" s="17"/>
      <c r="Z422" s="17"/>
      <c r="AA422" s="17"/>
      <c r="AB422" s="17" t="str">
        <f t="shared" si="6"/>
        <v>GPR08051K8</v>
      </c>
    </row>
    <row r="423" spans="1:28">
      <c r="A423" s="17" t="s">
        <v>2171</v>
      </c>
      <c r="B423" s="17" t="s">
        <v>2171</v>
      </c>
      <c r="C423" s="17" t="s">
        <v>2172</v>
      </c>
      <c r="D423" s="17" t="s">
        <v>21</v>
      </c>
      <c r="E423" s="24" t="s">
        <v>6446</v>
      </c>
      <c r="F423" s="17" t="s">
        <v>183</v>
      </c>
      <c r="G423" s="17" t="str">
        <f>Config!$B$3</f>
        <v>SCH/R_IEC.SchLib</v>
      </c>
      <c r="H423" s="17" t="s">
        <v>419</v>
      </c>
      <c r="I423" s="17" t="s">
        <v>461</v>
      </c>
      <c r="J423" s="17" t="s">
        <v>1752</v>
      </c>
      <c r="K423" s="17"/>
      <c r="L423" s="17"/>
      <c r="M423" s="21">
        <v>2000</v>
      </c>
      <c r="N423" s="17" t="s">
        <v>13979</v>
      </c>
      <c r="O423" s="17" t="s">
        <v>477</v>
      </c>
      <c r="P423" s="17" t="s">
        <v>2173</v>
      </c>
      <c r="Q423" s="17" t="s">
        <v>25</v>
      </c>
      <c r="R423" s="17" t="s">
        <v>2174</v>
      </c>
      <c r="S423" s="17" t="s">
        <v>477</v>
      </c>
      <c r="T423" s="17" t="s">
        <v>2175</v>
      </c>
      <c r="U423" s="17" t="s">
        <v>25</v>
      </c>
      <c r="V423" s="17" t="s">
        <v>2176</v>
      </c>
      <c r="W423" s="17" t="s">
        <v>14467</v>
      </c>
      <c r="X423" s="17" t="s">
        <v>14468</v>
      </c>
      <c r="Y423" t="s">
        <v>4559</v>
      </c>
      <c r="Z423" s="17" t="s">
        <v>14469</v>
      </c>
      <c r="AA423" t="s">
        <v>4728</v>
      </c>
      <c r="AB423" s="17" t="str">
        <f t="shared" si="6"/>
        <v>GPR08052K</v>
      </c>
    </row>
    <row r="424" spans="1:28">
      <c r="A424" s="17" t="s">
        <v>2177</v>
      </c>
      <c r="B424" s="17" t="s">
        <v>2177</v>
      </c>
      <c r="C424" s="17" t="s">
        <v>2178</v>
      </c>
      <c r="D424" s="17" t="s">
        <v>21</v>
      </c>
      <c r="E424" s="24" t="s">
        <v>6446</v>
      </c>
      <c r="F424" s="17" t="s">
        <v>187</v>
      </c>
      <c r="G424" s="17" t="str">
        <f>Config!$B$3</f>
        <v>SCH/R_IEC.SchLib</v>
      </c>
      <c r="H424" s="17" t="s">
        <v>419</v>
      </c>
      <c r="I424" s="17" t="s">
        <v>461</v>
      </c>
      <c r="J424" s="17" t="s">
        <v>1752</v>
      </c>
      <c r="K424" s="17"/>
      <c r="L424" s="17"/>
      <c r="M424" s="21">
        <v>2200</v>
      </c>
      <c r="N424" s="17" t="s">
        <v>13979</v>
      </c>
      <c r="O424" s="17" t="s">
        <v>477</v>
      </c>
      <c r="P424" s="17" t="s">
        <v>2179</v>
      </c>
      <c r="Q424" s="17" t="s">
        <v>25</v>
      </c>
      <c r="R424" s="17" t="s">
        <v>2180</v>
      </c>
      <c r="S424" s="17" t="s">
        <v>477</v>
      </c>
      <c r="T424" s="17" t="s">
        <v>2181</v>
      </c>
      <c r="U424" s="17" t="s">
        <v>25</v>
      </c>
      <c r="V424" s="17" t="s">
        <v>2182</v>
      </c>
      <c r="W424" s="17"/>
      <c r="X424" s="17"/>
      <c r="Y424" s="17"/>
      <c r="Z424" s="17"/>
      <c r="AA424" s="17"/>
      <c r="AB424" s="17" t="str">
        <f t="shared" si="6"/>
        <v>GPR08052K2</v>
      </c>
    </row>
    <row r="425" spans="1:28">
      <c r="A425" s="17" t="s">
        <v>2183</v>
      </c>
      <c r="B425" s="17" t="s">
        <v>2183</v>
      </c>
      <c r="C425" s="17" t="s">
        <v>2184</v>
      </c>
      <c r="D425" s="17" t="s">
        <v>21</v>
      </c>
      <c r="E425" s="24" t="s">
        <v>6446</v>
      </c>
      <c r="F425" s="17" t="s">
        <v>191</v>
      </c>
      <c r="G425" s="17" t="str">
        <f>Config!$B$3</f>
        <v>SCH/R_IEC.SchLib</v>
      </c>
      <c r="H425" s="17" t="s">
        <v>419</v>
      </c>
      <c r="I425" s="17" t="s">
        <v>461</v>
      </c>
      <c r="J425" s="17" t="s">
        <v>1752</v>
      </c>
      <c r="K425" s="17"/>
      <c r="L425" s="17"/>
      <c r="M425" s="21">
        <v>2400</v>
      </c>
      <c r="N425" s="17" t="s">
        <v>13979</v>
      </c>
      <c r="O425" s="17" t="s">
        <v>477</v>
      </c>
      <c r="P425" s="17" t="s">
        <v>2185</v>
      </c>
      <c r="Q425" s="17" t="s">
        <v>25</v>
      </c>
      <c r="R425" s="17" t="s">
        <v>2186</v>
      </c>
      <c r="S425" s="17" t="s">
        <v>477</v>
      </c>
      <c r="T425" s="17" t="s">
        <v>2187</v>
      </c>
      <c r="U425" s="17" t="s">
        <v>25</v>
      </c>
      <c r="V425" s="17" t="s">
        <v>2188</v>
      </c>
      <c r="W425" s="17"/>
      <c r="X425" s="17"/>
      <c r="Y425" s="17"/>
      <c r="Z425" s="17"/>
      <c r="AA425" s="17"/>
      <c r="AB425" s="17" t="str">
        <f t="shared" si="6"/>
        <v>GPR08052K4</v>
      </c>
    </row>
    <row r="426" spans="1:28">
      <c r="A426" s="17" t="s">
        <v>2189</v>
      </c>
      <c r="B426" s="17" t="s">
        <v>2189</v>
      </c>
      <c r="C426" s="17" t="s">
        <v>2190</v>
      </c>
      <c r="D426" s="17" t="s">
        <v>21</v>
      </c>
      <c r="E426" s="24" t="s">
        <v>6446</v>
      </c>
      <c r="F426" s="17" t="s">
        <v>193</v>
      </c>
      <c r="G426" s="17" t="str">
        <f>Config!$B$3</f>
        <v>SCH/R_IEC.SchLib</v>
      </c>
      <c r="H426" s="17" t="s">
        <v>419</v>
      </c>
      <c r="I426" s="17" t="s">
        <v>461</v>
      </c>
      <c r="J426" s="17" t="s">
        <v>1752</v>
      </c>
      <c r="K426" s="17"/>
      <c r="L426" s="17"/>
      <c r="M426" s="21">
        <v>2700</v>
      </c>
      <c r="N426" s="17" t="s">
        <v>13979</v>
      </c>
      <c r="O426" s="17" t="s">
        <v>477</v>
      </c>
      <c r="P426" s="17" t="s">
        <v>2191</v>
      </c>
      <c r="Q426" s="17" t="s">
        <v>25</v>
      </c>
      <c r="R426" s="17" t="s">
        <v>2192</v>
      </c>
      <c r="S426" s="17" t="s">
        <v>477</v>
      </c>
      <c r="T426" s="17" t="s">
        <v>2193</v>
      </c>
      <c r="U426" s="17" t="s">
        <v>25</v>
      </c>
      <c r="V426" s="17" t="s">
        <v>2194</v>
      </c>
      <c r="W426" s="17"/>
      <c r="X426" s="17"/>
      <c r="Y426" s="17"/>
      <c r="Z426" s="17"/>
      <c r="AA426" s="17"/>
      <c r="AB426" s="17" t="str">
        <f t="shared" si="6"/>
        <v>GPR08052K7</v>
      </c>
    </row>
    <row r="427" spans="1:28">
      <c r="A427" s="17" t="s">
        <v>2195</v>
      </c>
      <c r="B427" s="17" t="s">
        <v>2195</v>
      </c>
      <c r="C427" s="17" t="s">
        <v>2196</v>
      </c>
      <c r="D427" s="17" t="s">
        <v>21</v>
      </c>
      <c r="E427" s="24" t="s">
        <v>6446</v>
      </c>
      <c r="F427" s="17" t="s">
        <v>197</v>
      </c>
      <c r="G427" s="17" t="str">
        <f>Config!$B$3</f>
        <v>SCH/R_IEC.SchLib</v>
      </c>
      <c r="H427" s="17" t="s">
        <v>419</v>
      </c>
      <c r="I427" s="17" t="s">
        <v>461</v>
      </c>
      <c r="J427" s="17" t="s">
        <v>1752</v>
      </c>
      <c r="K427" s="17"/>
      <c r="L427" s="17"/>
      <c r="M427" s="21">
        <v>3000</v>
      </c>
      <c r="N427" s="17" t="s">
        <v>13979</v>
      </c>
      <c r="O427" s="17" t="s">
        <v>477</v>
      </c>
      <c r="P427" s="17" t="s">
        <v>2197</v>
      </c>
      <c r="Q427" s="17" t="s">
        <v>25</v>
      </c>
      <c r="R427" s="17" t="s">
        <v>2198</v>
      </c>
      <c r="S427" s="17" t="s">
        <v>477</v>
      </c>
      <c r="T427" s="17" t="s">
        <v>2199</v>
      </c>
      <c r="U427" s="17" t="s">
        <v>25</v>
      </c>
      <c r="V427" s="17" t="s">
        <v>2200</v>
      </c>
      <c r="W427" s="17"/>
      <c r="X427" s="17"/>
      <c r="Y427" s="17"/>
      <c r="Z427" s="17"/>
      <c r="AA427" s="17"/>
      <c r="AB427" s="17" t="str">
        <f t="shared" si="6"/>
        <v>GPR08053K</v>
      </c>
    </row>
    <row r="428" spans="1:28">
      <c r="A428" s="17" t="s">
        <v>2201</v>
      </c>
      <c r="B428" s="17" t="s">
        <v>2201</v>
      </c>
      <c r="C428" s="17" t="s">
        <v>2202</v>
      </c>
      <c r="D428" s="17" t="s">
        <v>21</v>
      </c>
      <c r="E428" s="24" t="s">
        <v>6446</v>
      </c>
      <c r="F428" s="17" t="s">
        <v>201</v>
      </c>
      <c r="G428" s="17" t="str">
        <f>Config!$B$3</f>
        <v>SCH/R_IEC.SchLib</v>
      </c>
      <c r="H428" s="17" t="s">
        <v>419</v>
      </c>
      <c r="I428" s="17" t="s">
        <v>461</v>
      </c>
      <c r="J428" s="17" t="s">
        <v>1752</v>
      </c>
      <c r="K428" s="17"/>
      <c r="L428" s="17"/>
      <c r="M428" s="21">
        <v>3300</v>
      </c>
      <c r="N428" s="17" t="s">
        <v>13979</v>
      </c>
      <c r="O428" s="17" t="s">
        <v>477</v>
      </c>
      <c r="P428" s="17" t="s">
        <v>2203</v>
      </c>
      <c r="Q428" s="17" t="s">
        <v>25</v>
      </c>
      <c r="R428" s="17" t="s">
        <v>2204</v>
      </c>
      <c r="S428" s="17" t="s">
        <v>477</v>
      </c>
      <c r="T428" s="17" t="s">
        <v>2205</v>
      </c>
      <c r="U428" s="17" t="s">
        <v>25</v>
      </c>
      <c r="V428" s="17" t="s">
        <v>2206</v>
      </c>
      <c r="W428" s="17"/>
      <c r="X428" s="17"/>
      <c r="Y428" s="17"/>
      <c r="Z428" s="17"/>
      <c r="AA428" s="17"/>
      <c r="AB428" s="17" t="str">
        <f t="shared" si="6"/>
        <v>GPR08053K3</v>
      </c>
    </row>
    <row r="429" spans="1:28">
      <c r="A429" s="17" t="s">
        <v>2207</v>
      </c>
      <c r="B429" s="17" t="s">
        <v>2207</v>
      </c>
      <c r="C429" s="17" t="s">
        <v>2208</v>
      </c>
      <c r="D429" s="17" t="s">
        <v>21</v>
      </c>
      <c r="E429" s="24" t="s">
        <v>6446</v>
      </c>
      <c r="F429" s="17" t="s">
        <v>203</v>
      </c>
      <c r="G429" s="17" t="str">
        <f>Config!$B$3</f>
        <v>SCH/R_IEC.SchLib</v>
      </c>
      <c r="H429" s="17" t="s">
        <v>419</v>
      </c>
      <c r="I429" s="17" t="s">
        <v>461</v>
      </c>
      <c r="J429" s="17" t="s">
        <v>1752</v>
      </c>
      <c r="K429" s="17"/>
      <c r="L429" s="17"/>
      <c r="M429" s="21">
        <v>3600</v>
      </c>
      <c r="N429" s="17" t="s">
        <v>13979</v>
      </c>
      <c r="O429" s="17" t="s">
        <v>477</v>
      </c>
      <c r="P429" s="17" t="s">
        <v>2209</v>
      </c>
      <c r="Q429" s="17" t="s">
        <v>25</v>
      </c>
      <c r="R429" s="17" t="s">
        <v>2210</v>
      </c>
      <c r="S429" s="17" t="s">
        <v>477</v>
      </c>
      <c r="T429" s="17" t="s">
        <v>2211</v>
      </c>
      <c r="U429" s="17" t="s">
        <v>25</v>
      </c>
      <c r="V429" s="17" t="s">
        <v>2212</v>
      </c>
      <c r="W429" s="17"/>
      <c r="X429" s="17"/>
      <c r="Y429" s="17"/>
      <c r="Z429" s="17"/>
      <c r="AA429" s="17"/>
      <c r="AB429" s="17" t="str">
        <f t="shared" si="6"/>
        <v>GPR08053K6</v>
      </c>
    </row>
    <row r="430" spans="1:28">
      <c r="A430" s="17" t="s">
        <v>2213</v>
      </c>
      <c r="B430" s="17" t="s">
        <v>2213</v>
      </c>
      <c r="C430" s="17" t="s">
        <v>2214</v>
      </c>
      <c r="D430" s="17" t="s">
        <v>21</v>
      </c>
      <c r="E430" s="24" t="s">
        <v>6446</v>
      </c>
      <c r="F430" s="17" t="s">
        <v>205</v>
      </c>
      <c r="G430" s="17" t="str">
        <f>Config!$B$3</f>
        <v>SCH/R_IEC.SchLib</v>
      </c>
      <c r="H430" s="17" t="s">
        <v>419</v>
      </c>
      <c r="I430" s="17" t="s">
        <v>461</v>
      </c>
      <c r="J430" s="17" t="s">
        <v>1752</v>
      </c>
      <c r="K430" s="17"/>
      <c r="L430" s="17"/>
      <c r="M430" s="21">
        <v>3900</v>
      </c>
      <c r="N430" s="17" t="s">
        <v>13979</v>
      </c>
      <c r="O430" s="17" t="s">
        <v>477</v>
      </c>
      <c r="P430" s="17" t="s">
        <v>2215</v>
      </c>
      <c r="Q430" s="17" t="s">
        <v>25</v>
      </c>
      <c r="R430" s="17" t="s">
        <v>2216</v>
      </c>
      <c r="S430" s="17" t="s">
        <v>477</v>
      </c>
      <c r="T430" s="17" t="s">
        <v>2217</v>
      </c>
      <c r="U430" s="17" t="s">
        <v>25</v>
      </c>
      <c r="V430" s="17" t="s">
        <v>2218</v>
      </c>
      <c r="W430" s="17"/>
      <c r="X430" s="17"/>
      <c r="Y430" s="17"/>
      <c r="Z430" s="17"/>
      <c r="AA430" s="17"/>
      <c r="AB430" s="17" t="str">
        <f t="shared" ref="AB430:AB505" si="7">"GPR"&amp;E430&amp;F430</f>
        <v>GPR08053K9</v>
      </c>
    </row>
    <row r="431" spans="1:28">
      <c r="A431" s="17" t="s">
        <v>2219</v>
      </c>
      <c r="B431" s="17" t="s">
        <v>2219</v>
      </c>
      <c r="C431" s="17" t="s">
        <v>2220</v>
      </c>
      <c r="D431" s="17" t="s">
        <v>21</v>
      </c>
      <c r="E431" s="24" t="s">
        <v>6446</v>
      </c>
      <c r="F431" s="17" t="s">
        <v>207</v>
      </c>
      <c r="G431" s="17" t="str">
        <f>Config!$B$3</f>
        <v>SCH/R_IEC.SchLib</v>
      </c>
      <c r="H431" s="17" t="s">
        <v>419</v>
      </c>
      <c r="I431" s="17" t="s">
        <v>461</v>
      </c>
      <c r="J431" s="17" t="s">
        <v>1752</v>
      </c>
      <c r="K431" s="17"/>
      <c r="L431" s="17"/>
      <c r="M431" s="21">
        <v>4300</v>
      </c>
      <c r="N431" s="17" t="s">
        <v>13979</v>
      </c>
      <c r="O431" s="17" t="s">
        <v>477</v>
      </c>
      <c r="P431" s="17" t="s">
        <v>2221</v>
      </c>
      <c r="Q431" s="17" t="s">
        <v>25</v>
      </c>
      <c r="R431" s="17" t="s">
        <v>2222</v>
      </c>
      <c r="S431" s="17" t="s">
        <v>477</v>
      </c>
      <c r="T431" s="17" t="s">
        <v>2223</v>
      </c>
      <c r="U431" s="17" t="s">
        <v>25</v>
      </c>
      <c r="V431" s="17" t="s">
        <v>2224</v>
      </c>
      <c r="W431" s="17"/>
      <c r="X431" s="17"/>
      <c r="Y431" s="17"/>
      <c r="Z431" s="17"/>
      <c r="AA431" s="17"/>
      <c r="AB431" s="17" t="str">
        <f t="shared" si="7"/>
        <v>GPR08054K3</v>
      </c>
    </row>
    <row r="432" spans="1:28">
      <c r="A432" s="17" t="s">
        <v>2225</v>
      </c>
      <c r="B432" s="17" t="s">
        <v>2225</v>
      </c>
      <c r="C432" s="17" t="s">
        <v>2226</v>
      </c>
      <c r="D432" s="17" t="s">
        <v>21</v>
      </c>
      <c r="E432" s="24" t="s">
        <v>6446</v>
      </c>
      <c r="F432" s="17" t="s">
        <v>209</v>
      </c>
      <c r="G432" s="17" t="str">
        <f>Config!$B$3</f>
        <v>SCH/R_IEC.SchLib</v>
      </c>
      <c r="H432" s="17" t="s">
        <v>419</v>
      </c>
      <c r="I432" s="17" t="s">
        <v>461</v>
      </c>
      <c r="J432" s="17" t="s">
        <v>1752</v>
      </c>
      <c r="K432" s="17"/>
      <c r="L432" s="17"/>
      <c r="M432" s="21">
        <v>4700</v>
      </c>
      <c r="N432" s="17" t="s">
        <v>13979</v>
      </c>
      <c r="O432" s="17" t="s">
        <v>477</v>
      </c>
      <c r="P432" s="17" t="s">
        <v>2227</v>
      </c>
      <c r="Q432" s="17" t="s">
        <v>25</v>
      </c>
      <c r="R432" s="17" t="s">
        <v>2228</v>
      </c>
      <c r="S432" s="17" t="s">
        <v>477</v>
      </c>
      <c r="T432" s="17" t="s">
        <v>2229</v>
      </c>
      <c r="U432" s="17" t="s">
        <v>25</v>
      </c>
      <c r="V432" s="17" t="s">
        <v>2230</v>
      </c>
      <c r="W432" s="17"/>
      <c r="X432" s="17"/>
      <c r="Y432" s="17"/>
      <c r="Z432" s="17"/>
      <c r="AA432" s="17"/>
      <c r="AB432" s="17" t="str">
        <f t="shared" si="7"/>
        <v>GPR08054K7</v>
      </c>
    </row>
    <row r="433" spans="1:28">
      <c r="A433" s="17" t="s">
        <v>2231</v>
      </c>
      <c r="B433" s="17" t="s">
        <v>2231</v>
      </c>
      <c r="C433" s="17" t="s">
        <v>2232</v>
      </c>
      <c r="D433" s="17" t="s">
        <v>21</v>
      </c>
      <c r="E433" s="24" t="s">
        <v>6446</v>
      </c>
      <c r="F433" s="17" t="s">
        <v>213</v>
      </c>
      <c r="G433" s="17" t="str">
        <f>Config!$B$3</f>
        <v>SCH/R_IEC.SchLib</v>
      </c>
      <c r="H433" s="17" t="s">
        <v>419</v>
      </c>
      <c r="I433" s="17" t="s">
        <v>461</v>
      </c>
      <c r="J433" s="17" t="s">
        <v>1752</v>
      </c>
      <c r="K433" s="17"/>
      <c r="L433" s="17"/>
      <c r="M433" s="21">
        <v>5100</v>
      </c>
      <c r="N433" s="17" t="s">
        <v>13979</v>
      </c>
      <c r="O433" s="17" t="s">
        <v>477</v>
      </c>
      <c r="P433" s="17" t="s">
        <v>2233</v>
      </c>
      <c r="Q433" s="17" t="s">
        <v>25</v>
      </c>
      <c r="R433" s="17" t="s">
        <v>2234</v>
      </c>
      <c r="S433" s="17" t="s">
        <v>477</v>
      </c>
      <c r="T433" s="17" t="s">
        <v>2235</v>
      </c>
      <c r="U433" s="17" t="s">
        <v>25</v>
      </c>
      <c r="V433" s="17" t="s">
        <v>2236</v>
      </c>
      <c r="W433" s="17"/>
      <c r="X433" s="17"/>
      <c r="Y433" s="17"/>
      <c r="Z433" s="17"/>
      <c r="AA433" s="17"/>
      <c r="AB433" s="17" t="str">
        <f t="shared" si="7"/>
        <v>GPR08055K1</v>
      </c>
    </row>
    <row r="434" spans="1:28">
      <c r="A434" s="17" t="s">
        <v>2237</v>
      </c>
      <c r="B434" s="17" t="s">
        <v>2237</v>
      </c>
      <c r="C434" s="17" t="s">
        <v>2238</v>
      </c>
      <c r="D434" s="17" t="s">
        <v>21</v>
      </c>
      <c r="E434" s="24" t="s">
        <v>6446</v>
      </c>
      <c r="F434" s="17" t="s">
        <v>215</v>
      </c>
      <c r="G434" s="17" t="str">
        <f>Config!$B$3</f>
        <v>SCH/R_IEC.SchLib</v>
      </c>
      <c r="H434" s="17" t="s">
        <v>419</v>
      </c>
      <c r="I434" s="17" t="s">
        <v>461</v>
      </c>
      <c r="J434" s="17" t="s">
        <v>1752</v>
      </c>
      <c r="K434" s="17"/>
      <c r="L434" s="17"/>
      <c r="M434" s="21">
        <v>5600</v>
      </c>
      <c r="N434" s="17" t="s">
        <v>13979</v>
      </c>
      <c r="O434" s="17" t="s">
        <v>477</v>
      </c>
      <c r="P434" s="17" t="s">
        <v>2239</v>
      </c>
      <c r="Q434" s="17" t="s">
        <v>25</v>
      </c>
      <c r="R434" s="17" t="s">
        <v>2240</v>
      </c>
      <c r="S434" s="17" t="s">
        <v>477</v>
      </c>
      <c r="T434" s="17" t="s">
        <v>2241</v>
      </c>
      <c r="U434" s="17" t="s">
        <v>25</v>
      </c>
      <c r="V434" s="17" t="s">
        <v>2242</v>
      </c>
      <c r="W434" s="17"/>
      <c r="X434" s="17"/>
      <c r="Y434" s="17"/>
      <c r="Z434" s="17"/>
      <c r="AA434" s="17"/>
      <c r="AB434" s="17" t="str">
        <f t="shared" si="7"/>
        <v>GPR08055K6</v>
      </c>
    </row>
    <row r="435" spans="1:28">
      <c r="A435" s="17" t="s">
        <v>2243</v>
      </c>
      <c r="B435" s="17" t="s">
        <v>2243</v>
      </c>
      <c r="C435" s="17" t="s">
        <v>2244</v>
      </c>
      <c r="D435" s="17" t="s">
        <v>21</v>
      </c>
      <c r="E435" s="24" t="s">
        <v>6446</v>
      </c>
      <c r="F435" s="17" t="s">
        <v>217</v>
      </c>
      <c r="G435" s="17" t="str">
        <f>Config!$B$3</f>
        <v>SCH/R_IEC.SchLib</v>
      </c>
      <c r="H435" s="17" t="s">
        <v>419</v>
      </c>
      <c r="I435" s="17" t="s">
        <v>461</v>
      </c>
      <c r="J435" s="17" t="s">
        <v>1752</v>
      </c>
      <c r="K435" s="17"/>
      <c r="L435" s="17"/>
      <c r="M435" s="21">
        <v>6200</v>
      </c>
      <c r="N435" s="17" t="s">
        <v>13979</v>
      </c>
      <c r="O435" s="17" t="s">
        <v>477</v>
      </c>
      <c r="P435" s="17" t="s">
        <v>2245</v>
      </c>
      <c r="Q435" s="17" t="s">
        <v>25</v>
      </c>
      <c r="R435" s="17" t="s">
        <v>2246</v>
      </c>
      <c r="S435" s="17" t="s">
        <v>477</v>
      </c>
      <c r="T435" s="17" t="s">
        <v>2247</v>
      </c>
      <c r="U435" s="17" t="s">
        <v>25</v>
      </c>
      <c r="V435" s="17" t="s">
        <v>2248</v>
      </c>
      <c r="W435" s="17"/>
      <c r="X435" s="17"/>
      <c r="Y435" s="17"/>
      <c r="Z435" s="17"/>
      <c r="AA435" s="17"/>
      <c r="AB435" s="17" t="str">
        <f t="shared" si="7"/>
        <v>GPR08056K2</v>
      </c>
    </row>
    <row r="436" spans="1:28">
      <c r="A436" s="17" t="s">
        <v>2249</v>
      </c>
      <c r="B436" s="17" t="s">
        <v>2249</v>
      </c>
      <c r="C436" s="17" t="s">
        <v>2250</v>
      </c>
      <c r="D436" s="17" t="s">
        <v>21</v>
      </c>
      <c r="E436" s="24" t="s">
        <v>6446</v>
      </c>
      <c r="F436" s="17" t="s">
        <v>219</v>
      </c>
      <c r="G436" s="17" t="str">
        <f>Config!$B$3</f>
        <v>SCH/R_IEC.SchLib</v>
      </c>
      <c r="H436" s="17" t="s">
        <v>419</v>
      </c>
      <c r="I436" s="17" t="s">
        <v>461</v>
      </c>
      <c r="J436" s="17" t="s">
        <v>1752</v>
      </c>
      <c r="K436" s="17"/>
      <c r="L436" s="17"/>
      <c r="M436" s="21">
        <v>6800</v>
      </c>
      <c r="N436" s="17" t="s">
        <v>13979</v>
      </c>
      <c r="O436" s="17" t="s">
        <v>477</v>
      </c>
      <c r="P436" s="17" t="s">
        <v>2251</v>
      </c>
      <c r="Q436" s="17" t="s">
        <v>25</v>
      </c>
      <c r="R436" s="17" t="s">
        <v>2252</v>
      </c>
      <c r="S436" s="17" t="s">
        <v>477</v>
      </c>
      <c r="T436" s="17" t="s">
        <v>2253</v>
      </c>
      <c r="U436" s="17" t="s">
        <v>25</v>
      </c>
      <c r="V436" s="17" t="s">
        <v>2254</v>
      </c>
      <c r="W436" s="17"/>
      <c r="X436" s="17"/>
      <c r="Y436" s="17"/>
      <c r="Z436" s="17"/>
      <c r="AA436" s="17"/>
      <c r="AB436" s="17" t="str">
        <f t="shared" si="7"/>
        <v>GPR08056K8</v>
      </c>
    </row>
    <row r="437" spans="1:28">
      <c r="A437" s="17" t="s">
        <v>2255</v>
      </c>
      <c r="B437" s="17" t="s">
        <v>2255</v>
      </c>
      <c r="C437" s="17" t="s">
        <v>2256</v>
      </c>
      <c r="D437" s="17" t="s">
        <v>21</v>
      </c>
      <c r="E437" s="24" t="s">
        <v>6446</v>
      </c>
      <c r="F437" s="17" t="s">
        <v>221</v>
      </c>
      <c r="G437" s="17" t="str">
        <f>Config!$B$3</f>
        <v>SCH/R_IEC.SchLib</v>
      </c>
      <c r="H437" s="17" t="s">
        <v>419</v>
      </c>
      <c r="I437" s="17" t="s">
        <v>461</v>
      </c>
      <c r="J437" s="17" t="s">
        <v>1752</v>
      </c>
      <c r="K437" s="17"/>
      <c r="L437" s="17"/>
      <c r="M437" s="21">
        <v>7500</v>
      </c>
      <c r="N437" s="17" t="s">
        <v>13979</v>
      </c>
      <c r="O437" s="17" t="s">
        <v>477</v>
      </c>
      <c r="P437" s="17" t="s">
        <v>2257</v>
      </c>
      <c r="Q437" s="17" t="s">
        <v>25</v>
      </c>
      <c r="R437" s="17" t="s">
        <v>2258</v>
      </c>
      <c r="S437" s="17" t="s">
        <v>477</v>
      </c>
      <c r="T437" s="17" t="s">
        <v>2259</v>
      </c>
      <c r="U437" s="17" t="s">
        <v>25</v>
      </c>
      <c r="V437" s="17" t="s">
        <v>2260</v>
      </c>
      <c r="W437" s="17"/>
      <c r="X437" s="17"/>
      <c r="Y437" s="17"/>
      <c r="Z437" s="17"/>
      <c r="AA437" s="17"/>
      <c r="AB437" s="17" t="str">
        <f t="shared" si="7"/>
        <v>GPR08057K5</v>
      </c>
    </row>
    <row r="438" spans="1:28">
      <c r="A438" s="17" t="s">
        <v>2261</v>
      </c>
      <c r="B438" s="17" t="s">
        <v>2261</v>
      </c>
      <c r="C438" s="17" t="s">
        <v>2262</v>
      </c>
      <c r="D438" s="17" t="s">
        <v>21</v>
      </c>
      <c r="E438" s="24" t="s">
        <v>6446</v>
      </c>
      <c r="F438" s="17" t="s">
        <v>223</v>
      </c>
      <c r="G438" s="17" t="str">
        <f>Config!$B$3</f>
        <v>SCH/R_IEC.SchLib</v>
      </c>
      <c r="H438" s="17" t="s">
        <v>419</v>
      </c>
      <c r="I438" s="17" t="s">
        <v>461</v>
      </c>
      <c r="J438" s="17" t="s">
        <v>1752</v>
      </c>
      <c r="K438" s="17"/>
      <c r="L438" s="17"/>
      <c r="M438" s="21">
        <v>8200</v>
      </c>
      <c r="N438" s="17" t="s">
        <v>13979</v>
      </c>
      <c r="O438" s="17" t="s">
        <v>477</v>
      </c>
      <c r="P438" s="17" t="s">
        <v>2263</v>
      </c>
      <c r="Q438" s="17" t="s">
        <v>25</v>
      </c>
      <c r="R438" s="17" t="s">
        <v>2264</v>
      </c>
      <c r="S438" s="17" t="s">
        <v>477</v>
      </c>
      <c r="T438" s="17" t="s">
        <v>2265</v>
      </c>
      <c r="U438" s="17" t="s">
        <v>25</v>
      </c>
      <c r="V438" s="17" t="s">
        <v>2266</v>
      </c>
      <c r="W438" s="17"/>
      <c r="X438" s="17"/>
      <c r="Y438" s="17"/>
      <c r="Z438" s="17"/>
      <c r="AA438" s="17"/>
      <c r="AB438" s="17" t="str">
        <f t="shared" si="7"/>
        <v>GPR08058K2</v>
      </c>
    </row>
    <row r="439" spans="1:28">
      <c r="A439" s="17" t="s">
        <v>2267</v>
      </c>
      <c r="B439" s="17" t="s">
        <v>2267</v>
      </c>
      <c r="C439" s="17" t="s">
        <v>2268</v>
      </c>
      <c r="D439" s="17" t="s">
        <v>21</v>
      </c>
      <c r="E439" s="24" t="s">
        <v>6446</v>
      </c>
      <c r="F439" s="17" t="s">
        <v>225</v>
      </c>
      <c r="G439" s="17" t="str">
        <f>Config!$B$3</f>
        <v>SCH/R_IEC.SchLib</v>
      </c>
      <c r="H439" s="17" t="s">
        <v>419</v>
      </c>
      <c r="I439" s="17" t="s">
        <v>461</v>
      </c>
      <c r="J439" s="17" t="s">
        <v>1752</v>
      </c>
      <c r="K439" s="17"/>
      <c r="L439" s="17"/>
      <c r="M439" s="21">
        <v>9100</v>
      </c>
      <c r="N439" s="17" t="s">
        <v>13979</v>
      </c>
      <c r="O439" s="17" t="s">
        <v>477</v>
      </c>
      <c r="P439" s="17" t="s">
        <v>2269</v>
      </c>
      <c r="Q439" s="17" t="s">
        <v>25</v>
      </c>
      <c r="R439" s="17" t="s">
        <v>2270</v>
      </c>
      <c r="S439" s="17"/>
      <c r="T439" s="17"/>
      <c r="U439" s="17"/>
      <c r="V439" s="17"/>
      <c r="AB439" s="17" t="str">
        <f t="shared" si="7"/>
        <v>GPR08059K1</v>
      </c>
    </row>
    <row r="440" spans="1:28" ht="15.75">
      <c r="A440" s="17" t="s">
        <v>2271</v>
      </c>
      <c r="B440" s="17" t="s">
        <v>2271</v>
      </c>
      <c r="C440" s="17" t="s">
        <v>2272</v>
      </c>
      <c r="D440" s="17" t="s">
        <v>21</v>
      </c>
      <c r="E440" s="24" t="s">
        <v>6446</v>
      </c>
      <c r="F440" s="17" t="s">
        <v>229</v>
      </c>
      <c r="G440" s="17" t="str">
        <f>Config!$B$3</f>
        <v>SCH/R_IEC.SchLib</v>
      </c>
      <c r="H440" s="17" t="s">
        <v>419</v>
      </c>
      <c r="I440" s="17" t="s">
        <v>461</v>
      </c>
      <c r="J440" s="17" t="s">
        <v>1752</v>
      </c>
      <c r="K440" s="17"/>
      <c r="L440" s="17"/>
      <c r="M440" s="21">
        <v>10000</v>
      </c>
      <c r="N440" s="17" t="s">
        <v>13979</v>
      </c>
      <c r="O440" s="17" t="s">
        <v>477</v>
      </c>
      <c r="P440" s="17" t="s">
        <v>2273</v>
      </c>
      <c r="Q440" s="17" t="s">
        <v>25</v>
      </c>
      <c r="R440" s="17" t="s">
        <v>2274</v>
      </c>
      <c r="S440" s="17" t="s">
        <v>477</v>
      </c>
      <c r="T440" s="17" t="s">
        <v>2275</v>
      </c>
      <c r="U440" s="17" t="s">
        <v>25</v>
      </c>
      <c r="V440" s="17" t="s">
        <v>2276</v>
      </c>
      <c r="W440" s="42" t="s">
        <v>4729</v>
      </c>
      <c r="X440" s="8" t="s">
        <v>13520</v>
      </c>
      <c r="Y440" t="s">
        <v>4559</v>
      </c>
      <c r="Z440" s="8" t="s">
        <v>13519</v>
      </c>
      <c r="AA440" t="s">
        <v>4728</v>
      </c>
      <c r="AB440" s="17" t="str">
        <f t="shared" si="7"/>
        <v>GPR080510K</v>
      </c>
    </row>
    <row r="441" spans="1:28">
      <c r="A441" s="17" t="s">
        <v>16594</v>
      </c>
      <c r="B441" s="17" t="s">
        <v>16594</v>
      </c>
      <c r="C441" s="17" t="s">
        <v>16595</v>
      </c>
      <c r="D441" s="17" t="s">
        <v>21</v>
      </c>
      <c r="E441" s="24" t="s">
        <v>6446</v>
      </c>
      <c r="F441" s="17" t="s">
        <v>229</v>
      </c>
      <c r="G441" s="17" t="str">
        <f>Config!$B$3</f>
        <v>SCH/R_IEC.SchLib</v>
      </c>
      <c r="H441" s="17" t="s">
        <v>419</v>
      </c>
      <c r="I441" s="17" t="s">
        <v>461</v>
      </c>
      <c r="J441" s="17" t="s">
        <v>16547</v>
      </c>
      <c r="K441" s="17"/>
      <c r="L441" s="17"/>
      <c r="M441" s="21">
        <v>10000</v>
      </c>
      <c r="N441" s="17" t="s">
        <v>13980</v>
      </c>
      <c r="O441" s="17" t="s">
        <v>477</v>
      </c>
      <c r="P441" s="17" t="s">
        <v>16610</v>
      </c>
      <c r="Q441" t="s">
        <v>25</v>
      </c>
      <c r="R441" s="17" t="s">
        <v>16632</v>
      </c>
      <c r="S441" s="17"/>
      <c r="T441" s="17"/>
      <c r="U441" s="17"/>
      <c r="V441" s="17"/>
      <c r="W441" s="17" t="s">
        <v>477</v>
      </c>
      <c r="X441" s="17" t="s">
        <v>16610</v>
      </c>
      <c r="Y441" s="17" t="s">
        <v>4559</v>
      </c>
      <c r="Z441" s="17" t="s">
        <v>16611</v>
      </c>
      <c r="AA441" t="s">
        <v>4727</v>
      </c>
      <c r="AB441" s="17"/>
    </row>
    <row r="442" spans="1:28">
      <c r="A442" s="17" t="s">
        <v>2277</v>
      </c>
      <c r="B442" s="17" t="s">
        <v>2277</v>
      </c>
      <c r="C442" s="17" t="s">
        <v>2278</v>
      </c>
      <c r="D442" s="17" t="s">
        <v>21</v>
      </c>
      <c r="E442" s="24" t="s">
        <v>6446</v>
      </c>
      <c r="F442" s="17" t="s">
        <v>233</v>
      </c>
      <c r="G442" s="17" t="str">
        <f>Config!$B$3</f>
        <v>SCH/R_IEC.SchLib</v>
      </c>
      <c r="H442" s="17" t="s">
        <v>419</v>
      </c>
      <c r="I442" s="17" t="s">
        <v>461</v>
      </c>
      <c r="J442" s="17" t="s">
        <v>1752</v>
      </c>
      <c r="K442" s="17"/>
      <c r="L442" s="17"/>
      <c r="M442" s="21">
        <v>11000</v>
      </c>
      <c r="N442" s="17" t="s">
        <v>13979</v>
      </c>
      <c r="O442" s="17" t="s">
        <v>477</v>
      </c>
      <c r="P442" s="17" t="s">
        <v>2279</v>
      </c>
      <c r="Q442" s="17" t="s">
        <v>25</v>
      </c>
      <c r="R442" s="17" t="s">
        <v>2280</v>
      </c>
      <c r="S442" s="17" t="s">
        <v>477</v>
      </c>
      <c r="T442" s="17" t="s">
        <v>2281</v>
      </c>
      <c r="U442" s="17" t="s">
        <v>25</v>
      </c>
      <c r="V442" s="17" t="s">
        <v>2282</v>
      </c>
      <c r="W442" s="17"/>
      <c r="X442" s="17"/>
      <c r="Y442" s="17"/>
      <c r="Z442" s="17"/>
      <c r="AA442" s="17"/>
      <c r="AB442" s="17" t="str">
        <f t="shared" si="7"/>
        <v>GPR080511K</v>
      </c>
    </row>
    <row r="443" spans="1:28">
      <c r="A443" s="17" t="s">
        <v>2283</v>
      </c>
      <c r="B443" s="17" t="s">
        <v>2283</v>
      </c>
      <c r="C443" s="17" t="s">
        <v>2284</v>
      </c>
      <c r="D443" s="17" t="s">
        <v>21</v>
      </c>
      <c r="E443" s="24" t="s">
        <v>6446</v>
      </c>
      <c r="F443" s="17" t="s">
        <v>235</v>
      </c>
      <c r="G443" s="17" t="str">
        <f>Config!$B$3</f>
        <v>SCH/R_IEC.SchLib</v>
      </c>
      <c r="H443" s="17" t="s">
        <v>419</v>
      </c>
      <c r="I443" s="17" t="s">
        <v>461</v>
      </c>
      <c r="J443" s="17" t="s">
        <v>1752</v>
      </c>
      <c r="K443" s="17"/>
      <c r="L443" s="17"/>
      <c r="M443" s="21">
        <v>12000</v>
      </c>
      <c r="N443" s="17" t="s">
        <v>13979</v>
      </c>
      <c r="O443" s="17" t="s">
        <v>477</v>
      </c>
      <c r="P443" s="17" t="s">
        <v>2285</v>
      </c>
      <c r="Q443" s="17" t="s">
        <v>25</v>
      </c>
      <c r="R443" s="17" t="s">
        <v>2286</v>
      </c>
      <c r="S443" s="17" t="s">
        <v>477</v>
      </c>
      <c r="T443" s="17" t="s">
        <v>2287</v>
      </c>
      <c r="U443" s="17" t="s">
        <v>25</v>
      </c>
      <c r="V443" s="17" t="s">
        <v>2288</v>
      </c>
      <c r="W443" s="17"/>
      <c r="X443" s="17"/>
      <c r="Y443" s="17"/>
      <c r="Z443" s="17"/>
      <c r="AA443" s="17"/>
      <c r="AB443" s="17" t="str">
        <f t="shared" si="7"/>
        <v>GPR080512K</v>
      </c>
    </row>
    <row r="444" spans="1:28">
      <c r="A444" s="17" t="s">
        <v>2289</v>
      </c>
      <c r="B444" s="17" t="s">
        <v>2289</v>
      </c>
      <c r="C444" s="17" t="s">
        <v>2290</v>
      </c>
      <c r="D444" s="17" t="s">
        <v>21</v>
      </c>
      <c r="E444" s="24" t="s">
        <v>6446</v>
      </c>
      <c r="F444" s="17" t="s">
        <v>239</v>
      </c>
      <c r="G444" s="17" t="str">
        <f>Config!$B$3</f>
        <v>SCH/R_IEC.SchLib</v>
      </c>
      <c r="H444" s="17" t="s">
        <v>419</v>
      </c>
      <c r="I444" s="17" t="s">
        <v>461</v>
      </c>
      <c r="J444" s="17" t="s">
        <v>1752</v>
      </c>
      <c r="K444" s="17"/>
      <c r="L444" s="17"/>
      <c r="M444" s="21">
        <v>13000</v>
      </c>
      <c r="N444" s="17" t="s">
        <v>13979</v>
      </c>
      <c r="O444" s="17" t="s">
        <v>477</v>
      </c>
      <c r="P444" s="17" t="s">
        <v>2291</v>
      </c>
      <c r="Q444" s="17" t="s">
        <v>25</v>
      </c>
      <c r="R444" s="17" t="s">
        <v>2292</v>
      </c>
      <c r="S444" s="17"/>
      <c r="T444" s="17"/>
      <c r="U444" s="17"/>
      <c r="V444" s="17"/>
      <c r="W444" s="17"/>
      <c r="X444" s="17"/>
      <c r="Y444" s="17"/>
      <c r="Z444" s="17"/>
      <c r="AA444" s="17"/>
      <c r="AB444" s="17" t="str">
        <f t="shared" si="7"/>
        <v>GPR080513K</v>
      </c>
    </row>
    <row r="445" spans="1:28">
      <c r="A445" s="17" t="s">
        <v>2293</v>
      </c>
      <c r="B445" s="17" t="s">
        <v>2293</v>
      </c>
      <c r="C445" s="17" t="s">
        <v>2294</v>
      </c>
      <c r="D445" s="17" t="s">
        <v>21</v>
      </c>
      <c r="E445" s="24" t="s">
        <v>6446</v>
      </c>
      <c r="F445" s="17" t="s">
        <v>243</v>
      </c>
      <c r="G445" s="17" t="str">
        <f>Config!$B$3</f>
        <v>SCH/R_IEC.SchLib</v>
      </c>
      <c r="H445" s="17" t="s">
        <v>419</v>
      </c>
      <c r="I445" s="17" t="s">
        <v>461</v>
      </c>
      <c r="J445" s="17" t="s">
        <v>1752</v>
      </c>
      <c r="K445" s="17"/>
      <c r="L445" s="17"/>
      <c r="M445" s="21">
        <v>15000</v>
      </c>
      <c r="N445" s="17" t="s">
        <v>13979</v>
      </c>
      <c r="O445" s="17" t="s">
        <v>477</v>
      </c>
      <c r="P445" s="17" t="s">
        <v>2295</v>
      </c>
      <c r="Q445" s="17" t="s">
        <v>25</v>
      </c>
      <c r="R445" s="17" t="s">
        <v>2296</v>
      </c>
      <c r="S445" s="17" t="s">
        <v>477</v>
      </c>
      <c r="T445" s="17" t="s">
        <v>2297</v>
      </c>
      <c r="U445" s="17" t="s">
        <v>25</v>
      </c>
      <c r="V445" s="17" t="s">
        <v>2298</v>
      </c>
      <c r="W445" s="17"/>
      <c r="X445" s="17"/>
      <c r="Y445" s="17"/>
      <c r="Z445" s="17"/>
      <c r="AA445" s="17"/>
      <c r="AB445" s="17" t="str">
        <f t="shared" si="7"/>
        <v>GPR080515K</v>
      </c>
    </row>
    <row r="446" spans="1:28">
      <c r="A446" s="17" t="s">
        <v>2299</v>
      </c>
      <c r="B446" s="17" t="s">
        <v>2299</v>
      </c>
      <c r="C446" s="17" t="s">
        <v>2300</v>
      </c>
      <c r="D446" s="17" t="s">
        <v>21</v>
      </c>
      <c r="E446" s="24" t="s">
        <v>6446</v>
      </c>
      <c r="F446" s="17" t="s">
        <v>247</v>
      </c>
      <c r="G446" s="17" t="str">
        <f>Config!$B$3</f>
        <v>SCH/R_IEC.SchLib</v>
      </c>
      <c r="H446" s="17" t="s">
        <v>419</v>
      </c>
      <c r="I446" s="17" t="s">
        <v>461</v>
      </c>
      <c r="J446" s="17" t="s">
        <v>1752</v>
      </c>
      <c r="K446" s="17"/>
      <c r="L446" s="17"/>
      <c r="M446" s="21">
        <v>16000</v>
      </c>
      <c r="N446" s="17" t="s">
        <v>13979</v>
      </c>
      <c r="O446" s="17" t="s">
        <v>477</v>
      </c>
      <c r="P446" s="17" t="s">
        <v>2301</v>
      </c>
      <c r="Q446" s="17" t="s">
        <v>25</v>
      </c>
      <c r="R446" s="17" t="s">
        <v>2302</v>
      </c>
      <c r="S446" s="17"/>
      <c r="T446" s="17"/>
      <c r="U446" s="17"/>
      <c r="V446" s="17"/>
      <c r="W446" s="17"/>
      <c r="X446" s="17"/>
      <c r="Y446" s="17"/>
      <c r="Z446" s="17"/>
      <c r="AA446" s="17"/>
      <c r="AB446" s="17" t="str">
        <f t="shared" si="7"/>
        <v>GPR080516K</v>
      </c>
    </row>
    <row r="447" spans="1:28">
      <c r="A447" s="17" t="s">
        <v>2303</v>
      </c>
      <c r="B447" s="17" t="s">
        <v>2303</v>
      </c>
      <c r="C447" s="17" t="s">
        <v>2304</v>
      </c>
      <c r="D447" s="17" t="s">
        <v>21</v>
      </c>
      <c r="E447" s="24" t="s">
        <v>6446</v>
      </c>
      <c r="F447" s="17" t="s">
        <v>251</v>
      </c>
      <c r="G447" s="17" t="str">
        <f>Config!$B$3</f>
        <v>SCH/R_IEC.SchLib</v>
      </c>
      <c r="H447" s="17" t="s">
        <v>419</v>
      </c>
      <c r="I447" s="17" t="s">
        <v>461</v>
      </c>
      <c r="J447" s="17" t="s">
        <v>1752</v>
      </c>
      <c r="K447" s="17"/>
      <c r="L447" s="17"/>
      <c r="M447" s="21">
        <v>18000</v>
      </c>
      <c r="N447" s="17" t="s">
        <v>13979</v>
      </c>
      <c r="O447" s="17" t="s">
        <v>477</v>
      </c>
      <c r="P447" s="17" t="s">
        <v>2305</v>
      </c>
      <c r="Q447" s="17" t="s">
        <v>25</v>
      </c>
      <c r="R447" s="17" t="s">
        <v>2306</v>
      </c>
      <c r="S447" s="17" t="s">
        <v>477</v>
      </c>
      <c r="T447" s="17" t="s">
        <v>2307</v>
      </c>
      <c r="U447" s="17" t="s">
        <v>25</v>
      </c>
      <c r="V447" s="17" t="s">
        <v>2308</v>
      </c>
      <c r="W447" s="17"/>
      <c r="X447" s="17"/>
      <c r="Y447" s="17"/>
      <c r="Z447" s="17"/>
      <c r="AA447" s="17"/>
      <c r="AB447" s="17" t="str">
        <f t="shared" si="7"/>
        <v>GPR080518K</v>
      </c>
    </row>
    <row r="448" spans="1:28">
      <c r="A448" s="17" t="s">
        <v>2309</v>
      </c>
      <c r="B448" s="17" t="s">
        <v>2309</v>
      </c>
      <c r="C448" s="17" t="s">
        <v>2310</v>
      </c>
      <c r="D448" s="17" t="s">
        <v>21</v>
      </c>
      <c r="E448" s="24" t="s">
        <v>6446</v>
      </c>
      <c r="F448" s="17" t="s">
        <v>255</v>
      </c>
      <c r="G448" s="17" t="str">
        <f>Config!$B$3</f>
        <v>SCH/R_IEC.SchLib</v>
      </c>
      <c r="H448" s="17" t="s">
        <v>419</v>
      </c>
      <c r="I448" s="17" t="s">
        <v>461</v>
      </c>
      <c r="J448" s="17" t="s">
        <v>1752</v>
      </c>
      <c r="K448" s="17"/>
      <c r="L448" s="17"/>
      <c r="M448" s="21">
        <v>20000</v>
      </c>
      <c r="N448" s="17" t="s">
        <v>13979</v>
      </c>
      <c r="O448" s="17" t="s">
        <v>477</v>
      </c>
      <c r="P448" s="17" t="s">
        <v>2311</v>
      </c>
      <c r="Q448" s="17" t="s">
        <v>25</v>
      </c>
      <c r="R448" s="17" t="s">
        <v>2312</v>
      </c>
      <c r="S448" s="17" t="s">
        <v>477</v>
      </c>
      <c r="T448" s="17" t="s">
        <v>2313</v>
      </c>
      <c r="U448" s="17" t="s">
        <v>25</v>
      </c>
      <c r="V448" s="17" t="s">
        <v>2314</v>
      </c>
      <c r="W448" s="17"/>
      <c r="X448" s="17"/>
      <c r="Y448" s="17"/>
      <c r="Z448" s="17"/>
      <c r="AA448" s="17"/>
      <c r="AB448" s="17" t="str">
        <f t="shared" si="7"/>
        <v>GPR080520K</v>
      </c>
    </row>
    <row r="449" spans="1:28">
      <c r="A449" s="17" t="s">
        <v>2315</v>
      </c>
      <c r="B449" s="17" t="s">
        <v>2315</v>
      </c>
      <c r="C449" s="17" t="s">
        <v>2316</v>
      </c>
      <c r="D449" s="17" t="s">
        <v>21</v>
      </c>
      <c r="E449" s="24" t="s">
        <v>6446</v>
      </c>
      <c r="F449" s="17" t="s">
        <v>257</v>
      </c>
      <c r="G449" s="17" t="str">
        <f>Config!$B$3</f>
        <v>SCH/R_IEC.SchLib</v>
      </c>
      <c r="H449" s="17" t="s">
        <v>419</v>
      </c>
      <c r="I449" s="17" t="s">
        <v>461</v>
      </c>
      <c r="J449" s="17" t="s">
        <v>1752</v>
      </c>
      <c r="K449" s="17"/>
      <c r="L449" s="17"/>
      <c r="M449" s="21">
        <v>22000</v>
      </c>
      <c r="N449" s="17" t="s">
        <v>13979</v>
      </c>
      <c r="O449" s="17" t="s">
        <v>477</v>
      </c>
      <c r="P449" s="17" t="s">
        <v>2317</v>
      </c>
      <c r="Q449" s="17" t="s">
        <v>25</v>
      </c>
      <c r="R449" s="17" t="s">
        <v>2318</v>
      </c>
      <c r="S449" s="17" t="s">
        <v>477</v>
      </c>
      <c r="T449" s="17" t="s">
        <v>2319</v>
      </c>
      <c r="U449" s="17" t="s">
        <v>25</v>
      </c>
      <c r="V449" s="17" t="s">
        <v>2320</v>
      </c>
      <c r="W449" s="17"/>
      <c r="X449" s="17"/>
      <c r="Y449" s="17"/>
      <c r="Z449" s="17"/>
      <c r="AA449" s="17"/>
      <c r="AB449" s="17" t="str">
        <f t="shared" si="7"/>
        <v>GPR080522K</v>
      </c>
    </row>
    <row r="450" spans="1:28">
      <c r="A450" s="17" t="s">
        <v>2321</v>
      </c>
      <c r="B450" s="17" t="s">
        <v>2321</v>
      </c>
      <c r="C450" s="17" t="s">
        <v>2322</v>
      </c>
      <c r="D450" s="17" t="s">
        <v>21</v>
      </c>
      <c r="E450" s="24" t="s">
        <v>6446</v>
      </c>
      <c r="F450" s="17" t="s">
        <v>259</v>
      </c>
      <c r="G450" s="17" t="str">
        <f>Config!$B$3</f>
        <v>SCH/R_IEC.SchLib</v>
      </c>
      <c r="H450" s="17" t="s">
        <v>419</v>
      </c>
      <c r="I450" s="17" t="s">
        <v>461</v>
      </c>
      <c r="J450" s="17" t="s">
        <v>1752</v>
      </c>
      <c r="K450" s="17"/>
      <c r="L450" s="17"/>
      <c r="M450" s="21">
        <v>24000</v>
      </c>
      <c r="N450" s="17" t="s">
        <v>13979</v>
      </c>
      <c r="O450" s="17" t="s">
        <v>477</v>
      </c>
      <c r="P450" s="17" t="s">
        <v>2323</v>
      </c>
      <c r="Q450" s="17" t="s">
        <v>25</v>
      </c>
      <c r="R450" s="17" t="s">
        <v>2324</v>
      </c>
      <c r="S450" s="17" t="s">
        <v>477</v>
      </c>
      <c r="T450" s="17" t="s">
        <v>2325</v>
      </c>
      <c r="U450" s="17" t="s">
        <v>25</v>
      </c>
      <c r="V450" s="17" t="s">
        <v>2326</v>
      </c>
      <c r="W450" s="17"/>
      <c r="X450" s="17"/>
      <c r="Y450" s="17"/>
      <c r="Z450" s="17"/>
      <c r="AA450" s="17"/>
      <c r="AB450" s="17" t="str">
        <f t="shared" si="7"/>
        <v>GPR080524K</v>
      </c>
    </row>
    <row r="451" spans="1:28">
      <c r="A451" s="17" t="s">
        <v>2327</v>
      </c>
      <c r="B451" s="17" t="s">
        <v>2327</v>
      </c>
      <c r="C451" s="17" t="s">
        <v>2328</v>
      </c>
      <c r="D451" s="17" t="s">
        <v>21</v>
      </c>
      <c r="E451" s="24" t="s">
        <v>6446</v>
      </c>
      <c r="F451" s="17" t="s">
        <v>263</v>
      </c>
      <c r="G451" s="17" t="str">
        <f>Config!$B$3</f>
        <v>SCH/R_IEC.SchLib</v>
      </c>
      <c r="H451" s="17" t="s">
        <v>419</v>
      </c>
      <c r="I451" s="17" t="s">
        <v>461</v>
      </c>
      <c r="J451" s="17" t="s">
        <v>1752</v>
      </c>
      <c r="K451" s="17"/>
      <c r="L451" s="17"/>
      <c r="M451" s="21">
        <v>27000</v>
      </c>
      <c r="N451" s="17" t="s">
        <v>13979</v>
      </c>
      <c r="O451" s="17" t="s">
        <v>477</v>
      </c>
      <c r="P451" s="17" t="s">
        <v>2329</v>
      </c>
      <c r="Q451" s="17" t="s">
        <v>25</v>
      </c>
      <c r="R451" s="17" t="s">
        <v>2330</v>
      </c>
      <c r="S451" s="17" t="s">
        <v>477</v>
      </c>
      <c r="T451" s="17" t="s">
        <v>2331</v>
      </c>
      <c r="U451" s="17" t="s">
        <v>25</v>
      </c>
      <c r="V451" s="17" t="s">
        <v>2332</v>
      </c>
      <c r="W451" s="17"/>
      <c r="X451" s="17"/>
      <c r="Y451" s="17"/>
      <c r="Z451" s="17"/>
      <c r="AA451" s="17"/>
      <c r="AB451" s="17" t="str">
        <f t="shared" si="7"/>
        <v>GPR080527K</v>
      </c>
    </row>
    <row r="452" spans="1:28">
      <c r="A452" s="17" t="s">
        <v>2333</v>
      </c>
      <c r="B452" s="17" t="s">
        <v>2333</v>
      </c>
      <c r="C452" s="17" t="s">
        <v>2334</v>
      </c>
      <c r="D452" s="17" t="s">
        <v>21</v>
      </c>
      <c r="E452" s="24" t="s">
        <v>6446</v>
      </c>
      <c r="F452" s="17" t="s">
        <v>265</v>
      </c>
      <c r="G452" s="17" t="str">
        <f>Config!$B$3</f>
        <v>SCH/R_IEC.SchLib</v>
      </c>
      <c r="H452" s="17" t="s">
        <v>419</v>
      </c>
      <c r="I452" s="17" t="s">
        <v>461</v>
      </c>
      <c r="J452" s="17" t="s">
        <v>1752</v>
      </c>
      <c r="K452" s="17"/>
      <c r="L452" s="17"/>
      <c r="M452" s="21">
        <v>30000</v>
      </c>
      <c r="N452" s="17" t="s">
        <v>13979</v>
      </c>
      <c r="O452" s="17" t="s">
        <v>477</v>
      </c>
      <c r="P452" s="17" t="s">
        <v>2335</v>
      </c>
      <c r="Q452" s="17" t="s">
        <v>25</v>
      </c>
      <c r="R452" s="17" t="s">
        <v>2336</v>
      </c>
      <c r="S452" s="17" t="s">
        <v>477</v>
      </c>
      <c r="T452" s="17" t="s">
        <v>2337</v>
      </c>
      <c r="U452" s="17" t="s">
        <v>25</v>
      </c>
      <c r="V452" s="17" t="s">
        <v>2338</v>
      </c>
      <c r="W452" s="17"/>
      <c r="X452" s="17"/>
      <c r="Y452" s="17"/>
      <c r="Z452" s="17"/>
      <c r="AA452" s="17"/>
      <c r="AB452" s="17" t="str">
        <f t="shared" si="7"/>
        <v>GPR080530K</v>
      </c>
    </row>
    <row r="453" spans="1:28">
      <c r="A453" s="17" t="s">
        <v>2339</v>
      </c>
      <c r="B453" s="17" t="s">
        <v>2339</v>
      </c>
      <c r="C453" s="17" t="s">
        <v>2340</v>
      </c>
      <c r="D453" s="17" t="s">
        <v>21</v>
      </c>
      <c r="E453" s="24" t="s">
        <v>6446</v>
      </c>
      <c r="F453" s="17" t="s">
        <v>267</v>
      </c>
      <c r="G453" s="17" t="str">
        <f>Config!$B$3</f>
        <v>SCH/R_IEC.SchLib</v>
      </c>
      <c r="H453" s="17" t="s">
        <v>419</v>
      </c>
      <c r="I453" s="17" t="s">
        <v>461</v>
      </c>
      <c r="J453" s="17" t="s">
        <v>1752</v>
      </c>
      <c r="K453" s="17"/>
      <c r="L453" s="17"/>
      <c r="M453" s="21">
        <v>33000</v>
      </c>
      <c r="N453" s="17" t="s">
        <v>13979</v>
      </c>
      <c r="O453" s="17" t="s">
        <v>477</v>
      </c>
      <c r="P453" s="17" t="s">
        <v>2341</v>
      </c>
      <c r="Q453" s="17" t="s">
        <v>25</v>
      </c>
      <c r="R453" s="17" t="s">
        <v>2342</v>
      </c>
      <c r="S453" s="17" t="s">
        <v>477</v>
      </c>
      <c r="T453" s="17" t="s">
        <v>2343</v>
      </c>
      <c r="U453" s="17" t="s">
        <v>25</v>
      </c>
      <c r="V453" s="17" t="s">
        <v>2344</v>
      </c>
      <c r="W453" s="17"/>
      <c r="X453" s="17"/>
      <c r="Y453" s="17"/>
      <c r="Z453" s="17"/>
      <c r="AA453" s="17"/>
      <c r="AB453" s="17" t="str">
        <f t="shared" si="7"/>
        <v>GPR080533K</v>
      </c>
    </row>
    <row r="454" spans="1:28">
      <c r="A454" s="17" t="s">
        <v>2345</v>
      </c>
      <c r="B454" s="17" t="s">
        <v>2345</v>
      </c>
      <c r="C454" s="17" t="s">
        <v>2346</v>
      </c>
      <c r="D454" s="17" t="s">
        <v>21</v>
      </c>
      <c r="E454" s="24" t="s">
        <v>6446</v>
      </c>
      <c r="F454" s="17" t="s">
        <v>269</v>
      </c>
      <c r="G454" s="17" t="str">
        <f>Config!$B$3</f>
        <v>SCH/R_IEC.SchLib</v>
      </c>
      <c r="H454" s="17" t="s">
        <v>419</v>
      </c>
      <c r="I454" s="17" t="s">
        <v>461</v>
      </c>
      <c r="J454" s="17" t="s">
        <v>1752</v>
      </c>
      <c r="K454" s="17"/>
      <c r="L454" s="17"/>
      <c r="M454" s="21">
        <v>36000</v>
      </c>
      <c r="N454" s="17" t="s">
        <v>13979</v>
      </c>
      <c r="O454" s="17" t="s">
        <v>477</v>
      </c>
      <c r="P454" s="17" t="s">
        <v>2347</v>
      </c>
      <c r="Q454" s="17" t="s">
        <v>25</v>
      </c>
      <c r="R454" s="17" t="s">
        <v>2348</v>
      </c>
      <c r="S454" s="17" t="s">
        <v>477</v>
      </c>
      <c r="T454" s="17" t="s">
        <v>2349</v>
      </c>
      <c r="U454" s="17" t="s">
        <v>25</v>
      </c>
      <c r="V454" s="17" t="s">
        <v>2350</v>
      </c>
      <c r="W454" s="17"/>
      <c r="X454" s="17"/>
      <c r="Y454" s="17"/>
      <c r="Z454" s="17"/>
      <c r="AA454" s="17"/>
      <c r="AB454" s="17" t="str">
        <f t="shared" si="7"/>
        <v>GPR080536K</v>
      </c>
    </row>
    <row r="455" spans="1:28">
      <c r="A455" s="17" t="s">
        <v>2351</v>
      </c>
      <c r="B455" s="17" t="s">
        <v>2351</v>
      </c>
      <c r="C455" s="17" t="s">
        <v>2352</v>
      </c>
      <c r="D455" s="17" t="s">
        <v>21</v>
      </c>
      <c r="E455" s="24" t="s">
        <v>6446</v>
      </c>
      <c r="F455" s="17" t="s">
        <v>273</v>
      </c>
      <c r="G455" s="17" t="str">
        <f>Config!$B$3</f>
        <v>SCH/R_IEC.SchLib</v>
      </c>
      <c r="H455" s="17" t="s">
        <v>419</v>
      </c>
      <c r="I455" s="17" t="s">
        <v>461</v>
      </c>
      <c r="J455" s="17" t="s">
        <v>1752</v>
      </c>
      <c r="K455" s="17"/>
      <c r="L455" s="17"/>
      <c r="M455" s="21">
        <v>39000</v>
      </c>
      <c r="N455" s="17" t="s">
        <v>13979</v>
      </c>
      <c r="O455" s="17" t="s">
        <v>477</v>
      </c>
      <c r="P455" s="17" t="s">
        <v>2353</v>
      </c>
      <c r="Q455" s="17" t="s">
        <v>25</v>
      </c>
      <c r="R455" s="17" t="s">
        <v>2354</v>
      </c>
      <c r="S455" s="17" t="s">
        <v>477</v>
      </c>
      <c r="T455" s="17" t="s">
        <v>2355</v>
      </c>
      <c r="U455" s="17" t="s">
        <v>25</v>
      </c>
      <c r="V455" s="17" t="s">
        <v>2356</v>
      </c>
      <c r="W455" s="17"/>
      <c r="X455" s="17"/>
      <c r="Y455" s="17"/>
      <c r="Z455" s="17"/>
      <c r="AA455" s="17"/>
      <c r="AB455" s="17" t="str">
        <f t="shared" si="7"/>
        <v>GPR080539K</v>
      </c>
    </row>
    <row r="456" spans="1:28">
      <c r="A456" s="17" t="s">
        <v>2357</v>
      </c>
      <c r="B456" s="17" t="s">
        <v>2357</v>
      </c>
      <c r="C456" s="17" t="s">
        <v>2358</v>
      </c>
      <c r="D456" s="17" t="s">
        <v>21</v>
      </c>
      <c r="E456" s="24" t="s">
        <v>6446</v>
      </c>
      <c r="F456" s="17" t="s">
        <v>277</v>
      </c>
      <c r="G456" s="17" t="str">
        <f>Config!$B$3</f>
        <v>SCH/R_IEC.SchLib</v>
      </c>
      <c r="H456" s="17" t="s">
        <v>419</v>
      </c>
      <c r="I456" s="17" t="s">
        <v>461</v>
      </c>
      <c r="J456" s="17" t="s">
        <v>1752</v>
      </c>
      <c r="K456" s="17"/>
      <c r="L456" s="17"/>
      <c r="M456" s="21">
        <v>43000</v>
      </c>
      <c r="N456" s="17" t="s">
        <v>13979</v>
      </c>
      <c r="O456" s="17" t="s">
        <v>477</v>
      </c>
      <c r="P456" s="17" t="s">
        <v>2359</v>
      </c>
      <c r="Q456" s="17" t="s">
        <v>25</v>
      </c>
      <c r="R456" s="17" t="s">
        <v>2360</v>
      </c>
      <c r="S456" s="17"/>
      <c r="T456" s="17"/>
      <c r="U456" s="17"/>
      <c r="V456" s="17"/>
      <c r="W456" s="17"/>
      <c r="X456" s="17"/>
      <c r="Y456" s="17"/>
      <c r="Z456" s="17"/>
      <c r="AA456" s="17"/>
      <c r="AB456" s="17" t="str">
        <f t="shared" si="7"/>
        <v>GPR080543K</v>
      </c>
    </row>
    <row r="457" spans="1:28">
      <c r="A457" s="17" t="s">
        <v>2361</v>
      </c>
      <c r="B457" s="17" t="s">
        <v>2361</v>
      </c>
      <c r="C457" s="17" t="s">
        <v>2362</v>
      </c>
      <c r="D457" s="17" t="s">
        <v>21</v>
      </c>
      <c r="E457" s="24" t="s">
        <v>6446</v>
      </c>
      <c r="F457" s="17" t="s">
        <v>279</v>
      </c>
      <c r="G457" s="17" t="str">
        <f>Config!$B$3</f>
        <v>SCH/R_IEC.SchLib</v>
      </c>
      <c r="H457" s="17" t="s">
        <v>419</v>
      </c>
      <c r="I457" s="17" t="s">
        <v>461</v>
      </c>
      <c r="J457" s="17" t="s">
        <v>1752</v>
      </c>
      <c r="K457" s="17"/>
      <c r="L457" s="17"/>
      <c r="M457" s="21">
        <v>47000</v>
      </c>
      <c r="N457" s="17" t="s">
        <v>13979</v>
      </c>
      <c r="O457" s="17" t="s">
        <v>477</v>
      </c>
      <c r="P457" s="17" t="s">
        <v>2363</v>
      </c>
      <c r="Q457" s="17" t="s">
        <v>25</v>
      </c>
      <c r="R457" s="17" t="s">
        <v>2364</v>
      </c>
      <c r="S457" s="17" t="s">
        <v>477</v>
      </c>
      <c r="T457" s="17" t="s">
        <v>2365</v>
      </c>
      <c r="U457" s="17" t="s">
        <v>25</v>
      </c>
      <c r="V457" s="17" t="s">
        <v>2366</v>
      </c>
      <c r="W457" s="17"/>
      <c r="X457" s="17"/>
      <c r="Y457" s="17"/>
      <c r="Z457" s="17"/>
      <c r="AA457" s="17"/>
      <c r="AB457" s="17" t="str">
        <f t="shared" si="7"/>
        <v>GPR080547K</v>
      </c>
    </row>
    <row r="458" spans="1:28">
      <c r="A458" s="17" t="s">
        <v>2367</v>
      </c>
      <c r="B458" s="17" t="s">
        <v>2367</v>
      </c>
      <c r="C458" s="17" t="s">
        <v>2368</v>
      </c>
      <c r="D458" s="17" t="s">
        <v>21</v>
      </c>
      <c r="E458" s="24" t="s">
        <v>6446</v>
      </c>
      <c r="F458" s="17" t="s">
        <v>283</v>
      </c>
      <c r="G458" s="17" t="str">
        <f>Config!$B$3</f>
        <v>SCH/R_IEC.SchLib</v>
      </c>
      <c r="H458" s="17" t="s">
        <v>419</v>
      </c>
      <c r="I458" s="17" t="s">
        <v>461</v>
      </c>
      <c r="J458" s="17" t="s">
        <v>1752</v>
      </c>
      <c r="K458" s="17"/>
      <c r="L458" s="17"/>
      <c r="M458" s="21">
        <v>51000</v>
      </c>
      <c r="N458" s="17" t="s">
        <v>13979</v>
      </c>
      <c r="O458" s="17" t="s">
        <v>477</v>
      </c>
      <c r="P458" s="17" t="s">
        <v>2369</v>
      </c>
      <c r="Q458" s="17" t="s">
        <v>25</v>
      </c>
      <c r="R458" s="17" t="s">
        <v>2370</v>
      </c>
      <c r="S458" s="17" t="s">
        <v>477</v>
      </c>
      <c r="T458" s="17" t="s">
        <v>2371</v>
      </c>
      <c r="U458" s="17" t="s">
        <v>25</v>
      </c>
      <c r="V458" s="17" t="s">
        <v>2372</v>
      </c>
      <c r="W458" s="17"/>
      <c r="X458" s="17"/>
      <c r="Y458" s="17"/>
      <c r="Z458" s="17"/>
      <c r="AA458" s="17"/>
      <c r="AB458" s="17" t="str">
        <f t="shared" si="7"/>
        <v>GPR080551K</v>
      </c>
    </row>
    <row r="459" spans="1:28">
      <c r="A459" s="17" t="s">
        <v>2373</v>
      </c>
      <c r="B459" s="17" t="s">
        <v>2373</v>
      </c>
      <c r="C459" s="17" t="s">
        <v>2374</v>
      </c>
      <c r="D459" s="17" t="s">
        <v>21</v>
      </c>
      <c r="E459" s="24" t="s">
        <v>6446</v>
      </c>
      <c r="F459" s="17" t="s">
        <v>287</v>
      </c>
      <c r="G459" s="17" t="str">
        <f>Config!$B$3</f>
        <v>SCH/R_IEC.SchLib</v>
      </c>
      <c r="H459" s="17" t="s">
        <v>419</v>
      </c>
      <c r="I459" s="17" t="s">
        <v>461</v>
      </c>
      <c r="J459" s="17" t="s">
        <v>1752</v>
      </c>
      <c r="K459" s="17"/>
      <c r="L459" s="17"/>
      <c r="M459" s="21">
        <v>56000</v>
      </c>
      <c r="N459" s="17" t="s">
        <v>13979</v>
      </c>
      <c r="O459" s="17" t="s">
        <v>477</v>
      </c>
      <c r="P459" s="17" t="s">
        <v>2375</v>
      </c>
      <c r="Q459" s="17" t="s">
        <v>25</v>
      </c>
      <c r="R459" s="17" t="s">
        <v>2376</v>
      </c>
      <c r="S459" s="17" t="s">
        <v>477</v>
      </c>
      <c r="T459" s="17" t="s">
        <v>2377</v>
      </c>
      <c r="U459" s="17" t="s">
        <v>25</v>
      </c>
      <c r="V459" s="17" t="s">
        <v>2378</v>
      </c>
      <c r="W459" s="17"/>
      <c r="X459" s="17"/>
      <c r="Y459" s="17"/>
      <c r="Z459" s="17"/>
      <c r="AA459" s="17"/>
      <c r="AB459" s="17" t="str">
        <f t="shared" si="7"/>
        <v>GPR080556K</v>
      </c>
    </row>
    <row r="460" spans="1:28">
      <c r="A460" s="17" t="s">
        <v>2379</v>
      </c>
      <c r="B460" s="17" t="s">
        <v>2379</v>
      </c>
      <c r="C460" s="17" t="s">
        <v>2380</v>
      </c>
      <c r="D460" s="17" t="s">
        <v>21</v>
      </c>
      <c r="E460" s="24" t="s">
        <v>6446</v>
      </c>
      <c r="F460" s="17" t="s">
        <v>291</v>
      </c>
      <c r="G460" s="17" t="str">
        <f>Config!$B$3</f>
        <v>SCH/R_IEC.SchLib</v>
      </c>
      <c r="H460" s="17" t="s">
        <v>419</v>
      </c>
      <c r="I460" s="17" t="s">
        <v>461</v>
      </c>
      <c r="J460" s="17" t="s">
        <v>1752</v>
      </c>
      <c r="K460" s="17"/>
      <c r="L460" s="17"/>
      <c r="M460" s="21">
        <v>62000</v>
      </c>
      <c r="N460" s="17" t="s">
        <v>13979</v>
      </c>
      <c r="O460" s="17" t="s">
        <v>477</v>
      </c>
      <c r="P460" s="17" t="s">
        <v>2381</v>
      </c>
      <c r="Q460" s="17" t="s">
        <v>25</v>
      </c>
      <c r="R460" s="17" t="s">
        <v>2382</v>
      </c>
      <c r="S460" s="17"/>
      <c r="T460" s="17"/>
      <c r="U460" s="17"/>
      <c r="V460" s="17"/>
      <c r="W460" s="17"/>
      <c r="X460" s="17"/>
      <c r="Y460" s="17"/>
      <c r="Z460" s="17"/>
      <c r="AA460" s="17"/>
      <c r="AB460" s="17" t="str">
        <f t="shared" si="7"/>
        <v>GPR080562K</v>
      </c>
    </row>
    <row r="461" spans="1:28">
      <c r="A461" s="17" t="s">
        <v>2383</v>
      </c>
      <c r="B461" s="17" t="s">
        <v>2383</v>
      </c>
      <c r="C461" s="17" t="s">
        <v>2384</v>
      </c>
      <c r="D461" s="17" t="s">
        <v>21</v>
      </c>
      <c r="E461" s="24" t="s">
        <v>6446</v>
      </c>
      <c r="F461" s="17" t="s">
        <v>295</v>
      </c>
      <c r="G461" s="17" t="str">
        <f>Config!$B$3</f>
        <v>SCH/R_IEC.SchLib</v>
      </c>
      <c r="H461" s="17" t="s">
        <v>419</v>
      </c>
      <c r="I461" s="17" t="s">
        <v>461</v>
      </c>
      <c r="J461" s="17" t="s">
        <v>1752</v>
      </c>
      <c r="K461" s="17"/>
      <c r="L461" s="17"/>
      <c r="M461" s="21">
        <v>68000</v>
      </c>
      <c r="N461" s="17" t="s">
        <v>13979</v>
      </c>
      <c r="O461" s="17" t="s">
        <v>477</v>
      </c>
      <c r="P461" s="17" t="s">
        <v>2385</v>
      </c>
      <c r="Q461" s="17" t="s">
        <v>25</v>
      </c>
      <c r="R461" s="17" t="s">
        <v>2386</v>
      </c>
      <c r="S461" s="17" t="s">
        <v>477</v>
      </c>
      <c r="T461" s="17" t="s">
        <v>2387</v>
      </c>
      <c r="U461" s="17" t="s">
        <v>25</v>
      </c>
      <c r="V461" s="17" t="s">
        <v>2388</v>
      </c>
      <c r="W461" s="17"/>
      <c r="X461" s="17"/>
      <c r="Y461" s="17"/>
      <c r="Z461" s="17"/>
      <c r="AA461" s="17"/>
      <c r="AB461" s="17" t="str">
        <f t="shared" si="7"/>
        <v>GPR080568K</v>
      </c>
    </row>
    <row r="462" spans="1:28">
      <c r="A462" s="17" t="s">
        <v>2389</v>
      </c>
      <c r="B462" s="17" t="s">
        <v>2389</v>
      </c>
      <c r="C462" s="17" t="s">
        <v>2390</v>
      </c>
      <c r="D462" s="17" t="s">
        <v>21</v>
      </c>
      <c r="E462" s="24" t="s">
        <v>6446</v>
      </c>
      <c r="F462" s="17" t="s">
        <v>299</v>
      </c>
      <c r="G462" s="17" t="str">
        <f>Config!$B$3</f>
        <v>SCH/R_IEC.SchLib</v>
      </c>
      <c r="H462" s="17" t="s">
        <v>419</v>
      </c>
      <c r="I462" s="17" t="s">
        <v>461</v>
      </c>
      <c r="J462" s="17" t="s">
        <v>1752</v>
      </c>
      <c r="K462" s="17"/>
      <c r="L462" s="17"/>
      <c r="M462" s="21">
        <v>75000</v>
      </c>
      <c r="N462" s="17" t="s">
        <v>13979</v>
      </c>
      <c r="O462" s="17" t="s">
        <v>477</v>
      </c>
      <c r="P462" s="17" t="s">
        <v>2391</v>
      </c>
      <c r="Q462" s="17" t="s">
        <v>25</v>
      </c>
      <c r="R462" s="17" t="s">
        <v>2392</v>
      </c>
      <c r="S462" s="17" t="s">
        <v>477</v>
      </c>
      <c r="T462" s="17" t="s">
        <v>2393</v>
      </c>
      <c r="U462" s="17" t="s">
        <v>25</v>
      </c>
      <c r="V462" s="17" t="s">
        <v>2394</v>
      </c>
      <c r="W462" s="17"/>
      <c r="X462" s="17"/>
      <c r="Y462" s="17"/>
      <c r="Z462" s="17"/>
      <c r="AA462" s="17"/>
      <c r="AB462" s="17" t="str">
        <f t="shared" si="7"/>
        <v>GPR080575K</v>
      </c>
    </row>
    <row r="463" spans="1:28">
      <c r="A463" s="17" t="s">
        <v>16596</v>
      </c>
      <c r="B463" s="17" t="s">
        <v>16596</v>
      </c>
      <c r="C463" s="17" t="s">
        <v>16597</v>
      </c>
      <c r="D463" s="17" t="s">
        <v>21</v>
      </c>
      <c r="E463" s="24" t="s">
        <v>6446</v>
      </c>
      <c r="F463" s="17" t="s">
        <v>299</v>
      </c>
      <c r="G463" s="17" t="str">
        <f>Config!$B$3</f>
        <v>SCH/R_IEC.SchLib</v>
      </c>
      <c r="H463" s="17" t="s">
        <v>419</v>
      </c>
      <c r="I463" s="17" t="s">
        <v>461</v>
      </c>
      <c r="J463" s="17" t="s">
        <v>16547</v>
      </c>
      <c r="K463" s="17"/>
      <c r="L463" s="17"/>
      <c r="M463" s="21">
        <v>75000</v>
      </c>
      <c r="N463" s="17" t="s">
        <v>13980</v>
      </c>
      <c r="O463" s="17" t="s">
        <v>477</v>
      </c>
      <c r="P463" s="17" t="s">
        <v>16612</v>
      </c>
      <c r="Q463" t="s">
        <v>25</v>
      </c>
      <c r="R463" s="17" t="s">
        <v>16633</v>
      </c>
      <c r="S463" s="17"/>
      <c r="T463" s="17"/>
      <c r="U463" s="17"/>
      <c r="V463" s="17"/>
      <c r="W463" s="17" t="s">
        <v>477</v>
      </c>
      <c r="X463" s="17" t="s">
        <v>16612</v>
      </c>
      <c r="Y463" s="17" t="s">
        <v>4559</v>
      </c>
      <c r="Z463" s="17" t="s">
        <v>16613</v>
      </c>
      <c r="AA463" t="s">
        <v>4727</v>
      </c>
      <c r="AB463" s="17"/>
    </row>
    <row r="464" spans="1:28">
      <c r="A464" s="17" t="s">
        <v>2395</v>
      </c>
      <c r="B464" s="17" t="s">
        <v>2395</v>
      </c>
      <c r="C464" s="17" t="s">
        <v>2396</v>
      </c>
      <c r="D464" s="17" t="s">
        <v>21</v>
      </c>
      <c r="E464" s="24" t="s">
        <v>6446</v>
      </c>
      <c r="F464" s="17" t="s">
        <v>301</v>
      </c>
      <c r="G464" s="17" t="str">
        <f>Config!$B$3</f>
        <v>SCH/R_IEC.SchLib</v>
      </c>
      <c r="H464" s="17" t="s">
        <v>419</v>
      </c>
      <c r="I464" s="17" t="s">
        <v>461</v>
      </c>
      <c r="J464" s="17" t="s">
        <v>1752</v>
      </c>
      <c r="K464" s="17"/>
      <c r="L464" s="17"/>
      <c r="M464" s="21">
        <v>82000</v>
      </c>
      <c r="N464" s="17" t="s">
        <v>13979</v>
      </c>
      <c r="O464" s="17" t="s">
        <v>477</v>
      </c>
      <c r="P464" s="17" t="s">
        <v>2397</v>
      </c>
      <c r="Q464" s="17" t="s">
        <v>25</v>
      </c>
      <c r="R464" s="17" t="s">
        <v>2398</v>
      </c>
      <c r="S464" s="17" t="s">
        <v>477</v>
      </c>
      <c r="T464" s="17" t="s">
        <v>2399</v>
      </c>
      <c r="U464" s="17" t="s">
        <v>25</v>
      </c>
      <c r="V464" s="17" t="s">
        <v>2400</v>
      </c>
      <c r="W464" s="17"/>
      <c r="X464" s="17"/>
      <c r="Y464" s="17"/>
      <c r="Z464" s="17"/>
      <c r="AA464" s="17"/>
      <c r="AB464" s="17" t="str">
        <f t="shared" si="7"/>
        <v>GPR080582K</v>
      </c>
    </row>
    <row r="465" spans="1:28">
      <c r="A465" s="17" t="s">
        <v>2401</v>
      </c>
      <c r="B465" s="17" t="s">
        <v>2401</v>
      </c>
      <c r="C465" s="17" t="s">
        <v>2402</v>
      </c>
      <c r="D465" s="17" t="s">
        <v>21</v>
      </c>
      <c r="E465" s="24" t="s">
        <v>6446</v>
      </c>
      <c r="F465" s="17" t="s">
        <v>303</v>
      </c>
      <c r="G465" s="17" t="str">
        <f>Config!$B$3</f>
        <v>SCH/R_IEC.SchLib</v>
      </c>
      <c r="H465" s="17" t="s">
        <v>419</v>
      </c>
      <c r="I465" s="17" t="s">
        <v>461</v>
      </c>
      <c r="J465" s="17" t="s">
        <v>1752</v>
      </c>
      <c r="K465" s="17"/>
      <c r="L465" s="17"/>
      <c r="M465" s="21">
        <v>91000</v>
      </c>
      <c r="N465" s="17" t="s">
        <v>13979</v>
      </c>
      <c r="O465" s="17" t="s">
        <v>477</v>
      </c>
      <c r="P465" s="17" t="s">
        <v>2403</v>
      </c>
      <c r="Q465" s="17" t="s">
        <v>25</v>
      </c>
      <c r="R465" s="17" t="s">
        <v>2404</v>
      </c>
      <c r="S465" s="17"/>
      <c r="T465" s="17"/>
      <c r="U465" s="17"/>
      <c r="V465" s="17"/>
      <c r="W465" s="17"/>
      <c r="X465" s="17"/>
      <c r="Y465" s="17"/>
      <c r="Z465" s="17"/>
      <c r="AA465" s="17"/>
      <c r="AB465" s="17" t="str">
        <f t="shared" si="7"/>
        <v>GPR080591K</v>
      </c>
    </row>
    <row r="466" spans="1:28">
      <c r="A466" s="17" t="s">
        <v>2405</v>
      </c>
      <c r="B466" s="17" t="s">
        <v>2405</v>
      </c>
      <c r="C466" s="17" t="s">
        <v>2406</v>
      </c>
      <c r="D466" s="17" t="s">
        <v>21</v>
      </c>
      <c r="E466" s="24" t="s">
        <v>6446</v>
      </c>
      <c r="F466" s="17" t="s">
        <v>305</v>
      </c>
      <c r="G466" s="17" t="str">
        <f>Config!$B$3</f>
        <v>SCH/R_IEC.SchLib</v>
      </c>
      <c r="H466" s="17" t="s">
        <v>419</v>
      </c>
      <c r="I466" s="17" t="s">
        <v>461</v>
      </c>
      <c r="J466" s="17" t="s">
        <v>1752</v>
      </c>
      <c r="K466" s="17"/>
      <c r="L466" s="17"/>
      <c r="M466" s="21">
        <v>100000</v>
      </c>
      <c r="N466" s="17" t="s">
        <v>13979</v>
      </c>
      <c r="O466" s="17" t="s">
        <v>477</v>
      </c>
      <c r="P466" s="17" t="s">
        <v>2407</v>
      </c>
      <c r="Q466" s="17" t="s">
        <v>25</v>
      </c>
      <c r="R466" s="17" t="s">
        <v>2408</v>
      </c>
      <c r="S466" s="17" t="s">
        <v>477</v>
      </c>
      <c r="T466" s="17" t="s">
        <v>2409</v>
      </c>
      <c r="U466" s="17" t="s">
        <v>25</v>
      </c>
      <c r="V466" s="17" t="s">
        <v>2410</v>
      </c>
      <c r="W466" s="17"/>
      <c r="X466" s="17"/>
      <c r="Y466" s="17"/>
      <c r="Z466" s="17"/>
      <c r="AA466" s="17"/>
      <c r="AB466" s="17" t="str">
        <f t="shared" si="7"/>
        <v>GPR0805100K</v>
      </c>
    </row>
    <row r="467" spans="1:28">
      <c r="A467" s="17" t="s">
        <v>16598</v>
      </c>
      <c r="B467" s="17" t="s">
        <v>16598</v>
      </c>
      <c r="C467" s="17" t="s">
        <v>16605</v>
      </c>
      <c r="D467" s="17" t="s">
        <v>21</v>
      </c>
      <c r="E467" s="24" t="s">
        <v>6446</v>
      </c>
      <c r="F467" s="17" t="s">
        <v>305</v>
      </c>
      <c r="G467" s="17" t="str">
        <f>Config!$B$3</f>
        <v>SCH/R_IEC.SchLib</v>
      </c>
      <c r="H467" s="17" t="s">
        <v>419</v>
      </c>
      <c r="I467" s="17" t="s">
        <v>461</v>
      </c>
      <c r="J467" s="17" t="s">
        <v>16547</v>
      </c>
      <c r="K467" s="17"/>
      <c r="L467" s="17"/>
      <c r="M467" s="21">
        <v>100000</v>
      </c>
      <c r="N467" s="17" t="s">
        <v>13980</v>
      </c>
      <c r="O467" s="17" t="s">
        <v>477</v>
      </c>
      <c r="P467" s="17" t="s">
        <v>16614</v>
      </c>
      <c r="Q467" t="s">
        <v>25</v>
      </c>
      <c r="R467" s="17" t="s">
        <v>16634</v>
      </c>
      <c r="S467" s="17"/>
      <c r="T467" s="17"/>
      <c r="U467" s="17"/>
      <c r="V467" s="17"/>
      <c r="W467" s="17" t="s">
        <v>477</v>
      </c>
      <c r="X467" s="17" t="s">
        <v>16614</v>
      </c>
      <c r="Y467" s="17" t="s">
        <v>4559</v>
      </c>
      <c r="Z467" s="17" t="s">
        <v>16615</v>
      </c>
      <c r="AA467" t="s">
        <v>4727</v>
      </c>
      <c r="AB467" s="17"/>
    </row>
    <row r="468" spans="1:28">
      <c r="A468" s="17" t="s">
        <v>2411</v>
      </c>
      <c r="B468" s="17" t="s">
        <v>2411</v>
      </c>
      <c r="C468" s="17" t="s">
        <v>2412</v>
      </c>
      <c r="D468" s="17" t="s">
        <v>21</v>
      </c>
      <c r="E468" s="24" t="s">
        <v>6446</v>
      </c>
      <c r="F468" s="17" t="s">
        <v>309</v>
      </c>
      <c r="G468" s="17" t="str">
        <f>Config!$B$3</f>
        <v>SCH/R_IEC.SchLib</v>
      </c>
      <c r="H468" s="17" t="s">
        <v>419</v>
      </c>
      <c r="I468" s="17" t="s">
        <v>461</v>
      </c>
      <c r="J468" s="17" t="s">
        <v>1752</v>
      </c>
      <c r="K468" s="17"/>
      <c r="L468" s="17"/>
      <c r="M468" s="21">
        <v>110000</v>
      </c>
      <c r="N468" s="17" t="s">
        <v>13979</v>
      </c>
      <c r="O468" s="17" t="s">
        <v>477</v>
      </c>
      <c r="P468" s="17" t="s">
        <v>2413</v>
      </c>
      <c r="Q468" s="17" t="s">
        <v>25</v>
      </c>
      <c r="R468" s="17" t="s">
        <v>2414</v>
      </c>
      <c r="S468" s="17"/>
      <c r="T468" s="17"/>
      <c r="U468" s="17"/>
      <c r="V468" s="17"/>
      <c r="W468" s="17"/>
      <c r="X468" s="17"/>
      <c r="Y468" s="17"/>
      <c r="Z468" s="17"/>
      <c r="AA468" s="17"/>
      <c r="AB468" s="17" t="str">
        <f t="shared" si="7"/>
        <v>GPR0805110K</v>
      </c>
    </row>
    <row r="469" spans="1:28">
      <c r="A469" s="17" t="s">
        <v>2415</v>
      </c>
      <c r="B469" s="17" t="s">
        <v>2415</v>
      </c>
      <c r="C469" s="17" t="s">
        <v>2416</v>
      </c>
      <c r="D469" s="17" t="s">
        <v>21</v>
      </c>
      <c r="E469" s="24" t="s">
        <v>6446</v>
      </c>
      <c r="F469" s="17" t="s">
        <v>313</v>
      </c>
      <c r="G469" s="17" t="str">
        <f>Config!$B$3</f>
        <v>SCH/R_IEC.SchLib</v>
      </c>
      <c r="H469" s="17" t="s">
        <v>419</v>
      </c>
      <c r="I469" s="17" t="s">
        <v>461</v>
      </c>
      <c r="J469" s="17" t="s">
        <v>1752</v>
      </c>
      <c r="K469" s="17"/>
      <c r="L469" s="17"/>
      <c r="M469" s="21">
        <v>120000</v>
      </c>
      <c r="N469" s="17" t="s">
        <v>13979</v>
      </c>
      <c r="O469" s="17" t="s">
        <v>477</v>
      </c>
      <c r="P469" s="17" t="s">
        <v>2417</v>
      </c>
      <c r="Q469" s="17" t="s">
        <v>25</v>
      </c>
      <c r="R469" s="17" t="s">
        <v>2418</v>
      </c>
      <c r="S469" s="17" t="s">
        <v>477</v>
      </c>
      <c r="T469" s="17" t="s">
        <v>2419</v>
      </c>
      <c r="U469" s="17" t="s">
        <v>25</v>
      </c>
      <c r="V469" s="17" t="s">
        <v>2420</v>
      </c>
      <c r="W469" s="17" t="s">
        <v>477</v>
      </c>
      <c r="X469" s="17" t="s">
        <v>2419</v>
      </c>
      <c r="Y469" t="s">
        <v>4559</v>
      </c>
      <c r="Z469" s="17" t="s">
        <v>16760</v>
      </c>
      <c r="AA469" t="s">
        <v>4727</v>
      </c>
      <c r="AB469" s="17" t="str">
        <f t="shared" si="7"/>
        <v>GPR0805120K</v>
      </c>
    </row>
    <row r="470" spans="1:28">
      <c r="A470" s="17" t="s">
        <v>2421</v>
      </c>
      <c r="B470" s="17" t="s">
        <v>2421</v>
      </c>
      <c r="C470" s="17" t="s">
        <v>2422</v>
      </c>
      <c r="D470" s="17" t="s">
        <v>21</v>
      </c>
      <c r="E470" s="24" t="s">
        <v>6446</v>
      </c>
      <c r="F470" s="17" t="s">
        <v>317</v>
      </c>
      <c r="G470" s="17" t="str">
        <f>Config!$B$3</f>
        <v>SCH/R_IEC.SchLib</v>
      </c>
      <c r="H470" s="17" t="s">
        <v>419</v>
      </c>
      <c r="I470" s="17" t="s">
        <v>461</v>
      </c>
      <c r="J470" s="17" t="s">
        <v>1752</v>
      </c>
      <c r="K470" s="17"/>
      <c r="L470" s="17"/>
      <c r="M470" s="21">
        <v>130000</v>
      </c>
      <c r="N470" s="17" t="s">
        <v>13979</v>
      </c>
      <c r="O470" s="17" t="s">
        <v>477</v>
      </c>
      <c r="P470" s="17" t="s">
        <v>2423</v>
      </c>
      <c r="Q470" s="17" t="s">
        <v>25</v>
      </c>
      <c r="R470" s="17" t="s">
        <v>2424</v>
      </c>
      <c r="S470" s="17" t="s">
        <v>477</v>
      </c>
      <c r="T470" s="17" t="s">
        <v>2425</v>
      </c>
      <c r="U470" s="17" t="s">
        <v>25</v>
      </c>
      <c r="V470" s="17" t="s">
        <v>2426</v>
      </c>
      <c r="W470" s="17"/>
      <c r="X470" s="17"/>
      <c r="Y470" s="17"/>
      <c r="Z470" s="17"/>
      <c r="AA470" s="17"/>
      <c r="AB470" s="17" t="str">
        <f t="shared" si="7"/>
        <v>GPR0805130K</v>
      </c>
    </row>
    <row r="471" spans="1:28">
      <c r="A471" s="17" t="s">
        <v>2427</v>
      </c>
      <c r="B471" s="17" t="s">
        <v>2427</v>
      </c>
      <c r="C471" s="17" t="s">
        <v>2428</v>
      </c>
      <c r="D471" s="17" t="s">
        <v>21</v>
      </c>
      <c r="E471" s="24" t="s">
        <v>6446</v>
      </c>
      <c r="F471" s="17" t="s">
        <v>321</v>
      </c>
      <c r="G471" s="17" t="str">
        <f>Config!$B$3</f>
        <v>SCH/R_IEC.SchLib</v>
      </c>
      <c r="H471" s="17" t="s">
        <v>419</v>
      </c>
      <c r="I471" s="17" t="s">
        <v>461</v>
      </c>
      <c r="J471" s="17" t="s">
        <v>1752</v>
      </c>
      <c r="K471" s="17"/>
      <c r="L471" s="17"/>
      <c r="M471" s="21">
        <v>150000</v>
      </c>
      <c r="N471" s="17" t="s">
        <v>13979</v>
      </c>
      <c r="O471" s="17" t="s">
        <v>477</v>
      </c>
      <c r="P471" s="17" t="s">
        <v>2429</v>
      </c>
      <c r="Q471" s="17" t="s">
        <v>25</v>
      </c>
      <c r="R471" s="17" t="s">
        <v>2430</v>
      </c>
      <c r="S471" s="17" t="s">
        <v>477</v>
      </c>
      <c r="T471" s="17" t="s">
        <v>2431</v>
      </c>
      <c r="U471" s="17" t="s">
        <v>25</v>
      </c>
      <c r="V471" s="17" t="s">
        <v>2432</v>
      </c>
      <c r="W471" s="17"/>
      <c r="X471" s="17"/>
      <c r="Y471" s="17"/>
      <c r="Z471" s="17"/>
      <c r="AA471" s="17"/>
      <c r="AB471" s="17" t="str">
        <f t="shared" si="7"/>
        <v>GPR0805150K</v>
      </c>
    </row>
    <row r="472" spans="1:28">
      <c r="A472" s="17" t="s">
        <v>2433</v>
      </c>
      <c r="B472" s="17" t="s">
        <v>2433</v>
      </c>
      <c r="C472" s="17" t="s">
        <v>2434</v>
      </c>
      <c r="D472" s="17" t="s">
        <v>21</v>
      </c>
      <c r="E472" s="24" t="s">
        <v>6446</v>
      </c>
      <c r="F472" s="17" t="s">
        <v>323</v>
      </c>
      <c r="G472" s="17" t="str">
        <f>Config!$B$3</f>
        <v>SCH/R_IEC.SchLib</v>
      </c>
      <c r="H472" s="17" t="s">
        <v>419</v>
      </c>
      <c r="I472" s="17" t="s">
        <v>461</v>
      </c>
      <c r="J472" s="17" t="s">
        <v>1752</v>
      </c>
      <c r="K472" s="17"/>
      <c r="L472" s="17"/>
      <c r="M472" s="21">
        <v>160000</v>
      </c>
      <c r="N472" s="17" t="s">
        <v>13979</v>
      </c>
      <c r="O472" s="17" t="s">
        <v>477</v>
      </c>
      <c r="P472" s="17" t="s">
        <v>2435</v>
      </c>
      <c r="Q472" s="17" t="s">
        <v>25</v>
      </c>
      <c r="R472" s="17" t="s">
        <v>2436</v>
      </c>
      <c r="S472" s="17"/>
      <c r="T472" s="17"/>
      <c r="U472" s="17"/>
      <c r="V472" s="17"/>
      <c r="W472" s="17"/>
      <c r="X472" s="17"/>
      <c r="Y472" s="17"/>
      <c r="Z472" s="17"/>
      <c r="AA472" s="17"/>
      <c r="AB472" s="17" t="str">
        <f t="shared" si="7"/>
        <v>GPR0805160K</v>
      </c>
    </row>
    <row r="473" spans="1:28">
      <c r="A473" s="17" t="s">
        <v>2437</v>
      </c>
      <c r="B473" s="17" t="s">
        <v>2437</v>
      </c>
      <c r="C473" s="17" t="s">
        <v>2438</v>
      </c>
      <c r="D473" s="17" t="s">
        <v>21</v>
      </c>
      <c r="E473" s="24" t="s">
        <v>6446</v>
      </c>
      <c r="F473" s="17" t="s">
        <v>327</v>
      </c>
      <c r="G473" s="17" t="str">
        <f>Config!$B$3</f>
        <v>SCH/R_IEC.SchLib</v>
      </c>
      <c r="H473" s="17" t="s">
        <v>419</v>
      </c>
      <c r="I473" s="17" t="s">
        <v>461</v>
      </c>
      <c r="J473" s="17" t="s">
        <v>1752</v>
      </c>
      <c r="K473" s="17"/>
      <c r="L473" s="17"/>
      <c r="M473" s="21">
        <v>180000</v>
      </c>
      <c r="N473" s="17" t="s">
        <v>13979</v>
      </c>
      <c r="O473" s="17" t="s">
        <v>477</v>
      </c>
      <c r="P473" s="17" t="s">
        <v>2439</v>
      </c>
      <c r="Q473" s="17" t="s">
        <v>25</v>
      </c>
      <c r="R473" s="17" t="s">
        <v>2440</v>
      </c>
      <c r="S473" s="17" t="s">
        <v>477</v>
      </c>
      <c r="T473" s="17" t="s">
        <v>2441</v>
      </c>
      <c r="U473" s="17" t="s">
        <v>25</v>
      </c>
      <c r="V473" s="17" t="s">
        <v>2442</v>
      </c>
      <c r="W473" s="17"/>
      <c r="X473" s="17"/>
      <c r="Y473" s="17"/>
      <c r="Z473" s="17"/>
      <c r="AA473" s="17"/>
      <c r="AB473" s="17" t="str">
        <f t="shared" si="7"/>
        <v>GPR0805180K</v>
      </c>
    </row>
    <row r="474" spans="1:28">
      <c r="A474" s="17" t="s">
        <v>2443</v>
      </c>
      <c r="B474" s="17" t="s">
        <v>2443</v>
      </c>
      <c r="C474" s="17" t="s">
        <v>2444</v>
      </c>
      <c r="D474" s="17" t="s">
        <v>21</v>
      </c>
      <c r="E474" s="24" t="s">
        <v>6446</v>
      </c>
      <c r="F474" s="17" t="s">
        <v>331</v>
      </c>
      <c r="G474" s="17" t="str">
        <f>Config!$B$3</f>
        <v>SCH/R_IEC.SchLib</v>
      </c>
      <c r="H474" s="17" t="s">
        <v>419</v>
      </c>
      <c r="I474" s="17" t="s">
        <v>461</v>
      </c>
      <c r="J474" s="17" t="s">
        <v>1752</v>
      </c>
      <c r="K474" s="17"/>
      <c r="L474" s="17"/>
      <c r="M474" s="21">
        <v>200000</v>
      </c>
      <c r="N474" s="17" t="s">
        <v>13979</v>
      </c>
      <c r="O474" s="17" t="s">
        <v>477</v>
      </c>
      <c r="P474" s="17" t="s">
        <v>2445</v>
      </c>
      <c r="Q474" s="17" t="s">
        <v>25</v>
      </c>
      <c r="R474" s="17" t="s">
        <v>2446</v>
      </c>
      <c r="S474" s="17" t="s">
        <v>477</v>
      </c>
      <c r="T474" s="17" t="s">
        <v>2447</v>
      </c>
      <c r="U474" s="17" t="s">
        <v>25</v>
      </c>
      <c r="V474" s="17" t="s">
        <v>2448</v>
      </c>
      <c r="W474" s="17"/>
      <c r="X474" s="17"/>
      <c r="Y474" s="17"/>
      <c r="Z474" s="17"/>
      <c r="AA474" s="17"/>
      <c r="AB474" s="17" t="str">
        <f t="shared" si="7"/>
        <v>GPR0805200K</v>
      </c>
    </row>
    <row r="475" spans="1:28">
      <c r="A475" s="17" t="s">
        <v>2449</v>
      </c>
      <c r="B475" s="17" t="s">
        <v>2449</v>
      </c>
      <c r="C475" s="17" t="s">
        <v>2450</v>
      </c>
      <c r="D475" s="17" t="s">
        <v>21</v>
      </c>
      <c r="E475" s="24" t="s">
        <v>6446</v>
      </c>
      <c r="F475" s="17" t="s">
        <v>333</v>
      </c>
      <c r="G475" s="17" t="str">
        <f>Config!$B$3</f>
        <v>SCH/R_IEC.SchLib</v>
      </c>
      <c r="H475" s="17" t="s">
        <v>419</v>
      </c>
      <c r="I475" s="17" t="s">
        <v>461</v>
      </c>
      <c r="J475" s="17" t="s">
        <v>1752</v>
      </c>
      <c r="K475" s="17"/>
      <c r="L475" s="17"/>
      <c r="M475" s="21">
        <v>220000</v>
      </c>
      <c r="N475" s="17" t="s">
        <v>13979</v>
      </c>
      <c r="O475" s="17" t="s">
        <v>477</v>
      </c>
      <c r="P475" s="17" t="s">
        <v>2451</v>
      </c>
      <c r="Q475" s="17" t="s">
        <v>25</v>
      </c>
      <c r="R475" s="17" t="s">
        <v>2452</v>
      </c>
      <c r="S475" s="17" t="s">
        <v>477</v>
      </c>
      <c r="T475" s="17" t="s">
        <v>2453</v>
      </c>
      <c r="U475" s="17" t="s">
        <v>25</v>
      </c>
      <c r="V475" s="17" t="s">
        <v>2454</v>
      </c>
      <c r="W475" s="17"/>
      <c r="X475" s="17"/>
      <c r="Y475" s="17"/>
      <c r="Z475" s="17"/>
      <c r="AA475" s="17"/>
      <c r="AB475" s="17" t="str">
        <f t="shared" si="7"/>
        <v>GPR0805220K</v>
      </c>
    </row>
    <row r="476" spans="1:28">
      <c r="A476" s="17" t="s">
        <v>16599</v>
      </c>
      <c r="B476" s="17" t="s">
        <v>16599</v>
      </c>
      <c r="C476" s="17" t="s">
        <v>16606</v>
      </c>
      <c r="D476" s="17" t="s">
        <v>21</v>
      </c>
      <c r="E476" s="24" t="s">
        <v>6446</v>
      </c>
      <c r="F476" s="17" t="s">
        <v>333</v>
      </c>
      <c r="G476" s="17" t="str">
        <f>Config!$B$3</f>
        <v>SCH/R_IEC.SchLib</v>
      </c>
      <c r="H476" s="17" t="s">
        <v>419</v>
      </c>
      <c r="I476" s="17" t="s">
        <v>461</v>
      </c>
      <c r="J476" s="17" t="s">
        <v>16547</v>
      </c>
      <c r="K476" s="17"/>
      <c r="L476" s="17"/>
      <c r="M476" s="21">
        <v>220000</v>
      </c>
      <c r="N476" s="17" t="s">
        <v>13980</v>
      </c>
      <c r="O476" s="17" t="s">
        <v>477</v>
      </c>
      <c r="P476" s="17" t="s">
        <v>16616</v>
      </c>
      <c r="Q476" t="s">
        <v>25</v>
      </c>
      <c r="R476" s="17" t="s">
        <v>16635</v>
      </c>
      <c r="S476" s="17"/>
      <c r="T476" s="17"/>
      <c r="U476" s="17"/>
      <c r="V476" s="17"/>
      <c r="W476" s="17" t="s">
        <v>477</v>
      </c>
      <c r="X476" s="17" t="s">
        <v>16616</v>
      </c>
      <c r="Y476" s="17" t="s">
        <v>4559</v>
      </c>
      <c r="Z476" s="17" t="s">
        <v>16617</v>
      </c>
      <c r="AA476" t="s">
        <v>4727</v>
      </c>
      <c r="AB476" s="17"/>
    </row>
    <row r="477" spans="1:28" ht="15.75">
      <c r="A477" s="17" t="s">
        <v>2455</v>
      </c>
      <c r="B477" s="17" t="s">
        <v>2455</v>
      </c>
      <c r="C477" s="17" t="s">
        <v>2456</v>
      </c>
      <c r="D477" s="17" t="s">
        <v>21</v>
      </c>
      <c r="E477" s="24" t="s">
        <v>6446</v>
      </c>
      <c r="F477" s="17" t="s">
        <v>335</v>
      </c>
      <c r="G477" s="17" t="str">
        <f>Config!$B$3</f>
        <v>SCH/R_IEC.SchLib</v>
      </c>
      <c r="H477" s="17" t="s">
        <v>419</v>
      </c>
      <c r="I477" s="17" t="s">
        <v>461</v>
      </c>
      <c r="J477" s="17" t="s">
        <v>1752</v>
      </c>
      <c r="K477" s="17"/>
      <c r="L477" s="17"/>
      <c r="M477" s="21">
        <v>240000</v>
      </c>
      <c r="N477" s="17" t="s">
        <v>13979</v>
      </c>
      <c r="O477" s="17" t="s">
        <v>477</v>
      </c>
      <c r="P477" s="17" t="s">
        <v>2457</v>
      </c>
      <c r="Q477" s="17" t="s">
        <v>25</v>
      </c>
      <c r="R477" s="17" t="s">
        <v>2458</v>
      </c>
      <c r="S477" s="17" t="s">
        <v>477</v>
      </c>
      <c r="T477" s="17" t="s">
        <v>2459</v>
      </c>
      <c r="U477" s="17" t="s">
        <v>25</v>
      </c>
      <c r="V477" s="17" t="s">
        <v>2460</v>
      </c>
      <c r="W477" s="8" t="s">
        <v>6379</v>
      </c>
      <c r="X477" s="8" t="s">
        <v>13483</v>
      </c>
      <c r="Y477" t="s">
        <v>4559</v>
      </c>
      <c r="Z477" s="8" t="s">
        <v>13484</v>
      </c>
      <c r="AA477" s="17" t="s">
        <v>4727</v>
      </c>
      <c r="AB477" s="17" t="str">
        <f t="shared" si="7"/>
        <v>GPR0805240K</v>
      </c>
    </row>
    <row r="478" spans="1:28" ht="15.75">
      <c r="A478" s="17" t="s">
        <v>16600</v>
      </c>
      <c r="B478" s="17" t="s">
        <v>16600</v>
      </c>
      <c r="C478" s="17" t="s">
        <v>16628</v>
      </c>
      <c r="D478" s="17" t="s">
        <v>21</v>
      </c>
      <c r="E478" s="24" t="s">
        <v>6446</v>
      </c>
      <c r="F478" s="17" t="s">
        <v>16631</v>
      </c>
      <c r="G478" s="17" t="str">
        <f>Config!$B$3</f>
        <v>SCH/R_IEC.SchLib</v>
      </c>
      <c r="H478" s="17" t="s">
        <v>419</v>
      </c>
      <c r="I478" s="17" t="s">
        <v>461</v>
      </c>
      <c r="J478" s="17" t="s">
        <v>16547</v>
      </c>
      <c r="K478" s="17"/>
      <c r="L478" s="17"/>
      <c r="M478" s="21">
        <v>255000</v>
      </c>
      <c r="N478" s="17" t="s">
        <v>13980</v>
      </c>
      <c r="O478" s="17" t="s">
        <v>477</v>
      </c>
      <c r="P478" s="17" t="s">
        <v>16618</v>
      </c>
      <c r="Q478" t="s">
        <v>25</v>
      </c>
      <c r="R478" s="17" t="s">
        <v>16636</v>
      </c>
      <c r="S478" s="17"/>
      <c r="T478" s="17"/>
      <c r="U478" s="17"/>
      <c r="V478" s="17"/>
      <c r="W478" s="8" t="s">
        <v>477</v>
      </c>
      <c r="X478" s="8" t="s">
        <v>16618</v>
      </c>
      <c r="Y478" t="s">
        <v>4559</v>
      </c>
      <c r="Z478" s="8" t="s">
        <v>16619</v>
      </c>
      <c r="AA478" s="8" t="s">
        <v>4727</v>
      </c>
      <c r="AB478" s="17"/>
    </row>
    <row r="479" spans="1:28">
      <c r="A479" s="17" t="s">
        <v>2461</v>
      </c>
      <c r="B479" s="17" t="s">
        <v>2461</v>
      </c>
      <c r="C479" s="17" t="s">
        <v>2462</v>
      </c>
      <c r="D479" s="17" t="s">
        <v>21</v>
      </c>
      <c r="E479" s="24" t="s">
        <v>6446</v>
      </c>
      <c r="F479" s="17" t="s">
        <v>337</v>
      </c>
      <c r="G479" s="17" t="str">
        <f>Config!$B$3</f>
        <v>SCH/R_IEC.SchLib</v>
      </c>
      <c r="H479" s="17" t="s">
        <v>419</v>
      </c>
      <c r="I479" s="17" t="s">
        <v>461</v>
      </c>
      <c r="J479" s="17" t="s">
        <v>1752</v>
      </c>
      <c r="K479" s="17"/>
      <c r="L479" s="17"/>
      <c r="M479" s="21">
        <v>270000</v>
      </c>
      <c r="N479" s="17" t="s">
        <v>13979</v>
      </c>
      <c r="O479" s="17" t="s">
        <v>477</v>
      </c>
      <c r="P479" s="17" t="s">
        <v>2463</v>
      </c>
      <c r="Q479" s="17" t="s">
        <v>25</v>
      </c>
      <c r="R479" s="17" t="s">
        <v>2464</v>
      </c>
      <c r="S479" s="17" t="s">
        <v>477</v>
      </c>
      <c r="T479" s="17" t="s">
        <v>2465</v>
      </c>
      <c r="U479" s="17" t="s">
        <v>25</v>
      </c>
      <c r="V479" s="17" t="s">
        <v>2466</v>
      </c>
      <c r="W479" s="17"/>
      <c r="X479" s="17"/>
      <c r="Y479" s="17"/>
      <c r="Z479" s="17"/>
      <c r="AA479" s="17"/>
      <c r="AB479" s="17" t="str">
        <f t="shared" si="7"/>
        <v>GPR0805270K</v>
      </c>
    </row>
    <row r="480" spans="1:28">
      <c r="A480" s="17" t="s">
        <v>16601</v>
      </c>
      <c r="B480" s="17" t="s">
        <v>16601</v>
      </c>
      <c r="C480" s="17" t="s">
        <v>16629</v>
      </c>
      <c r="D480" s="17" t="s">
        <v>21</v>
      </c>
      <c r="E480" s="24" t="s">
        <v>6446</v>
      </c>
      <c r="F480" s="17" t="s">
        <v>16630</v>
      </c>
      <c r="G480" s="17" t="str">
        <f>Config!$B$3</f>
        <v>SCH/R_IEC.SchLib</v>
      </c>
      <c r="H480" s="17" t="s">
        <v>419</v>
      </c>
      <c r="I480" s="17" t="s">
        <v>461</v>
      </c>
      <c r="J480" s="17" t="s">
        <v>16547</v>
      </c>
      <c r="K480" s="17"/>
      <c r="L480" s="17"/>
      <c r="M480" s="21">
        <v>274000</v>
      </c>
      <c r="N480" s="17" t="s">
        <v>13980</v>
      </c>
      <c r="O480" s="17" t="s">
        <v>477</v>
      </c>
      <c r="P480" s="17" t="s">
        <v>16620</v>
      </c>
      <c r="Q480" t="s">
        <v>25</v>
      </c>
      <c r="R480" s="17" t="s">
        <v>16637</v>
      </c>
      <c r="S480" s="17"/>
      <c r="T480" s="17"/>
      <c r="U480" s="17"/>
      <c r="V480" s="17"/>
      <c r="W480" s="17" t="s">
        <v>477</v>
      </c>
      <c r="X480" s="17" t="s">
        <v>16620</v>
      </c>
      <c r="Y480" t="s">
        <v>4559</v>
      </c>
      <c r="Z480" s="17" t="s">
        <v>16621</v>
      </c>
      <c r="AA480" t="s">
        <v>4727</v>
      </c>
      <c r="AB480" s="17"/>
    </row>
    <row r="481" spans="1:28">
      <c r="A481" s="17" t="s">
        <v>2467</v>
      </c>
      <c r="B481" s="17" t="s">
        <v>2467</v>
      </c>
      <c r="C481" s="17" t="s">
        <v>2468</v>
      </c>
      <c r="D481" s="17" t="s">
        <v>21</v>
      </c>
      <c r="E481" s="24" t="s">
        <v>6446</v>
      </c>
      <c r="F481" s="17" t="s">
        <v>339</v>
      </c>
      <c r="G481" s="17" t="str">
        <f>Config!$B$3</f>
        <v>SCH/R_IEC.SchLib</v>
      </c>
      <c r="H481" s="17" t="s">
        <v>419</v>
      </c>
      <c r="I481" s="17" t="s">
        <v>461</v>
      </c>
      <c r="J481" s="17" t="s">
        <v>1752</v>
      </c>
      <c r="K481" s="17"/>
      <c r="L481" s="17"/>
      <c r="M481" s="21">
        <v>300000</v>
      </c>
      <c r="N481" s="17" t="s">
        <v>13979</v>
      </c>
      <c r="O481" s="17" t="s">
        <v>477</v>
      </c>
      <c r="P481" s="17" t="s">
        <v>2469</v>
      </c>
      <c r="Q481" s="17" t="s">
        <v>25</v>
      </c>
      <c r="R481" s="17" t="s">
        <v>2470</v>
      </c>
      <c r="S481" s="17"/>
      <c r="T481" s="17"/>
      <c r="U481" s="17"/>
      <c r="V481" s="17"/>
      <c r="W481" s="17"/>
      <c r="X481" s="17"/>
      <c r="Y481" s="17"/>
      <c r="Z481" s="17"/>
      <c r="AA481" s="17"/>
      <c r="AB481" s="17" t="str">
        <f t="shared" si="7"/>
        <v>GPR0805300K</v>
      </c>
    </row>
    <row r="482" spans="1:28">
      <c r="A482" s="17" t="s">
        <v>2471</v>
      </c>
      <c r="B482" s="17" t="s">
        <v>2471</v>
      </c>
      <c r="C482" s="17" t="s">
        <v>2472</v>
      </c>
      <c r="D482" s="17" t="s">
        <v>21</v>
      </c>
      <c r="E482" s="24" t="s">
        <v>6446</v>
      </c>
      <c r="F482" s="17" t="s">
        <v>341</v>
      </c>
      <c r="G482" s="17" t="str">
        <f>Config!$B$3</f>
        <v>SCH/R_IEC.SchLib</v>
      </c>
      <c r="H482" s="17" t="s">
        <v>419</v>
      </c>
      <c r="I482" s="17" t="s">
        <v>461</v>
      </c>
      <c r="J482" s="17" t="s">
        <v>1752</v>
      </c>
      <c r="K482" s="17"/>
      <c r="L482" s="17"/>
      <c r="M482" s="21">
        <v>330000</v>
      </c>
      <c r="N482" s="17" t="s">
        <v>13979</v>
      </c>
      <c r="O482" s="17" t="s">
        <v>477</v>
      </c>
      <c r="P482" s="17" t="s">
        <v>2473</v>
      </c>
      <c r="Q482" s="17" t="s">
        <v>25</v>
      </c>
      <c r="R482" s="17" t="s">
        <v>2474</v>
      </c>
      <c r="S482" s="17" t="s">
        <v>477</v>
      </c>
      <c r="T482" s="17" t="s">
        <v>2475</v>
      </c>
      <c r="U482" s="17" t="s">
        <v>25</v>
      </c>
      <c r="V482" s="17" t="s">
        <v>2476</v>
      </c>
      <c r="W482" s="17"/>
      <c r="X482" s="17"/>
      <c r="Y482" s="17"/>
      <c r="Z482" s="17"/>
      <c r="AA482" s="17"/>
      <c r="AB482" s="17" t="str">
        <f t="shared" si="7"/>
        <v>GPR0805330K</v>
      </c>
    </row>
    <row r="483" spans="1:28">
      <c r="A483" s="17" t="s">
        <v>2477</v>
      </c>
      <c r="B483" s="17" t="s">
        <v>2477</v>
      </c>
      <c r="C483" s="17" t="s">
        <v>2478</v>
      </c>
      <c r="D483" s="17" t="s">
        <v>21</v>
      </c>
      <c r="E483" s="24" t="s">
        <v>6446</v>
      </c>
      <c r="F483" s="17" t="s">
        <v>345</v>
      </c>
      <c r="G483" s="17" t="str">
        <f>Config!$B$3</f>
        <v>SCH/R_IEC.SchLib</v>
      </c>
      <c r="H483" s="17" t="s">
        <v>419</v>
      </c>
      <c r="I483" s="17" t="s">
        <v>461</v>
      </c>
      <c r="J483" s="17" t="s">
        <v>1752</v>
      </c>
      <c r="K483" s="17"/>
      <c r="L483" s="17"/>
      <c r="M483" s="21">
        <v>360000</v>
      </c>
      <c r="N483" s="17" t="s">
        <v>13979</v>
      </c>
      <c r="O483" s="17" t="s">
        <v>477</v>
      </c>
      <c r="P483" s="17" t="s">
        <v>2479</v>
      </c>
      <c r="Q483" s="17" t="s">
        <v>25</v>
      </c>
      <c r="R483" s="17" t="s">
        <v>2480</v>
      </c>
      <c r="S483" s="17" t="s">
        <v>477</v>
      </c>
      <c r="T483" s="17" t="s">
        <v>2481</v>
      </c>
      <c r="U483" s="17" t="s">
        <v>25</v>
      </c>
      <c r="V483" s="17" t="s">
        <v>2482</v>
      </c>
      <c r="W483" s="17"/>
      <c r="X483" s="17"/>
      <c r="Y483" s="17"/>
      <c r="Z483" s="17"/>
      <c r="AA483" s="17"/>
      <c r="AB483" s="17" t="str">
        <f t="shared" si="7"/>
        <v>GPR0805360K</v>
      </c>
    </row>
    <row r="484" spans="1:28">
      <c r="A484" s="17" t="s">
        <v>16602</v>
      </c>
      <c r="B484" s="17" t="s">
        <v>16602</v>
      </c>
      <c r="C484" s="17" t="s">
        <v>16607</v>
      </c>
      <c r="D484" s="17" t="s">
        <v>21</v>
      </c>
      <c r="E484" s="24" t="s">
        <v>6446</v>
      </c>
      <c r="F484" s="17" t="s">
        <v>345</v>
      </c>
      <c r="G484" s="17" t="str">
        <f>Config!$B$3</f>
        <v>SCH/R_IEC.SchLib</v>
      </c>
      <c r="H484" s="17" t="s">
        <v>419</v>
      </c>
      <c r="I484" s="17" t="s">
        <v>461</v>
      </c>
      <c r="J484" s="17" t="s">
        <v>16547</v>
      </c>
      <c r="K484" s="17"/>
      <c r="L484" s="17"/>
      <c r="M484" s="21">
        <v>360000</v>
      </c>
      <c r="N484" s="17" t="s">
        <v>13980</v>
      </c>
      <c r="O484" s="17" t="s">
        <v>477</v>
      </c>
      <c r="P484" s="17" t="s">
        <v>16622</v>
      </c>
      <c r="Q484" t="s">
        <v>25</v>
      </c>
      <c r="R484" s="17" t="s">
        <v>16638</v>
      </c>
      <c r="S484" s="17"/>
      <c r="T484" s="17"/>
      <c r="U484" s="17"/>
      <c r="V484" s="17"/>
      <c r="W484" s="17" t="s">
        <v>477</v>
      </c>
      <c r="X484" s="17" t="s">
        <v>16622</v>
      </c>
      <c r="Y484" s="17" t="s">
        <v>4559</v>
      </c>
      <c r="Z484" s="17" t="s">
        <v>16623</v>
      </c>
      <c r="AA484" t="s">
        <v>4727</v>
      </c>
      <c r="AB484" s="17"/>
    </row>
    <row r="485" spans="1:28">
      <c r="A485" s="17" t="s">
        <v>2483</v>
      </c>
      <c r="B485" s="17" t="s">
        <v>2483</v>
      </c>
      <c r="C485" s="17" t="s">
        <v>2484</v>
      </c>
      <c r="D485" s="17" t="s">
        <v>21</v>
      </c>
      <c r="E485" s="24" t="s">
        <v>6446</v>
      </c>
      <c r="F485" s="17" t="s">
        <v>349</v>
      </c>
      <c r="G485" s="17" t="str">
        <f>Config!$B$3</f>
        <v>SCH/R_IEC.SchLib</v>
      </c>
      <c r="H485" s="17" t="s">
        <v>419</v>
      </c>
      <c r="I485" s="17" t="s">
        <v>461</v>
      </c>
      <c r="J485" s="17" t="s">
        <v>1752</v>
      </c>
      <c r="K485" s="17"/>
      <c r="L485" s="17"/>
      <c r="M485" s="21">
        <v>390000</v>
      </c>
      <c r="N485" s="17" t="s">
        <v>13979</v>
      </c>
      <c r="O485" s="17" t="s">
        <v>477</v>
      </c>
      <c r="P485" s="17" t="s">
        <v>2485</v>
      </c>
      <c r="Q485" s="17" t="s">
        <v>25</v>
      </c>
      <c r="R485" s="17" t="s">
        <v>2486</v>
      </c>
      <c r="S485" s="17" t="s">
        <v>477</v>
      </c>
      <c r="T485" s="17" t="s">
        <v>2487</v>
      </c>
      <c r="U485" s="17" t="s">
        <v>25</v>
      </c>
      <c r="V485" s="17" t="s">
        <v>2488</v>
      </c>
      <c r="W485" s="17"/>
      <c r="X485" s="17"/>
      <c r="Y485" s="17"/>
      <c r="Z485" s="17"/>
      <c r="AA485" s="17"/>
      <c r="AB485" s="17" t="str">
        <f t="shared" si="7"/>
        <v>GPR0805390K</v>
      </c>
    </row>
    <row r="486" spans="1:28">
      <c r="A486" s="17" t="s">
        <v>2489</v>
      </c>
      <c r="B486" s="17" t="s">
        <v>2489</v>
      </c>
      <c r="C486" s="17" t="s">
        <v>2490</v>
      </c>
      <c r="D486" s="17" t="s">
        <v>21</v>
      </c>
      <c r="E486" s="24" t="s">
        <v>6446</v>
      </c>
      <c r="F486" s="17" t="s">
        <v>351</v>
      </c>
      <c r="G486" s="17" t="str">
        <f>Config!$B$3</f>
        <v>SCH/R_IEC.SchLib</v>
      </c>
      <c r="H486" s="17" t="s">
        <v>419</v>
      </c>
      <c r="I486" s="17" t="s">
        <v>461</v>
      </c>
      <c r="J486" s="17" t="s">
        <v>1752</v>
      </c>
      <c r="K486" s="17"/>
      <c r="L486" s="17"/>
      <c r="M486" s="21">
        <v>430000</v>
      </c>
      <c r="N486" s="17" t="s">
        <v>13979</v>
      </c>
      <c r="O486" s="17" t="s">
        <v>477</v>
      </c>
      <c r="P486" s="17" t="s">
        <v>2491</v>
      </c>
      <c r="Q486" s="17" t="s">
        <v>25</v>
      </c>
      <c r="R486" s="17" t="s">
        <v>2492</v>
      </c>
      <c r="S486" s="17" t="s">
        <v>477</v>
      </c>
      <c r="T486" s="17" t="s">
        <v>2493</v>
      </c>
      <c r="U486" s="17" t="s">
        <v>25</v>
      </c>
      <c r="V486" s="17" t="s">
        <v>2494</v>
      </c>
      <c r="W486" s="17"/>
      <c r="X486" s="17"/>
      <c r="Y486" s="17"/>
      <c r="Z486" s="17"/>
      <c r="AA486" s="17"/>
      <c r="AB486" s="17" t="str">
        <f t="shared" si="7"/>
        <v>GPR0805430K</v>
      </c>
    </row>
    <row r="487" spans="1:28">
      <c r="A487" s="17" t="s">
        <v>2495</v>
      </c>
      <c r="B487" s="17" t="s">
        <v>2495</v>
      </c>
      <c r="C487" s="17" t="s">
        <v>2496</v>
      </c>
      <c r="D487" s="17" t="s">
        <v>21</v>
      </c>
      <c r="E487" s="24" t="s">
        <v>6446</v>
      </c>
      <c r="F487" s="17" t="s">
        <v>353</v>
      </c>
      <c r="G487" s="17" t="str">
        <f>Config!$B$3</f>
        <v>SCH/R_IEC.SchLib</v>
      </c>
      <c r="H487" s="17" t="s">
        <v>419</v>
      </c>
      <c r="I487" s="17" t="s">
        <v>461</v>
      </c>
      <c r="J487" s="17" t="s">
        <v>1752</v>
      </c>
      <c r="K487" s="17"/>
      <c r="L487" s="17"/>
      <c r="M487" s="21">
        <v>470000</v>
      </c>
      <c r="N487" s="17" t="s">
        <v>13979</v>
      </c>
      <c r="O487" s="17" t="s">
        <v>477</v>
      </c>
      <c r="P487" s="17" t="s">
        <v>2497</v>
      </c>
      <c r="Q487" s="17" t="s">
        <v>25</v>
      </c>
      <c r="R487" s="17" t="s">
        <v>2498</v>
      </c>
      <c r="S487" s="17" t="s">
        <v>477</v>
      </c>
      <c r="T487" s="17" t="s">
        <v>2499</v>
      </c>
      <c r="U487" s="17" t="s">
        <v>25</v>
      </c>
      <c r="V487" s="17" t="s">
        <v>2500</v>
      </c>
      <c r="W487" s="17"/>
      <c r="X487" s="17"/>
      <c r="Y487" s="17"/>
      <c r="Z487" s="17"/>
      <c r="AA487" s="17"/>
      <c r="AB487" s="17" t="str">
        <f t="shared" si="7"/>
        <v>GPR0805470K</v>
      </c>
    </row>
    <row r="488" spans="1:28">
      <c r="A488" s="17" t="s">
        <v>2501</v>
      </c>
      <c r="B488" s="17" t="s">
        <v>2501</v>
      </c>
      <c r="C488" s="17" t="s">
        <v>2502</v>
      </c>
      <c r="D488" s="17" t="s">
        <v>21</v>
      </c>
      <c r="E488" s="24" t="s">
        <v>6446</v>
      </c>
      <c r="F488" s="17" t="s">
        <v>355</v>
      </c>
      <c r="G488" s="17" t="str">
        <f>Config!$B$3</f>
        <v>SCH/R_IEC.SchLib</v>
      </c>
      <c r="H488" s="17" t="s">
        <v>419</v>
      </c>
      <c r="I488" s="17" t="s">
        <v>461</v>
      </c>
      <c r="J488" s="17" t="s">
        <v>1752</v>
      </c>
      <c r="K488" s="17"/>
      <c r="L488" s="17"/>
      <c r="M488" s="21">
        <v>510000</v>
      </c>
      <c r="N488" s="17" t="s">
        <v>13979</v>
      </c>
      <c r="O488" s="17" t="s">
        <v>477</v>
      </c>
      <c r="P488" s="17" t="s">
        <v>2503</v>
      </c>
      <c r="Q488" s="17" t="s">
        <v>25</v>
      </c>
      <c r="R488" s="17" t="s">
        <v>2504</v>
      </c>
      <c r="S488" s="17" t="s">
        <v>477</v>
      </c>
      <c r="T488" s="17" t="s">
        <v>2505</v>
      </c>
      <c r="U488" s="17" t="s">
        <v>25</v>
      </c>
      <c r="V488" s="17" t="s">
        <v>2506</v>
      </c>
      <c r="W488" s="17"/>
      <c r="X488" s="17"/>
      <c r="Y488" s="17"/>
      <c r="Z488" s="17"/>
      <c r="AA488" s="17"/>
      <c r="AB488" s="17" t="str">
        <f t="shared" si="7"/>
        <v>GPR0805510K</v>
      </c>
    </row>
    <row r="489" spans="1:28">
      <c r="A489" s="17" t="s">
        <v>2507</v>
      </c>
      <c r="B489" s="17" t="s">
        <v>2507</v>
      </c>
      <c r="C489" s="17" t="s">
        <v>2508</v>
      </c>
      <c r="D489" s="17" t="s">
        <v>21</v>
      </c>
      <c r="E489" s="24" t="s">
        <v>6446</v>
      </c>
      <c r="F489" s="17" t="s">
        <v>357</v>
      </c>
      <c r="G489" s="17" t="str">
        <f>Config!$B$3</f>
        <v>SCH/R_IEC.SchLib</v>
      </c>
      <c r="H489" s="17" t="s">
        <v>419</v>
      </c>
      <c r="I489" s="17" t="s">
        <v>461</v>
      </c>
      <c r="J489" s="17" t="s">
        <v>1752</v>
      </c>
      <c r="K489" s="17"/>
      <c r="L489" s="17"/>
      <c r="M489" s="21">
        <v>560000</v>
      </c>
      <c r="N489" s="17" t="s">
        <v>13979</v>
      </c>
      <c r="O489" s="17" t="s">
        <v>477</v>
      </c>
      <c r="P489" s="17" t="s">
        <v>2509</v>
      </c>
      <c r="Q489" s="17" t="s">
        <v>25</v>
      </c>
      <c r="R489" s="17" t="s">
        <v>2510</v>
      </c>
      <c r="S489" s="17"/>
      <c r="T489" s="17"/>
      <c r="U489" s="17"/>
      <c r="V489" s="17"/>
      <c r="W489" s="17"/>
      <c r="X489" s="17"/>
      <c r="Y489" s="17"/>
      <c r="Z489" s="17"/>
      <c r="AA489" s="17"/>
      <c r="AB489" s="17" t="str">
        <f t="shared" si="7"/>
        <v>GPR0805560K</v>
      </c>
    </row>
    <row r="490" spans="1:28">
      <c r="A490" s="17" t="s">
        <v>2511</v>
      </c>
      <c r="B490" s="17" t="s">
        <v>2511</v>
      </c>
      <c r="C490" s="17" t="s">
        <v>2512</v>
      </c>
      <c r="D490" s="17" t="s">
        <v>21</v>
      </c>
      <c r="E490" s="24" t="s">
        <v>6446</v>
      </c>
      <c r="F490" s="17" t="s">
        <v>359</v>
      </c>
      <c r="G490" s="17" t="str">
        <f>Config!$B$3</f>
        <v>SCH/R_IEC.SchLib</v>
      </c>
      <c r="H490" s="17" t="s">
        <v>419</v>
      </c>
      <c r="I490" s="17" t="s">
        <v>461</v>
      </c>
      <c r="J490" s="17" t="s">
        <v>1752</v>
      </c>
      <c r="K490" s="17"/>
      <c r="L490" s="17"/>
      <c r="M490" s="21">
        <v>620000</v>
      </c>
      <c r="N490" s="17" t="s">
        <v>13979</v>
      </c>
      <c r="O490" s="17" t="s">
        <v>477</v>
      </c>
      <c r="P490" s="17" t="s">
        <v>2513</v>
      </c>
      <c r="Q490" s="17" t="s">
        <v>25</v>
      </c>
      <c r="R490" s="17" t="s">
        <v>2514</v>
      </c>
      <c r="S490" s="17"/>
      <c r="T490" s="17"/>
      <c r="U490" s="17"/>
      <c r="V490" s="17"/>
      <c r="W490" s="17"/>
      <c r="X490" s="17"/>
      <c r="Y490" s="17"/>
      <c r="Z490" s="17"/>
      <c r="AA490" s="17"/>
      <c r="AB490" s="17" t="str">
        <f t="shared" si="7"/>
        <v>GPR0805620K</v>
      </c>
    </row>
    <row r="491" spans="1:28">
      <c r="A491" s="17" t="s">
        <v>2515</v>
      </c>
      <c r="B491" s="17" t="s">
        <v>2515</v>
      </c>
      <c r="C491" s="17" t="s">
        <v>2516</v>
      </c>
      <c r="D491" s="17" t="s">
        <v>21</v>
      </c>
      <c r="E491" s="24" t="s">
        <v>6446</v>
      </c>
      <c r="F491" s="17" t="s">
        <v>361</v>
      </c>
      <c r="G491" s="17" t="str">
        <f>Config!$B$3</f>
        <v>SCH/R_IEC.SchLib</v>
      </c>
      <c r="H491" s="17" t="s">
        <v>419</v>
      </c>
      <c r="I491" s="17" t="s">
        <v>461</v>
      </c>
      <c r="J491" s="17" t="s">
        <v>1752</v>
      </c>
      <c r="K491" s="17"/>
      <c r="L491" s="17"/>
      <c r="M491" s="21">
        <v>680000</v>
      </c>
      <c r="N491" s="17" t="s">
        <v>13979</v>
      </c>
      <c r="O491" s="17" t="s">
        <v>477</v>
      </c>
      <c r="P491" s="17" t="s">
        <v>2517</v>
      </c>
      <c r="Q491" s="17" t="s">
        <v>25</v>
      </c>
      <c r="R491" s="17" t="s">
        <v>2518</v>
      </c>
      <c r="S491" s="17"/>
      <c r="T491" s="17"/>
      <c r="U491" s="17"/>
      <c r="V491" s="17"/>
      <c r="W491" s="17"/>
      <c r="X491" s="17"/>
      <c r="Y491" s="17"/>
      <c r="Z491" s="17"/>
      <c r="AA491" s="17"/>
      <c r="AB491" s="17" t="str">
        <f t="shared" si="7"/>
        <v>GPR0805680K</v>
      </c>
    </row>
    <row r="492" spans="1:28">
      <c r="A492" s="17" t="s">
        <v>16603</v>
      </c>
      <c r="B492" s="17" t="s">
        <v>16603</v>
      </c>
      <c r="C492" s="17" t="s">
        <v>16608</v>
      </c>
      <c r="D492" s="17" t="s">
        <v>21</v>
      </c>
      <c r="E492" s="24" t="s">
        <v>6446</v>
      </c>
      <c r="F492" s="17" t="s">
        <v>361</v>
      </c>
      <c r="G492" s="17" t="str">
        <f>Config!$B$3</f>
        <v>SCH/R_IEC.SchLib</v>
      </c>
      <c r="H492" s="17" t="s">
        <v>419</v>
      </c>
      <c r="I492" s="17" t="s">
        <v>461</v>
      </c>
      <c r="J492" s="17" t="s">
        <v>16547</v>
      </c>
      <c r="K492" s="17"/>
      <c r="L492" s="17"/>
      <c r="M492" s="21">
        <v>680000</v>
      </c>
      <c r="N492" s="17" t="s">
        <v>13980</v>
      </c>
      <c r="O492" s="17" t="s">
        <v>477</v>
      </c>
      <c r="P492" s="17" t="s">
        <v>16624</v>
      </c>
      <c r="Q492" t="s">
        <v>25</v>
      </c>
      <c r="R492" s="17" t="s">
        <v>16639</v>
      </c>
      <c r="S492" s="17"/>
      <c r="T492" s="17"/>
      <c r="U492" s="17"/>
      <c r="V492" s="17"/>
      <c r="W492" s="17" t="s">
        <v>477</v>
      </c>
      <c r="X492" s="17" t="s">
        <v>16624</v>
      </c>
      <c r="Y492" s="17" t="s">
        <v>4559</v>
      </c>
      <c r="Z492" s="17" t="s">
        <v>16625</v>
      </c>
      <c r="AA492" t="s">
        <v>4727</v>
      </c>
      <c r="AB492" s="17"/>
    </row>
    <row r="493" spans="1:28">
      <c r="A493" s="17" t="s">
        <v>2519</v>
      </c>
      <c r="B493" s="17" t="s">
        <v>2519</v>
      </c>
      <c r="C493" s="17" t="s">
        <v>2520</v>
      </c>
      <c r="D493" s="17" t="s">
        <v>21</v>
      </c>
      <c r="E493" s="24" t="s">
        <v>6446</v>
      </c>
      <c r="F493" s="17" t="s">
        <v>363</v>
      </c>
      <c r="G493" s="17" t="str">
        <f>Config!$B$3</f>
        <v>SCH/R_IEC.SchLib</v>
      </c>
      <c r="H493" s="17" t="s">
        <v>419</v>
      </c>
      <c r="I493" s="17" t="s">
        <v>461</v>
      </c>
      <c r="J493" s="17" t="s">
        <v>1752</v>
      </c>
      <c r="K493" s="17"/>
      <c r="L493" s="17"/>
      <c r="M493" s="21">
        <v>750000</v>
      </c>
      <c r="N493" s="17" t="s">
        <v>13979</v>
      </c>
      <c r="O493" s="17" t="s">
        <v>477</v>
      </c>
      <c r="P493" s="17" t="s">
        <v>2521</v>
      </c>
      <c r="Q493" s="17" t="s">
        <v>25</v>
      </c>
      <c r="R493" s="17" t="s">
        <v>2522</v>
      </c>
      <c r="S493" s="17"/>
      <c r="T493" s="17"/>
      <c r="U493" s="17"/>
      <c r="V493" s="17"/>
      <c r="W493" s="17"/>
      <c r="X493" s="17"/>
      <c r="Y493" s="17"/>
      <c r="Z493" s="17"/>
      <c r="AA493" s="17"/>
      <c r="AB493" s="17" t="str">
        <f t="shared" si="7"/>
        <v>GPR0805750K</v>
      </c>
    </row>
    <row r="494" spans="1:28">
      <c r="A494" s="17" t="s">
        <v>16604</v>
      </c>
      <c r="B494" s="17" t="s">
        <v>16604</v>
      </c>
      <c r="C494" s="17" t="s">
        <v>16609</v>
      </c>
      <c r="D494" s="17" t="s">
        <v>21</v>
      </c>
      <c r="E494" s="24" t="s">
        <v>6446</v>
      </c>
      <c r="F494" s="17" t="s">
        <v>363</v>
      </c>
      <c r="G494" s="17" t="str">
        <f>Config!$B$3</f>
        <v>SCH/R_IEC.SchLib</v>
      </c>
      <c r="H494" s="17" t="s">
        <v>419</v>
      </c>
      <c r="I494" s="17" t="s">
        <v>461</v>
      </c>
      <c r="J494" s="17" t="s">
        <v>16547</v>
      </c>
      <c r="K494" s="17"/>
      <c r="L494" s="17"/>
      <c r="M494" s="21">
        <v>750000</v>
      </c>
      <c r="N494" s="17" t="s">
        <v>13980</v>
      </c>
      <c r="O494" s="17" t="s">
        <v>477</v>
      </c>
      <c r="P494" s="17" t="s">
        <v>16626</v>
      </c>
      <c r="Q494" t="s">
        <v>25</v>
      </c>
      <c r="R494" s="17" t="s">
        <v>16640</v>
      </c>
      <c r="S494" s="17"/>
      <c r="T494" s="17"/>
      <c r="U494" s="17"/>
      <c r="V494" s="17"/>
      <c r="W494" s="17" t="s">
        <v>477</v>
      </c>
      <c r="X494" s="17" t="s">
        <v>16626</v>
      </c>
      <c r="Y494" s="17" t="s">
        <v>4559</v>
      </c>
      <c r="Z494" s="17" t="s">
        <v>16627</v>
      </c>
      <c r="AA494" t="s">
        <v>4727</v>
      </c>
      <c r="AB494" s="17"/>
    </row>
    <row r="495" spans="1:28">
      <c r="A495" s="17" t="s">
        <v>2523</v>
      </c>
      <c r="B495" s="17" t="s">
        <v>2523</v>
      </c>
      <c r="C495" s="17" t="s">
        <v>2524</v>
      </c>
      <c r="D495" s="17" t="s">
        <v>21</v>
      </c>
      <c r="E495" s="24" t="s">
        <v>6446</v>
      </c>
      <c r="F495" s="17" t="s">
        <v>365</v>
      </c>
      <c r="G495" s="17" t="str">
        <f>Config!$B$3</f>
        <v>SCH/R_IEC.SchLib</v>
      </c>
      <c r="H495" s="17" t="s">
        <v>419</v>
      </c>
      <c r="I495" s="17" t="s">
        <v>461</v>
      </c>
      <c r="J495" s="17" t="s">
        <v>1752</v>
      </c>
      <c r="K495" s="17"/>
      <c r="L495" s="17"/>
      <c r="M495" s="21">
        <v>820000</v>
      </c>
      <c r="N495" s="17" t="s">
        <v>13979</v>
      </c>
      <c r="O495" s="17" t="s">
        <v>477</v>
      </c>
      <c r="P495" s="17" t="s">
        <v>2525</v>
      </c>
      <c r="Q495" s="17" t="s">
        <v>25</v>
      </c>
      <c r="R495" s="17" t="s">
        <v>2526</v>
      </c>
      <c r="S495" s="17"/>
      <c r="T495" s="17"/>
      <c r="U495" s="17"/>
      <c r="V495" s="17"/>
      <c r="W495" s="17"/>
      <c r="X495" s="17"/>
      <c r="Y495" s="17"/>
      <c r="Z495" s="17"/>
      <c r="AA495" s="17"/>
      <c r="AB495" s="17" t="str">
        <f t="shared" si="7"/>
        <v>GPR0805820K</v>
      </c>
    </row>
    <row r="496" spans="1:28">
      <c r="A496" s="17" t="s">
        <v>2527</v>
      </c>
      <c r="B496" s="17" t="s">
        <v>2527</v>
      </c>
      <c r="C496" s="17" t="s">
        <v>2528</v>
      </c>
      <c r="D496" s="17" t="s">
        <v>21</v>
      </c>
      <c r="E496" s="24" t="s">
        <v>6446</v>
      </c>
      <c r="F496" s="17" t="s">
        <v>367</v>
      </c>
      <c r="G496" s="17" t="str">
        <f>Config!$B$3</f>
        <v>SCH/R_IEC.SchLib</v>
      </c>
      <c r="H496" s="17" t="s">
        <v>419</v>
      </c>
      <c r="I496" s="17" t="s">
        <v>461</v>
      </c>
      <c r="J496" s="17" t="s">
        <v>1752</v>
      </c>
      <c r="K496" s="17"/>
      <c r="L496" s="17"/>
      <c r="M496" s="21">
        <v>910000</v>
      </c>
      <c r="N496" s="17" t="s">
        <v>13979</v>
      </c>
      <c r="O496" s="17" t="s">
        <v>477</v>
      </c>
      <c r="P496" s="17" t="s">
        <v>2529</v>
      </c>
      <c r="Q496" s="17" t="s">
        <v>25</v>
      </c>
      <c r="R496" s="17" t="s">
        <v>2530</v>
      </c>
      <c r="S496" s="17"/>
      <c r="T496" s="17"/>
      <c r="U496" s="17"/>
      <c r="V496" s="17"/>
      <c r="W496" s="17"/>
      <c r="X496" s="17"/>
      <c r="Y496" s="17"/>
      <c r="Z496" s="17"/>
      <c r="AA496" s="17"/>
      <c r="AB496" s="17" t="str">
        <f t="shared" si="7"/>
        <v>GPR0805910K</v>
      </c>
    </row>
    <row r="497" spans="1:28" ht="15.75">
      <c r="A497" s="17" t="s">
        <v>2531</v>
      </c>
      <c r="B497" s="17" t="s">
        <v>2531</v>
      </c>
      <c r="C497" s="17" t="s">
        <v>2532</v>
      </c>
      <c r="D497" s="17" t="s">
        <v>21</v>
      </c>
      <c r="E497" s="24" t="s">
        <v>6446</v>
      </c>
      <c r="F497" s="17" t="s">
        <v>369</v>
      </c>
      <c r="G497" s="17" t="str">
        <f>Config!$B$3</f>
        <v>SCH/R_IEC.SchLib</v>
      </c>
      <c r="H497" s="17" t="s">
        <v>419</v>
      </c>
      <c r="I497" s="17" t="s">
        <v>461</v>
      </c>
      <c r="J497" s="17" t="s">
        <v>1752</v>
      </c>
      <c r="K497" s="17"/>
      <c r="L497" s="17"/>
      <c r="M497" s="21">
        <v>1000000</v>
      </c>
      <c r="N497" s="17" t="s">
        <v>13979</v>
      </c>
      <c r="O497" s="17" t="s">
        <v>477</v>
      </c>
      <c r="P497" s="17" t="s">
        <v>2533</v>
      </c>
      <c r="Q497" s="17" t="s">
        <v>25</v>
      </c>
      <c r="R497" s="17" t="s">
        <v>2534</v>
      </c>
      <c r="S497" s="17" t="s">
        <v>477</v>
      </c>
      <c r="T497" s="17" t="s">
        <v>2535</v>
      </c>
      <c r="U497" s="17" t="s">
        <v>25</v>
      </c>
      <c r="V497" s="17" t="s">
        <v>2536</v>
      </c>
      <c r="W497" s="42" t="s">
        <v>4729</v>
      </c>
      <c r="X497" s="8" t="s">
        <v>13494</v>
      </c>
      <c r="Y497" t="s">
        <v>4559</v>
      </c>
      <c r="Z497" s="8" t="s">
        <v>13493</v>
      </c>
      <c r="AA497" s="17" t="s">
        <v>4728</v>
      </c>
      <c r="AB497" s="17" t="str">
        <f t="shared" si="7"/>
        <v>GPR08051M</v>
      </c>
    </row>
    <row r="498" spans="1:28" ht="15.75">
      <c r="A498" s="17" t="s">
        <v>16548</v>
      </c>
      <c r="B498" s="17" t="s">
        <v>16548</v>
      </c>
      <c r="C498" s="17" t="s">
        <v>16549</v>
      </c>
      <c r="D498" s="17" t="s">
        <v>21</v>
      </c>
      <c r="E498" s="24" t="s">
        <v>6446</v>
      </c>
      <c r="F498" s="17" t="s">
        <v>369</v>
      </c>
      <c r="G498" s="17" t="str">
        <f>Config!$B$3</f>
        <v>SCH/R_IEC.SchLib</v>
      </c>
      <c r="H498" s="17" t="s">
        <v>419</v>
      </c>
      <c r="I498" s="17" t="s">
        <v>461</v>
      </c>
      <c r="J498" s="17" t="s">
        <v>16547</v>
      </c>
      <c r="K498" s="17"/>
      <c r="L498" s="17"/>
      <c r="M498" s="21">
        <v>1000000</v>
      </c>
      <c r="N498" s="17" t="s">
        <v>13980</v>
      </c>
      <c r="O498" s="17" t="s">
        <v>477</v>
      </c>
      <c r="P498" s="17" t="s">
        <v>16564</v>
      </c>
      <c r="Q498" t="s">
        <v>25</v>
      </c>
      <c r="R498" s="17" t="s">
        <v>16565</v>
      </c>
      <c r="S498" s="17"/>
      <c r="T498" s="17"/>
      <c r="U498" s="17"/>
      <c r="V498" s="17"/>
      <c r="W498" s="42" t="s">
        <v>6379</v>
      </c>
      <c r="X498" s="8" t="s">
        <v>16580</v>
      </c>
      <c r="Y498" t="s">
        <v>4559</v>
      </c>
      <c r="Z498" s="8" t="s">
        <v>16581</v>
      </c>
      <c r="AA498" s="17" t="s">
        <v>4727</v>
      </c>
      <c r="AB498" s="17"/>
    </row>
    <row r="499" spans="1:28">
      <c r="A499" s="17" t="s">
        <v>2537</v>
      </c>
      <c r="B499" s="17" t="s">
        <v>2537</v>
      </c>
      <c r="C499" s="17" t="s">
        <v>2538</v>
      </c>
      <c r="D499" s="17" t="s">
        <v>21</v>
      </c>
      <c r="E499" s="24" t="s">
        <v>6446</v>
      </c>
      <c r="F499" s="17" t="s">
        <v>371</v>
      </c>
      <c r="G499" s="17" t="str">
        <f>Config!$B$3</f>
        <v>SCH/R_IEC.SchLib</v>
      </c>
      <c r="H499" s="17" t="s">
        <v>419</v>
      </c>
      <c r="I499" s="17" t="s">
        <v>461</v>
      </c>
      <c r="J499" s="17" t="s">
        <v>1752</v>
      </c>
      <c r="K499" s="17"/>
      <c r="L499" s="17"/>
      <c r="M499" s="21">
        <v>1100000</v>
      </c>
      <c r="N499" s="17" t="s">
        <v>13979</v>
      </c>
      <c r="O499" s="17" t="s">
        <v>477</v>
      </c>
      <c r="P499" s="17" t="s">
        <v>2539</v>
      </c>
      <c r="Q499" s="17" t="s">
        <v>25</v>
      </c>
      <c r="R499" s="17" t="s">
        <v>2540</v>
      </c>
      <c r="S499" s="17"/>
      <c r="T499" s="17"/>
      <c r="U499" s="17"/>
      <c r="V499" s="17"/>
      <c r="W499" s="17"/>
      <c r="X499" s="17"/>
      <c r="Y499" s="17"/>
      <c r="Z499" s="17"/>
      <c r="AA499" s="17"/>
      <c r="AB499" s="17" t="str">
        <f t="shared" si="7"/>
        <v>GPR08051M1</v>
      </c>
    </row>
    <row r="500" spans="1:28">
      <c r="A500" s="17" t="s">
        <v>2541</v>
      </c>
      <c r="B500" s="17" t="s">
        <v>2541</v>
      </c>
      <c r="C500" s="17" t="s">
        <v>2542</v>
      </c>
      <c r="D500" s="17" t="s">
        <v>21</v>
      </c>
      <c r="E500" s="24" t="s">
        <v>6446</v>
      </c>
      <c r="F500" s="17" t="s">
        <v>373</v>
      </c>
      <c r="G500" s="17" t="str">
        <f>Config!$B$3</f>
        <v>SCH/R_IEC.SchLib</v>
      </c>
      <c r="H500" s="17" t="s">
        <v>419</v>
      </c>
      <c r="I500" s="17" t="s">
        <v>461</v>
      </c>
      <c r="J500" s="17" t="s">
        <v>1752</v>
      </c>
      <c r="K500" s="17"/>
      <c r="L500" s="17"/>
      <c r="M500" s="21">
        <v>1200000</v>
      </c>
      <c r="N500" s="17" t="s">
        <v>13979</v>
      </c>
      <c r="O500" s="17" t="s">
        <v>477</v>
      </c>
      <c r="P500" s="17" t="s">
        <v>2543</v>
      </c>
      <c r="Q500" s="17" t="s">
        <v>25</v>
      </c>
      <c r="R500" s="17" t="s">
        <v>2544</v>
      </c>
      <c r="S500" s="17" t="s">
        <v>477</v>
      </c>
      <c r="T500" s="17" t="s">
        <v>2545</v>
      </c>
      <c r="U500" s="17" t="s">
        <v>25</v>
      </c>
      <c r="V500" s="17" t="s">
        <v>2546</v>
      </c>
      <c r="W500" s="17"/>
      <c r="X500" s="17"/>
      <c r="Y500" s="17"/>
      <c r="Z500" s="17"/>
      <c r="AA500" s="17"/>
      <c r="AB500" s="17" t="str">
        <f t="shared" si="7"/>
        <v>GPR08051M2</v>
      </c>
    </row>
    <row r="501" spans="1:28">
      <c r="A501" s="17" t="s">
        <v>2547</v>
      </c>
      <c r="B501" s="17" t="s">
        <v>2547</v>
      </c>
      <c r="C501" s="17" t="s">
        <v>2548</v>
      </c>
      <c r="D501" s="17" t="s">
        <v>21</v>
      </c>
      <c r="E501" s="24" t="s">
        <v>6446</v>
      </c>
      <c r="F501" s="17" t="s">
        <v>375</v>
      </c>
      <c r="G501" s="17" t="str">
        <f>Config!$B$3</f>
        <v>SCH/R_IEC.SchLib</v>
      </c>
      <c r="H501" s="17" t="s">
        <v>419</v>
      </c>
      <c r="I501" s="17" t="s">
        <v>461</v>
      </c>
      <c r="J501" s="17" t="s">
        <v>1752</v>
      </c>
      <c r="K501" s="17"/>
      <c r="L501" s="17"/>
      <c r="M501" s="21">
        <v>1300000</v>
      </c>
      <c r="N501" s="17" t="s">
        <v>13979</v>
      </c>
      <c r="O501" s="17" t="s">
        <v>477</v>
      </c>
      <c r="P501" s="17" t="s">
        <v>2549</v>
      </c>
      <c r="Q501" s="17" t="s">
        <v>25</v>
      </c>
      <c r="R501" s="17" t="s">
        <v>2550</v>
      </c>
      <c r="S501" s="17"/>
      <c r="T501" s="17"/>
      <c r="U501" s="17"/>
      <c r="V501" s="17"/>
      <c r="W501" s="17"/>
      <c r="X501" s="17"/>
      <c r="Y501" s="17"/>
      <c r="Z501" s="17"/>
      <c r="AA501" s="17"/>
      <c r="AB501" s="17" t="str">
        <f t="shared" si="7"/>
        <v>GPR08051M3</v>
      </c>
    </row>
    <row r="502" spans="1:28">
      <c r="A502" s="17" t="s">
        <v>16550</v>
      </c>
      <c r="B502" s="17" t="s">
        <v>16550</v>
      </c>
      <c r="C502" s="17" t="s">
        <v>16551</v>
      </c>
      <c r="D502" s="17" t="s">
        <v>21</v>
      </c>
      <c r="E502" s="24" t="s">
        <v>6446</v>
      </c>
      <c r="F502" s="17" t="s">
        <v>375</v>
      </c>
      <c r="G502" s="17" t="str">
        <f>Config!$B$3</f>
        <v>SCH/R_IEC.SchLib</v>
      </c>
      <c r="H502" s="17" t="s">
        <v>419</v>
      </c>
      <c r="I502" s="17" t="s">
        <v>461</v>
      </c>
      <c r="J502" s="17" t="s">
        <v>16547</v>
      </c>
      <c r="K502" s="17"/>
      <c r="L502" s="17"/>
      <c r="M502" s="21">
        <v>1300000</v>
      </c>
      <c r="N502" s="17" t="s">
        <v>13980</v>
      </c>
      <c r="O502" s="17" t="s">
        <v>477</v>
      </c>
      <c r="P502" s="17" t="s">
        <v>16566</v>
      </c>
      <c r="Q502" t="s">
        <v>25</v>
      </c>
      <c r="R502" s="17" t="s">
        <v>16567</v>
      </c>
      <c r="S502" s="17"/>
      <c r="T502" s="17"/>
      <c r="U502" s="17"/>
      <c r="V502" s="17"/>
      <c r="W502" s="17" t="s">
        <v>14467</v>
      </c>
      <c r="X502" s="17" t="s">
        <v>16582</v>
      </c>
      <c r="Y502" s="17" t="s">
        <v>4559</v>
      </c>
      <c r="Z502" s="17" t="s">
        <v>16583</v>
      </c>
      <c r="AA502" t="s">
        <v>4727</v>
      </c>
      <c r="AB502" s="17"/>
    </row>
    <row r="503" spans="1:28">
      <c r="A503" s="17" t="s">
        <v>2551</v>
      </c>
      <c r="B503" s="17" t="s">
        <v>2551</v>
      </c>
      <c r="C503" s="17" t="s">
        <v>2552</v>
      </c>
      <c r="D503" s="17" t="s">
        <v>21</v>
      </c>
      <c r="E503" s="24" t="s">
        <v>6446</v>
      </c>
      <c r="F503" s="17" t="s">
        <v>377</v>
      </c>
      <c r="G503" s="17" t="str">
        <f>Config!$B$3</f>
        <v>SCH/R_IEC.SchLib</v>
      </c>
      <c r="H503" s="17" t="s">
        <v>419</v>
      </c>
      <c r="I503" s="17" t="s">
        <v>461</v>
      </c>
      <c r="J503" s="17" t="s">
        <v>1752</v>
      </c>
      <c r="K503" s="17"/>
      <c r="L503" s="17"/>
      <c r="M503" s="21">
        <v>1500000</v>
      </c>
      <c r="N503" s="17" t="s">
        <v>13979</v>
      </c>
      <c r="O503" s="17" t="s">
        <v>477</v>
      </c>
      <c r="P503" s="17" t="s">
        <v>2553</v>
      </c>
      <c r="Q503" s="17" t="s">
        <v>25</v>
      </c>
      <c r="R503" s="17" t="s">
        <v>2554</v>
      </c>
      <c r="S503" s="17" t="s">
        <v>477</v>
      </c>
      <c r="T503" s="17" t="s">
        <v>2555</v>
      </c>
      <c r="U503" s="17" t="s">
        <v>25</v>
      </c>
      <c r="V503" s="17" t="s">
        <v>2556</v>
      </c>
      <c r="W503" s="17"/>
      <c r="X503" s="17"/>
      <c r="Y503" s="17"/>
      <c r="Z503" s="17"/>
      <c r="AA503" s="17"/>
      <c r="AB503" s="17" t="str">
        <f t="shared" si="7"/>
        <v>GPR08051M5</v>
      </c>
    </row>
    <row r="504" spans="1:28">
      <c r="A504" s="17" t="s">
        <v>16552</v>
      </c>
      <c r="B504" s="17" t="s">
        <v>16552</v>
      </c>
      <c r="C504" s="17" t="s">
        <v>16563</v>
      </c>
      <c r="D504" s="17" t="s">
        <v>21</v>
      </c>
      <c r="E504" s="24" t="s">
        <v>6446</v>
      </c>
      <c r="F504" s="17" t="s">
        <v>377</v>
      </c>
      <c r="G504" s="17" t="str">
        <f>Config!$B$3</f>
        <v>SCH/R_IEC.SchLib</v>
      </c>
      <c r="H504" s="17" t="s">
        <v>419</v>
      </c>
      <c r="I504" s="17" t="s">
        <v>461</v>
      </c>
      <c r="J504" s="17" t="s">
        <v>16547</v>
      </c>
      <c r="K504" s="17"/>
      <c r="L504" s="17"/>
      <c r="M504" s="21">
        <v>1500000</v>
      </c>
      <c r="N504" s="17" t="s">
        <v>13980</v>
      </c>
      <c r="O504" s="17" t="s">
        <v>477</v>
      </c>
      <c r="P504" s="17" t="s">
        <v>16568</v>
      </c>
      <c r="Q504" t="s">
        <v>25</v>
      </c>
      <c r="R504" s="17" t="s">
        <v>16569</v>
      </c>
      <c r="S504" s="17"/>
      <c r="T504" s="17"/>
      <c r="U504" s="17"/>
      <c r="V504" s="17"/>
      <c r="W504" s="17" t="s">
        <v>477</v>
      </c>
      <c r="X504" s="17" t="s">
        <v>16568</v>
      </c>
      <c r="Y504" s="17" t="s">
        <v>4559</v>
      </c>
      <c r="Z504" s="17" t="s">
        <v>16584</v>
      </c>
      <c r="AA504" t="s">
        <v>4727</v>
      </c>
      <c r="AB504" s="17"/>
    </row>
    <row r="505" spans="1:28">
      <c r="A505" s="17" t="s">
        <v>2557</v>
      </c>
      <c r="B505" s="17" t="s">
        <v>2557</v>
      </c>
      <c r="C505" s="17" t="s">
        <v>2558</v>
      </c>
      <c r="D505" s="17" t="s">
        <v>21</v>
      </c>
      <c r="E505" s="24" t="s">
        <v>6446</v>
      </c>
      <c r="F505" s="17" t="s">
        <v>379</v>
      </c>
      <c r="G505" s="17" t="str">
        <f>Config!$B$3</f>
        <v>SCH/R_IEC.SchLib</v>
      </c>
      <c r="H505" s="17" t="s">
        <v>419</v>
      </c>
      <c r="I505" s="17" t="s">
        <v>461</v>
      </c>
      <c r="J505" s="17" t="s">
        <v>1752</v>
      </c>
      <c r="K505" s="17"/>
      <c r="L505" s="17"/>
      <c r="M505" s="21">
        <v>1600000</v>
      </c>
      <c r="N505" s="17" t="s">
        <v>13979</v>
      </c>
      <c r="O505" s="17" t="s">
        <v>477</v>
      </c>
      <c r="P505" s="17" t="s">
        <v>2559</v>
      </c>
      <c r="Q505" s="17" t="s">
        <v>25</v>
      </c>
      <c r="R505" s="17" t="s">
        <v>2560</v>
      </c>
      <c r="S505" s="17"/>
      <c r="T505" s="17"/>
      <c r="U505" s="17"/>
      <c r="V505" s="17"/>
      <c r="W505" s="17"/>
      <c r="X505" s="17"/>
      <c r="Y505" s="17"/>
      <c r="Z505" s="17"/>
      <c r="AA505" s="17"/>
      <c r="AB505" s="17" t="str">
        <f t="shared" si="7"/>
        <v>GPR08051M6</v>
      </c>
    </row>
    <row r="506" spans="1:28" ht="15.75">
      <c r="A506" s="17" t="s">
        <v>2561</v>
      </c>
      <c r="B506" s="17" t="s">
        <v>2561</v>
      </c>
      <c r="C506" s="17" t="s">
        <v>2562</v>
      </c>
      <c r="D506" s="17" t="s">
        <v>21</v>
      </c>
      <c r="E506" s="24" t="s">
        <v>6446</v>
      </c>
      <c r="F506" s="17" t="s">
        <v>381</v>
      </c>
      <c r="G506" s="17" t="str">
        <f>Config!$B$3</f>
        <v>SCH/R_IEC.SchLib</v>
      </c>
      <c r="H506" s="17" t="s">
        <v>419</v>
      </c>
      <c r="I506" s="17" t="s">
        <v>461</v>
      </c>
      <c r="J506" s="17" t="s">
        <v>1752</v>
      </c>
      <c r="K506" s="17"/>
      <c r="L506" s="17"/>
      <c r="M506" s="21">
        <v>1800000</v>
      </c>
      <c r="N506" s="17" t="s">
        <v>13979</v>
      </c>
      <c r="O506" s="17" t="s">
        <v>477</v>
      </c>
      <c r="P506" s="17" t="s">
        <v>2563</v>
      </c>
      <c r="Q506" s="17" t="s">
        <v>25</v>
      </c>
      <c r="R506" s="17" t="s">
        <v>2564</v>
      </c>
      <c r="S506" s="17" t="s">
        <v>477</v>
      </c>
      <c r="T506" s="17" t="s">
        <v>2565</v>
      </c>
      <c r="U506" s="17" t="s">
        <v>25</v>
      </c>
      <c r="V506" s="17" t="s">
        <v>2566</v>
      </c>
      <c r="W506" s="8" t="s">
        <v>6379</v>
      </c>
      <c r="X506" s="8" t="s">
        <v>13471</v>
      </c>
      <c r="Y506" t="s">
        <v>4559</v>
      </c>
      <c r="Z506" s="8" t="s">
        <v>13470</v>
      </c>
      <c r="AA506" s="8" t="s">
        <v>4727</v>
      </c>
      <c r="AB506" s="17" t="str">
        <f t="shared" ref="AB506:AB530" si="8">"GPR"&amp;E506&amp;F506</f>
        <v>GPR08051M8</v>
      </c>
    </row>
    <row r="507" spans="1:28">
      <c r="A507" s="17" t="s">
        <v>2567</v>
      </c>
      <c r="B507" s="17" t="s">
        <v>2567</v>
      </c>
      <c r="C507" s="17" t="s">
        <v>2568</v>
      </c>
      <c r="D507" s="17" t="s">
        <v>21</v>
      </c>
      <c r="E507" s="24" t="s">
        <v>6446</v>
      </c>
      <c r="F507" s="17" t="s">
        <v>383</v>
      </c>
      <c r="G507" s="17" t="str">
        <f>Config!$B$3</f>
        <v>SCH/R_IEC.SchLib</v>
      </c>
      <c r="H507" s="17" t="s">
        <v>419</v>
      </c>
      <c r="I507" s="17" t="s">
        <v>461</v>
      </c>
      <c r="J507" s="17" t="s">
        <v>1752</v>
      </c>
      <c r="K507" s="17"/>
      <c r="L507" s="17"/>
      <c r="M507" s="21">
        <v>2000000</v>
      </c>
      <c r="N507" s="17" t="s">
        <v>13979</v>
      </c>
      <c r="O507" s="17" t="s">
        <v>477</v>
      </c>
      <c r="P507" s="17" t="s">
        <v>2569</v>
      </c>
      <c r="Q507" s="17" t="s">
        <v>25</v>
      </c>
      <c r="R507" s="17" t="s">
        <v>2570</v>
      </c>
      <c r="S507" s="17"/>
      <c r="T507" s="17"/>
      <c r="U507" s="17"/>
      <c r="V507" s="17"/>
      <c r="W507" s="17" t="s">
        <v>477</v>
      </c>
      <c r="X507" s="17" t="s">
        <v>2569</v>
      </c>
      <c r="Y507" s="17" t="s">
        <v>4559</v>
      </c>
      <c r="Z507" s="17" t="s">
        <v>14470</v>
      </c>
      <c r="AA507" t="s">
        <v>4727</v>
      </c>
      <c r="AB507" s="17" t="str">
        <f t="shared" si="8"/>
        <v>GPR08052M</v>
      </c>
    </row>
    <row r="508" spans="1:28">
      <c r="A508" s="17" t="s">
        <v>16553</v>
      </c>
      <c r="B508" s="17" t="s">
        <v>16553</v>
      </c>
      <c r="C508" s="17" t="s">
        <v>16562</v>
      </c>
      <c r="D508" s="17" t="s">
        <v>21</v>
      </c>
      <c r="E508" s="24" t="s">
        <v>6446</v>
      </c>
      <c r="F508" s="17" t="s">
        <v>383</v>
      </c>
      <c r="G508" s="17" t="str">
        <f>Config!$B$3</f>
        <v>SCH/R_IEC.SchLib</v>
      </c>
      <c r="H508" s="17" t="s">
        <v>419</v>
      </c>
      <c r="I508" s="17" t="s">
        <v>461</v>
      </c>
      <c r="J508" s="17" t="s">
        <v>16547</v>
      </c>
      <c r="K508" s="17"/>
      <c r="L508" s="17"/>
      <c r="M508" s="21">
        <v>2000000</v>
      </c>
      <c r="N508" s="17" t="s">
        <v>13980</v>
      </c>
      <c r="O508" s="17" t="s">
        <v>477</v>
      </c>
      <c r="P508" s="17" t="s">
        <v>16572</v>
      </c>
      <c r="Q508" t="s">
        <v>25</v>
      </c>
      <c r="R508" s="17" t="s">
        <v>16573</v>
      </c>
      <c r="S508" s="17"/>
      <c r="T508" s="17"/>
      <c r="U508" s="17"/>
      <c r="V508" s="17"/>
      <c r="W508" s="17" t="s">
        <v>477</v>
      </c>
      <c r="X508" s="17" t="s">
        <v>16572</v>
      </c>
      <c r="Y508" t="s">
        <v>4559</v>
      </c>
      <c r="Z508" s="17" t="s">
        <v>16585</v>
      </c>
      <c r="AA508" t="s">
        <v>4727</v>
      </c>
      <c r="AB508" s="17"/>
    </row>
    <row r="509" spans="1:28">
      <c r="A509" s="17" t="s">
        <v>2571</v>
      </c>
      <c r="B509" s="17" t="s">
        <v>2571</v>
      </c>
      <c r="C509" s="17" t="s">
        <v>2572</v>
      </c>
      <c r="D509" s="17" t="s">
        <v>21</v>
      </c>
      <c r="E509" s="24" t="s">
        <v>6446</v>
      </c>
      <c r="F509" s="17" t="s">
        <v>385</v>
      </c>
      <c r="G509" s="17" t="str">
        <f>Config!$B$3</f>
        <v>SCH/R_IEC.SchLib</v>
      </c>
      <c r="H509" s="17" t="s">
        <v>419</v>
      </c>
      <c r="I509" s="17" t="s">
        <v>461</v>
      </c>
      <c r="J509" s="17" t="s">
        <v>1752</v>
      </c>
      <c r="K509" s="17"/>
      <c r="L509" s="17"/>
      <c r="M509" s="21">
        <v>2200000</v>
      </c>
      <c r="N509" s="17" t="s">
        <v>13979</v>
      </c>
      <c r="O509" s="17" t="s">
        <v>477</v>
      </c>
      <c r="P509" s="17" t="s">
        <v>2573</v>
      </c>
      <c r="Q509" s="17" t="s">
        <v>25</v>
      </c>
      <c r="R509" s="17" t="s">
        <v>2574</v>
      </c>
      <c r="S509" s="17" t="s">
        <v>477</v>
      </c>
      <c r="T509" s="17" t="s">
        <v>2575</v>
      </c>
      <c r="U509" s="17" t="s">
        <v>25</v>
      </c>
      <c r="V509" s="17" t="s">
        <v>2576</v>
      </c>
      <c r="AB509" s="17" t="str">
        <f t="shared" si="8"/>
        <v>GPR08052M2</v>
      </c>
    </row>
    <row r="510" spans="1:28">
      <c r="A510" s="17" t="s">
        <v>16554</v>
      </c>
      <c r="B510" s="17" t="s">
        <v>16554</v>
      </c>
      <c r="C510" s="17" t="s">
        <v>16561</v>
      </c>
      <c r="D510" s="17" t="s">
        <v>21</v>
      </c>
      <c r="E510" s="24" t="s">
        <v>6446</v>
      </c>
      <c r="F510" s="17" t="s">
        <v>385</v>
      </c>
      <c r="G510" s="17" t="str">
        <f>Config!$B$3</f>
        <v>SCH/R_IEC.SchLib</v>
      </c>
      <c r="H510" s="17" t="s">
        <v>419</v>
      </c>
      <c r="I510" s="17" t="s">
        <v>461</v>
      </c>
      <c r="J510" s="17" t="s">
        <v>16547</v>
      </c>
      <c r="K510" s="17"/>
      <c r="L510" s="17"/>
      <c r="M510" s="21">
        <v>2200000</v>
      </c>
      <c r="N510" s="17" t="s">
        <v>13980</v>
      </c>
      <c r="O510" s="17" t="s">
        <v>477</v>
      </c>
      <c r="P510" s="17" t="s">
        <v>16570</v>
      </c>
      <c r="Q510" t="s">
        <v>25</v>
      </c>
      <c r="R510" s="17" t="s">
        <v>16571</v>
      </c>
      <c r="S510" s="17"/>
      <c r="T510" s="17"/>
      <c r="U510" s="17"/>
      <c r="V510" s="17"/>
      <c r="W510" s="17" t="s">
        <v>6379</v>
      </c>
      <c r="X510" s="17" t="s">
        <v>16586</v>
      </c>
      <c r="Y510" t="s">
        <v>4559</v>
      </c>
      <c r="Z510" s="17" t="s">
        <v>16587</v>
      </c>
      <c r="AA510" t="s">
        <v>4727</v>
      </c>
      <c r="AB510" s="17"/>
    </row>
    <row r="511" spans="1:28">
      <c r="A511" s="17" t="s">
        <v>2577</v>
      </c>
      <c r="B511" s="17" t="s">
        <v>2577</v>
      </c>
      <c r="C511" s="17" t="s">
        <v>2578</v>
      </c>
      <c r="D511" s="17" t="s">
        <v>21</v>
      </c>
      <c r="E511" s="24" t="s">
        <v>6446</v>
      </c>
      <c r="F511" s="17" t="s">
        <v>387</v>
      </c>
      <c r="G511" s="17" t="str">
        <f>Config!$B$3</f>
        <v>SCH/R_IEC.SchLib</v>
      </c>
      <c r="H511" s="17" t="s">
        <v>419</v>
      </c>
      <c r="I511" s="17" t="s">
        <v>461</v>
      </c>
      <c r="J511" s="17" t="s">
        <v>1752</v>
      </c>
      <c r="K511" s="17"/>
      <c r="L511" s="17"/>
      <c r="M511" s="21">
        <v>2400000</v>
      </c>
      <c r="N511" s="17" t="s">
        <v>13979</v>
      </c>
      <c r="O511" s="17" t="s">
        <v>477</v>
      </c>
      <c r="P511" s="17" t="s">
        <v>2579</v>
      </c>
      <c r="Q511" s="17" t="s">
        <v>25</v>
      </c>
      <c r="R511" s="17" t="s">
        <v>2580</v>
      </c>
      <c r="S511" s="17"/>
      <c r="T511" s="17"/>
      <c r="U511" s="17"/>
      <c r="V511" s="17"/>
      <c r="W511" s="17"/>
      <c r="X511" s="17"/>
      <c r="Y511" s="17"/>
      <c r="Z511" s="17"/>
      <c r="AA511" s="17"/>
      <c r="AB511" s="17" t="str">
        <f t="shared" si="8"/>
        <v>GPR08052M4</v>
      </c>
    </row>
    <row r="512" spans="1:28">
      <c r="A512" s="17" t="s">
        <v>2581</v>
      </c>
      <c r="B512" s="17" t="s">
        <v>2581</v>
      </c>
      <c r="C512" s="17" t="s">
        <v>2582</v>
      </c>
      <c r="D512" s="17" t="s">
        <v>21</v>
      </c>
      <c r="E512" s="24" t="s">
        <v>6446</v>
      </c>
      <c r="F512" s="17" t="s">
        <v>389</v>
      </c>
      <c r="G512" s="17" t="str">
        <f>Config!$B$3</f>
        <v>SCH/R_IEC.SchLib</v>
      </c>
      <c r="H512" s="17" t="s">
        <v>419</v>
      </c>
      <c r="I512" s="17" t="s">
        <v>461</v>
      </c>
      <c r="J512" s="17" t="s">
        <v>1752</v>
      </c>
      <c r="K512" s="17"/>
      <c r="L512" s="17"/>
      <c r="M512" s="21">
        <v>2700000</v>
      </c>
      <c r="N512" s="17" t="s">
        <v>13979</v>
      </c>
      <c r="O512" s="17" t="s">
        <v>477</v>
      </c>
      <c r="P512" s="17" t="s">
        <v>2583</v>
      </c>
      <c r="Q512" s="17" t="s">
        <v>25</v>
      </c>
      <c r="R512" s="17" t="s">
        <v>2584</v>
      </c>
      <c r="S512" s="17"/>
      <c r="T512" s="17"/>
      <c r="U512" s="17"/>
      <c r="V512" s="17"/>
      <c r="W512" s="17"/>
      <c r="X512" s="17"/>
      <c r="Y512" s="17"/>
      <c r="Z512" s="17"/>
      <c r="AA512" s="17"/>
      <c r="AB512" s="17" t="str">
        <f t="shared" si="8"/>
        <v>GPR08052M7</v>
      </c>
    </row>
    <row r="513" spans="1:28">
      <c r="A513" s="17" t="s">
        <v>2585</v>
      </c>
      <c r="B513" s="17" t="s">
        <v>2585</v>
      </c>
      <c r="C513" s="17" t="s">
        <v>2586</v>
      </c>
      <c r="D513" s="17" t="s">
        <v>21</v>
      </c>
      <c r="E513" s="24" t="s">
        <v>6446</v>
      </c>
      <c r="F513" s="17" t="s">
        <v>391</v>
      </c>
      <c r="G513" s="17" t="str">
        <f>Config!$B$3</f>
        <v>SCH/R_IEC.SchLib</v>
      </c>
      <c r="H513" s="17" t="s">
        <v>419</v>
      </c>
      <c r="I513" s="17" t="s">
        <v>461</v>
      </c>
      <c r="J513" s="17" t="s">
        <v>1752</v>
      </c>
      <c r="K513" s="17"/>
      <c r="L513" s="17"/>
      <c r="M513" s="21">
        <v>3000000</v>
      </c>
      <c r="N513" s="17" t="s">
        <v>13979</v>
      </c>
      <c r="O513" s="17" t="s">
        <v>477</v>
      </c>
      <c r="P513" s="17" t="s">
        <v>2587</v>
      </c>
      <c r="Q513" s="17" t="s">
        <v>25</v>
      </c>
      <c r="R513" s="17" t="s">
        <v>2588</v>
      </c>
      <c r="S513" s="17"/>
      <c r="T513" s="17"/>
      <c r="U513" s="17"/>
      <c r="V513" s="17"/>
      <c r="W513" s="17"/>
      <c r="X513" s="17"/>
      <c r="Y513" s="17"/>
      <c r="Z513" s="17"/>
      <c r="AA513" s="17"/>
      <c r="AB513" s="17" t="str">
        <f t="shared" si="8"/>
        <v>GPR08053M</v>
      </c>
    </row>
    <row r="514" spans="1:28">
      <c r="A514" s="17" t="s">
        <v>2589</v>
      </c>
      <c r="B514" s="17" t="s">
        <v>2589</v>
      </c>
      <c r="C514" s="17" t="s">
        <v>2590</v>
      </c>
      <c r="D514" s="17" t="s">
        <v>21</v>
      </c>
      <c r="E514" s="24" t="s">
        <v>6446</v>
      </c>
      <c r="F514" s="17" t="s">
        <v>393</v>
      </c>
      <c r="G514" s="17" t="str">
        <f>Config!$B$3</f>
        <v>SCH/R_IEC.SchLib</v>
      </c>
      <c r="H514" s="17" t="s">
        <v>419</v>
      </c>
      <c r="I514" s="17" t="s">
        <v>461</v>
      </c>
      <c r="J514" s="17" t="s">
        <v>1752</v>
      </c>
      <c r="K514" s="17"/>
      <c r="L514" s="17"/>
      <c r="M514" s="21">
        <v>3300000</v>
      </c>
      <c r="N514" s="17" t="s">
        <v>13979</v>
      </c>
      <c r="O514" s="17" t="s">
        <v>477</v>
      </c>
      <c r="P514" s="17" t="s">
        <v>2591</v>
      </c>
      <c r="Q514" s="17" t="s">
        <v>25</v>
      </c>
      <c r="R514" s="17" t="s">
        <v>2592</v>
      </c>
      <c r="S514" s="17"/>
      <c r="T514" s="17"/>
      <c r="U514" s="17"/>
      <c r="V514" s="17"/>
      <c r="W514" s="17"/>
      <c r="X514" s="17"/>
      <c r="Y514" s="17"/>
      <c r="Z514" s="17"/>
      <c r="AA514" s="17"/>
      <c r="AB514" s="17" t="str">
        <f t="shared" si="8"/>
        <v>GPR08053M3</v>
      </c>
    </row>
    <row r="515" spans="1:28">
      <c r="A515" s="17" t="s">
        <v>16555</v>
      </c>
      <c r="B515" s="17" t="s">
        <v>16555</v>
      </c>
      <c r="C515" s="17" t="s">
        <v>16560</v>
      </c>
      <c r="D515" s="17" t="s">
        <v>21</v>
      </c>
      <c r="E515" s="24" t="s">
        <v>6446</v>
      </c>
      <c r="F515" s="17" t="s">
        <v>393</v>
      </c>
      <c r="G515" s="17" t="str">
        <f>Config!$B$3</f>
        <v>SCH/R_IEC.SchLib</v>
      </c>
      <c r="H515" s="17" t="s">
        <v>419</v>
      </c>
      <c r="I515" s="17" t="s">
        <v>461</v>
      </c>
      <c r="J515" s="17" t="s">
        <v>16547</v>
      </c>
      <c r="K515" s="17"/>
      <c r="L515" s="17"/>
      <c r="M515" s="21">
        <v>3300000</v>
      </c>
      <c r="N515" s="17" t="s">
        <v>13980</v>
      </c>
      <c r="O515" s="17" t="s">
        <v>477</v>
      </c>
      <c r="P515" s="17" t="s">
        <v>16574</v>
      </c>
      <c r="Q515" t="s">
        <v>25</v>
      </c>
      <c r="R515" s="17" t="s">
        <v>16575</v>
      </c>
      <c r="S515" s="17"/>
      <c r="T515" s="17"/>
      <c r="U515" s="17"/>
      <c r="V515" s="17"/>
      <c r="W515" s="17" t="s">
        <v>477</v>
      </c>
      <c r="X515" s="17" t="s">
        <v>16588</v>
      </c>
      <c r="Y515" s="17" t="s">
        <v>4559</v>
      </c>
      <c r="Z515" s="17" t="s">
        <v>16589</v>
      </c>
      <c r="AA515" t="s">
        <v>4727</v>
      </c>
      <c r="AB515" s="17"/>
    </row>
    <row r="516" spans="1:28">
      <c r="A516" s="17" t="s">
        <v>2593</v>
      </c>
      <c r="B516" s="17" t="s">
        <v>2593</v>
      </c>
      <c r="C516" s="17" t="s">
        <v>2594</v>
      </c>
      <c r="D516" s="17" t="s">
        <v>21</v>
      </c>
      <c r="E516" s="24" t="s">
        <v>6446</v>
      </c>
      <c r="F516" s="17" t="s">
        <v>395</v>
      </c>
      <c r="G516" s="17" t="str">
        <f>Config!$B$3</f>
        <v>SCH/R_IEC.SchLib</v>
      </c>
      <c r="H516" s="17" t="s">
        <v>419</v>
      </c>
      <c r="I516" s="17" t="s">
        <v>461</v>
      </c>
      <c r="J516" s="17" t="s">
        <v>1752</v>
      </c>
      <c r="K516" s="17"/>
      <c r="L516" s="17"/>
      <c r="M516" s="21">
        <v>3600000</v>
      </c>
      <c r="N516" s="17" t="s">
        <v>13979</v>
      </c>
      <c r="O516" s="17" t="s">
        <v>477</v>
      </c>
      <c r="P516" s="17" t="s">
        <v>2595</v>
      </c>
      <c r="Q516" s="17" t="s">
        <v>25</v>
      </c>
      <c r="R516" s="17" t="s">
        <v>2596</v>
      </c>
      <c r="S516" s="17"/>
      <c r="T516" s="17"/>
      <c r="U516" s="17"/>
      <c r="V516" s="17"/>
      <c r="W516" s="17"/>
      <c r="X516" s="17"/>
      <c r="Y516" s="17"/>
      <c r="Z516" s="17"/>
      <c r="AA516" s="17"/>
      <c r="AB516" s="17" t="str">
        <f t="shared" si="8"/>
        <v>GPR08053M6</v>
      </c>
    </row>
    <row r="517" spans="1:28">
      <c r="A517" s="17" t="s">
        <v>2597</v>
      </c>
      <c r="B517" s="17" t="s">
        <v>2597</v>
      </c>
      <c r="C517" s="17" t="s">
        <v>2598</v>
      </c>
      <c r="D517" s="17" t="s">
        <v>21</v>
      </c>
      <c r="E517" s="24" t="s">
        <v>6446</v>
      </c>
      <c r="F517" s="17" t="s">
        <v>397</v>
      </c>
      <c r="G517" s="17" t="str">
        <f>Config!$B$3</f>
        <v>SCH/R_IEC.SchLib</v>
      </c>
      <c r="H517" s="17" t="s">
        <v>419</v>
      </c>
      <c r="I517" s="17" t="s">
        <v>461</v>
      </c>
      <c r="J517" s="17" t="s">
        <v>1752</v>
      </c>
      <c r="K517" s="17"/>
      <c r="L517" s="17"/>
      <c r="M517" s="21">
        <v>3900000</v>
      </c>
      <c r="N517" s="17" t="s">
        <v>13979</v>
      </c>
      <c r="O517" s="17" t="s">
        <v>477</v>
      </c>
      <c r="P517" s="17" t="s">
        <v>2599</v>
      </c>
      <c r="Q517" s="17" t="s">
        <v>25</v>
      </c>
      <c r="R517" s="17" t="s">
        <v>2600</v>
      </c>
      <c r="S517" s="17"/>
      <c r="T517" s="17"/>
      <c r="U517" s="17"/>
      <c r="V517" s="17"/>
      <c r="W517" s="17"/>
      <c r="X517" s="17"/>
      <c r="Y517" s="17"/>
      <c r="Z517" s="17"/>
      <c r="AA517" s="17"/>
      <c r="AB517" s="17" t="str">
        <f t="shared" si="8"/>
        <v>GPR08053M9</v>
      </c>
    </row>
    <row r="518" spans="1:28">
      <c r="A518" s="17" t="s">
        <v>2601</v>
      </c>
      <c r="B518" s="17" t="s">
        <v>2601</v>
      </c>
      <c r="C518" s="17" t="s">
        <v>2602</v>
      </c>
      <c r="D518" s="17" t="s">
        <v>21</v>
      </c>
      <c r="E518" s="24" t="s">
        <v>6446</v>
      </c>
      <c r="F518" s="17" t="s">
        <v>399</v>
      </c>
      <c r="G518" s="17" t="str">
        <f>Config!$B$3</f>
        <v>SCH/R_IEC.SchLib</v>
      </c>
      <c r="H518" s="17" t="s">
        <v>419</v>
      </c>
      <c r="I518" s="17" t="s">
        <v>461</v>
      </c>
      <c r="J518" s="17" t="s">
        <v>1752</v>
      </c>
      <c r="K518" s="17"/>
      <c r="L518" s="17"/>
      <c r="M518" s="21">
        <v>4300000</v>
      </c>
      <c r="N518" s="17" t="s">
        <v>13979</v>
      </c>
      <c r="O518" s="17" t="s">
        <v>477</v>
      </c>
      <c r="P518" s="17" t="s">
        <v>2603</v>
      </c>
      <c r="Q518" s="17" t="s">
        <v>25</v>
      </c>
      <c r="R518" s="17" t="s">
        <v>2604</v>
      </c>
      <c r="S518" s="17"/>
      <c r="T518" s="17"/>
      <c r="U518" s="17"/>
      <c r="V518" s="17"/>
      <c r="W518" s="17"/>
      <c r="X518" s="17"/>
      <c r="Y518" s="17"/>
      <c r="Z518" s="17"/>
      <c r="AA518" s="17"/>
      <c r="AB518" s="17" t="str">
        <f t="shared" si="8"/>
        <v>GPR08054M3</v>
      </c>
    </row>
    <row r="519" spans="1:28">
      <c r="A519" s="17" t="s">
        <v>2605</v>
      </c>
      <c r="B519" s="17" t="s">
        <v>2605</v>
      </c>
      <c r="C519" s="17" t="s">
        <v>2606</v>
      </c>
      <c r="D519" s="17" t="s">
        <v>21</v>
      </c>
      <c r="E519" s="24" t="s">
        <v>6446</v>
      </c>
      <c r="F519" s="17" t="s">
        <v>401</v>
      </c>
      <c r="G519" s="17" t="str">
        <f>Config!$B$3</f>
        <v>SCH/R_IEC.SchLib</v>
      </c>
      <c r="H519" s="17" t="s">
        <v>419</v>
      </c>
      <c r="I519" s="17" t="s">
        <v>461</v>
      </c>
      <c r="J519" s="17" t="s">
        <v>1752</v>
      </c>
      <c r="K519" s="17"/>
      <c r="L519" s="17"/>
      <c r="M519" s="21">
        <v>4700000</v>
      </c>
      <c r="N519" s="17" t="s">
        <v>13979</v>
      </c>
      <c r="O519" s="17" t="s">
        <v>477</v>
      </c>
      <c r="P519" s="17" t="s">
        <v>2607</v>
      </c>
      <c r="Q519" s="17" t="s">
        <v>25</v>
      </c>
      <c r="R519" s="17" t="s">
        <v>2608</v>
      </c>
      <c r="S519" s="17" t="s">
        <v>477</v>
      </c>
      <c r="T519" s="17" t="s">
        <v>2609</v>
      </c>
      <c r="U519" s="17" t="s">
        <v>25</v>
      </c>
      <c r="V519" s="17" t="s">
        <v>2610</v>
      </c>
      <c r="W519" s="17"/>
      <c r="X519" s="17"/>
      <c r="Y519" s="17"/>
      <c r="Z519" s="17"/>
      <c r="AA519" s="17"/>
      <c r="AB519" s="17" t="str">
        <f t="shared" si="8"/>
        <v>GPR08054M7</v>
      </c>
    </row>
    <row r="520" spans="1:28">
      <c r="A520" s="17" t="s">
        <v>2611</v>
      </c>
      <c r="B520" s="17" t="s">
        <v>2611</v>
      </c>
      <c r="C520" s="17" t="s">
        <v>2612</v>
      </c>
      <c r="D520" s="17" t="s">
        <v>21</v>
      </c>
      <c r="E520" s="24" t="s">
        <v>6446</v>
      </c>
      <c r="F520" s="17" t="s">
        <v>403</v>
      </c>
      <c r="G520" s="17" t="str">
        <f>Config!$B$3</f>
        <v>SCH/R_IEC.SchLib</v>
      </c>
      <c r="H520" s="17" t="s">
        <v>419</v>
      </c>
      <c r="I520" s="17" t="s">
        <v>461</v>
      </c>
      <c r="J520" s="17" t="s">
        <v>1752</v>
      </c>
      <c r="K520" s="17"/>
      <c r="L520" s="17"/>
      <c r="M520" s="21">
        <v>5100000</v>
      </c>
      <c r="N520" s="17" t="s">
        <v>13979</v>
      </c>
      <c r="O520" s="17" t="s">
        <v>477</v>
      </c>
      <c r="P520" s="17" t="s">
        <v>2613</v>
      </c>
      <c r="Q520" s="17" t="s">
        <v>25</v>
      </c>
      <c r="R520" s="17" t="s">
        <v>2614</v>
      </c>
      <c r="S520" s="17"/>
      <c r="T520" s="17"/>
      <c r="U520" s="17"/>
      <c r="V520" s="17"/>
      <c r="W520" s="17"/>
      <c r="X520" s="17"/>
      <c r="Y520" s="17"/>
      <c r="Z520" s="17"/>
      <c r="AA520" s="17"/>
      <c r="AB520" s="17" t="str">
        <f t="shared" si="8"/>
        <v>GPR08055M1</v>
      </c>
    </row>
    <row r="521" spans="1:28">
      <c r="A521" s="17" t="s">
        <v>2615</v>
      </c>
      <c r="B521" s="17" t="s">
        <v>2615</v>
      </c>
      <c r="C521" s="17" t="s">
        <v>2616</v>
      </c>
      <c r="D521" s="17" t="s">
        <v>21</v>
      </c>
      <c r="E521" s="24" t="s">
        <v>6446</v>
      </c>
      <c r="F521" s="17" t="s">
        <v>405</v>
      </c>
      <c r="G521" s="17" t="str">
        <f>Config!$B$3</f>
        <v>SCH/R_IEC.SchLib</v>
      </c>
      <c r="H521" s="17" t="s">
        <v>419</v>
      </c>
      <c r="I521" s="17" t="s">
        <v>461</v>
      </c>
      <c r="J521" s="17" t="s">
        <v>1752</v>
      </c>
      <c r="K521" s="17"/>
      <c r="L521" s="17"/>
      <c r="M521" s="21">
        <v>5600000</v>
      </c>
      <c r="N521" s="17" t="s">
        <v>13979</v>
      </c>
      <c r="O521" s="17" t="s">
        <v>477</v>
      </c>
      <c r="P521" s="17" t="s">
        <v>2617</v>
      </c>
      <c r="Q521" s="17" t="s">
        <v>25</v>
      </c>
      <c r="R521" s="17" t="s">
        <v>2618</v>
      </c>
      <c r="S521" s="17"/>
      <c r="T521" s="17"/>
      <c r="U521" s="17"/>
      <c r="V521" s="17"/>
      <c r="W521" s="17"/>
      <c r="X521" s="17"/>
      <c r="Y521" s="17"/>
      <c r="Z521" s="17"/>
      <c r="AA521" s="17"/>
      <c r="AB521" s="17" t="str">
        <f t="shared" si="8"/>
        <v>GPR08055M6</v>
      </c>
    </row>
    <row r="522" spans="1:28">
      <c r="A522" s="17" t="s">
        <v>16556</v>
      </c>
      <c r="B522" s="17" t="s">
        <v>16556</v>
      </c>
      <c r="C522" s="17" t="s">
        <v>16559</v>
      </c>
      <c r="D522" s="17" t="s">
        <v>21</v>
      </c>
      <c r="E522" s="24" t="s">
        <v>6446</v>
      </c>
      <c r="F522" s="17" t="s">
        <v>405</v>
      </c>
      <c r="G522" s="17" t="str">
        <f>Config!$B$3</f>
        <v>SCH/R_IEC.SchLib</v>
      </c>
      <c r="H522" s="17" t="s">
        <v>419</v>
      </c>
      <c r="I522" s="17" t="s">
        <v>461</v>
      </c>
      <c r="J522" s="17" t="s">
        <v>16547</v>
      </c>
      <c r="K522" s="17"/>
      <c r="L522" s="17"/>
      <c r="M522" s="21">
        <v>5600000</v>
      </c>
      <c r="N522" s="17" t="s">
        <v>13980</v>
      </c>
      <c r="O522" s="17" t="s">
        <v>477</v>
      </c>
      <c r="P522" s="17" t="s">
        <v>16576</v>
      </c>
      <c r="Q522" t="s">
        <v>25</v>
      </c>
      <c r="R522" s="17" t="s">
        <v>16577</v>
      </c>
      <c r="S522" s="17"/>
      <c r="T522" s="17"/>
      <c r="U522" s="17"/>
      <c r="V522" s="17"/>
      <c r="W522" s="17" t="s">
        <v>477</v>
      </c>
      <c r="X522" s="17" t="s">
        <v>16576</v>
      </c>
      <c r="Y522" s="17" t="s">
        <v>4559</v>
      </c>
      <c r="Z522" s="17" t="s">
        <v>16590</v>
      </c>
      <c r="AA522" t="s">
        <v>4727</v>
      </c>
      <c r="AB522" s="17"/>
    </row>
    <row r="523" spans="1:28">
      <c r="A523" s="17" t="s">
        <v>2619</v>
      </c>
      <c r="B523" s="17" t="s">
        <v>2619</v>
      </c>
      <c r="C523" s="17" t="s">
        <v>2620</v>
      </c>
      <c r="D523" s="17" t="s">
        <v>21</v>
      </c>
      <c r="E523" s="24" t="s">
        <v>6446</v>
      </c>
      <c r="F523" s="17" t="s">
        <v>407</v>
      </c>
      <c r="G523" s="17" t="str">
        <f>Config!$B$3</f>
        <v>SCH/R_IEC.SchLib</v>
      </c>
      <c r="H523" s="17" t="s">
        <v>419</v>
      </c>
      <c r="I523" s="17" t="s">
        <v>461</v>
      </c>
      <c r="J523" s="17" t="s">
        <v>1752</v>
      </c>
      <c r="K523" s="17"/>
      <c r="L523" s="17"/>
      <c r="M523" s="21">
        <v>6200000</v>
      </c>
      <c r="N523" s="17" t="s">
        <v>13979</v>
      </c>
      <c r="O523" s="17" t="s">
        <v>477</v>
      </c>
      <c r="P523" s="17" t="s">
        <v>2621</v>
      </c>
      <c r="Q523" s="17" t="s">
        <v>25</v>
      </c>
      <c r="R523" s="17" t="s">
        <v>2622</v>
      </c>
      <c r="S523" s="17"/>
      <c r="T523" s="17"/>
      <c r="U523" s="17"/>
      <c r="V523" s="17"/>
      <c r="W523" s="17"/>
      <c r="X523" s="17"/>
      <c r="Y523" s="17"/>
      <c r="Z523" s="17"/>
      <c r="AA523" s="17"/>
      <c r="AB523" s="17" t="str">
        <f t="shared" si="8"/>
        <v>GPR08056M2</v>
      </c>
    </row>
    <row r="524" spans="1:28">
      <c r="A524" s="17" t="s">
        <v>16557</v>
      </c>
      <c r="B524" s="17" t="s">
        <v>16557</v>
      </c>
      <c r="C524" s="17" t="s">
        <v>16558</v>
      </c>
      <c r="D524" s="17" t="s">
        <v>21</v>
      </c>
      <c r="E524" s="24" t="s">
        <v>6446</v>
      </c>
      <c r="F524" s="17" t="s">
        <v>407</v>
      </c>
      <c r="G524" s="17" t="str">
        <f>Config!$B$3</f>
        <v>SCH/R_IEC.SchLib</v>
      </c>
      <c r="H524" s="17" t="s">
        <v>419</v>
      </c>
      <c r="I524" s="17" t="s">
        <v>461</v>
      </c>
      <c r="J524" s="17" t="s">
        <v>16547</v>
      </c>
      <c r="K524" s="17"/>
      <c r="L524" s="17"/>
      <c r="M524" s="21">
        <v>6200000</v>
      </c>
      <c r="N524" s="17" t="s">
        <v>13980</v>
      </c>
      <c r="O524" s="17" t="s">
        <v>477</v>
      </c>
      <c r="P524" s="17" t="s">
        <v>16578</v>
      </c>
      <c r="Q524" t="s">
        <v>25</v>
      </c>
      <c r="R524" s="17" t="s">
        <v>16579</v>
      </c>
      <c r="S524" s="17"/>
      <c r="T524" s="17"/>
      <c r="U524" s="17"/>
      <c r="V524" s="17"/>
      <c r="W524" s="17" t="s">
        <v>16591</v>
      </c>
      <c r="X524" s="17" t="s">
        <v>16592</v>
      </c>
      <c r="Y524" s="17" t="s">
        <v>4559</v>
      </c>
      <c r="Z524" s="17" t="s">
        <v>16593</v>
      </c>
      <c r="AA524" t="s">
        <v>4727</v>
      </c>
      <c r="AB524" s="17"/>
    </row>
    <row r="525" spans="1:28">
      <c r="A525" s="17" t="s">
        <v>2623</v>
      </c>
      <c r="B525" s="17" t="s">
        <v>2623</v>
      </c>
      <c r="C525" s="17" t="s">
        <v>2624</v>
      </c>
      <c r="D525" s="17" t="s">
        <v>21</v>
      </c>
      <c r="E525" s="24" t="s">
        <v>6446</v>
      </c>
      <c r="F525" s="17" t="s">
        <v>409</v>
      </c>
      <c r="G525" s="17" t="str">
        <f>Config!$B$3</f>
        <v>SCH/R_IEC.SchLib</v>
      </c>
      <c r="H525" s="17" t="s">
        <v>419</v>
      </c>
      <c r="I525" s="17" t="s">
        <v>461</v>
      </c>
      <c r="J525" s="17" t="s">
        <v>1752</v>
      </c>
      <c r="K525" s="17"/>
      <c r="L525" s="17"/>
      <c r="M525" s="21">
        <v>6800000</v>
      </c>
      <c r="N525" s="17" t="s">
        <v>13979</v>
      </c>
      <c r="O525" s="17" t="s">
        <v>477</v>
      </c>
      <c r="P525" s="17" t="s">
        <v>2625</v>
      </c>
      <c r="Q525" s="17" t="s">
        <v>25</v>
      </c>
      <c r="R525" s="17" t="s">
        <v>2626</v>
      </c>
      <c r="S525" s="17"/>
      <c r="T525" s="17"/>
      <c r="U525" s="17"/>
      <c r="V525" s="17"/>
      <c r="W525" s="17"/>
      <c r="X525" s="17"/>
      <c r="Y525" s="17"/>
      <c r="Z525" s="17"/>
      <c r="AA525" s="17"/>
      <c r="AB525" s="17" t="str">
        <f t="shared" si="8"/>
        <v>GPR08056M8</v>
      </c>
    </row>
    <row r="526" spans="1:28">
      <c r="A526" s="17" t="s">
        <v>2627</v>
      </c>
      <c r="B526" s="17" t="s">
        <v>2627</v>
      </c>
      <c r="C526" s="17" t="s">
        <v>2628</v>
      </c>
      <c r="D526" s="17" t="s">
        <v>21</v>
      </c>
      <c r="E526" s="24" t="s">
        <v>6446</v>
      </c>
      <c r="F526" s="17" t="s">
        <v>411</v>
      </c>
      <c r="G526" s="17" t="str">
        <f>Config!$B$3</f>
        <v>SCH/R_IEC.SchLib</v>
      </c>
      <c r="H526" s="17" t="s">
        <v>419</v>
      </c>
      <c r="I526" s="17" t="s">
        <v>461</v>
      </c>
      <c r="J526" s="17" t="s">
        <v>1752</v>
      </c>
      <c r="K526" s="17"/>
      <c r="L526" s="17"/>
      <c r="M526" s="21">
        <v>7500000</v>
      </c>
      <c r="N526" s="17" t="s">
        <v>13979</v>
      </c>
      <c r="O526" s="17" t="s">
        <v>477</v>
      </c>
      <c r="P526" s="17" t="s">
        <v>2629</v>
      </c>
      <c r="Q526" s="17" t="s">
        <v>25</v>
      </c>
      <c r="R526" s="17" t="s">
        <v>2630</v>
      </c>
      <c r="S526" s="17"/>
      <c r="T526" s="17"/>
      <c r="U526" s="17"/>
      <c r="V526" s="17"/>
      <c r="W526" s="17"/>
      <c r="X526" s="17"/>
      <c r="Y526" s="17"/>
      <c r="Z526" s="17"/>
      <c r="AA526" s="17"/>
      <c r="AB526" s="17" t="str">
        <f t="shared" si="8"/>
        <v>GPR08057M5</v>
      </c>
    </row>
    <row r="527" spans="1:28">
      <c r="A527" s="17" t="s">
        <v>2631</v>
      </c>
      <c r="B527" s="17" t="s">
        <v>2631</v>
      </c>
      <c r="C527" s="17" t="s">
        <v>2632</v>
      </c>
      <c r="D527" s="17" t="s">
        <v>21</v>
      </c>
      <c r="E527" s="24" t="s">
        <v>6446</v>
      </c>
      <c r="F527" s="17" t="s">
        <v>413</v>
      </c>
      <c r="G527" s="17" t="str">
        <f>Config!$B$3</f>
        <v>SCH/R_IEC.SchLib</v>
      </c>
      <c r="H527" s="17" t="s">
        <v>419</v>
      </c>
      <c r="I527" s="17" t="s">
        <v>461</v>
      </c>
      <c r="J527" s="17" t="s">
        <v>1752</v>
      </c>
      <c r="K527" s="17"/>
      <c r="L527" s="17"/>
      <c r="M527" s="21">
        <v>8200000</v>
      </c>
      <c r="N527" s="17" t="s">
        <v>13979</v>
      </c>
      <c r="O527" s="17" t="s">
        <v>477</v>
      </c>
      <c r="P527" s="17" t="s">
        <v>2633</v>
      </c>
      <c r="Q527" s="17" t="s">
        <v>25</v>
      </c>
      <c r="R527" s="17" t="s">
        <v>2634</v>
      </c>
      <c r="S527" s="17"/>
      <c r="T527" s="17"/>
      <c r="U527" s="17"/>
      <c r="V527" s="17"/>
      <c r="W527" s="17"/>
      <c r="X527" s="17"/>
      <c r="Y527" s="17"/>
      <c r="Z527" s="17"/>
      <c r="AA527" s="17"/>
      <c r="AB527" s="17" t="str">
        <f t="shared" si="8"/>
        <v>GPR08058M2</v>
      </c>
    </row>
    <row r="528" spans="1:28" ht="15.75">
      <c r="A528" s="17" t="s">
        <v>2635</v>
      </c>
      <c r="B528" s="17" t="s">
        <v>2635</v>
      </c>
      <c r="C528" s="17" t="s">
        <v>2636</v>
      </c>
      <c r="D528" s="17" t="s">
        <v>21</v>
      </c>
      <c r="E528" s="24" t="s">
        <v>6446</v>
      </c>
      <c r="F528" s="17" t="s">
        <v>415</v>
      </c>
      <c r="G528" s="17" t="str">
        <f>Config!$B$3</f>
        <v>SCH/R_IEC.SchLib</v>
      </c>
      <c r="H528" s="17" t="s">
        <v>419</v>
      </c>
      <c r="I528" s="17" t="s">
        <v>461</v>
      </c>
      <c r="J528" s="17" t="s">
        <v>1752</v>
      </c>
      <c r="K528" s="17"/>
      <c r="L528" s="17"/>
      <c r="M528" s="21">
        <v>9100000</v>
      </c>
      <c r="N528" s="17" t="s">
        <v>13979</v>
      </c>
      <c r="O528" s="17" t="s">
        <v>477</v>
      </c>
      <c r="P528" s="17" t="s">
        <v>2637</v>
      </c>
      <c r="Q528" s="17" t="s">
        <v>25</v>
      </c>
      <c r="R528" s="17" t="s">
        <v>2638</v>
      </c>
      <c r="S528" s="17"/>
      <c r="T528" s="17"/>
      <c r="U528" s="17"/>
      <c r="V528" s="17"/>
      <c r="W528" s="8" t="s">
        <v>6379</v>
      </c>
      <c r="X528" s="8" t="s">
        <v>13477</v>
      </c>
      <c r="Y528" s="17" t="s">
        <v>4559</v>
      </c>
      <c r="Z528" s="8" t="s">
        <v>13476</v>
      </c>
      <c r="AA528" s="17"/>
      <c r="AB528" s="17" t="str">
        <f t="shared" si="8"/>
        <v>GPR08059M1</v>
      </c>
    </row>
    <row r="529" spans="1:28">
      <c r="A529" s="17" t="s">
        <v>2639</v>
      </c>
      <c r="B529" s="17" t="s">
        <v>2639</v>
      </c>
      <c r="C529" s="17" t="s">
        <v>2640</v>
      </c>
      <c r="D529" s="17" t="s">
        <v>21</v>
      </c>
      <c r="E529" s="24" t="s">
        <v>6446</v>
      </c>
      <c r="F529" s="17" t="s">
        <v>417</v>
      </c>
      <c r="G529" s="17" t="str">
        <f>Config!$B$3</f>
        <v>SCH/R_IEC.SchLib</v>
      </c>
      <c r="H529" s="17" t="s">
        <v>419</v>
      </c>
      <c r="I529" s="17" t="s">
        <v>461</v>
      </c>
      <c r="J529" s="17" t="s">
        <v>1752</v>
      </c>
      <c r="K529" s="17"/>
      <c r="L529" s="17"/>
      <c r="M529" s="21">
        <v>10000000</v>
      </c>
      <c r="N529" s="17" t="s">
        <v>13979</v>
      </c>
      <c r="O529" s="17" t="s">
        <v>477</v>
      </c>
      <c r="P529" s="17" t="s">
        <v>2641</v>
      </c>
      <c r="Q529" s="17" t="s">
        <v>25</v>
      </c>
      <c r="R529" s="17" t="s">
        <v>2642</v>
      </c>
      <c r="S529" s="17" t="s">
        <v>477</v>
      </c>
      <c r="T529" s="17" t="s">
        <v>2643</v>
      </c>
      <c r="U529" s="17" t="s">
        <v>25</v>
      </c>
      <c r="V529" s="17" t="s">
        <v>2644</v>
      </c>
      <c r="W529" s="17" t="s">
        <v>477</v>
      </c>
      <c r="X529" s="17" t="s">
        <v>13986</v>
      </c>
      <c r="Y529" t="s">
        <v>4559</v>
      </c>
      <c r="Z529" s="17" t="s">
        <v>13987</v>
      </c>
      <c r="AA529" s="17"/>
      <c r="AB529" s="17" t="str">
        <f t="shared" si="8"/>
        <v>GPR080510M</v>
      </c>
    </row>
    <row r="530" spans="1:28">
      <c r="A530" t="s">
        <v>13988</v>
      </c>
      <c r="B530" t="s">
        <v>13988</v>
      </c>
      <c r="C530" s="17" t="s">
        <v>13990</v>
      </c>
      <c r="D530" t="s">
        <v>21</v>
      </c>
      <c r="E530" s="24" t="s">
        <v>6446</v>
      </c>
      <c r="F530" t="s">
        <v>417</v>
      </c>
      <c r="G530" s="17" t="str">
        <f>Config!$B$3</f>
        <v>SCH/R_IEC.SchLib</v>
      </c>
      <c r="H530" s="17" t="s">
        <v>419</v>
      </c>
      <c r="I530" s="17" t="s">
        <v>461</v>
      </c>
      <c r="J530" s="17" t="s">
        <v>16547</v>
      </c>
      <c r="K530" s="17"/>
      <c r="L530" s="17"/>
      <c r="M530" s="21">
        <v>10000000</v>
      </c>
      <c r="N530" s="17" t="s">
        <v>13980</v>
      </c>
      <c r="O530" s="17" t="s">
        <v>477</v>
      </c>
      <c r="P530" s="17" t="s">
        <v>13991</v>
      </c>
      <c r="Q530" t="s">
        <v>25</v>
      </c>
      <c r="R530" s="17" t="s">
        <v>13992</v>
      </c>
      <c r="S530" s="17"/>
      <c r="T530" s="17"/>
      <c r="U530" s="17"/>
      <c r="V530" s="17"/>
      <c r="W530" s="17" t="s">
        <v>477</v>
      </c>
      <c r="X530" s="17" t="s">
        <v>13991</v>
      </c>
      <c r="Y530" t="s">
        <v>4559</v>
      </c>
      <c r="Z530" s="17" t="s">
        <v>13993</v>
      </c>
      <c r="AA530" s="17"/>
      <c r="AB530" t="str">
        <f t="shared" si="8"/>
        <v>GPR080510M</v>
      </c>
    </row>
    <row r="531" spans="1:28">
      <c r="A531" s="16" t="s">
        <v>8882</v>
      </c>
      <c r="B531" s="16" t="s">
        <v>8882</v>
      </c>
      <c r="C531" s="16" t="s">
        <v>8883</v>
      </c>
      <c r="D531" s="16" t="s">
        <v>21</v>
      </c>
      <c r="E531" s="16">
        <v>1206</v>
      </c>
      <c r="F531" s="16" t="s">
        <v>23</v>
      </c>
      <c r="G531" s="17" t="str">
        <f>Config!$B$3</f>
        <v>SCH/R_IEC.SchLib</v>
      </c>
      <c r="H531" s="16" t="s">
        <v>419</v>
      </c>
      <c r="I531" s="18" t="s">
        <v>461</v>
      </c>
      <c r="J531" s="17" t="s">
        <v>6410</v>
      </c>
      <c r="K531" s="17"/>
      <c r="L531" s="17"/>
      <c r="M531" s="19">
        <v>0</v>
      </c>
      <c r="N531" s="17"/>
      <c r="O531" s="16"/>
      <c r="P531" s="17"/>
      <c r="Q531" s="16"/>
      <c r="R531" s="17"/>
      <c r="S531" s="16"/>
      <c r="T531" s="17"/>
      <c r="U531" s="16"/>
      <c r="V531" s="16"/>
      <c r="W531" s="17"/>
      <c r="X531" s="17"/>
      <c r="Y531" s="16"/>
      <c r="Z531" s="17"/>
      <c r="AA531" s="17"/>
      <c r="AB531" s="17"/>
    </row>
    <row r="532" spans="1:28">
      <c r="A532" s="17" t="s">
        <v>8884</v>
      </c>
      <c r="B532" s="17" t="s">
        <v>8884</v>
      </c>
      <c r="C532" s="17" t="s">
        <v>8885</v>
      </c>
      <c r="D532" s="17" t="s">
        <v>21</v>
      </c>
      <c r="E532" s="24">
        <v>1206</v>
      </c>
      <c r="F532" s="17" t="s">
        <v>29</v>
      </c>
      <c r="G532" s="17" t="str">
        <f>Config!$B$3</f>
        <v>SCH/R_IEC.SchLib</v>
      </c>
      <c r="H532" s="17" t="s">
        <v>419</v>
      </c>
      <c r="I532" s="17" t="s">
        <v>461</v>
      </c>
      <c r="J532" s="17" t="s">
        <v>6410</v>
      </c>
      <c r="K532" s="17"/>
      <c r="L532" s="17"/>
      <c r="M532" s="17">
        <v>1</v>
      </c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</row>
    <row r="533" spans="1:28">
      <c r="A533" s="17" t="s">
        <v>8886</v>
      </c>
      <c r="B533" s="17" t="s">
        <v>8886</v>
      </c>
      <c r="C533" s="17" t="s">
        <v>8887</v>
      </c>
      <c r="D533" s="17" t="s">
        <v>21</v>
      </c>
      <c r="E533" s="24">
        <v>1206</v>
      </c>
      <c r="F533" s="17" t="s">
        <v>1042</v>
      </c>
      <c r="G533" s="17" t="str">
        <f>Config!$B$3</f>
        <v>SCH/R_IEC.SchLib</v>
      </c>
      <c r="H533" s="17" t="s">
        <v>419</v>
      </c>
      <c r="I533" s="17" t="s">
        <v>461</v>
      </c>
      <c r="J533" s="17" t="s">
        <v>6410</v>
      </c>
      <c r="K533" s="17"/>
      <c r="L533" s="17"/>
      <c r="M533" s="17">
        <v>1.1000000000000001</v>
      </c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</row>
    <row r="534" spans="1:28">
      <c r="A534" s="17" t="s">
        <v>8888</v>
      </c>
      <c r="B534" s="17" t="s">
        <v>8888</v>
      </c>
      <c r="C534" s="17" t="s">
        <v>8889</v>
      </c>
      <c r="D534" s="17" t="s">
        <v>21</v>
      </c>
      <c r="E534" s="24">
        <v>1206</v>
      </c>
      <c r="F534" s="17" t="s">
        <v>31</v>
      </c>
      <c r="G534" s="17" t="str">
        <f>Config!$B$3</f>
        <v>SCH/R_IEC.SchLib</v>
      </c>
      <c r="H534" s="17" t="s">
        <v>419</v>
      </c>
      <c r="I534" s="17" t="s">
        <v>461</v>
      </c>
      <c r="J534" s="17" t="s">
        <v>6410</v>
      </c>
      <c r="K534" s="17"/>
      <c r="L534" s="17"/>
      <c r="M534" s="17">
        <v>1.2</v>
      </c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</row>
    <row r="535" spans="1:28">
      <c r="A535" s="17" t="s">
        <v>8890</v>
      </c>
      <c r="B535" s="17" t="s">
        <v>8890</v>
      </c>
      <c r="C535" s="17" t="s">
        <v>8891</v>
      </c>
      <c r="D535" s="17" t="s">
        <v>21</v>
      </c>
      <c r="E535" s="24">
        <v>1206</v>
      </c>
      <c r="F535" s="17" t="s">
        <v>1052</v>
      </c>
      <c r="G535" s="17" t="str">
        <f>Config!$B$3</f>
        <v>SCH/R_IEC.SchLib</v>
      </c>
      <c r="H535" s="17" t="s">
        <v>419</v>
      </c>
      <c r="I535" s="17" t="s">
        <v>461</v>
      </c>
      <c r="J535" s="17" t="s">
        <v>6410</v>
      </c>
      <c r="K535" s="17"/>
      <c r="L535" s="17"/>
      <c r="M535" s="17">
        <v>1.3</v>
      </c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</row>
    <row r="536" spans="1:28">
      <c r="A536" s="17" t="s">
        <v>8892</v>
      </c>
      <c r="B536" s="17" t="s">
        <v>8892</v>
      </c>
      <c r="C536" s="17" t="s">
        <v>8893</v>
      </c>
      <c r="D536" s="17" t="s">
        <v>21</v>
      </c>
      <c r="E536" s="24">
        <v>1206</v>
      </c>
      <c r="F536" s="17" t="s">
        <v>33</v>
      </c>
      <c r="G536" s="17" t="str">
        <f>Config!$B$3</f>
        <v>SCH/R_IEC.SchLib</v>
      </c>
      <c r="H536" s="17" t="s">
        <v>419</v>
      </c>
      <c r="I536" s="17" t="s">
        <v>461</v>
      </c>
      <c r="J536" s="17" t="s">
        <v>6410</v>
      </c>
      <c r="K536" s="17"/>
      <c r="L536" s="17"/>
      <c r="M536" s="17">
        <v>1.5</v>
      </c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</row>
    <row r="537" spans="1:28">
      <c r="A537" s="17" t="s">
        <v>8894</v>
      </c>
      <c r="B537" s="17" t="s">
        <v>8894</v>
      </c>
      <c r="C537" s="17" t="s">
        <v>8895</v>
      </c>
      <c r="D537" s="17" t="s">
        <v>21</v>
      </c>
      <c r="E537" s="24">
        <v>1206</v>
      </c>
      <c r="F537" s="17" t="s">
        <v>1062</v>
      </c>
      <c r="G537" s="17" t="str">
        <f>Config!$B$3</f>
        <v>SCH/R_IEC.SchLib</v>
      </c>
      <c r="H537" s="17" t="s">
        <v>419</v>
      </c>
      <c r="I537" s="17" t="s">
        <v>461</v>
      </c>
      <c r="J537" s="17" t="s">
        <v>6410</v>
      </c>
      <c r="K537" s="17"/>
      <c r="L537" s="17"/>
      <c r="M537" s="17">
        <v>1.6</v>
      </c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</row>
    <row r="538" spans="1:28">
      <c r="A538" s="17" t="s">
        <v>8896</v>
      </c>
      <c r="B538" s="17" t="s">
        <v>8896</v>
      </c>
      <c r="C538" s="17" t="s">
        <v>8897</v>
      </c>
      <c r="D538" s="17" t="s">
        <v>21</v>
      </c>
      <c r="E538" s="24">
        <v>1206</v>
      </c>
      <c r="F538" s="17" t="s">
        <v>35</v>
      </c>
      <c r="G538" s="17" t="str">
        <f>Config!$B$3</f>
        <v>SCH/R_IEC.SchLib</v>
      </c>
      <c r="H538" s="17" t="s">
        <v>419</v>
      </c>
      <c r="I538" s="17" t="s">
        <v>461</v>
      </c>
      <c r="J538" s="17" t="s">
        <v>6410</v>
      </c>
      <c r="K538" s="17"/>
      <c r="L538" s="17"/>
      <c r="M538" s="17">
        <v>1.8</v>
      </c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</row>
    <row r="539" spans="1:28">
      <c r="A539" s="17" t="s">
        <v>8898</v>
      </c>
      <c r="B539" s="17" t="s">
        <v>8898</v>
      </c>
      <c r="C539" s="17" t="s">
        <v>8899</v>
      </c>
      <c r="D539" s="17" t="s">
        <v>21</v>
      </c>
      <c r="E539" s="24">
        <v>1206</v>
      </c>
      <c r="F539" s="17" t="s">
        <v>1070</v>
      </c>
      <c r="G539" s="17" t="str">
        <f>Config!$B$3</f>
        <v>SCH/R_IEC.SchLib</v>
      </c>
      <c r="H539" s="17" t="s">
        <v>419</v>
      </c>
      <c r="I539" s="17" t="s">
        <v>461</v>
      </c>
      <c r="J539" s="17" t="s">
        <v>6410</v>
      </c>
      <c r="K539" s="17"/>
      <c r="L539" s="17"/>
      <c r="M539" s="17">
        <v>2</v>
      </c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</row>
    <row r="540" spans="1:28">
      <c r="A540" s="17" t="s">
        <v>8900</v>
      </c>
      <c r="B540" s="17" t="s">
        <v>8900</v>
      </c>
      <c r="C540" s="17" t="s">
        <v>8901</v>
      </c>
      <c r="D540" s="17" t="s">
        <v>21</v>
      </c>
      <c r="E540" s="24">
        <v>1206</v>
      </c>
      <c r="F540" s="17" t="s">
        <v>37</v>
      </c>
      <c r="G540" s="17" t="str">
        <f>Config!$B$3</f>
        <v>SCH/R_IEC.SchLib</v>
      </c>
      <c r="H540" s="17" t="s">
        <v>419</v>
      </c>
      <c r="I540" s="17" t="s">
        <v>461</v>
      </c>
      <c r="J540" s="17" t="s">
        <v>6410</v>
      </c>
      <c r="K540" s="17"/>
      <c r="L540" s="17"/>
      <c r="M540" s="17">
        <v>2.2000000000000002</v>
      </c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</row>
    <row r="541" spans="1:28">
      <c r="A541" s="17" t="s">
        <v>8902</v>
      </c>
      <c r="B541" s="17" t="s">
        <v>8902</v>
      </c>
      <c r="C541" s="17" t="s">
        <v>8903</v>
      </c>
      <c r="D541" s="17" t="s">
        <v>21</v>
      </c>
      <c r="E541" s="24">
        <v>1206</v>
      </c>
      <c r="F541" s="17" t="s">
        <v>1080</v>
      </c>
      <c r="G541" s="17" t="str">
        <f>Config!$B$3</f>
        <v>SCH/R_IEC.SchLib</v>
      </c>
      <c r="H541" s="17" t="s">
        <v>419</v>
      </c>
      <c r="I541" s="17" t="s">
        <v>461</v>
      </c>
      <c r="J541" s="17" t="s">
        <v>6410</v>
      </c>
      <c r="K541" s="17"/>
      <c r="L541" s="17"/>
      <c r="M541" s="17">
        <v>2.4</v>
      </c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  <c r="AA541" s="17"/>
      <c r="AB541" s="17"/>
    </row>
    <row r="542" spans="1:28">
      <c r="A542" s="17" t="s">
        <v>8904</v>
      </c>
      <c r="B542" s="17" t="s">
        <v>8904</v>
      </c>
      <c r="C542" s="17" t="s">
        <v>8905</v>
      </c>
      <c r="D542" s="17" t="s">
        <v>21</v>
      </c>
      <c r="E542" s="24">
        <v>1206</v>
      </c>
      <c r="F542" s="17" t="s">
        <v>39</v>
      </c>
      <c r="G542" s="17" t="str">
        <f>Config!$B$3</f>
        <v>SCH/R_IEC.SchLib</v>
      </c>
      <c r="H542" s="17" t="s">
        <v>419</v>
      </c>
      <c r="I542" s="17" t="s">
        <v>461</v>
      </c>
      <c r="J542" s="17" t="s">
        <v>6410</v>
      </c>
      <c r="K542" s="17"/>
      <c r="L542" s="17"/>
      <c r="M542" s="17">
        <v>2.7</v>
      </c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  <c r="AA542" s="17"/>
      <c r="AB542" s="17"/>
    </row>
    <row r="543" spans="1:28">
      <c r="A543" s="17" t="s">
        <v>8906</v>
      </c>
      <c r="B543" s="17" t="s">
        <v>8906</v>
      </c>
      <c r="C543" s="17" t="s">
        <v>8907</v>
      </c>
      <c r="D543" s="17" t="s">
        <v>21</v>
      </c>
      <c r="E543" s="24">
        <v>1206</v>
      </c>
      <c r="F543" s="17" t="s">
        <v>1088</v>
      </c>
      <c r="G543" s="17" t="str">
        <f>Config!$B$3</f>
        <v>SCH/R_IEC.SchLib</v>
      </c>
      <c r="H543" s="17" t="s">
        <v>419</v>
      </c>
      <c r="I543" s="17" t="s">
        <v>461</v>
      </c>
      <c r="J543" s="17" t="s">
        <v>6410</v>
      </c>
      <c r="K543" s="17"/>
      <c r="L543" s="17"/>
      <c r="M543" s="17">
        <v>3</v>
      </c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  <c r="AA543" s="17"/>
      <c r="AB543" s="17"/>
    </row>
    <row r="544" spans="1:28">
      <c r="A544" s="17" t="s">
        <v>8908</v>
      </c>
      <c r="B544" s="17" t="s">
        <v>8908</v>
      </c>
      <c r="C544" s="17" t="s">
        <v>8909</v>
      </c>
      <c r="D544" s="17" t="s">
        <v>21</v>
      </c>
      <c r="E544" s="24">
        <v>1206</v>
      </c>
      <c r="F544" s="17" t="s">
        <v>41</v>
      </c>
      <c r="G544" s="17" t="str">
        <f>Config!$B$3</f>
        <v>SCH/R_IEC.SchLib</v>
      </c>
      <c r="H544" s="17" t="s">
        <v>419</v>
      </c>
      <c r="I544" s="17" t="s">
        <v>461</v>
      </c>
      <c r="J544" s="17" t="s">
        <v>6410</v>
      </c>
      <c r="K544" s="17"/>
      <c r="L544" s="17"/>
      <c r="M544" s="17">
        <v>3.3</v>
      </c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</row>
    <row r="545" spans="1:28">
      <c r="A545" s="17" t="s">
        <v>8910</v>
      </c>
      <c r="B545" s="17" t="s">
        <v>8910</v>
      </c>
      <c r="C545" s="17" t="s">
        <v>8911</v>
      </c>
      <c r="D545" s="17" t="s">
        <v>21</v>
      </c>
      <c r="E545" s="24">
        <v>1206</v>
      </c>
      <c r="F545" s="17" t="s">
        <v>1098</v>
      </c>
      <c r="G545" s="17" t="str">
        <f>Config!$B$3</f>
        <v>SCH/R_IEC.SchLib</v>
      </c>
      <c r="H545" s="17" t="s">
        <v>419</v>
      </c>
      <c r="I545" s="17" t="s">
        <v>461</v>
      </c>
      <c r="J545" s="17" t="s">
        <v>6410</v>
      </c>
      <c r="K545" s="17"/>
      <c r="L545" s="17"/>
      <c r="M545" s="17">
        <v>3.6</v>
      </c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</row>
    <row r="546" spans="1:28">
      <c r="A546" s="17" t="s">
        <v>8912</v>
      </c>
      <c r="B546" s="17" t="s">
        <v>8912</v>
      </c>
      <c r="C546" s="17" t="s">
        <v>8913</v>
      </c>
      <c r="D546" s="17" t="s">
        <v>21</v>
      </c>
      <c r="E546" s="24">
        <v>1206</v>
      </c>
      <c r="F546" s="17" t="s">
        <v>43</v>
      </c>
      <c r="G546" s="17" t="str">
        <f>Config!$B$3</f>
        <v>SCH/R_IEC.SchLib</v>
      </c>
      <c r="H546" s="17" t="s">
        <v>419</v>
      </c>
      <c r="I546" s="17" t="s">
        <v>461</v>
      </c>
      <c r="J546" s="17" t="s">
        <v>6410</v>
      </c>
      <c r="K546" s="17"/>
      <c r="L546" s="17"/>
      <c r="M546" s="17">
        <v>3.9</v>
      </c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</row>
    <row r="547" spans="1:28">
      <c r="A547" s="17" t="s">
        <v>8914</v>
      </c>
      <c r="B547" s="17" t="s">
        <v>8914</v>
      </c>
      <c r="C547" s="17" t="s">
        <v>8915</v>
      </c>
      <c r="D547" s="17" t="s">
        <v>21</v>
      </c>
      <c r="E547" s="24">
        <v>1206</v>
      </c>
      <c r="F547" s="17" t="s">
        <v>1106</v>
      </c>
      <c r="G547" s="17" t="str">
        <f>Config!$B$3</f>
        <v>SCH/R_IEC.SchLib</v>
      </c>
      <c r="H547" s="17" t="s">
        <v>419</v>
      </c>
      <c r="I547" s="17" t="s">
        <v>461</v>
      </c>
      <c r="J547" s="17" t="s">
        <v>6410</v>
      </c>
      <c r="K547" s="17"/>
      <c r="L547" s="17"/>
      <c r="M547" s="17">
        <v>4.3</v>
      </c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</row>
    <row r="548" spans="1:28">
      <c r="A548" s="17" t="s">
        <v>8916</v>
      </c>
      <c r="B548" s="17" t="s">
        <v>8916</v>
      </c>
      <c r="C548" s="17" t="s">
        <v>8917</v>
      </c>
      <c r="D548" s="17" t="s">
        <v>21</v>
      </c>
      <c r="E548" s="24">
        <v>1206</v>
      </c>
      <c r="F548" s="17" t="s">
        <v>45</v>
      </c>
      <c r="G548" s="17" t="str">
        <f>Config!$B$3</f>
        <v>SCH/R_IEC.SchLib</v>
      </c>
      <c r="H548" s="17" t="s">
        <v>419</v>
      </c>
      <c r="I548" s="17" t="s">
        <v>461</v>
      </c>
      <c r="J548" s="17" t="s">
        <v>6410</v>
      </c>
      <c r="K548" s="17"/>
      <c r="L548" s="17"/>
      <c r="M548" s="17">
        <v>4.7</v>
      </c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</row>
    <row r="549" spans="1:28">
      <c r="A549" s="17" t="s">
        <v>8918</v>
      </c>
      <c r="B549" s="17" t="s">
        <v>8918</v>
      </c>
      <c r="C549" s="17" t="s">
        <v>8919</v>
      </c>
      <c r="D549" s="17" t="s">
        <v>21</v>
      </c>
      <c r="E549" s="24">
        <v>1206</v>
      </c>
      <c r="F549" s="17" t="s">
        <v>1116</v>
      </c>
      <c r="G549" s="17" t="str">
        <f>Config!$B$3</f>
        <v>SCH/R_IEC.SchLib</v>
      </c>
      <c r="H549" s="17" t="s">
        <v>419</v>
      </c>
      <c r="I549" s="17" t="s">
        <v>461</v>
      </c>
      <c r="J549" s="17" t="s">
        <v>6410</v>
      </c>
      <c r="K549" s="17"/>
      <c r="L549" s="17"/>
      <c r="M549" s="17">
        <v>5.0999999999999996</v>
      </c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</row>
    <row r="550" spans="1:28">
      <c r="A550" s="17" t="s">
        <v>8920</v>
      </c>
      <c r="B550" s="17" t="s">
        <v>8920</v>
      </c>
      <c r="C550" s="17" t="s">
        <v>8921</v>
      </c>
      <c r="D550" s="17" t="s">
        <v>21</v>
      </c>
      <c r="E550" s="24">
        <v>1206</v>
      </c>
      <c r="F550" s="17" t="s">
        <v>47</v>
      </c>
      <c r="G550" s="17" t="str">
        <f>Config!$B$3</f>
        <v>SCH/R_IEC.SchLib</v>
      </c>
      <c r="H550" s="17" t="s">
        <v>419</v>
      </c>
      <c r="I550" s="17" t="s">
        <v>461</v>
      </c>
      <c r="J550" s="17" t="s">
        <v>6410</v>
      </c>
      <c r="K550" s="17"/>
      <c r="L550" s="17"/>
      <c r="M550" s="17">
        <v>5.6</v>
      </c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</row>
    <row r="551" spans="1:28">
      <c r="A551" s="17" t="s">
        <v>8922</v>
      </c>
      <c r="B551" s="17" t="s">
        <v>8922</v>
      </c>
      <c r="C551" s="17" t="s">
        <v>8923</v>
      </c>
      <c r="D551" s="17" t="s">
        <v>21</v>
      </c>
      <c r="E551" s="24">
        <v>1206</v>
      </c>
      <c r="F551" s="17" t="s">
        <v>1128</v>
      </c>
      <c r="G551" s="17" t="str">
        <f>Config!$B$3</f>
        <v>SCH/R_IEC.SchLib</v>
      </c>
      <c r="H551" s="17" t="s">
        <v>419</v>
      </c>
      <c r="I551" s="17" t="s">
        <v>461</v>
      </c>
      <c r="J551" s="17" t="s">
        <v>6410</v>
      </c>
      <c r="K551" s="17"/>
      <c r="L551" s="17"/>
      <c r="M551" s="17">
        <v>6.2</v>
      </c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  <c r="AA551" s="17"/>
      <c r="AB551" s="17"/>
    </row>
    <row r="552" spans="1:28">
      <c r="A552" s="17" t="s">
        <v>8924</v>
      </c>
      <c r="B552" s="17" t="s">
        <v>8924</v>
      </c>
      <c r="C552" s="17" t="s">
        <v>8925</v>
      </c>
      <c r="D552" s="17" t="s">
        <v>21</v>
      </c>
      <c r="E552" s="24">
        <v>1206</v>
      </c>
      <c r="F552" s="17" t="s">
        <v>49</v>
      </c>
      <c r="G552" s="17" t="str">
        <f>Config!$B$3</f>
        <v>SCH/R_IEC.SchLib</v>
      </c>
      <c r="H552" s="17" t="s">
        <v>419</v>
      </c>
      <c r="I552" s="17" t="s">
        <v>461</v>
      </c>
      <c r="J552" s="17" t="s">
        <v>6410</v>
      </c>
      <c r="K552" s="17"/>
      <c r="L552" s="17"/>
      <c r="M552" s="17">
        <v>6.8</v>
      </c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  <c r="AA552" s="17"/>
      <c r="AB552" s="17"/>
    </row>
    <row r="553" spans="1:28">
      <c r="A553" s="17" t="s">
        <v>8926</v>
      </c>
      <c r="B553" s="17" t="s">
        <v>8926</v>
      </c>
      <c r="C553" s="17" t="s">
        <v>8927</v>
      </c>
      <c r="D553" s="17" t="s">
        <v>21</v>
      </c>
      <c r="E553" s="24">
        <v>1206</v>
      </c>
      <c r="F553" s="17" t="s">
        <v>1138</v>
      </c>
      <c r="G553" s="17" t="str">
        <f>Config!$B$3</f>
        <v>SCH/R_IEC.SchLib</v>
      </c>
      <c r="H553" s="17" t="s">
        <v>419</v>
      </c>
      <c r="I553" s="17" t="s">
        <v>461</v>
      </c>
      <c r="J553" s="17" t="s">
        <v>6410</v>
      </c>
      <c r="K553" s="17"/>
      <c r="L553" s="17"/>
      <c r="M553" s="17">
        <v>7.5</v>
      </c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  <c r="AA553" s="17"/>
      <c r="AB553" s="17"/>
    </row>
    <row r="554" spans="1:28">
      <c r="A554" s="17" t="s">
        <v>8928</v>
      </c>
      <c r="B554" s="17" t="s">
        <v>8928</v>
      </c>
      <c r="C554" s="17" t="s">
        <v>8929</v>
      </c>
      <c r="D554" s="17" t="s">
        <v>21</v>
      </c>
      <c r="E554" s="24">
        <v>1206</v>
      </c>
      <c r="F554" s="17" t="s">
        <v>51</v>
      </c>
      <c r="G554" s="17" t="str">
        <f>Config!$B$3</f>
        <v>SCH/R_IEC.SchLib</v>
      </c>
      <c r="H554" s="17" t="s">
        <v>419</v>
      </c>
      <c r="I554" s="17" t="s">
        <v>461</v>
      </c>
      <c r="J554" s="17" t="s">
        <v>6410</v>
      </c>
      <c r="K554" s="17"/>
      <c r="L554" s="17"/>
      <c r="M554" s="17">
        <v>8.1999999999999993</v>
      </c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</row>
    <row r="555" spans="1:28">
      <c r="A555" s="17" t="s">
        <v>8930</v>
      </c>
      <c r="B555" s="17" t="s">
        <v>8930</v>
      </c>
      <c r="C555" s="17" t="s">
        <v>8931</v>
      </c>
      <c r="D555" s="17" t="s">
        <v>21</v>
      </c>
      <c r="E555" s="24">
        <v>1206</v>
      </c>
      <c r="F555" s="17" t="s">
        <v>1148</v>
      </c>
      <c r="G555" s="17" t="str">
        <f>Config!$B$3</f>
        <v>SCH/R_IEC.SchLib</v>
      </c>
      <c r="H555" s="17" t="s">
        <v>419</v>
      </c>
      <c r="I555" s="17" t="s">
        <v>461</v>
      </c>
      <c r="J555" s="17" t="s">
        <v>6410</v>
      </c>
      <c r="K555" s="17"/>
      <c r="L555" s="17"/>
      <c r="M555" s="17">
        <v>9.1</v>
      </c>
      <c r="N555" s="17"/>
      <c r="O555" s="17"/>
      <c r="P555" s="17"/>
      <c r="Q555" s="17"/>
      <c r="R555" s="17"/>
      <c r="S555" s="17"/>
      <c r="T555" s="17"/>
      <c r="U555" s="17"/>
      <c r="V555" s="17"/>
      <c r="X555" s="17"/>
      <c r="Y555" s="17"/>
      <c r="Z555" s="17"/>
      <c r="AA555" s="17"/>
      <c r="AB555" s="17"/>
    </row>
    <row r="556" spans="1:28">
      <c r="A556" s="17" t="s">
        <v>8932</v>
      </c>
      <c r="B556" s="17" t="s">
        <v>8932</v>
      </c>
      <c r="C556" s="17" t="s">
        <v>8933</v>
      </c>
      <c r="D556" s="17" t="s">
        <v>21</v>
      </c>
      <c r="E556" s="24">
        <v>1206</v>
      </c>
      <c r="F556" s="17" t="s">
        <v>53</v>
      </c>
      <c r="G556" s="17" t="str">
        <f>Config!$B$3</f>
        <v>SCH/R_IEC.SchLib</v>
      </c>
      <c r="H556" s="17" t="s">
        <v>419</v>
      </c>
      <c r="I556" s="17" t="s">
        <v>461</v>
      </c>
      <c r="J556" s="17" t="s">
        <v>6410</v>
      </c>
      <c r="K556" s="17"/>
      <c r="L556" s="17"/>
      <c r="M556" s="21">
        <v>10</v>
      </c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</row>
    <row r="557" spans="1:28">
      <c r="A557" s="17" t="s">
        <v>8934</v>
      </c>
      <c r="B557" s="17" t="s">
        <v>8934</v>
      </c>
      <c r="C557" s="17" t="s">
        <v>8935</v>
      </c>
      <c r="D557" s="17" t="s">
        <v>21</v>
      </c>
      <c r="E557" s="24">
        <v>1206</v>
      </c>
      <c r="F557" s="17" t="s">
        <v>57</v>
      </c>
      <c r="G557" s="17" t="str">
        <f>Config!$B$3</f>
        <v>SCH/R_IEC.SchLib</v>
      </c>
      <c r="H557" s="17" t="s">
        <v>419</v>
      </c>
      <c r="I557" s="17" t="s">
        <v>461</v>
      </c>
      <c r="J557" s="17" t="s">
        <v>6410</v>
      </c>
      <c r="K557" s="17"/>
      <c r="L557" s="17"/>
      <c r="M557" s="21">
        <v>11</v>
      </c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</row>
    <row r="558" spans="1:28">
      <c r="A558" s="17" t="s">
        <v>8936</v>
      </c>
      <c r="B558" s="17" t="s">
        <v>8936</v>
      </c>
      <c r="C558" s="17" t="s">
        <v>8937</v>
      </c>
      <c r="D558" s="17" t="s">
        <v>21</v>
      </c>
      <c r="E558" s="24">
        <v>1206</v>
      </c>
      <c r="F558" s="17" t="s">
        <v>59</v>
      </c>
      <c r="G558" s="17" t="str">
        <f>Config!$B$3</f>
        <v>SCH/R_IEC.SchLib</v>
      </c>
      <c r="H558" s="17" t="s">
        <v>419</v>
      </c>
      <c r="I558" s="17" t="s">
        <v>461</v>
      </c>
      <c r="J558" s="17" t="s">
        <v>6410</v>
      </c>
      <c r="K558" s="17"/>
      <c r="L558" s="17"/>
      <c r="M558" s="21">
        <v>12</v>
      </c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</row>
    <row r="559" spans="1:28">
      <c r="A559" s="17" t="s">
        <v>8938</v>
      </c>
      <c r="B559" s="17" t="s">
        <v>8938</v>
      </c>
      <c r="C559" s="17" t="s">
        <v>8939</v>
      </c>
      <c r="D559" s="17" t="s">
        <v>21</v>
      </c>
      <c r="E559" s="24">
        <v>1206</v>
      </c>
      <c r="F559" s="17" t="s">
        <v>61</v>
      </c>
      <c r="G559" s="17" t="str">
        <f>Config!$B$3</f>
        <v>SCH/R_IEC.SchLib</v>
      </c>
      <c r="H559" s="17" t="s">
        <v>419</v>
      </c>
      <c r="I559" s="17" t="s">
        <v>461</v>
      </c>
      <c r="J559" s="17" t="s">
        <v>6410</v>
      </c>
      <c r="K559" s="17"/>
      <c r="L559" s="17"/>
      <c r="M559" s="21">
        <v>13</v>
      </c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</row>
    <row r="560" spans="1:28">
      <c r="A560" s="17" t="s">
        <v>6431</v>
      </c>
      <c r="B560" s="17" t="s">
        <v>6431</v>
      </c>
      <c r="C560" s="17" t="s">
        <v>8940</v>
      </c>
      <c r="D560" s="17" t="s">
        <v>21</v>
      </c>
      <c r="E560" s="24">
        <v>1206</v>
      </c>
      <c r="F560" s="17" t="s">
        <v>63</v>
      </c>
      <c r="G560" s="17" t="str">
        <f>Config!$B$3</f>
        <v>SCH/R_IEC.SchLib</v>
      </c>
      <c r="H560" s="17" t="s">
        <v>419</v>
      </c>
      <c r="I560" s="17" t="s">
        <v>461</v>
      </c>
      <c r="J560" s="17" t="s">
        <v>6410</v>
      </c>
      <c r="K560" s="17"/>
      <c r="L560" s="17"/>
      <c r="M560" s="21">
        <v>15</v>
      </c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</row>
    <row r="561" spans="1:28">
      <c r="A561" s="17" t="s">
        <v>8941</v>
      </c>
      <c r="B561" s="17" t="s">
        <v>8941</v>
      </c>
      <c r="C561" s="17" t="s">
        <v>8942</v>
      </c>
      <c r="D561" s="17" t="s">
        <v>21</v>
      </c>
      <c r="E561" s="24">
        <v>1206</v>
      </c>
      <c r="F561" s="17" t="s">
        <v>65</v>
      </c>
      <c r="G561" s="17" t="str">
        <f>Config!$B$3</f>
        <v>SCH/R_IEC.SchLib</v>
      </c>
      <c r="H561" s="17" t="s">
        <v>419</v>
      </c>
      <c r="I561" s="17" t="s">
        <v>461</v>
      </c>
      <c r="J561" s="17" t="s">
        <v>6410</v>
      </c>
      <c r="K561" s="17"/>
      <c r="L561" s="17"/>
      <c r="M561" s="21">
        <v>16</v>
      </c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</row>
    <row r="562" spans="1:28">
      <c r="A562" s="17" t="s">
        <v>8943</v>
      </c>
      <c r="B562" s="17" t="s">
        <v>8943</v>
      </c>
      <c r="C562" s="17" t="s">
        <v>8944</v>
      </c>
      <c r="D562" s="17" t="s">
        <v>21</v>
      </c>
      <c r="E562" s="24">
        <v>1206</v>
      </c>
      <c r="F562" s="17" t="s">
        <v>67</v>
      </c>
      <c r="G562" s="17" t="str">
        <f>Config!$B$3</f>
        <v>SCH/R_IEC.SchLib</v>
      </c>
      <c r="H562" s="17" t="s">
        <v>419</v>
      </c>
      <c r="I562" s="17" t="s">
        <v>461</v>
      </c>
      <c r="J562" s="17" t="s">
        <v>6410</v>
      </c>
      <c r="K562" s="17"/>
      <c r="L562" s="17"/>
      <c r="M562" s="21">
        <v>18</v>
      </c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  <c r="AA562" s="17"/>
      <c r="AB562" s="17"/>
    </row>
    <row r="563" spans="1:28">
      <c r="A563" s="17" t="s">
        <v>8945</v>
      </c>
      <c r="B563" s="17" t="s">
        <v>8945</v>
      </c>
      <c r="C563" s="17" t="s">
        <v>8946</v>
      </c>
      <c r="D563" s="17" t="s">
        <v>21</v>
      </c>
      <c r="E563" s="24">
        <v>1206</v>
      </c>
      <c r="F563" s="17" t="s">
        <v>69</v>
      </c>
      <c r="G563" s="17" t="str">
        <f>Config!$B$3</f>
        <v>SCH/R_IEC.SchLib</v>
      </c>
      <c r="H563" s="17" t="s">
        <v>419</v>
      </c>
      <c r="I563" s="17" t="s">
        <v>461</v>
      </c>
      <c r="J563" s="17" t="s">
        <v>6410</v>
      </c>
      <c r="K563" s="17"/>
      <c r="L563" s="17"/>
      <c r="M563" s="21">
        <v>20</v>
      </c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  <c r="AA563" s="17"/>
      <c r="AB563" s="17"/>
    </row>
    <row r="564" spans="1:28">
      <c r="A564" s="17" t="s">
        <v>8947</v>
      </c>
      <c r="B564" s="17" t="s">
        <v>8947</v>
      </c>
      <c r="C564" s="17" t="s">
        <v>8948</v>
      </c>
      <c r="D564" s="17" t="s">
        <v>21</v>
      </c>
      <c r="E564" s="24">
        <v>1206</v>
      </c>
      <c r="F564" s="17" t="s">
        <v>71</v>
      </c>
      <c r="G564" s="17" t="str">
        <f>Config!$B$3</f>
        <v>SCH/R_IEC.SchLib</v>
      </c>
      <c r="H564" s="17" t="s">
        <v>419</v>
      </c>
      <c r="I564" s="17" t="s">
        <v>461</v>
      </c>
      <c r="J564" s="17" t="s">
        <v>6410</v>
      </c>
      <c r="K564" s="17"/>
      <c r="L564" s="17"/>
      <c r="M564" s="21">
        <v>22</v>
      </c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  <c r="AA564" s="17"/>
      <c r="AB564" s="17"/>
    </row>
    <row r="565" spans="1:28">
      <c r="A565" s="17" t="s">
        <v>8949</v>
      </c>
      <c r="B565" s="17" t="s">
        <v>8949</v>
      </c>
      <c r="C565" s="17" t="s">
        <v>8950</v>
      </c>
      <c r="D565" s="17" t="s">
        <v>21</v>
      </c>
      <c r="E565" s="24">
        <v>1206</v>
      </c>
      <c r="F565" s="17" t="s">
        <v>75</v>
      </c>
      <c r="G565" s="17" t="str">
        <f>Config!$B$3</f>
        <v>SCH/R_IEC.SchLib</v>
      </c>
      <c r="H565" s="17" t="s">
        <v>419</v>
      </c>
      <c r="I565" s="17" t="s">
        <v>461</v>
      </c>
      <c r="J565" s="17" t="s">
        <v>6410</v>
      </c>
      <c r="K565" s="17"/>
      <c r="L565" s="17"/>
      <c r="M565" s="21">
        <v>24</v>
      </c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</row>
    <row r="566" spans="1:28">
      <c r="A566" s="17" t="s">
        <v>8951</v>
      </c>
      <c r="B566" s="17" t="s">
        <v>8951</v>
      </c>
      <c r="C566" s="17" t="s">
        <v>8952</v>
      </c>
      <c r="D566" s="17" t="s">
        <v>21</v>
      </c>
      <c r="E566" s="24">
        <v>1206</v>
      </c>
      <c r="F566" s="17" t="s">
        <v>77</v>
      </c>
      <c r="G566" s="17" t="str">
        <f>Config!$B$3</f>
        <v>SCH/R_IEC.SchLib</v>
      </c>
      <c r="H566" s="17" t="s">
        <v>419</v>
      </c>
      <c r="I566" s="17" t="s">
        <v>461</v>
      </c>
      <c r="J566" s="17" t="s">
        <v>6410</v>
      </c>
      <c r="K566" s="17"/>
      <c r="L566" s="17"/>
      <c r="M566" s="21">
        <v>27</v>
      </c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  <c r="AA566" s="17"/>
      <c r="AB566" s="17"/>
    </row>
    <row r="567" spans="1:28">
      <c r="A567" s="17" t="s">
        <v>8953</v>
      </c>
      <c r="B567" s="17" t="s">
        <v>8953</v>
      </c>
      <c r="C567" s="17" t="s">
        <v>8954</v>
      </c>
      <c r="D567" s="17" t="s">
        <v>21</v>
      </c>
      <c r="E567" s="24">
        <v>1206</v>
      </c>
      <c r="F567" s="17" t="s">
        <v>79</v>
      </c>
      <c r="G567" s="17" t="str">
        <f>Config!$B$3</f>
        <v>SCH/R_IEC.SchLib</v>
      </c>
      <c r="H567" s="17" t="s">
        <v>419</v>
      </c>
      <c r="I567" s="17" t="s">
        <v>461</v>
      </c>
      <c r="J567" s="17" t="s">
        <v>6410</v>
      </c>
      <c r="K567" s="17"/>
      <c r="L567" s="17"/>
      <c r="M567" s="21">
        <v>30</v>
      </c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  <c r="AA567" s="17"/>
      <c r="AB567" s="17"/>
    </row>
    <row r="568" spans="1:28">
      <c r="A568" s="17" t="s">
        <v>8955</v>
      </c>
      <c r="B568" s="17" t="s">
        <v>8955</v>
      </c>
      <c r="C568" s="17" t="s">
        <v>8956</v>
      </c>
      <c r="D568" s="17" t="s">
        <v>21</v>
      </c>
      <c r="E568" s="24">
        <v>1206</v>
      </c>
      <c r="F568" s="17" t="s">
        <v>81</v>
      </c>
      <c r="G568" s="17" t="str">
        <f>Config!$B$3</f>
        <v>SCH/R_IEC.SchLib</v>
      </c>
      <c r="H568" s="17" t="s">
        <v>419</v>
      </c>
      <c r="I568" s="17" t="s">
        <v>461</v>
      </c>
      <c r="J568" s="17" t="s">
        <v>6410</v>
      </c>
      <c r="K568" s="17"/>
      <c r="L568" s="17"/>
      <c r="M568" s="21">
        <v>33</v>
      </c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  <c r="AA568" s="17"/>
      <c r="AB568" s="17"/>
    </row>
    <row r="569" spans="1:28">
      <c r="A569" s="17" t="s">
        <v>8957</v>
      </c>
      <c r="B569" s="17" t="s">
        <v>8957</v>
      </c>
      <c r="C569" s="17" t="s">
        <v>8958</v>
      </c>
      <c r="D569" s="17" t="s">
        <v>21</v>
      </c>
      <c r="E569" s="24">
        <v>1206</v>
      </c>
      <c r="F569" s="17" t="s">
        <v>83</v>
      </c>
      <c r="G569" s="17" t="str">
        <f>Config!$B$3</f>
        <v>SCH/R_IEC.SchLib</v>
      </c>
      <c r="H569" s="17" t="s">
        <v>419</v>
      </c>
      <c r="I569" s="17" t="s">
        <v>461</v>
      </c>
      <c r="J569" s="17" t="s">
        <v>6410</v>
      </c>
      <c r="K569" s="17"/>
      <c r="L569" s="17"/>
      <c r="M569" s="21">
        <v>36</v>
      </c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</row>
    <row r="570" spans="1:28">
      <c r="A570" s="17" t="s">
        <v>8959</v>
      </c>
      <c r="B570" s="17" t="s">
        <v>8959</v>
      </c>
      <c r="C570" s="17" t="s">
        <v>8960</v>
      </c>
      <c r="D570" s="17" t="s">
        <v>21</v>
      </c>
      <c r="E570" s="24">
        <v>1206</v>
      </c>
      <c r="F570" s="17" t="s">
        <v>85</v>
      </c>
      <c r="G570" s="17" t="str">
        <f>Config!$B$3</f>
        <v>SCH/R_IEC.SchLib</v>
      </c>
      <c r="H570" s="17" t="s">
        <v>419</v>
      </c>
      <c r="I570" s="17" t="s">
        <v>461</v>
      </c>
      <c r="J570" s="17" t="s">
        <v>6410</v>
      </c>
      <c r="K570" s="17"/>
      <c r="L570" s="17"/>
      <c r="M570" s="21">
        <v>39</v>
      </c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</row>
    <row r="571" spans="1:28">
      <c r="A571" s="17" t="s">
        <v>8961</v>
      </c>
      <c r="B571" s="17" t="s">
        <v>8961</v>
      </c>
      <c r="C571" s="17" t="s">
        <v>8962</v>
      </c>
      <c r="D571" s="17" t="s">
        <v>21</v>
      </c>
      <c r="E571" s="24">
        <v>1206</v>
      </c>
      <c r="F571" s="17" t="s">
        <v>87</v>
      </c>
      <c r="G571" s="17" t="str">
        <f>Config!$B$3</f>
        <v>SCH/R_IEC.SchLib</v>
      </c>
      <c r="H571" s="17" t="s">
        <v>419</v>
      </c>
      <c r="I571" s="17" t="s">
        <v>461</v>
      </c>
      <c r="J571" s="17" t="s">
        <v>6410</v>
      </c>
      <c r="K571" s="17"/>
      <c r="L571" s="17"/>
      <c r="M571" s="21">
        <v>43</v>
      </c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</row>
    <row r="572" spans="1:28">
      <c r="A572" s="17" t="s">
        <v>8963</v>
      </c>
      <c r="B572" s="17" t="s">
        <v>8963</v>
      </c>
      <c r="C572" s="17" t="s">
        <v>8964</v>
      </c>
      <c r="D572" s="17" t="s">
        <v>21</v>
      </c>
      <c r="E572" s="24">
        <v>1206</v>
      </c>
      <c r="F572" s="17" t="s">
        <v>89</v>
      </c>
      <c r="G572" s="17" t="str">
        <f>Config!$B$3</f>
        <v>SCH/R_IEC.SchLib</v>
      </c>
      <c r="H572" s="17" t="s">
        <v>419</v>
      </c>
      <c r="I572" s="17" t="s">
        <v>461</v>
      </c>
      <c r="J572" s="17" t="s">
        <v>6410</v>
      </c>
      <c r="K572" s="17"/>
      <c r="L572" s="17"/>
      <c r="M572" s="21">
        <v>47</v>
      </c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</row>
    <row r="573" spans="1:28">
      <c r="A573" s="17" t="s">
        <v>8965</v>
      </c>
      <c r="B573" s="17" t="s">
        <v>8965</v>
      </c>
      <c r="C573" s="17" t="s">
        <v>8966</v>
      </c>
      <c r="D573" s="17" t="s">
        <v>21</v>
      </c>
      <c r="E573" s="24">
        <v>1206</v>
      </c>
      <c r="F573" s="17" t="s">
        <v>91</v>
      </c>
      <c r="G573" s="17" t="str">
        <f>Config!$B$3</f>
        <v>SCH/R_IEC.SchLib</v>
      </c>
      <c r="H573" s="17" t="s">
        <v>419</v>
      </c>
      <c r="I573" s="17" t="s">
        <v>461</v>
      </c>
      <c r="J573" s="17" t="s">
        <v>6410</v>
      </c>
      <c r="K573" s="17"/>
      <c r="L573" s="17"/>
      <c r="M573" s="21">
        <v>51</v>
      </c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</row>
    <row r="574" spans="1:28">
      <c r="A574" s="17" t="s">
        <v>8967</v>
      </c>
      <c r="B574" s="17" t="s">
        <v>8967</v>
      </c>
      <c r="C574" s="17" t="s">
        <v>8968</v>
      </c>
      <c r="D574" s="17" t="s">
        <v>21</v>
      </c>
      <c r="E574" s="24">
        <v>1206</v>
      </c>
      <c r="F574" s="17" t="s">
        <v>93</v>
      </c>
      <c r="G574" s="17" t="str">
        <f>Config!$B$3</f>
        <v>SCH/R_IEC.SchLib</v>
      </c>
      <c r="H574" s="17" t="s">
        <v>419</v>
      </c>
      <c r="I574" s="17" t="s">
        <v>461</v>
      </c>
      <c r="J574" s="17" t="s">
        <v>6410</v>
      </c>
      <c r="K574" s="17"/>
      <c r="L574" s="17"/>
      <c r="M574" s="21">
        <v>56</v>
      </c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</row>
    <row r="575" spans="1:28">
      <c r="A575" s="17" t="s">
        <v>8969</v>
      </c>
      <c r="B575" s="17" t="s">
        <v>8969</v>
      </c>
      <c r="C575" s="17" t="s">
        <v>8970</v>
      </c>
      <c r="D575" s="17" t="s">
        <v>21</v>
      </c>
      <c r="E575" s="24">
        <v>1206</v>
      </c>
      <c r="F575" s="17" t="s">
        <v>95</v>
      </c>
      <c r="G575" s="17" t="str">
        <f>Config!$B$3</f>
        <v>SCH/R_IEC.SchLib</v>
      </c>
      <c r="H575" s="17" t="s">
        <v>419</v>
      </c>
      <c r="I575" s="17" t="s">
        <v>461</v>
      </c>
      <c r="J575" s="17" t="s">
        <v>6410</v>
      </c>
      <c r="K575" s="17"/>
      <c r="L575" s="17"/>
      <c r="M575" s="21">
        <v>62</v>
      </c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</row>
    <row r="576" spans="1:28">
      <c r="A576" s="17" t="s">
        <v>8971</v>
      </c>
      <c r="B576" s="17" t="s">
        <v>8971</v>
      </c>
      <c r="C576" s="17" t="s">
        <v>8972</v>
      </c>
      <c r="D576" s="17" t="s">
        <v>21</v>
      </c>
      <c r="E576" s="24">
        <v>1206</v>
      </c>
      <c r="F576" s="17" t="s">
        <v>97</v>
      </c>
      <c r="G576" s="17" t="str">
        <f>Config!$B$3</f>
        <v>SCH/R_IEC.SchLib</v>
      </c>
      <c r="H576" s="17" t="s">
        <v>419</v>
      </c>
      <c r="I576" s="17" t="s">
        <v>461</v>
      </c>
      <c r="J576" s="17" t="s">
        <v>6410</v>
      </c>
      <c r="K576" s="17"/>
      <c r="L576" s="17"/>
      <c r="M576" s="21">
        <v>68</v>
      </c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</row>
    <row r="577" spans="1:28">
      <c r="A577" s="17" t="s">
        <v>8973</v>
      </c>
      <c r="B577" s="17" t="s">
        <v>8973</v>
      </c>
      <c r="C577" s="17" t="s">
        <v>8974</v>
      </c>
      <c r="D577" s="17" t="s">
        <v>21</v>
      </c>
      <c r="E577" s="24">
        <v>1206</v>
      </c>
      <c r="F577" s="17" t="s">
        <v>99</v>
      </c>
      <c r="G577" s="17" t="str">
        <f>Config!$B$3</f>
        <v>SCH/R_IEC.SchLib</v>
      </c>
      <c r="H577" s="17" t="s">
        <v>419</v>
      </c>
      <c r="I577" s="17" t="s">
        <v>461</v>
      </c>
      <c r="J577" s="17" t="s">
        <v>6410</v>
      </c>
      <c r="K577" s="17"/>
      <c r="L577" s="17"/>
      <c r="M577" s="21">
        <v>75</v>
      </c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</row>
    <row r="578" spans="1:28">
      <c r="A578" s="17" t="s">
        <v>8975</v>
      </c>
      <c r="B578" s="17" t="s">
        <v>8975</v>
      </c>
      <c r="C578" s="17" t="s">
        <v>8976</v>
      </c>
      <c r="D578" s="17" t="s">
        <v>21</v>
      </c>
      <c r="E578" s="24">
        <v>1206</v>
      </c>
      <c r="F578" s="17" t="s">
        <v>101</v>
      </c>
      <c r="G578" s="17" t="str">
        <f>Config!$B$3</f>
        <v>SCH/R_IEC.SchLib</v>
      </c>
      <c r="H578" s="17" t="s">
        <v>419</v>
      </c>
      <c r="I578" s="17" t="s">
        <v>461</v>
      </c>
      <c r="J578" s="17" t="s">
        <v>6410</v>
      </c>
      <c r="K578" s="17"/>
      <c r="L578" s="17"/>
      <c r="M578" s="21">
        <v>82</v>
      </c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</row>
    <row r="579" spans="1:28">
      <c r="A579" s="17" t="s">
        <v>8977</v>
      </c>
      <c r="B579" s="17" t="s">
        <v>8977</v>
      </c>
      <c r="C579" s="17" t="s">
        <v>8978</v>
      </c>
      <c r="D579" s="17" t="s">
        <v>21</v>
      </c>
      <c r="E579" s="24">
        <v>1206</v>
      </c>
      <c r="F579" s="17" t="s">
        <v>103</v>
      </c>
      <c r="G579" s="17" t="str">
        <f>Config!$B$3</f>
        <v>SCH/R_IEC.SchLib</v>
      </c>
      <c r="H579" s="17" t="s">
        <v>419</v>
      </c>
      <c r="I579" s="17" t="s">
        <v>461</v>
      </c>
      <c r="J579" s="17" t="s">
        <v>6410</v>
      </c>
      <c r="K579" s="17"/>
      <c r="L579" s="17"/>
      <c r="M579" s="21">
        <v>91</v>
      </c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</row>
    <row r="580" spans="1:28" ht="15.75">
      <c r="A580" s="17" t="s">
        <v>8979</v>
      </c>
      <c r="B580" s="17" t="s">
        <v>8979</v>
      </c>
      <c r="C580" s="17" t="s">
        <v>8980</v>
      </c>
      <c r="D580" s="17" t="s">
        <v>21</v>
      </c>
      <c r="E580" s="24">
        <v>1206</v>
      </c>
      <c r="F580" s="17" t="s">
        <v>105</v>
      </c>
      <c r="G580" s="17" t="str">
        <f>Config!$B$3</f>
        <v>SCH/R_IEC.SchLib</v>
      </c>
      <c r="H580" s="17" t="s">
        <v>419</v>
      </c>
      <c r="I580" s="17" t="s">
        <v>461</v>
      </c>
      <c r="J580" s="17" t="s">
        <v>6410</v>
      </c>
      <c r="K580" s="17"/>
      <c r="L580" s="17"/>
      <c r="M580" s="21">
        <v>100</v>
      </c>
      <c r="N580" s="17" t="s">
        <v>13979</v>
      </c>
      <c r="O580" s="17" t="s">
        <v>477</v>
      </c>
      <c r="P580" s="17" t="s">
        <v>12640</v>
      </c>
      <c r="Q580" s="17" t="s">
        <v>25</v>
      </c>
      <c r="R580" s="17" t="s">
        <v>12641</v>
      </c>
      <c r="S580" s="17"/>
      <c r="T580" s="17"/>
      <c r="U580" s="17"/>
      <c r="V580" s="17"/>
      <c r="W580" s="17" t="s">
        <v>4729</v>
      </c>
      <c r="X580" s="8" t="s">
        <v>13473</v>
      </c>
      <c r="Y580" s="17" t="s">
        <v>4559</v>
      </c>
      <c r="Z580" s="8" t="s">
        <v>13472</v>
      </c>
      <c r="AA580" s="17"/>
      <c r="AB580" s="17"/>
    </row>
    <row r="581" spans="1:28">
      <c r="A581" s="17" t="s">
        <v>8981</v>
      </c>
      <c r="B581" s="17" t="s">
        <v>8981</v>
      </c>
      <c r="C581" s="17" t="s">
        <v>8982</v>
      </c>
      <c r="D581" s="17" t="s">
        <v>21</v>
      </c>
      <c r="E581" s="24">
        <v>1206</v>
      </c>
      <c r="F581" s="17" t="s">
        <v>109</v>
      </c>
      <c r="G581" s="17" t="str">
        <f>Config!$B$3</f>
        <v>SCH/R_IEC.SchLib</v>
      </c>
      <c r="H581" s="17" t="s">
        <v>419</v>
      </c>
      <c r="I581" s="17" t="s">
        <v>461</v>
      </c>
      <c r="J581" s="17" t="s">
        <v>6410</v>
      </c>
      <c r="K581" s="17"/>
      <c r="L581" s="17"/>
      <c r="M581" s="21">
        <v>110</v>
      </c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</row>
    <row r="582" spans="1:28">
      <c r="A582" s="17" t="s">
        <v>8983</v>
      </c>
      <c r="B582" s="17" t="s">
        <v>8983</v>
      </c>
      <c r="C582" s="17" t="s">
        <v>8984</v>
      </c>
      <c r="D582" s="17" t="s">
        <v>21</v>
      </c>
      <c r="E582" s="24">
        <v>1206</v>
      </c>
      <c r="F582" s="17" t="s">
        <v>111</v>
      </c>
      <c r="G582" s="17" t="str">
        <f>Config!$B$3</f>
        <v>SCH/R_IEC.SchLib</v>
      </c>
      <c r="H582" s="17" t="s">
        <v>419</v>
      </c>
      <c r="I582" s="17" t="s">
        <v>461</v>
      </c>
      <c r="J582" s="17" t="s">
        <v>6410</v>
      </c>
      <c r="K582" s="17"/>
      <c r="L582" s="17"/>
      <c r="M582" s="21">
        <v>120</v>
      </c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</row>
    <row r="583" spans="1:28">
      <c r="A583" s="17" t="s">
        <v>8985</v>
      </c>
      <c r="B583" s="17" t="s">
        <v>8985</v>
      </c>
      <c r="C583" s="17" t="s">
        <v>8986</v>
      </c>
      <c r="D583" s="17" t="s">
        <v>21</v>
      </c>
      <c r="E583" s="24">
        <v>1206</v>
      </c>
      <c r="F583" s="17" t="s">
        <v>113</v>
      </c>
      <c r="G583" s="17" t="str">
        <f>Config!$B$3</f>
        <v>SCH/R_IEC.SchLib</v>
      </c>
      <c r="H583" s="17" t="s">
        <v>419</v>
      </c>
      <c r="I583" s="17" t="s">
        <v>461</v>
      </c>
      <c r="J583" s="17" t="s">
        <v>6410</v>
      </c>
      <c r="K583" s="17"/>
      <c r="L583" s="17"/>
      <c r="M583" s="21">
        <v>130</v>
      </c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  <c r="AA583" s="17"/>
      <c r="AB583" s="17"/>
    </row>
    <row r="584" spans="1:28">
      <c r="A584" s="17" t="s">
        <v>8987</v>
      </c>
      <c r="B584" s="17" t="s">
        <v>8987</v>
      </c>
      <c r="C584" s="17" t="s">
        <v>8988</v>
      </c>
      <c r="D584" s="17" t="s">
        <v>21</v>
      </c>
      <c r="E584" s="24">
        <v>1206</v>
      </c>
      <c r="F584" s="17" t="s">
        <v>115</v>
      </c>
      <c r="G584" s="17" t="str">
        <f>Config!$B$3</f>
        <v>SCH/R_IEC.SchLib</v>
      </c>
      <c r="H584" s="17" t="s">
        <v>419</v>
      </c>
      <c r="I584" s="17" t="s">
        <v>461</v>
      </c>
      <c r="J584" s="17" t="s">
        <v>6410</v>
      </c>
      <c r="K584" s="17"/>
      <c r="L584" s="17"/>
      <c r="M584" s="21">
        <v>150</v>
      </c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  <c r="AA584" s="17"/>
      <c r="AB584" s="17"/>
    </row>
    <row r="585" spans="1:28">
      <c r="A585" s="17" t="s">
        <v>8989</v>
      </c>
      <c r="B585" s="17" t="s">
        <v>8989</v>
      </c>
      <c r="C585" s="17" t="s">
        <v>8990</v>
      </c>
      <c r="D585" s="17" t="s">
        <v>21</v>
      </c>
      <c r="E585" s="24">
        <v>1206</v>
      </c>
      <c r="F585" s="17" t="s">
        <v>117</v>
      </c>
      <c r="G585" s="17" t="str">
        <f>Config!$B$3</f>
        <v>SCH/R_IEC.SchLib</v>
      </c>
      <c r="H585" s="17" t="s">
        <v>419</v>
      </c>
      <c r="I585" s="17" t="s">
        <v>461</v>
      </c>
      <c r="J585" s="17" t="s">
        <v>6410</v>
      </c>
      <c r="K585" s="17"/>
      <c r="L585" s="17"/>
      <c r="M585" s="21">
        <v>160</v>
      </c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  <c r="AA585" s="17"/>
      <c r="AB585" s="17"/>
    </row>
    <row r="586" spans="1:28">
      <c r="A586" s="17" t="s">
        <v>8991</v>
      </c>
      <c r="B586" s="17" t="s">
        <v>8991</v>
      </c>
      <c r="C586" s="17" t="s">
        <v>8992</v>
      </c>
      <c r="D586" s="17" t="s">
        <v>21</v>
      </c>
      <c r="E586" s="24">
        <v>1206</v>
      </c>
      <c r="F586" s="17" t="s">
        <v>119</v>
      </c>
      <c r="G586" s="17" t="str">
        <f>Config!$B$3</f>
        <v>SCH/R_IEC.SchLib</v>
      </c>
      <c r="H586" s="17" t="s">
        <v>419</v>
      </c>
      <c r="I586" s="17" t="s">
        <v>461</v>
      </c>
      <c r="J586" s="17" t="s">
        <v>6410</v>
      </c>
      <c r="K586" s="17"/>
      <c r="L586" s="17"/>
      <c r="M586" s="21">
        <v>180</v>
      </c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  <c r="AA586" s="17"/>
      <c r="AB586" s="17"/>
    </row>
    <row r="587" spans="1:28">
      <c r="A587" s="17" t="s">
        <v>8993</v>
      </c>
      <c r="B587" s="17" t="s">
        <v>8993</v>
      </c>
      <c r="C587" s="17" t="s">
        <v>8994</v>
      </c>
      <c r="D587" s="17" t="s">
        <v>21</v>
      </c>
      <c r="E587" s="24">
        <v>1206</v>
      </c>
      <c r="F587" s="17" t="s">
        <v>123</v>
      </c>
      <c r="G587" s="17" t="str">
        <f>Config!$B$3</f>
        <v>SCH/R_IEC.SchLib</v>
      </c>
      <c r="H587" s="17" t="s">
        <v>419</v>
      </c>
      <c r="I587" s="17" t="s">
        <v>461</v>
      </c>
      <c r="J587" s="17" t="s">
        <v>6410</v>
      </c>
      <c r="K587" s="17"/>
      <c r="L587" s="17"/>
      <c r="M587" s="21">
        <v>200</v>
      </c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  <c r="AA587" s="17"/>
      <c r="AB587" s="17"/>
    </row>
    <row r="588" spans="1:28">
      <c r="A588" s="17" t="s">
        <v>8995</v>
      </c>
      <c r="B588" s="17" t="s">
        <v>8995</v>
      </c>
      <c r="C588" s="17" t="s">
        <v>8996</v>
      </c>
      <c r="D588" s="17" t="s">
        <v>21</v>
      </c>
      <c r="E588" s="24">
        <v>1206</v>
      </c>
      <c r="F588" s="17" t="s">
        <v>125</v>
      </c>
      <c r="G588" s="17" t="str">
        <f>Config!$B$3</f>
        <v>SCH/R_IEC.SchLib</v>
      </c>
      <c r="H588" s="17" t="s">
        <v>419</v>
      </c>
      <c r="I588" s="17" t="s">
        <v>461</v>
      </c>
      <c r="J588" s="17" t="s">
        <v>6410</v>
      </c>
      <c r="K588" s="17"/>
      <c r="L588" s="17"/>
      <c r="M588" s="21">
        <v>220</v>
      </c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  <c r="AA588" s="17"/>
      <c r="AB588" s="17"/>
    </row>
    <row r="589" spans="1:28">
      <c r="A589" s="17" t="s">
        <v>8997</v>
      </c>
      <c r="B589" s="17" t="s">
        <v>8997</v>
      </c>
      <c r="C589" s="17" t="s">
        <v>8998</v>
      </c>
      <c r="D589" s="17" t="s">
        <v>21</v>
      </c>
      <c r="E589" s="24">
        <v>1206</v>
      </c>
      <c r="F589" s="17" t="s">
        <v>129</v>
      </c>
      <c r="G589" s="17" t="str">
        <f>Config!$B$3</f>
        <v>SCH/R_IEC.SchLib</v>
      </c>
      <c r="H589" s="17" t="s">
        <v>419</v>
      </c>
      <c r="I589" s="17" t="s">
        <v>461</v>
      </c>
      <c r="J589" s="17" t="s">
        <v>6410</v>
      </c>
      <c r="K589" s="17"/>
      <c r="L589" s="17"/>
      <c r="M589" s="21">
        <v>240</v>
      </c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</row>
    <row r="590" spans="1:28">
      <c r="A590" s="17" t="s">
        <v>8999</v>
      </c>
      <c r="B590" s="17" t="s">
        <v>8999</v>
      </c>
      <c r="C590" s="17" t="s">
        <v>9000</v>
      </c>
      <c r="D590" s="17" t="s">
        <v>21</v>
      </c>
      <c r="E590" s="24">
        <v>1206</v>
      </c>
      <c r="F590" s="17" t="s">
        <v>131</v>
      </c>
      <c r="G590" s="17" t="str">
        <f>Config!$B$3</f>
        <v>SCH/R_IEC.SchLib</v>
      </c>
      <c r="H590" s="17" t="s">
        <v>419</v>
      </c>
      <c r="I590" s="17" t="s">
        <v>461</v>
      </c>
      <c r="J590" s="17" t="s">
        <v>6410</v>
      </c>
      <c r="K590" s="17"/>
      <c r="L590" s="17"/>
      <c r="M590" s="21">
        <v>270</v>
      </c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</row>
    <row r="591" spans="1:28">
      <c r="A591" s="17" t="s">
        <v>9001</v>
      </c>
      <c r="B591" s="17" t="s">
        <v>9001</v>
      </c>
      <c r="C591" s="17" t="s">
        <v>9002</v>
      </c>
      <c r="D591" s="17" t="s">
        <v>21</v>
      </c>
      <c r="E591" s="24">
        <v>1206</v>
      </c>
      <c r="F591" s="17" t="s">
        <v>133</v>
      </c>
      <c r="G591" s="17" t="str">
        <f>Config!$B$3</f>
        <v>SCH/R_IEC.SchLib</v>
      </c>
      <c r="H591" s="17" t="s">
        <v>419</v>
      </c>
      <c r="I591" s="17" t="s">
        <v>461</v>
      </c>
      <c r="J591" s="17" t="s">
        <v>6410</v>
      </c>
      <c r="K591" s="17"/>
      <c r="L591" s="17"/>
      <c r="M591" s="21">
        <v>300</v>
      </c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</row>
    <row r="592" spans="1:28">
      <c r="A592" s="17" t="s">
        <v>9003</v>
      </c>
      <c r="B592" s="17" t="s">
        <v>9003</v>
      </c>
      <c r="C592" s="17" t="s">
        <v>9004</v>
      </c>
      <c r="D592" s="17" t="s">
        <v>21</v>
      </c>
      <c r="E592" s="24">
        <v>1206</v>
      </c>
      <c r="F592" s="17" t="s">
        <v>137</v>
      </c>
      <c r="G592" s="17" t="str">
        <f>Config!$B$3</f>
        <v>SCH/R_IEC.SchLib</v>
      </c>
      <c r="H592" s="17" t="s">
        <v>419</v>
      </c>
      <c r="I592" s="17" t="s">
        <v>461</v>
      </c>
      <c r="J592" s="17" t="s">
        <v>6410</v>
      </c>
      <c r="K592" s="17"/>
      <c r="L592" s="17"/>
      <c r="M592" s="21">
        <v>330</v>
      </c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</row>
    <row r="593" spans="1:28">
      <c r="A593" s="17" t="s">
        <v>9005</v>
      </c>
      <c r="B593" s="17" t="s">
        <v>9005</v>
      </c>
      <c r="C593" s="17" t="s">
        <v>9006</v>
      </c>
      <c r="D593" s="17" t="s">
        <v>21</v>
      </c>
      <c r="E593" s="24">
        <v>1206</v>
      </c>
      <c r="F593" s="17" t="s">
        <v>139</v>
      </c>
      <c r="G593" s="17" t="str">
        <f>Config!$B$3</f>
        <v>SCH/R_IEC.SchLib</v>
      </c>
      <c r="H593" s="17" t="s">
        <v>419</v>
      </c>
      <c r="I593" s="17" t="s">
        <v>461</v>
      </c>
      <c r="J593" s="17" t="s">
        <v>6410</v>
      </c>
      <c r="K593" s="17"/>
      <c r="L593" s="17"/>
      <c r="M593" s="21">
        <v>360</v>
      </c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</row>
    <row r="594" spans="1:28">
      <c r="A594" s="17" t="s">
        <v>9007</v>
      </c>
      <c r="B594" s="17" t="s">
        <v>9007</v>
      </c>
      <c r="C594" s="17" t="s">
        <v>9008</v>
      </c>
      <c r="D594" s="17" t="s">
        <v>21</v>
      </c>
      <c r="E594" s="24">
        <v>1206</v>
      </c>
      <c r="F594" s="17" t="s">
        <v>141</v>
      </c>
      <c r="G594" s="17" t="str">
        <f>Config!$B$3</f>
        <v>SCH/R_IEC.SchLib</v>
      </c>
      <c r="H594" s="17" t="s">
        <v>419</v>
      </c>
      <c r="I594" s="17" t="s">
        <v>461</v>
      </c>
      <c r="J594" s="17" t="s">
        <v>6410</v>
      </c>
      <c r="K594" s="17"/>
      <c r="L594" s="17"/>
      <c r="M594" s="21">
        <v>390</v>
      </c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</row>
    <row r="595" spans="1:28">
      <c r="A595" s="17" t="s">
        <v>9009</v>
      </c>
      <c r="B595" s="17" t="s">
        <v>9009</v>
      </c>
      <c r="C595" s="17" t="s">
        <v>9010</v>
      </c>
      <c r="D595" s="17" t="s">
        <v>21</v>
      </c>
      <c r="E595" s="24">
        <v>1206</v>
      </c>
      <c r="F595" s="17" t="s">
        <v>143</v>
      </c>
      <c r="G595" s="17" t="str">
        <f>Config!$B$3</f>
        <v>SCH/R_IEC.SchLib</v>
      </c>
      <c r="H595" s="17" t="s">
        <v>419</v>
      </c>
      <c r="I595" s="17" t="s">
        <v>461</v>
      </c>
      <c r="J595" s="17" t="s">
        <v>6410</v>
      </c>
      <c r="K595" s="17"/>
      <c r="L595" s="17"/>
      <c r="M595" s="21">
        <v>430</v>
      </c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</row>
    <row r="596" spans="1:28">
      <c r="A596" s="17" t="s">
        <v>9011</v>
      </c>
      <c r="B596" s="17" t="s">
        <v>9011</v>
      </c>
      <c r="C596" s="17" t="s">
        <v>9012</v>
      </c>
      <c r="D596" s="17" t="s">
        <v>21</v>
      </c>
      <c r="E596" s="24">
        <v>1206</v>
      </c>
      <c r="F596" s="17" t="s">
        <v>145</v>
      </c>
      <c r="G596" s="17" t="str">
        <f>Config!$B$3</f>
        <v>SCH/R_IEC.SchLib</v>
      </c>
      <c r="H596" s="17" t="s">
        <v>419</v>
      </c>
      <c r="I596" s="17" t="s">
        <v>461</v>
      </c>
      <c r="J596" s="17" t="s">
        <v>6410</v>
      </c>
      <c r="K596" s="17"/>
      <c r="L596" s="17"/>
      <c r="M596" s="21">
        <v>470</v>
      </c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  <c r="AA596" s="17"/>
      <c r="AB596" s="17"/>
    </row>
    <row r="597" spans="1:28">
      <c r="A597" s="17" t="s">
        <v>9013</v>
      </c>
      <c r="B597" s="17" t="s">
        <v>9013</v>
      </c>
      <c r="C597" s="17" t="s">
        <v>9014</v>
      </c>
      <c r="D597" s="17" t="s">
        <v>21</v>
      </c>
      <c r="E597" s="24">
        <v>1206</v>
      </c>
      <c r="F597" s="17" t="s">
        <v>149</v>
      </c>
      <c r="G597" s="17" t="str">
        <f>Config!$B$3</f>
        <v>SCH/R_IEC.SchLib</v>
      </c>
      <c r="H597" s="17" t="s">
        <v>419</v>
      </c>
      <c r="I597" s="17" t="s">
        <v>461</v>
      </c>
      <c r="J597" s="17" t="s">
        <v>6410</v>
      </c>
      <c r="K597" s="17"/>
      <c r="L597" s="17"/>
      <c r="M597" s="21">
        <v>510</v>
      </c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  <c r="AA597" s="17"/>
      <c r="AB597" s="17"/>
    </row>
    <row r="598" spans="1:28">
      <c r="A598" s="17" t="s">
        <v>9015</v>
      </c>
      <c r="B598" s="17" t="s">
        <v>9015</v>
      </c>
      <c r="C598" s="17" t="s">
        <v>9016</v>
      </c>
      <c r="D598" s="17" t="s">
        <v>21</v>
      </c>
      <c r="E598" s="24">
        <v>1206</v>
      </c>
      <c r="F598" s="17" t="s">
        <v>151</v>
      </c>
      <c r="G598" s="17" t="str">
        <f>Config!$B$3</f>
        <v>SCH/R_IEC.SchLib</v>
      </c>
      <c r="H598" s="17" t="s">
        <v>419</v>
      </c>
      <c r="I598" s="17" t="s">
        <v>461</v>
      </c>
      <c r="J598" s="17" t="s">
        <v>6410</v>
      </c>
      <c r="K598" s="17"/>
      <c r="L598" s="17"/>
      <c r="M598" s="21">
        <v>560</v>
      </c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  <c r="AA598" s="17"/>
      <c r="AB598" s="17"/>
    </row>
    <row r="599" spans="1:28">
      <c r="A599" s="17" t="s">
        <v>9017</v>
      </c>
      <c r="B599" s="17" t="s">
        <v>9017</v>
      </c>
      <c r="C599" s="17" t="s">
        <v>9018</v>
      </c>
      <c r="D599" s="17" t="s">
        <v>21</v>
      </c>
      <c r="E599" s="24">
        <v>1206</v>
      </c>
      <c r="F599" s="17" t="s">
        <v>153</v>
      </c>
      <c r="G599" s="17" t="str">
        <f>Config!$B$3</f>
        <v>SCH/R_IEC.SchLib</v>
      </c>
      <c r="H599" s="17" t="s">
        <v>419</v>
      </c>
      <c r="I599" s="17" t="s">
        <v>461</v>
      </c>
      <c r="J599" s="17" t="s">
        <v>6410</v>
      </c>
      <c r="K599" s="17"/>
      <c r="L599" s="17"/>
      <c r="M599" s="21">
        <v>620</v>
      </c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</row>
    <row r="600" spans="1:28">
      <c r="A600" s="17" t="s">
        <v>9019</v>
      </c>
      <c r="B600" s="17" t="s">
        <v>9019</v>
      </c>
      <c r="C600" s="17" t="s">
        <v>9020</v>
      </c>
      <c r="D600" s="17" t="s">
        <v>21</v>
      </c>
      <c r="E600" s="24">
        <v>1206</v>
      </c>
      <c r="F600" s="17" t="s">
        <v>155</v>
      </c>
      <c r="G600" s="17" t="str">
        <f>Config!$B$3</f>
        <v>SCH/R_IEC.SchLib</v>
      </c>
      <c r="H600" s="17" t="s">
        <v>419</v>
      </c>
      <c r="I600" s="17" t="s">
        <v>461</v>
      </c>
      <c r="J600" s="17" t="s">
        <v>6410</v>
      </c>
      <c r="K600" s="17"/>
      <c r="L600" s="17"/>
      <c r="M600" s="21">
        <v>680</v>
      </c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  <c r="AA600" s="17"/>
      <c r="AB600" s="17"/>
    </row>
    <row r="601" spans="1:28">
      <c r="A601" s="17" t="s">
        <v>9021</v>
      </c>
      <c r="B601" s="17" t="s">
        <v>9021</v>
      </c>
      <c r="C601" s="17" t="s">
        <v>9022</v>
      </c>
      <c r="D601" s="17" t="s">
        <v>21</v>
      </c>
      <c r="E601" s="24">
        <v>1206</v>
      </c>
      <c r="F601" s="17" t="s">
        <v>157</v>
      </c>
      <c r="G601" s="17" t="str">
        <f>Config!$B$3</f>
        <v>SCH/R_IEC.SchLib</v>
      </c>
      <c r="H601" s="17" t="s">
        <v>419</v>
      </c>
      <c r="I601" s="17" t="s">
        <v>461</v>
      </c>
      <c r="J601" s="17" t="s">
        <v>6410</v>
      </c>
      <c r="K601" s="17"/>
      <c r="L601" s="17"/>
      <c r="M601" s="21">
        <v>750</v>
      </c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  <c r="AA601" s="17"/>
      <c r="AB601" s="17"/>
    </row>
    <row r="602" spans="1:28">
      <c r="A602" s="17" t="s">
        <v>9023</v>
      </c>
      <c r="B602" s="17" t="s">
        <v>9023</v>
      </c>
      <c r="C602" s="17" t="s">
        <v>9024</v>
      </c>
      <c r="D602" s="17" t="s">
        <v>21</v>
      </c>
      <c r="E602" s="24">
        <v>1206</v>
      </c>
      <c r="F602" s="17" t="s">
        <v>159</v>
      </c>
      <c r="G602" s="17" t="str">
        <f>Config!$B$3</f>
        <v>SCH/R_IEC.SchLib</v>
      </c>
      <c r="H602" s="17" t="s">
        <v>419</v>
      </c>
      <c r="I602" s="17" t="s">
        <v>461</v>
      </c>
      <c r="J602" s="17" t="s">
        <v>6410</v>
      </c>
      <c r="K602" s="17"/>
      <c r="L602" s="17"/>
      <c r="M602" s="21">
        <v>820</v>
      </c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  <c r="AA602" s="17"/>
      <c r="AB602" s="17"/>
    </row>
    <row r="603" spans="1:28">
      <c r="A603" s="17" t="s">
        <v>9025</v>
      </c>
      <c r="B603" s="17" t="s">
        <v>9025</v>
      </c>
      <c r="C603" s="17" t="s">
        <v>9026</v>
      </c>
      <c r="D603" s="17" t="s">
        <v>21</v>
      </c>
      <c r="E603" s="24">
        <v>1206</v>
      </c>
      <c r="F603" s="17" t="s">
        <v>161</v>
      </c>
      <c r="G603" s="17" t="str">
        <f>Config!$B$3</f>
        <v>SCH/R_IEC.SchLib</v>
      </c>
      <c r="H603" s="17" t="s">
        <v>419</v>
      </c>
      <c r="I603" s="17" t="s">
        <v>461</v>
      </c>
      <c r="J603" s="17" t="s">
        <v>6410</v>
      </c>
      <c r="K603" s="17"/>
      <c r="L603" s="17"/>
      <c r="M603" s="21">
        <v>910</v>
      </c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</row>
    <row r="604" spans="1:28">
      <c r="A604" s="17" t="s">
        <v>9027</v>
      </c>
      <c r="B604" s="17" t="s">
        <v>9027</v>
      </c>
      <c r="C604" s="17" t="s">
        <v>9028</v>
      </c>
      <c r="D604" s="17" t="s">
        <v>21</v>
      </c>
      <c r="E604" s="24">
        <v>1206</v>
      </c>
      <c r="F604" s="17" t="s">
        <v>163</v>
      </c>
      <c r="G604" s="17" t="str">
        <f>Config!$B$3</f>
        <v>SCH/R_IEC.SchLib</v>
      </c>
      <c r="H604" s="17" t="s">
        <v>419</v>
      </c>
      <c r="I604" s="17" t="s">
        <v>461</v>
      </c>
      <c r="J604" s="17" t="s">
        <v>6410</v>
      </c>
      <c r="K604" s="17"/>
      <c r="L604" s="17"/>
      <c r="M604" s="21">
        <v>1000</v>
      </c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</row>
    <row r="605" spans="1:28">
      <c r="A605" s="17" t="s">
        <v>9029</v>
      </c>
      <c r="B605" s="17" t="s">
        <v>9029</v>
      </c>
      <c r="C605" s="17" t="s">
        <v>9030</v>
      </c>
      <c r="D605" s="17" t="s">
        <v>21</v>
      </c>
      <c r="E605" s="24">
        <v>1206</v>
      </c>
      <c r="F605" s="17" t="s">
        <v>165</v>
      </c>
      <c r="G605" s="17" t="str">
        <f>Config!$B$3</f>
        <v>SCH/R_IEC.SchLib</v>
      </c>
      <c r="H605" s="17" t="s">
        <v>419</v>
      </c>
      <c r="I605" s="17" t="s">
        <v>461</v>
      </c>
      <c r="J605" s="17" t="s">
        <v>6410</v>
      </c>
      <c r="K605" s="17"/>
      <c r="L605" s="17"/>
      <c r="M605" s="21">
        <v>1100</v>
      </c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  <c r="AA605" s="17"/>
      <c r="AB605" s="17"/>
    </row>
    <row r="606" spans="1:28">
      <c r="A606" s="17" t="s">
        <v>9031</v>
      </c>
      <c r="B606" s="17" t="s">
        <v>9031</v>
      </c>
      <c r="C606" s="17" t="s">
        <v>9032</v>
      </c>
      <c r="D606" s="17" t="s">
        <v>21</v>
      </c>
      <c r="E606" s="24">
        <v>1206</v>
      </c>
      <c r="F606" s="17" t="s">
        <v>167</v>
      </c>
      <c r="G606" s="17" t="str">
        <f>Config!$B$3</f>
        <v>SCH/R_IEC.SchLib</v>
      </c>
      <c r="H606" s="17" t="s">
        <v>419</v>
      </c>
      <c r="I606" s="17" t="s">
        <v>461</v>
      </c>
      <c r="J606" s="17" t="s">
        <v>6410</v>
      </c>
      <c r="K606" s="17"/>
      <c r="L606" s="17"/>
      <c r="M606" s="21">
        <v>1200</v>
      </c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  <c r="AA606" s="17"/>
      <c r="AB606" s="17"/>
    </row>
    <row r="607" spans="1:28">
      <c r="A607" s="17" t="s">
        <v>9033</v>
      </c>
      <c r="B607" s="17" t="s">
        <v>9033</v>
      </c>
      <c r="C607" s="17" t="s">
        <v>9034</v>
      </c>
      <c r="D607" s="17" t="s">
        <v>21</v>
      </c>
      <c r="E607" s="24">
        <v>1206</v>
      </c>
      <c r="F607" s="17" t="s">
        <v>169</v>
      </c>
      <c r="G607" s="17" t="str">
        <f>Config!$B$3</f>
        <v>SCH/R_IEC.SchLib</v>
      </c>
      <c r="H607" s="17" t="s">
        <v>419</v>
      </c>
      <c r="I607" s="17" t="s">
        <v>461</v>
      </c>
      <c r="J607" s="17" t="s">
        <v>6410</v>
      </c>
      <c r="K607" s="17"/>
      <c r="L607" s="17"/>
      <c r="M607" s="21">
        <v>1300</v>
      </c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  <c r="AA607" s="17"/>
      <c r="AB607" s="17"/>
    </row>
    <row r="608" spans="1:28">
      <c r="A608" s="17" t="s">
        <v>9035</v>
      </c>
      <c r="B608" s="17" t="s">
        <v>9035</v>
      </c>
      <c r="C608" s="17" t="s">
        <v>9036</v>
      </c>
      <c r="D608" s="17" t="s">
        <v>21</v>
      </c>
      <c r="E608" s="24">
        <v>1206</v>
      </c>
      <c r="F608" s="17" t="s">
        <v>171</v>
      </c>
      <c r="G608" s="17" t="str">
        <f>Config!$B$3</f>
        <v>SCH/R_IEC.SchLib</v>
      </c>
      <c r="H608" s="17" t="s">
        <v>419</v>
      </c>
      <c r="I608" s="17" t="s">
        <v>461</v>
      </c>
      <c r="J608" s="17" t="s">
        <v>6410</v>
      </c>
      <c r="K608" s="17"/>
      <c r="L608" s="17"/>
      <c r="M608" s="21">
        <v>1500</v>
      </c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</row>
    <row r="609" spans="1:28">
      <c r="A609" s="17" t="s">
        <v>9037</v>
      </c>
      <c r="B609" s="17" t="s">
        <v>9037</v>
      </c>
      <c r="C609" s="17" t="s">
        <v>9038</v>
      </c>
      <c r="D609" s="17" t="s">
        <v>21</v>
      </c>
      <c r="E609" s="24">
        <v>1206</v>
      </c>
      <c r="F609" s="17" t="s">
        <v>175</v>
      </c>
      <c r="G609" s="17" t="str">
        <f>Config!$B$3</f>
        <v>SCH/R_IEC.SchLib</v>
      </c>
      <c r="H609" s="17" t="s">
        <v>419</v>
      </c>
      <c r="I609" s="17" t="s">
        <v>461</v>
      </c>
      <c r="J609" s="17" t="s">
        <v>6410</v>
      </c>
      <c r="K609" s="17"/>
      <c r="L609" s="17"/>
      <c r="M609" s="21">
        <v>1600</v>
      </c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</row>
    <row r="610" spans="1:28">
      <c r="A610" s="17" t="s">
        <v>9039</v>
      </c>
      <c r="B610" s="17" t="s">
        <v>9039</v>
      </c>
      <c r="C610" s="17" t="s">
        <v>9040</v>
      </c>
      <c r="D610" s="17" t="s">
        <v>21</v>
      </c>
      <c r="E610" s="24">
        <v>1206</v>
      </c>
      <c r="F610" s="17" t="s">
        <v>181</v>
      </c>
      <c r="G610" s="17" t="str">
        <f>Config!$B$3</f>
        <v>SCH/R_IEC.SchLib</v>
      </c>
      <c r="H610" s="17" t="s">
        <v>419</v>
      </c>
      <c r="I610" s="17" t="s">
        <v>461</v>
      </c>
      <c r="J610" s="17" t="s">
        <v>6410</v>
      </c>
      <c r="K610" s="17"/>
      <c r="L610" s="17"/>
      <c r="M610" s="21">
        <v>1800</v>
      </c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</row>
    <row r="611" spans="1:28">
      <c r="A611" s="17" t="s">
        <v>9041</v>
      </c>
      <c r="B611" s="17" t="s">
        <v>9041</v>
      </c>
      <c r="C611" s="17" t="s">
        <v>9042</v>
      </c>
      <c r="D611" s="17" t="s">
        <v>21</v>
      </c>
      <c r="E611" s="24">
        <v>1206</v>
      </c>
      <c r="F611" s="17" t="s">
        <v>183</v>
      </c>
      <c r="G611" s="17" t="str">
        <f>Config!$B$3</f>
        <v>SCH/R_IEC.SchLib</v>
      </c>
      <c r="H611" s="17" t="s">
        <v>419</v>
      </c>
      <c r="I611" s="17" t="s">
        <v>461</v>
      </c>
      <c r="J611" s="17" t="s">
        <v>6410</v>
      </c>
      <c r="K611" s="17"/>
      <c r="L611" s="17"/>
      <c r="M611" s="21">
        <v>2000</v>
      </c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</row>
    <row r="612" spans="1:28">
      <c r="A612" s="17" t="s">
        <v>9043</v>
      </c>
      <c r="B612" s="17" t="s">
        <v>9043</v>
      </c>
      <c r="C612" s="17" t="s">
        <v>9044</v>
      </c>
      <c r="D612" s="17" t="s">
        <v>21</v>
      </c>
      <c r="E612" s="24">
        <v>1206</v>
      </c>
      <c r="F612" s="17" t="s">
        <v>187</v>
      </c>
      <c r="G612" s="17" t="str">
        <f>Config!$B$3</f>
        <v>SCH/R_IEC.SchLib</v>
      </c>
      <c r="H612" s="17" t="s">
        <v>419</v>
      </c>
      <c r="I612" s="17" t="s">
        <v>461</v>
      </c>
      <c r="J612" s="17" t="s">
        <v>6410</v>
      </c>
      <c r="K612" s="17"/>
      <c r="L612" s="17"/>
      <c r="M612" s="21">
        <v>2200</v>
      </c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  <c r="AA612" s="17"/>
      <c r="AB612" s="17"/>
    </row>
    <row r="613" spans="1:28">
      <c r="A613" s="17" t="s">
        <v>9045</v>
      </c>
      <c r="B613" s="17" t="s">
        <v>9045</v>
      </c>
      <c r="C613" s="17" t="s">
        <v>9046</v>
      </c>
      <c r="D613" s="17" t="s">
        <v>21</v>
      </c>
      <c r="E613" s="24">
        <v>1206</v>
      </c>
      <c r="F613" s="17" t="s">
        <v>191</v>
      </c>
      <c r="G613" s="17" t="str">
        <f>Config!$B$3</f>
        <v>SCH/R_IEC.SchLib</v>
      </c>
      <c r="H613" s="17" t="s">
        <v>419</v>
      </c>
      <c r="I613" s="17" t="s">
        <v>461</v>
      </c>
      <c r="J613" s="17" t="s">
        <v>6410</v>
      </c>
      <c r="K613" s="17"/>
      <c r="L613" s="17"/>
      <c r="M613" s="21">
        <v>2400</v>
      </c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  <c r="AA613" s="17"/>
      <c r="AB613" s="17"/>
    </row>
    <row r="614" spans="1:28">
      <c r="A614" s="17" t="s">
        <v>9047</v>
      </c>
      <c r="B614" s="17" t="s">
        <v>9047</v>
      </c>
      <c r="C614" s="17" t="s">
        <v>9048</v>
      </c>
      <c r="D614" s="17" t="s">
        <v>21</v>
      </c>
      <c r="E614" s="24">
        <v>1206</v>
      </c>
      <c r="F614" s="17" t="s">
        <v>193</v>
      </c>
      <c r="G614" s="17" t="str">
        <f>Config!$B$3</f>
        <v>SCH/R_IEC.SchLib</v>
      </c>
      <c r="H614" s="17" t="s">
        <v>419</v>
      </c>
      <c r="I614" s="17" t="s">
        <v>461</v>
      </c>
      <c r="J614" s="17" t="s">
        <v>6410</v>
      </c>
      <c r="K614" s="17"/>
      <c r="L614" s="17"/>
      <c r="M614" s="21">
        <v>2700</v>
      </c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  <c r="AA614" s="17"/>
      <c r="AB614" s="17"/>
    </row>
    <row r="615" spans="1:28">
      <c r="A615" s="17" t="s">
        <v>9049</v>
      </c>
      <c r="B615" s="17" t="s">
        <v>9049</v>
      </c>
      <c r="C615" s="17" t="s">
        <v>9050</v>
      </c>
      <c r="D615" s="17" t="s">
        <v>21</v>
      </c>
      <c r="E615" s="24">
        <v>1206</v>
      </c>
      <c r="F615" s="17" t="s">
        <v>197</v>
      </c>
      <c r="G615" s="17" t="str">
        <f>Config!$B$3</f>
        <v>SCH/R_IEC.SchLib</v>
      </c>
      <c r="H615" s="17" t="s">
        <v>419</v>
      </c>
      <c r="I615" s="17" t="s">
        <v>461</v>
      </c>
      <c r="J615" s="17" t="s">
        <v>6410</v>
      </c>
      <c r="K615" s="17"/>
      <c r="L615" s="17"/>
      <c r="M615" s="21">
        <v>3000</v>
      </c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</row>
    <row r="616" spans="1:28">
      <c r="A616" s="17" t="s">
        <v>9051</v>
      </c>
      <c r="B616" s="17" t="s">
        <v>9051</v>
      </c>
      <c r="C616" s="17" t="s">
        <v>9052</v>
      </c>
      <c r="D616" s="17" t="s">
        <v>21</v>
      </c>
      <c r="E616" s="24">
        <v>1206</v>
      </c>
      <c r="F616" s="17" t="s">
        <v>201</v>
      </c>
      <c r="G616" s="17" t="str">
        <f>Config!$B$3</f>
        <v>SCH/R_IEC.SchLib</v>
      </c>
      <c r="H616" s="17" t="s">
        <v>419</v>
      </c>
      <c r="I616" s="17" t="s">
        <v>461</v>
      </c>
      <c r="J616" s="17" t="s">
        <v>6410</v>
      </c>
      <c r="K616" s="17"/>
      <c r="L616" s="17"/>
      <c r="M616" s="21">
        <v>3300</v>
      </c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</row>
    <row r="617" spans="1:28">
      <c r="A617" s="17" t="s">
        <v>9053</v>
      </c>
      <c r="B617" s="17" t="s">
        <v>9053</v>
      </c>
      <c r="C617" s="17" t="s">
        <v>9054</v>
      </c>
      <c r="D617" s="17" t="s">
        <v>21</v>
      </c>
      <c r="E617" s="24">
        <v>1206</v>
      </c>
      <c r="F617" s="17" t="s">
        <v>203</v>
      </c>
      <c r="G617" s="17" t="str">
        <f>Config!$B$3</f>
        <v>SCH/R_IEC.SchLib</v>
      </c>
      <c r="H617" s="17" t="s">
        <v>419</v>
      </c>
      <c r="I617" s="17" t="s">
        <v>461</v>
      </c>
      <c r="J617" s="17" t="s">
        <v>6410</v>
      </c>
      <c r="K617" s="17"/>
      <c r="L617" s="17"/>
      <c r="M617" s="21">
        <v>3600</v>
      </c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</row>
    <row r="618" spans="1:28">
      <c r="A618" s="17" t="s">
        <v>9055</v>
      </c>
      <c r="B618" s="17" t="s">
        <v>9055</v>
      </c>
      <c r="C618" s="17" t="s">
        <v>9056</v>
      </c>
      <c r="D618" s="17" t="s">
        <v>21</v>
      </c>
      <c r="E618" s="24">
        <v>1206</v>
      </c>
      <c r="F618" s="17" t="s">
        <v>205</v>
      </c>
      <c r="G618" s="17" t="str">
        <f>Config!$B$3</f>
        <v>SCH/R_IEC.SchLib</v>
      </c>
      <c r="H618" s="17" t="s">
        <v>419</v>
      </c>
      <c r="I618" s="17" t="s">
        <v>461</v>
      </c>
      <c r="J618" s="17" t="s">
        <v>6410</v>
      </c>
      <c r="K618" s="17"/>
      <c r="L618" s="17"/>
      <c r="M618" s="21">
        <v>3900</v>
      </c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</row>
    <row r="619" spans="1:28">
      <c r="A619" s="17" t="s">
        <v>9057</v>
      </c>
      <c r="B619" s="17" t="s">
        <v>9057</v>
      </c>
      <c r="C619" s="17" t="s">
        <v>9058</v>
      </c>
      <c r="D619" s="17" t="s">
        <v>21</v>
      </c>
      <c r="E619" s="24">
        <v>1206</v>
      </c>
      <c r="F619" s="17" t="s">
        <v>207</v>
      </c>
      <c r="G619" s="17" t="str">
        <f>Config!$B$3</f>
        <v>SCH/R_IEC.SchLib</v>
      </c>
      <c r="H619" s="17" t="s">
        <v>419</v>
      </c>
      <c r="I619" s="17" t="s">
        <v>461</v>
      </c>
      <c r="J619" s="17" t="s">
        <v>6410</v>
      </c>
      <c r="K619" s="17"/>
      <c r="L619" s="17"/>
      <c r="M619" s="21">
        <v>4300</v>
      </c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</row>
    <row r="620" spans="1:28">
      <c r="A620" s="17" t="s">
        <v>9059</v>
      </c>
      <c r="B620" s="17" t="s">
        <v>9059</v>
      </c>
      <c r="C620" s="17" t="s">
        <v>9060</v>
      </c>
      <c r="D620" s="17" t="s">
        <v>21</v>
      </c>
      <c r="E620" s="24">
        <v>1206</v>
      </c>
      <c r="F620" s="17" t="s">
        <v>209</v>
      </c>
      <c r="G620" s="17" t="str">
        <f>Config!$B$3</f>
        <v>SCH/R_IEC.SchLib</v>
      </c>
      <c r="H620" s="17" t="s">
        <v>419</v>
      </c>
      <c r="I620" s="17" t="s">
        <v>461</v>
      </c>
      <c r="J620" s="17" t="s">
        <v>6410</v>
      </c>
      <c r="K620" s="17"/>
      <c r="L620" s="17"/>
      <c r="M620" s="21">
        <v>4700</v>
      </c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</row>
    <row r="621" spans="1:28">
      <c r="A621" s="17" t="s">
        <v>9061</v>
      </c>
      <c r="B621" s="17" t="s">
        <v>9061</v>
      </c>
      <c r="C621" s="17" t="s">
        <v>9062</v>
      </c>
      <c r="D621" s="17" t="s">
        <v>21</v>
      </c>
      <c r="E621" s="24">
        <v>1206</v>
      </c>
      <c r="F621" s="17" t="s">
        <v>213</v>
      </c>
      <c r="G621" s="17" t="str">
        <f>Config!$B$3</f>
        <v>SCH/R_IEC.SchLib</v>
      </c>
      <c r="H621" s="17" t="s">
        <v>419</v>
      </c>
      <c r="I621" s="17" t="s">
        <v>461</v>
      </c>
      <c r="J621" s="17" t="s">
        <v>6410</v>
      </c>
      <c r="K621" s="17"/>
      <c r="L621" s="17"/>
      <c r="M621" s="21">
        <v>5100</v>
      </c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</row>
    <row r="622" spans="1:28">
      <c r="A622" s="17" t="s">
        <v>9063</v>
      </c>
      <c r="B622" s="17" t="s">
        <v>9063</v>
      </c>
      <c r="C622" s="17" t="s">
        <v>9064</v>
      </c>
      <c r="D622" s="17" t="s">
        <v>21</v>
      </c>
      <c r="E622" s="24">
        <v>1206</v>
      </c>
      <c r="F622" s="17" t="s">
        <v>215</v>
      </c>
      <c r="G622" s="17" t="str">
        <f>Config!$B$3</f>
        <v>SCH/R_IEC.SchLib</v>
      </c>
      <c r="H622" s="17" t="s">
        <v>419</v>
      </c>
      <c r="I622" s="17" t="s">
        <v>461</v>
      </c>
      <c r="J622" s="17" t="s">
        <v>6410</v>
      </c>
      <c r="K622" s="17"/>
      <c r="L622" s="17"/>
      <c r="M622" s="21">
        <v>5600</v>
      </c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</row>
    <row r="623" spans="1:28">
      <c r="A623" s="17" t="s">
        <v>9065</v>
      </c>
      <c r="B623" s="17" t="s">
        <v>9065</v>
      </c>
      <c r="C623" s="17" t="s">
        <v>9066</v>
      </c>
      <c r="D623" s="17" t="s">
        <v>21</v>
      </c>
      <c r="E623" s="24">
        <v>1206</v>
      </c>
      <c r="F623" s="17" t="s">
        <v>217</v>
      </c>
      <c r="G623" s="17" t="str">
        <f>Config!$B$3</f>
        <v>SCH/R_IEC.SchLib</v>
      </c>
      <c r="H623" s="17" t="s">
        <v>419</v>
      </c>
      <c r="I623" s="17" t="s">
        <v>461</v>
      </c>
      <c r="J623" s="17" t="s">
        <v>6410</v>
      </c>
      <c r="K623" s="17"/>
      <c r="L623" s="17"/>
      <c r="M623" s="21">
        <v>6200</v>
      </c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</row>
    <row r="624" spans="1:28">
      <c r="A624" s="17" t="s">
        <v>9067</v>
      </c>
      <c r="B624" s="17" t="s">
        <v>9067</v>
      </c>
      <c r="C624" s="17" t="s">
        <v>9068</v>
      </c>
      <c r="D624" s="17" t="s">
        <v>21</v>
      </c>
      <c r="E624" s="24">
        <v>1206</v>
      </c>
      <c r="F624" s="17" t="s">
        <v>219</v>
      </c>
      <c r="G624" s="17" t="str">
        <f>Config!$B$3</f>
        <v>SCH/R_IEC.SchLib</v>
      </c>
      <c r="H624" s="17" t="s">
        <v>419</v>
      </c>
      <c r="I624" s="17" t="s">
        <v>461</v>
      </c>
      <c r="J624" s="17" t="s">
        <v>6410</v>
      </c>
      <c r="K624" s="17"/>
      <c r="L624" s="17"/>
      <c r="M624" s="21">
        <v>6800</v>
      </c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</row>
    <row r="625" spans="1:28">
      <c r="A625" s="17" t="s">
        <v>9069</v>
      </c>
      <c r="B625" s="17" t="s">
        <v>9069</v>
      </c>
      <c r="C625" s="17" t="s">
        <v>9070</v>
      </c>
      <c r="D625" s="17" t="s">
        <v>21</v>
      </c>
      <c r="E625" s="24">
        <v>1206</v>
      </c>
      <c r="F625" s="17" t="s">
        <v>221</v>
      </c>
      <c r="G625" s="17" t="str">
        <f>Config!$B$3</f>
        <v>SCH/R_IEC.SchLib</v>
      </c>
      <c r="H625" s="17" t="s">
        <v>419</v>
      </c>
      <c r="I625" s="17" t="s">
        <v>461</v>
      </c>
      <c r="J625" s="17" t="s">
        <v>6410</v>
      </c>
      <c r="K625" s="17"/>
      <c r="L625" s="17"/>
      <c r="M625" s="21">
        <v>7500</v>
      </c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</row>
    <row r="626" spans="1:28">
      <c r="A626" s="17" t="s">
        <v>9071</v>
      </c>
      <c r="B626" s="17" t="s">
        <v>9071</v>
      </c>
      <c r="C626" s="17" t="s">
        <v>9072</v>
      </c>
      <c r="D626" s="17" t="s">
        <v>21</v>
      </c>
      <c r="E626" s="24">
        <v>1206</v>
      </c>
      <c r="F626" s="17" t="s">
        <v>223</v>
      </c>
      <c r="G626" s="17" t="str">
        <f>Config!$B$3</f>
        <v>SCH/R_IEC.SchLib</v>
      </c>
      <c r="H626" s="17" t="s">
        <v>419</v>
      </c>
      <c r="I626" s="17" t="s">
        <v>461</v>
      </c>
      <c r="J626" s="17" t="s">
        <v>6410</v>
      </c>
      <c r="K626" s="17"/>
      <c r="L626" s="17"/>
      <c r="M626" s="21">
        <v>8200</v>
      </c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</row>
    <row r="627" spans="1:28">
      <c r="A627" s="17" t="s">
        <v>9073</v>
      </c>
      <c r="B627" s="17" t="s">
        <v>9073</v>
      </c>
      <c r="C627" s="17" t="s">
        <v>9074</v>
      </c>
      <c r="D627" s="17" t="s">
        <v>21</v>
      </c>
      <c r="E627" s="24">
        <v>1206</v>
      </c>
      <c r="F627" s="17" t="s">
        <v>225</v>
      </c>
      <c r="G627" s="17" t="str">
        <f>Config!$B$3</f>
        <v>SCH/R_IEC.SchLib</v>
      </c>
      <c r="H627" s="17" t="s">
        <v>419</v>
      </c>
      <c r="I627" s="17" t="s">
        <v>461</v>
      </c>
      <c r="J627" s="17" t="s">
        <v>6410</v>
      </c>
      <c r="K627" s="17"/>
      <c r="L627" s="17"/>
      <c r="M627" s="21">
        <v>9100</v>
      </c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</row>
    <row r="628" spans="1:28">
      <c r="A628" s="17" t="s">
        <v>9075</v>
      </c>
      <c r="B628" s="17" t="s">
        <v>9075</v>
      </c>
      <c r="C628" s="17" t="s">
        <v>9076</v>
      </c>
      <c r="D628" s="17" t="s">
        <v>21</v>
      </c>
      <c r="E628" s="24">
        <v>1206</v>
      </c>
      <c r="F628" s="17" t="s">
        <v>229</v>
      </c>
      <c r="G628" s="17" t="str">
        <f>Config!$B$3</f>
        <v>SCH/R_IEC.SchLib</v>
      </c>
      <c r="H628" s="17" t="s">
        <v>419</v>
      </c>
      <c r="I628" s="17" t="s">
        <v>461</v>
      </c>
      <c r="J628" s="17" t="s">
        <v>6410</v>
      </c>
      <c r="K628" s="17"/>
      <c r="L628" s="17"/>
      <c r="M628" s="21">
        <v>10000</v>
      </c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</row>
    <row r="629" spans="1:28">
      <c r="A629" s="17" t="s">
        <v>9077</v>
      </c>
      <c r="B629" s="17" t="s">
        <v>9077</v>
      </c>
      <c r="C629" s="17" t="s">
        <v>9078</v>
      </c>
      <c r="D629" s="17" t="s">
        <v>21</v>
      </c>
      <c r="E629" s="24">
        <v>1206</v>
      </c>
      <c r="F629" s="17" t="s">
        <v>233</v>
      </c>
      <c r="G629" s="17" t="str">
        <f>Config!$B$3</f>
        <v>SCH/R_IEC.SchLib</v>
      </c>
      <c r="H629" s="17" t="s">
        <v>419</v>
      </c>
      <c r="I629" s="17" t="s">
        <v>461</v>
      </c>
      <c r="J629" s="17" t="s">
        <v>6410</v>
      </c>
      <c r="K629" s="17"/>
      <c r="L629" s="17"/>
      <c r="M629" s="21">
        <v>11000</v>
      </c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</row>
    <row r="630" spans="1:28">
      <c r="A630" s="17" t="s">
        <v>9079</v>
      </c>
      <c r="B630" s="17" t="s">
        <v>9079</v>
      </c>
      <c r="C630" s="17" t="s">
        <v>9080</v>
      </c>
      <c r="D630" s="17" t="s">
        <v>21</v>
      </c>
      <c r="E630" s="24">
        <v>1206</v>
      </c>
      <c r="F630" s="17" t="s">
        <v>235</v>
      </c>
      <c r="G630" s="17" t="str">
        <f>Config!$B$3</f>
        <v>SCH/R_IEC.SchLib</v>
      </c>
      <c r="H630" s="17" t="s">
        <v>419</v>
      </c>
      <c r="I630" s="17" t="s">
        <v>461</v>
      </c>
      <c r="J630" s="17" t="s">
        <v>6410</v>
      </c>
      <c r="K630" s="17"/>
      <c r="L630" s="17"/>
      <c r="M630" s="21">
        <v>12000</v>
      </c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</row>
    <row r="631" spans="1:28">
      <c r="A631" s="17" t="s">
        <v>9081</v>
      </c>
      <c r="B631" s="17" t="s">
        <v>9081</v>
      </c>
      <c r="C631" s="17" t="s">
        <v>9082</v>
      </c>
      <c r="D631" s="17" t="s">
        <v>21</v>
      </c>
      <c r="E631" s="24">
        <v>1206</v>
      </c>
      <c r="F631" s="17" t="s">
        <v>239</v>
      </c>
      <c r="G631" s="17" t="str">
        <f>Config!$B$3</f>
        <v>SCH/R_IEC.SchLib</v>
      </c>
      <c r="H631" s="17" t="s">
        <v>419</v>
      </c>
      <c r="I631" s="17" t="s">
        <v>461</v>
      </c>
      <c r="J631" s="17" t="s">
        <v>6410</v>
      </c>
      <c r="K631" s="17"/>
      <c r="L631" s="17"/>
      <c r="M631" s="21">
        <v>13000</v>
      </c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</row>
    <row r="632" spans="1:28">
      <c r="A632" s="17" t="s">
        <v>9083</v>
      </c>
      <c r="B632" s="17" t="s">
        <v>9083</v>
      </c>
      <c r="C632" s="17" t="s">
        <v>9084</v>
      </c>
      <c r="D632" s="17" t="s">
        <v>21</v>
      </c>
      <c r="E632" s="24">
        <v>1206</v>
      </c>
      <c r="F632" s="17" t="s">
        <v>243</v>
      </c>
      <c r="G632" s="17" t="str">
        <f>Config!$B$3</f>
        <v>SCH/R_IEC.SchLib</v>
      </c>
      <c r="H632" s="17" t="s">
        <v>419</v>
      </c>
      <c r="I632" s="17" t="s">
        <v>461</v>
      </c>
      <c r="J632" s="17" t="s">
        <v>6410</v>
      </c>
      <c r="K632" s="17"/>
      <c r="L632" s="17"/>
      <c r="M632" s="21">
        <v>15000</v>
      </c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</row>
    <row r="633" spans="1:28">
      <c r="A633" s="17" t="s">
        <v>9085</v>
      </c>
      <c r="B633" s="17" t="s">
        <v>9085</v>
      </c>
      <c r="C633" s="17" t="s">
        <v>9086</v>
      </c>
      <c r="D633" s="17" t="s">
        <v>21</v>
      </c>
      <c r="E633" s="24">
        <v>1206</v>
      </c>
      <c r="F633" s="17" t="s">
        <v>247</v>
      </c>
      <c r="G633" s="17" t="str">
        <f>Config!$B$3</f>
        <v>SCH/R_IEC.SchLib</v>
      </c>
      <c r="H633" s="17" t="s">
        <v>419</v>
      </c>
      <c r="I633" s="17" t="s">
        <v>461</v>
      </c>
      <c r="J633" s="17" t="s">
        <v>6410</v>
      </c>
      <c r="K633" s="17"/>
      <c r="L633" s="17"/>
      <c r="M633" s="21">
        <v>16000</v>
      </c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</row>
    <row r="634" spans="1:28">
      <c r="A634" s="17" t="s">
        <v>9087</v>
      </c>
      <c r="B634" s="17" t="s">
        <v>9087</v>
      </c>
      <c r="C634" s="17" t="s">
        <v>9088</v>
      </c>
      <c r="D634" s="17" t="s">
        <v>21</v>
      </c>
      <c r="E634" s="24">
        <v>1206</v>
      </c>
      <c r="F634" s="17" t="s">
        <v>251</v>
      </c>
      <c r="G634" s="17" t="str">
        <f>Config!$B$3</f>
        <v>SCH/R_IEC.SchLib</v>
      </c>
      <c r="H634" s="17" t="s">
        <v>419</v>
      </c>
      <c r="I634" s="17" t="s">
        <v>461</v>
      </c>
      <c r="J634" s="17" t="s">
        <v>6410</v>
      </c>
      <c r="K634" s="17"/>
      <c r="L634" s="17"/>
      <c r="M634" s="21">
        <v>18000</v>
      </c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  <c r="AA634" s="17"/>
      <c r="AB634" s="17"/>
    </row>
    <row r="635" spans="1:28">
      <c r="A635" s="17" t="s">
        <v>9089</v>
      </c>
      <c r="B635" s="17" t="s">
        <v>9089</v>
      </c>
      <c r="C635" s="17" t="s">
        <v>9090</v>
      </c>
      <c r="D635" s="17" t="s">
        <v>21</v>
      </c>
      <c r="E635" s="24">
        <v>1206</v>
      </c>
      <c r="F635" s="17" t="s">
        <v>255</v>
      </c>
      <c r="G635" s="17" t="str">
        <f>Config!$B$3</f>
        <v>SCH/R_IEC.SchLib</v>
      </c>
      <c r="H635" s="17" t="s">
        <v>419</v>
      </c>
      <c r="I635" s="17" t="s">
        <v>461</v>
      </c>
      <c r="J635" s="17" t="s">
        <v>6410</v>
      </c>
      <c r="K635" s="17"/>
      <c r="L635" s="17"/>
      <c r="M635" s="21">
        <v>20000</v>
      </c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  <c r="AA635" s="17"/>
      <c r="AB635" s="17"/>
    </row>
    <row r="636" spans="1:28">
      <c r="A636" s="17" t="s">
        <v>9091</v>
      </c>
      <c r="B636" s="17" t="s">
        <v>9091</v>
      </c>
      <c r="C636" s="17" t="s">
        <v>9092</v>
      </c>
      <c r="D636" s="17" t="s">
        <v>21</v>
      </c>
      <c r="E636" s="24">
        <v>1206</v>
      </c>
      <c r="F636" s="17" t="s">
        <v>257</v>
      </c>
      <c r="G636" s="17" t="str">
        <f>Config!$B$3</f>
        <v>SCH/R_IEC.SchLib</v>
      </c>
      <c r="H636" s="17" t="s">
        <v>419</v>
      </c>
      <c r="I636" s="17" t="s">
        <v>461</v>
      </c>
      <c r="J636" s="17" t="s">
        <v>6410</v>
      </c>
      <c r="K636" s="17"/>
      <c r="L636" s="17"/>
      <c r="M636" s="21">
        <v>22000</v>
      </c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  <c r="AA636" s="17"/>
      <c r="AB636" s="17"/>
    </row>
    <row r="637" spans="1:28">
      <c r="A637" s="17" t="s">
        <v>9093</v>
      </c>
      <c r="B637" s="17" t="s">
        <v>9093</v>
      </c>
      <c r="C637" s="17" t="s">
        <v>9094</v>
      </c>
      <c r="D637" s="17" t="s">
        <v>21</v>
      </c>
      <c r="E637" s="24">
        <v>1206</v>
      </c>
      <c r="F637" s="17" t="s">
        <v>259</v>
      </c>
      <c r="G637" s="17" t="str">
        <f>Config!$B$3</f>
        <v>SCH/R_IEC.SchLib</v>
      </c>
      <c r="H637" s="17" t="s">
        <v>419</v>
      </c>
      <c r="I637" s="17" t="s">
        <v>461</v>
      </c>
      <c r="J637" s="17" t="s">
        <v>6410</v>
      </c>
      <c r="K637" s="17"/>
      <c r="L637" s="17"/>
      <c r="M637" s="21">
        <v>24000</v>
      </c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</row>
    <row r="638" spans="1:28">
      <c r="A638" s="17" t="s">
        <v>9095</v>
      </c>
      <c r="B638" s="17" t="s">
        <v>9095</v>
      </c>
      <c r="C638" s="17" t="s">
        <v>9096</v>
      </c>
      <c r="D638" s="17" t="s">
        <v>21</v>
      </c>
      <c r="E638" s="24">
        <v>1206</v>
      </c>
      <c r="F638" s="17" t="s">
        <v>263</v>
      </c>
      <c r="G638" s="17" t="str">
        <f>Config!$B$3</f>
        <v>SCH/R_IEC.SchLib</v>
      </c>
      <c r="H638" s="17" t="s">
        <v>419</v>
      </c>
      <c r="I638" s="17" t="s">
        <v>461</v>
      </c>
      <c r="J638" s="17" t="s">
        <v>6410</v>
      </c>
      <c r="K638" s="17"/>
      <c r="L638" s="17"/>
      <c r="M638" s="21">
        <v>27000</v>
      </c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</row>
    <row r="639" spans="1:28">
      <c r="A639" s="17" t="s">
        <v>9097</v>
      </c>
      <c r="B639" s="17" t="s">
        <v>9097</v>
      </c>
      <c r="C639" s="17" t="s">
        <v>9098</v>
      </c>
      <c r="D639" s="17" t="s">
        <v>21</v>
      </c>
      <c r="E639" s="24">
        <v>1206</v>
      </c>
      <c r="F639" s="17" t="s">
        <v>265</v>
      </c>
      <c r="G639" s="17" t="str">
        <f>Config!$B$3</f>
        <v>SCH/R_IEC.SchLib</v>
      </c>
      <c r="H639" s="17" t="s">
        <v>419</v>
      </c>
      <c r="I639" s="17" t="s">
        <v>461</v>
      </c>
      <c r="J639" s="17" t="s">
        <v>6410</v>
      </c>
      <c r="K639" s="17"/>
      <c r="L639" s="17"/>
      <c r="M639" s="21">
        <v>30000</v>
      </c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</row>
    <row r="640" spans="1:28">
      <c r="A640" s="17" t="s">
        <v>9099</v>
      </c>
      <c r="B640" s="17" t="s">
        <v>9099</v>
      </c>
      <c r="C640" s="17" t="s">
        <v>9100</v>
      </c>
      <c r="D640" s="17" t="s">
        <v>21</v>
      </c>
      <c r="E640" s="24">
        <v>1206</v>
      </c>
      <c r="F640" s="17" t="s">
        <v>267</v>
      </c>
      <c r="G640" s="17" t="str">
        <f>Config!$B$3</f>
        <v>SCH/R_IEC.SchLib</v>
      </c>
      <c r="H640" s="17" t="s">
        <v>419</v>
      </c>
      <c r="I640" s="17" t="s">
        <v>461</v>
      </c>
      <c r="J640" s="17" t="s">
        <v>6410</v>
      </c>
      <c r="K640" s="17"/>
      <c r="L640" s="17"/>
      <c r="M640" s="21">
        <v>33000</v>
      </c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</row>
    <row r="641" spans="1:28">
      <c r="A641" s="17" t="s">
        <v>9101</v>
      </c>
      <c r="B641" s="17" t="s">
        <v>9101</v>
      </c>
      <c r="C641" s="17" t="s">
        <v>9102</v>
      </c>
      <c r="D641" s="17" t="s">
        <v>21</v>
      </c>
      <c r="E641" s="24">
        <v>1206</v>
      </c>
      <c r="F641" s="17" t="s">
        <v>269</v>
      </c>
      <c r="G641" s="17" t="str">
        <f>Config!$B$3</f>
        <v>SCH/R_IEC.SchLib</v>
      </c>
      <c r="H641" s="17" t="s">
        <v>419</v>
      </c>
      <c r="I641" s="17" t="s">
        <v>461</v>
      </c>
      <c r="J641" s="17" t="s">
        <v>6410</v>
      </c>
      <c r="K641" s="17"/>
      <c r="L641" s="17"/>
      <c r="M641" s="21">
        <v>36000</v>
      </c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</row>
    <row r="642" spans="1:28">
      <c r="A642" s="17" t="s">
        <v>9103</v>
      </c>
      <c r="B642" s="17" t="s">
        <v>9103</v>
      </c>
      <c r="C642" s="17" t="s">
        <v>9104</v>
      </c>
      <c r="D642" s="17" t="s">
        <v>21</v>
      </c>
      <c r="E642" s="24">
        <v>1206</v>
      </c>
      <c r="F642" s="17" t="s">
        <v>273</v>
      </c>
      <c r="G642" s="17" t="str">
        <f>Config!$B$3</f>
        <v>SCH/R_IEC.SchLib</v>
      </c>
      <c r="H642" s="17" t="s">
        <v>419</v>
      </c>
      <c r="I642" s="17" t="s">
        <v>461</v>
      </c>
      <c r="J642" s="17" t="s">
        <v>6410</v>
      </c>
      <c r="K642" s="17"/>
      <c r="L642" s="17"/>
      <c r="M642" s="21">
        <v>39000</v>
      </c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</row>
    <row r="643" spans="1:28">
      <c r="A643" s="17" t="s">
        <v>9105</v>
      </c>
      <c r="B643" s="17" t="s">
        <v>9105</v>
      </c>
      <c r="C643" s="17" t="s">
        <v>9106</v>
      </c>
      <c r="D643" s="17" t="s">
        <v>21</v>
      </c>
      <c r="E643" s="24">
        <v>1206</v>
      </c>
      <c r="F643" s="17" t="s">
        <v>277</v>
      </c>
      <c r="G643" s="17" t="str">
        <f>Config!$B$3</f>
        <v>SCH/R_IEC.SchLib</v>
      </c>
      <c r="H643" s="17" t="s">
        <v>419</v>
      </c>
      <c r="I643" s="17" t="s">
        <v>461</v>
      </c>
      <c r="J643" s="17" t="s">
        <v>6410</v>
      </c>
      <c r="K643" s="17"/>
      <c r="L643" s="17"/>
      <c r="M643" s="21">
        <v>43000</v>
      </c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</row>
    <row r="644" spans="1:28">
      <c r="A644" s="17" t="s">
        <v>9107</v>
      </c>
      <c r="B644" s="17" t="s">
        <v>9107</v>
      </c>
      <c r="C644" s="17" t="s">
        <v>9108</v>
      </c>
      <c r="D644" s="17" t="s">
        <v>21</v>
      </c>
      <c r="E644" s="24">
        <v>1206</v>
      </c>
      <c r="F644" s="17" t="s">
        <v>279</v>
      </c>
      <c r="G644" s="17" t="str">
        <f>Config!$B$3</f>
        <v>SCH/R_IEC.SchLib</v>
      </c>
      <c r="H644" s="17" t="s">
        <v>419</v>
      </c>
      <c r="I644" s="17" t="s">
        <v>461</v>
      </c>
      <c r="J644" s="17" t="s">
        <v>6410</v>
      </c>
      <c r="K644" s="17"/>
      <c r="L644" s="17"/>
      <c r="M644" s="21">
        <v>47000</v>
      </c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</row>
    <row r="645" spans="1:28">
      <c r="A645" s="17" t="s">
        <v>9109</v>
      </c>
      <c r="B645" s="17" t="s">
        <v>9109</v>
      </c>
      <c r="C645" s="17" t="s">
        <v>9110</v>
      </c>
      <c r="D645" s="17" t="s">
        <v>21</v>
      </c>
      <c r="E645" s="24">
        <v>1206</v>
      </c>
      <c r="F645" s="17" t="s">
        <v>283</v>
      </c>
      <c r="G645" s="17" t="str">
        <f>Config!$B$3</f>
        <v>SCH/R_IEC.SchLib</v>
      </c>
      <c r="H645" s="17" t="s">
        <v>419</v>
      </c>
      <c r="I645" s="17" t="s">
        <v>461</v>
      </c>
      <c r="J645" s="17" t="s">
        <v>6410</v>
      </c>
      <c r="K645" s="17"/>
      <c r="L645" s="17"/>
      <c r="M645" s="21">
        <v>51000</v>
      </c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</row>
    <row r="646" spans="1:28">
      <c r="A646" s="17" t="s">
        <v>9111</v>
      </c>
      <c r="B646" s="17" t="s">
        <v>9111</v>
      </c>
      <c r="C646" s="17" t="s">
        <v>9112</v>
      </c>
      <c r="D646" s="17" t="s">
        <v>21</v>
      </c>
      <c r="E646" s="24">
        <v>1206</v>
      </c>
      <c r="F646" s="17" t="s">
        <v>287</v>
      </c>
      <c r="G646" s="17" t="str">
        <f>Config!$B$3</f>
        <v>SCH/R_IEC.SchLib</v>
      </c>
      <c r="H646" s="17" t="s">
        <v>419</v>
      </c>
      <c r="I646" s="17" t="s">
        <v>461</v>
      </c>
      <c r="J646" s="17" t="s">
        <v>6410</v>
      </c>
      <c r="K646" s="17"/>
      <c r="L646" s="17"/>
      <c r="M646" s="21">
        <v>56000</v>
      </c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</row>
    <row r="647" spans="1:28">
      <c r="A647" s="17" t="s">
        <v>9113</v>
      </c>
      <c r="B647" s="17" t="s">
        <v>9113</v>
      </c>
      <c r="C647" s="17" t="s">
        <v>9114</v>
      </c>
      <c r="D647" s="17" t="s">
        <v>21</v>
      </c>
      <c r="E647" s="24">
        <v>1206</v>
      </c>
      <c r="F647" s="17" t="s">
        <v>291</v>
      </c>
      <c r="G647" s="17" t="str">
        <f>Config!$B$3</f>
        <v>SCH/R_IEC.SchLib</v>
      </c>
      <c r="H647" s="17" t="s">
        <v>419</v>
      </c>
      <c r="I647" s="17" t="s">
        <v>461</v>
      </c>
      <c r="J647" s="17" t="s">
        <v>6410</v>
      </c>
      <c r="K647" s="17"/>
      <c r="L647" s="17"/>
      <c r="M647" s="21">
        <v>62000</v>
      </c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</row>
    <row r="648" spans="1:28">
      <c r="A648" s="17" t="s">
        <v>9115</v>
      </c>
      <c r="B648" s="17" t="s">
        <v>9115</v>
      </c>
      <c r="C648" s="17" t="s">
        <v>9116</v>
      </c>
      <c r="D648" s="17" t="s">
        <v>21</v>
      </c>
      <c r="E648" s="24">
        <v>1206</v>
      </c>
      <c r="F648" s="17" t="s">
        <v>295</v>
      </c>
      <c r="G648" s="17" t="str">
        <f>Config!$B$3</f>
        <v>SCH/R_IEC.SchLib</v>
      </c>
      <c r="H648" s="17" t="s">
        <v>419</v>
      </c>
      <c r="I648" s="17" t="s">
        <v>461</v>
      </c>
      <c r="J648" s="17" t="s">
        <v>6410</v>
      </c>
      <c r="K648" s="17"/>
      <c r="L648" s="17"/>
      <c r="M648" s="21">
        <v>68000</v>
      </c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  <c r="AA648" s="17"/>
      <c r="AB648" s="17"/>
    </row>
    <row r="649" spans="1:28">
      <c r="A649" s="17" t="s">
        <v>9117</v>
      </c>
      <c r="B649" s="17" t="s">
        <v>9117</v>
      </c>
      <c r="C649" s="17" t="s">
        <v>9118</v>
      </c>
      <c r="D649" s="17" t="s">
        <v>21</v>
      </c>
      <c r="E649" s="24">
        <v>1206</v>
      </c>
      <c r="F649" s="17" t="s">
        <v>299</v>
      </c>
      <c r="G649" s="17" t="str">
        <f>Config!$B$3</f>
        <v>SCH/R_IEC.SchLib</v>
      </c>
      <c r="H649" s="17" t="s">
        <v>419</v>
      </c>
      <c r="I649" s="17" t="s">
        <v>461</v>
      </c>
      <c r="J649" s="17" t="s">
        <v>6410</v>
      </c>
      <c r="K649" s="17"/>
      <c r="L649" s="17"/>
      <c r="M649" s="21">
        <v>75000</v>
      </c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  <c r="AA649" s="17"/>
      <c r="AB649" s="17"/>
    </row>
    <row r="650" spans="1:28">
      <c r="A650" s="17" t="s">
        <v>9119</v>
      </c>
      <c r="B650" s="17" t="s">
        <v>9119</v>
      </c>
      <c r="C650" s="17" t="s">
        <v>9120</v>
      </c>
      <c r="D650" s="17" t="s">
        <v>21</v>
      </c>
      <c r="E650" s="24">
        <v>1206</v>
      </c>
      <c r="F650" s="17" t="s">
        <v>301</v>
      </c>
      <c r="G650" s="17" t="str">
        <f>Config!$B$3</f>
        <v>SCH/R_IEC.SchLib</v>
      </c>
      <c r="H650" s="17" t="s">
        <v>419</v>
      </c>
      <c r="I650" s="17" t="s">
        <v>461</v>
      </c>
      <c r="J650" s="17" t="s">
        <v>6410</v>
      </c>
      <c r="K650" s="17"/>
      <c r="L650" s="17"/>
      <c r="M650" s="21">
        <v>82000</v>
      </c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  <c r="AA650" s="17"/>
      <c r="AB650" s="17"/>
    </row>
    <row r="651" spans="1:28">
      <c r="A651" s="17" t="s">
        <v>9121</v>
      </c>
      <c r="B651" s="17" t="s">
        <v>9121</v>
      </c>
      <c r="C651" s="17" t="s">
        <v>9122</v>
      </c>
      <c r="D651" s="17" t="s">
        <v>21</v>
      </c>
      <c r="E651" s="24">
        <v>1206</v>
      </c>
      <c r="F651" s="17" t="s">
        <v>303</v>
      </c>
      <c r="G651" s="17" t="str">
        <f>Config!$B$3</f>
        <v>SCH/R_IEC.SchLib</v>
      </c>
      <c r="H651" s="17" t="s">
        <v>419</v>
      </c>
      <c r="I651" s="17" t="s">
        <v>461</v>
      </c>
      <c r="J651" s="17" t="s">
        <v>6410</v>
      </c>
      <c r="K651" s="17"/>
      <c r="L651" s="17"/>
      <c r="M651" s="21">
        <v>91000</v>
      </c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</row>
    <row r="652" spans="1:28">
      <c r="A652" s="17" t="s">
        <v>9123</v>
      </c>
      <c r="B652" s="17" t="s">
        <v>9123</v>
      </c>
      <c r="C652" s="17" t="s">
        <v>9124</v>
      </c>
      <c r="D652" s="17" t="s">
        <v>21</v>
      </c>
      <c r="E652" s="24">
        <v>1206</v>
      </c>
      <c r="F652" s="17" t="s">
        <v>305</v>
      </c>
      <c r="G652" s="17" t="str">
        <f>Config!$B$3</f>
        <v>SCH/R_IEC.SchLib</v>
      </c>
      <c r="H652" s="17" t="s">
        <v>419</v>
      </c>
      <c r="I652" s="17" t="s">
        <v>461</v>
      </c>
      <c r="J652" s="17" t="s">
        <v>6410</v>
      </c>
      <c r="K652" s="17"/>
      <c r="L652" s="17"/>
      <c r="M652" s="21">
        <v>100000</v>
      </c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</row>
    <row r="653" spans="1:28">
      <c r="A653" s="17" t="s">
        <v>9125</v>
      </c>
      <c r="B653" s="17" t="s">
        <v>9125</v>
      </c>
      <c r="C653" s="17" t="s">
        <v>9126</v>
      </c>
      <c r="D653" s="17" t="s">
        <v>21</v>
      </c>
      <c r="E653" s="24">
        <v>1206</v>
      </c>
      <c r="F653" s="17" t="s">
        <v>309</v>
      </c>
      <c r="G653" s="17" t="str">
        <f>Config!$B$3</f>
        <v>SCH/R_IEC.SchLib</v>
      </c>
      <c r="H653" s="17" t="s">
        <v>419</v>
      </c>
      <c r="I653" s="17" t="s">
        <v>461</v>
      </c>
      <c r="J653" s="17" t="s">
        <v>6410</v>
      </c>
      <c r="K653" s="17"/>
      <c r="L653" s="17"/>
      <c r="M653" s="21">
        <v>110000</v>
      </c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</row>
    <row r="654" spans="1:28">
      <c r="A654" s="17" t="s">
        <v>9127</v>
      </c>
      <c r="B654" s="17" t="s">
        <v>9127</v>
      </c>
      <c r="C654" s="17" t="s">
        <v>9128</v>
      </c>
      <c r="D654" s="17" t="s">
        <v>21</v>
      </c>
      <c r="E654" s="24">
        <v>1206</v>
      </c>
      <c r="F654" s="17" t="s">
        <v>313</v>
      </c>
      <c r="G654" s="17" t="str">
        <f>Config!$B$3</f>
        <v>SCH/R_IEC.SchLib</v>
      </c>
      <c r="H654" s="17" t="s">
        <v>419</v>
      </c>
      <c r="I654" s="17" t="s">
        <v>461</v>
      </c>
      <c r="J654" s="17" t="s">
        <v>6410</v>
      </c>
      <c r="K654" s="17"/>
      <c r="L654" s="17"/>
      <c r="M654" s="21">
        <v>120000</v>
      </c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</row>
    <row r="655" spans="1:28">
      <c r="A655" s="17" t="s">
        <v>9129</v>
      </c>
      <c r="B655" s="17" t="s">
        <v>9129</v>
      </c>
      <c r="C655" s="17" t="s">
        <v>9130</v>
      </c>
      <c r="D655" s="17" t="s">
        <v>21</v>
      </c>
      <c r="E655" s="24">
        <v>1206</v>
      </c>
      <c r="F655" s="17" t="s">
        <v>317</v>
      </c>
      <c r="G655" s="17" t="str">
        <f>Config!$B$3</f>
        <v>SCH/R_IEC.SchLib</v>
      </c>
      <c r="H655" s="17" t="s">
        <v>419</v>
      </c>
      <c r="I655" s="17" t="s">
        <v>461</v>
      </c>
      <c r="J655" s="17" t="s">
        <v>6410</v>
      </c>
      <c r="K655" s="17"/>
      <c r="L655" s="17"/>
      <c r="M655" s="21">
        <v>130000</v>
      </c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</row>
    <row r="656" spans="1:28">
      <c r="A656" s="17" t="s">
        <v>9131</v>
      </c>
      <c r="B656" s="17" t="s">
        <v>9131</v>
      </c>
      <c r="C656" s="17" t="s">
        <v>9132</v>
      </c>
      <c r="D656" s="17" t="s">
        <v>21</v>
      </c>
      <c r="E656" s="24">
        <v>1206</v>
      </c>
      <c r="F656" s="17" t="s">
        <v>321</v>
      </c>
      <c r="G656" s="17" t="str">
        <f>Config!$B$3</f>
        <v>SCH/R_IEC.SchLib</v>
      </c>
      <c r="H656" s="17" t="s">
        <v>419</v>
      </c>
      <c r="I656" s="17" t="s">
        <v>461</v>
      </c>
      <c r="J656" s="17" t="s">
        <v>6410</v>
      </c>
      <c r="K656" s="17"/>
      <c r="L656" s="17"/>
      <c r="M656" s="21">
        <v>150000</v>
      </c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</row>
    <row r="657" spans="1:28">
      <c r="A657" s="17" t="s">
        <v>9133</v>
      </c>
      <c r="B657" s="17" t="s">
        <v>9133</v>
      </c>
      <c r="C657" s="17" t="s">
        <v>9134</v>
      </c>
      <c r="D657" s="17" t="s">
        <v>21</v>
      </c>
      <c r="E657" s="24">
        <v>1206</v>
      </c>
      <c r="F657" s="17" t="s">
        <v>323</v>
      </c>
      <c r="G657" s="17" t="str">
        <f>Config!$B$3</f>
        <v>SCH/R_IEC.SchLib</v>
      </c>
      <c r="H657" s="17" t="s">
        <v>419</v>
      </c>
      <c r="I657" s="17" t="s">
        <v>461</v>
      </c>
      <c r="J657" s="17" t="s">
        <v>6410</v>
      </c>
      <c r="K657" s="17"/>
      <c r="L657" s="17"/>
      <c r="M657" s="21">
        <v>160000</v>
      </c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</row>
    <row r="658" spans="1:28">
      <c r="A658" s="17" t="s">
        <v>9135</v>
      </c>
      <c r="B658" s="17" t="s">
        <v>9135</v>
      </c>
      <c r="C658" s="17" t="s">
        <v>9136</v>
      </c>
      <c r="D658" s="17" t="s">
        <v>21</v>
      </c>
      <c r="E658" s="24">
        <v>1206</v>
      </c>
      <c r="F658" s="17" t="s">
        <v>327</v>
      </c>
      <c r="G658" s="17" t="str">
        <f>Config!$B$3</f>
        <v>SCH/R_IEC.SchLib</v>
      </c>
      <c r="H658" s="17" t="s">
        <v>419</v>
      </c>
      <c r="I658" s="17" t="s">
        <v>461</v>
      </c>
      <c r="J658" s="17" t="s">
        <v>6410</v>
      </c>
      <c r="K658" s="17"/>
      <c r="L658" s="17"/>
      <c r="M658" s="21">
        <v>180000</v>
      </c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</row>
    <row r="659" spans="1:28">
      <c r="A659" s="17" t="s">
        <v>9137</v>
      </c>
      <c r="B659" s="17" t="s">
        <v>9137</v>
      </c>
      <c r="C659" s="17" t="s">
        <v>9138</v>
      </c>
      <c r="D659" s="17" t="s">
        <v>21</v>
      </c>
      <c r="E659" s="24">
        <v>1206</v>
      </c>
      <c r="F659" s="17" t="s">
        <v>331</v>
      </c>
      <c r="G659" s="17" t="str">
        <f>Config!$B$3</f>
        <v>SCH/R_IEC.SchLib</v>
      </c>
      <c r="H659" s="17" t="s">
        <v>419</v>
      </c>
      <c r="I659" s="17" t="s">
        <v>461</v>
      </c>
      <c r="J659" s="17" t="s">
        <v>6410</v>
      </c>
      <c r="K659" s="17"/>
      <c r="L659" s="17"/>
      <c r="M659" s="21">
        <v>200000</v>
      </c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</row>
    <row r="660" spans="1:28">
      <c r="A660" s="17" t="s">
        <v>9139</v>
      </c>
      <c r="B660" s="17" t="s">
        <v>9139</v>
      </c>
      <c r="C660" s="17" t="s">
        <v>9140</v>
      </c>
      <c r="D660" s="17" t="s">
        <v>21</v>
      </c>
      <c r="E660" s="24">
        <v>1206</v>
      </c>
      <c r="F660" s="17" t="s">
        <v>333</v>
      </c>
      <c r="G660" s="17" t="str">
        <f>Config!$B$3</f>
        <v>SCH/R_IEC.SchLib</v>
      </c>
      <c r="H660" s="17" t="s">
        <v>419</v>
      </c>
      <c r="I660" s="17" t="s">
        <v>461</v>
      </c>
      <c r="J660" s="17" t="s">
        <v>6410</v>
      </c>
      <c r="K660" s="17"/>
      <c r="L660" s="17"/>
      <c r="M660" s="21">
        <v>220000</v>
      </c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</row>
    <row r="661" spans="1:28">
      <c r="A661" s="17" t="s">
        <v>9141</v>
      </c>
      <c r="B661" s="17" t="s">
        <v>9141</v>
      </c>
      <c r="C661" s="17" t="s">
        <v>9142</v>
      </c>
      <c r="D661" s="17" t="s">
        <v>21</v>
      </c>
      <c r="E661" s="24">
        <v>1206</v>
      </c>
      <c r="F661" s="17" t="s">
        <v>335</v>
      </c>
      <c r="G661" s="17" t="str">
        <f>Config!$B$3</f>
        <v>SCH/R_IEC.SchLib</v>
      </c>
      <c r="H661" s="17" t="s">
        <v>419</v>
      </c>
      <c r="I661" s="17" t="s">
        <v>461</v>
      </c>
      <c r="J661" s="17" t="s">
        <v>6410</v>
      </c>
      <c r="K661" s="17"/>
      <c r="L661" s="17"/>
      <c r="M661" s="21">
        <v>240000</v>
      </c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</row>
    <row r="662" spans="1:28">
      <c r="A662" s="17" t="s">
        <v>9143</v>
      </c>
      <c r="B662" s="17" t="s">
        <v>9143</v>
      </c>
      <c r="C662" s="17" t="s">
        <v>9144</v>
      </c>
      <c r="D662" s="17" t="s">
        <v>21</v>
      </c>
      <c r="E662" s="24">
        <v>1206</v>
      </c>
      <c r="F662" s="17" t="s">
        <v>337</v>
      </c>
      <c r="G662" s="17" t="str">
        <f>Config!$B$3</f>
        <v>SCH/R_IEC.SchLib</v>
      </c>
      <c r="H662" s="17" t="s">
        <v>419</v>
      </c>
      <c r="I662" s="17" t="s">
        <v>461</v>
      </c>
      <c r="J662" s="17" t="s">
        <v>6410</v>
      </c>
      <c r="K662" s="17"/>
      <c r="L662" s="17"/>
      <c r="M662" s="21">
        <v>270000</v>
      </c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</row>
    <row r="663" spans="1:28">
      <c r="A663" s="17" t="s">
        <v>9145</v>
      </c>
      <c r="B663" s="17" t="s">
        <v>9145</v>
      </c>
      <c r="C663" s="17" t="s">
        <v>9146</v>
      </c>
      <c r="D663" s="17" t="s">
        <v>21</v>
      </c>
      <c r="E663" s="24">
        <v>1206</v>
      </c>
      <c r="F663" s="17" t="s">
        <v>339</v>
      </c>
      <c r="G663" s="17" t="str">
        <f>Config!$B$3</f>
        <v>SCH/R_IEC.SchLib</v>
      </c>
      <c r="H663" s="17" t="s">
        <v>419</v>
      </c>
      <c r="I663" s="17" t="s">
        <v>461</v>
      </c>
      <c r="J663" s="17" t="s">
        <v>6410</v>
      </c>
      <c r="K663" s="17"/>
      <c r="L663" s="17"/>
      <c r="M663" s="21">
        <v>300000</v>
      </c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</row>
    <row r="664" spans="1:28">
      <c r="A664" s="17" t="s">
        <v>7805</v>
      </c>
      <c r="B664" s="17" t="s">
        <v>7805</v>
      </c>
      <c r="C664" s="16" t="s">
        <v>7806</v>
      </c>
      <c r="D664" s="16" t="s">
        <v>21</v>
      </c>
      <c r="E664" s="24">
        <v>1206</v>
      </c>
      <c r="F664" s="17" t="s">
        <v>341</v>
      </c>
      <c r="G664" s="17" t="str">
        <f>Config!$B$3</f>
        <v>SCH/R_IEC.SchLib</v>
      </c>
      <c r="H664" s="16" t="s">
        <v>419</v>
      </c>
      <c r="I664" s="18" t="s">
        <v>461</v>
      </c>
      <c r="J664" s="16" t="s">
        <v>6410</v>
      </c>
      <c r="K664" s="16"/>
      <c r="L664" s="16"/>
      <c r="M664" s="21">
        <v>330000</v>
      </c>
      <c r="N664" s="17" t="s">
        <v>13979</v>
      </c>
      <c r="O664" s="16" t="s">
        <v>477</v>
      </c>
      <c r="P664" s="17" t="s">
        <v>7807</v>
      </c>
      <c r="Q664" s="16" t="s">
        <v>25</v>
      </c>
      <c r="R664" s="17" t="s">
        <v>7808</v>
      </c>
      <c r="S664" s="17"/>
      <c r="T664" s="17"/>
      <c r="U664" s="17"/>
      <c r="V664" s="17"/>
      <c r="W664" s="17"/>
      <c r="X664" s="17"/>
      <c r="Y664" s="17"/>
      <c r="Z664" s="17"/>
      <c r="AA664" s="17"/>
      <c r="AB664" s="17"/>
    </row>
    <row r="665" spans="1:28">
      <c r="A665" s="17" t="s">
        <v>9147</v>
      </c>
      <c r="B665" s="17" t="s">
        <v>9147</v>
      </c>
      <c r="C665" s="17" t="s">
        <v>9148</v>
      </c>
      <c r="D665" s="17" t="s">
        <v>21</v>
      </c>
      <c r="E665" s="24">
        <v>1206</v>
      </c>
      <c r="F665" s="17" t="s">
        <v>345</v>
      </c>
      <c r="G665" s="17" t="str">
        <f>Config!$B$3</f>
        <v>SCH/R_IEC.SchLib</v>
      </c>
      <c r="H665" s="17" t="s">
        <v>419</v>
      </c>
      <c r="I665" s="17" t="s">
        <v>461</v>
      </c>
      <c r="J665" s="17" t="s">
        <v>6410</v>
      </c>
      <c r="K665" s="17"/>
      <c r="L665" s="17"/>
      <c r="M665" s="21">
        <v>360000</v>
      </c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</row>
    <row r="666" spans="1:28">
      <c r="A666" s="17" t="s">
        <v>9149</v>
      </c>
      <c r="B666" s="17" t="s">
        <v>9149</v>
      </c>
      <c r="C666" s="17" t="s">
        <v>9150</v>
      </c>
      <c r="D666" s="17" t="s">
        <v>21</v>
      </c>
      <c r="E666" s="24">
        <v>1206</v>
      </c>
      <c r="F666" s="17" t="s">
        <v>349</v>
      </c>
      <c r="G666" s="17" t="str">
        <f>Config!$B$3</f>
        <v>SCH/R_IEC.SchLib</v>
      </c>
      <c r="H666" s="17" t="s">
        <v>419</v>
      </c>
      <c r="I666" s="17" t="s">
        <v>461</v>
      </c>
      <c r="J666" s="17" t="s">
        <v>6410</v>
      </c>
      <c r="K666" s="17"/>
      <c r="L666" s="17"/>
      <c r="M666" s="21">
        <v>390000</v>
      </c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</row>
    <row r="667" spans="1:28">
      <c r="A667" s="17" t="s">
        <v>9151</v>
      </c>
      <c r="B667" s="17" t="s">
        <v>9151</v>
      </c>
      <c r="C667" s="17" t="s">
        <v>9152</v>
      </c>
      <c r="D667" s="17" t="s">
        <v>21</v>
      </c>
      <c r="E667" s="24">
        <v>1206</v>
      </c>
      <c r="F667" s="17" t="s">
        <v>351</v>
      </c>
      <c r="G667" s="17" t="str">
        <f>Config!$B$3</f>
        <v>SCH/R_IEC.SchLib</v>
      </c>
      <c r="H667" s="17" t="s">
        <v>419</v>
      </c>
      <c r="I667" s="17" t="s">
        <v>461</v>
      </c>
      <c r="J667" s="17" t="s">
        <v>6410</v>
      </c>
      <c r="K667" s="17"/>
      <c r="L667" s="17"/>
      <c r="M667" s="21">
        <v>430000</v>
      </c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</row>
    <row r="668" spans="1:28">
      <c r="A668" s="17" t="s">
        <v>9153</v>
      </c>
      <c r="B668" s="17" t="s">
        <v>9153</v>
      </c>
      <c r="C668" s="17" t="s">
        <v>9154</v>
      </c>
      <c r="D668" s="17" t="s">
        <v>21</v>
      </c>
      <c r="E668" s="24">
        <v>1206</v>
      </c>
      <c r="F668" s="17" t="s">
        <v>353</v>
      </c>
      <c r="G668" s="17" t="str">
        <f>Config!$B$3</f>
        <v>SCH/R_IEC.SchLib</v>
      </c>
      <c r="H668" s="17" t="s">
        <v>419</v>
      </c>
      <c r="I668" s="17" t="s">
        <v>461</v>
      </c>
      <c r="J668" s="17" t="s">
        <v>6410</v>
      </c>
      <c r="K668" s="17"/>
      <c r="L668" s="17"/>
      <c r="M668" s="21">
        <v>470000</v>
      </c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</row>
    <row r="669" spans="1:28">
      <c r="A669" s="17" t="s">
        <v>9155</v>
      </c>
      <c r="B669" s="17" t="s">
        <v>9155</v>
      </c>
      <c r="C669" s="17" t="s">
        <v>9156</v>
      </c>
      <c r="D669" s="17" t="s">
        <v>21</v>
      </c>
      <c r="E669" s="24">
        <v>1206</v>
      </c>
      <c r="F669" s="17" t="s">
        <v>355</v>
      </c>
      <c r="G669" s="17" t="str">
        <f>Config!$B$3</f>
        <v>SCH/R_IEC.SchLib</v>
      </c>
      <c r="H669" s="17" t="s">
        <v>419</v>
      </c>
      <c r="I669" s="17" t="s">
        <v>461</v>
      </c>
      <c r="J669" s="17" t="s">
        <v>6410</v>
      </c>
      <c r="K669" s="17"/>
      <c r="L669" s="17"/>
      <c r="M669" s="21">
        <v>510000</v>
      </c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</row>
    <row r="670" spans="1:28">
      <c r="A670" s="17" t="s">
        <v>9157</v>
      </c>
      <c r="B670" s="17" t="s">
        <v>9157</v>
      </c>
      <c r="C670" s="17" t="s">
        <v>9158</v>
      </c>
      <c r="D670" s="17" t="s">
        <v>21</v>
      </c>
      <c r="E670" s="24">
        <v>1206</v>
      </c>
      <c r="F670" s="17" t="s">
        <v>357</v>
      </c>
      <c r="G670" s="17" t="str">
        <f>Config!$B$3</f>
        <v>SCH/R_IEC.SchLib</v>
      </c>
      <c r="H670" s="17" t="s">
        <v>419</v>
      </c>
      <c r="I670" s="17" t="s">
        <v>461</v>
      </c>
      <c r="J670" s="17" t="s">
        <v>6410</v>
      </c>
      <c r="K670" s="17"/>
      <c r="L670" s="17"/>
      <c r="M670" s="21">
        <v>560000</v>
      </c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</row>
    <row r="671" spans="1:28">
      <c r="A671" s="17" t="s">
        <v>9159</v>
      </c>
      <c r="B671" s="17" t="s">
        <v>9159</v>
      </c>
      <c r="C671" s="17" t="s">
        <v>9160</v>
      </c>
      <c r="D671" s="17" t="s">
        <v>21</v>
      </c>
      <c r="E671" s="24">
        <v>1206</v>
      </c>
      <c r="F671" s="17" t="s">
        <v>359</v>
      </c>
      <c r="G671" s="17" t="str">
        <f>Config!$B$3</f>
        <v>SCH/R_IEC.SchLib</v>
      </c>
      <c r="H671" s="17" t="s">
        <v>419</v>
      </c>
      <c r="I671" s="17" t="s">
        <v>461</v>
      </c>
      <c r="J671" s="17" t="s">
        <v>6410</v>
      </c>
      <c r="K671" s="17"/>
      <c r="L671" s="17"/>
      <c r="M671" s="21">
        <v>620000</v>
      </c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</row>
    <row r="672" spans="1:28">
      <c r="A672" s="17" t="s">
        <v>9161</v>
      </c>
      <c r="B672" s="17" t="s">
        <v>9161</v>
      </c>
      <c r="C672" s="17" t="s">
        <v>9162</v>
      </c>
      <c r="D672" s="17" t="s">
        <v>21</v>
      </c>
      <c r="E672" s="24">
        <v>1206</v>
      </c>
      <c r="F672" s="17" t="s">
        <v>361</v>
      </c>
      <c r="G672" s="17" t="str">
        <f>Config!$B$3</f>
        <v>SCH/R_IEC.SchLib</v>
      </c>
      <c r="H672" s="17" t="s">
        <v>419</v>
      </c>
      <c r="I672" s="17" t="s">
        <v>461</v>
      </c>
      <c r="J672" s="17" t="s">
        <v>6410</v>
      </c>
      <c r="K672" s="17"/>
      <c r="L672" s="17"/>
      <c r="M672" s="21">
        <v>680000</v>
      </c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</row>
    <row r="673" spans="1:28">
      <c r="A673" s="17" t="s">
        <v>9163</v>
      </c>
      <c r="B673" s="17" t="s">
        <v>9163</v>
      </c>
      <c r="C673" s="17" t="s">
        <v>9164</v>
      </c>
      <c r="D673" s="17" t="s">
        <v>21</v>
      </c>
      <c r="E673" s="24">
        <v>1206</v>
      </c>
      <c r="F673" s="17" t="s">
        <v>363</v>
      </c>
      <c r="G673" s="17" t="str">
        <f>Config!$B$3</f>
        <v>SCH/R_IEC.SchLib</v>
      </c>
      <c r="H673" s="17" t="s">
        <v>419</v>
      </c>
      <c r="I673" s="17" t="s">
        <v>461</v>
      </c>
      <c r="J673" s="17" t="s">
        <v>6410</v>
      </c>
      <c r="K673" s="17"/>
      <c r="L673" s="17"/>
      <c r="M673" s="21">
        <v>750000</v>
      </c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</row>
    <row r="674" spans="1:28">
      <c r="A674" s="17" t="s">
        <v>9165</v>
      </c>
      <c r="B674" s="17" t="s">
        <v>9165</v>
      </c>
      <c r="C674" s="17" t="s">
        <v>9166</v>
      </c>
      <c r="D674" s="17" t="s">
        <v>21</v>
      </c>
      <c r="E674" s="24">
        <v>1206</v>
      </c>
      <c r="F674" s="17" t="s">
        <v>365</v>
      </c>
      <c r="G674" s="17" t="str">
        <f>Config!$B$3</f>
        <v>SCH/R_IEC.SchLib</v>
      </c>
      <c r="H674" s="17" t="s">
        <v>419</v>
      </c>
      <c r="I674" s="17" t="s">
        <v>461</v>
      </c>
      <c r="J674" s="17" t="s">
        <v>6410</v>
      </c>
      <c r="K674" s="17"/>
      <c r="L674" s="17"/>
      <c r="M674" s="21">
        <v>820000</v>
      </c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</row>
    <row r="675" spans="1:28">
      <c r="A675" s="17" t="s">
        <v>9167</v>
      </c>
      <c r="B675" s="17" t="s">
        <v>9167</v>
      </c>
      <c r="C675" s="17" t="s">
        <v>9168</v>
      </c>
      <c r="D675" s="17" t="s">
        <v>21</v>
      </c>
      <c r="E675" s="24">
        <v>1206</v>
      </c>
      <c r="F675" s="17" t="s">
        <v>367</v>
      </c>
      <c r="G675" s="17" t="str">
        <f>Config!$B$3</f>
        <v>SCH/R_IEC.SchLib</v>
      </c>
      <c r="H675" s="17" t="s">
        <v>419</v>
      </c>
      <c r="I675" s="17" t="s">
        <v>461</v>
      </c>
      <c r="J675" s="17" t="s">
        <v>6410</v>
      </c>
      <c r="K675" s="17"/>
      <c r="L675" s="17"/>
      <c r="M675" s="21">
        <v>910000</v>
      </c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</row>
    <row r="676" spans="1:28">
      <c r="A676" s="17" t="s">
        <v>9169</v>
      </c>
      <c r="B676" s="17" t="s">
        <v>9169</v>
      </c>
      <c r="C676" s="17" t="s">
        <v>9170</v>
      </c>
      <c r="D676" s="17" t="s">
        <v>21</v>
      </c>
      <c r="E676" s="24">
        <v>1206</v>
      </c>
      <c r="F676" s="17" t="s">
        <v>369</v>
      </c>
      <c r="G676" s="17" t="str">
        <f>Config!$B$3</f>
        <v>SCH/R_IEC.SchLib</v>
      </c>
      <c r="H676" s="17" t="s">
        <v>419</v>
      </c>
      <c r="I676" s="17" t="s">
        <v>461</v>
      </c>
      <c r="J676" s="17" t="s">
        <v>6410</v>
      </c>
      <c r="K676" s="17"/>
      <c r="L676" s="17"/>
      <c r="M676" s="21">
        <v>1000000</v>
      </c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</row>
    <row r="677" spans="1:28">
      <c r="A677" t="s">
        <v>16739</v>
      </c>
      <c r="B677" t="s">
        <v>16739</v>
      </c>
      <c r="C677" t="s">
        <v>16740</v>
      </c>
      <c r="D677" t="s">
        <v>21</v>
      </c>
      <c r="E677" s="24" t="s">
        <v>6762</v>
      </c>
      <c r="F677" t="s">
        <v>369</v>
      </c>
      <c r="G677" s="17" t="str">
        <f>Config!$B$3</f>
        <v>SCH/R_IEC.SchLib</v>
      </c>
      <c r="H677" s="17" t="s">
        <v>419</v>
      </c>
      <c r="I677" s="17" t="s">
        <v>461</v>
      </c>
      <c r="J677" s="17" t="s">
        <v>6410</v>
      </c>
      <c r="K677" s="17"/>
      <c r="L677" s="17"/>
      <c r="M677" s="21">
        <v>1000000</v>
      </c>
      <c r="N677" s="17" t="s">
        <v>13980</v>
      </c>
      <c r="O677" s="17" t="s">
        <v>477</v>
      </c>
      <c r="P677" s="17" t="s">
        <v>16741</v>
      </c>
      <c r="Q677" t="s">
        <v>25</v>
      </c>
      <c r="R677" s="17" t="s">
        <v>16742</v>
      </c>
      <c r="S677" s="17"/>
      <c r="T677" s="17"/>
      <c r="U677" s="17"/>
      <c r="V677" s="17"/>
      <c r="W677" s="17" t="s">
        <v>477</v>
      </c>
      <c r="X677" s="17" t="s">
        <v>16741</v>
      </c>
      <c r="Y677" s="17" t="s">
        <v>4559</v>
      </c>
      <c r="Z677" s="17" t="s">
        <v>16743</v>
      </c>
      <c r="AA677" t="s">
        <v>4727</v>
      </c>
      <c r="AB677" s="17"/>
    </row>
    <row r="678" spans="1:28">
      <c r="A678" s="17" t="s">
        <v>9171</v>
      </c>
      <c r="B678" s="17" t="s">
        <v>9171</v>
      </c>
      <c r="C678" s="17" t="s">
        <v>9172</v>
      </c>
      <c r="D678" s="17" t="s">
        <v>21</v>
      </c>
      <c r="E678" s="24">
        <v>1206</v>
      </c>
      <c r="F678" s="17" t="s">
        <v>371</v>
      </c>
      <c r="G678" s="17" t="str">
        <f>Config!$B$3</f>
        <v>SCH/R_IEC.SchLib</v>
      </c>
      <c r="H678" s="17" t="s">
        <v>419</v>
      </c>
      <c r="I678" s="17" t="s">
        <v>461</v>
      </c>
      <c r="J678" s="17" t="s">
        <v>6410</v>
      </c>
      <c r="K678" s="17"/>
      <c r="L678" s="17"/>
      <c r="M678" s="21">
        <v>1100000</v>
      </c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</row>
    <row r="679" spans="1:28">
      <c r="A679" s="17" t="s">
        <v>9173</v>
      </c>
      <c r="B679" s="17" t="s">
        <v>9173</v>
      </c>
      <c r="C679" s="17" t="s">
        <v>9174</v>
      </c>
      <c r="D679" s="17" t="s">
        <v>21</v>
      </c>
      <c r="E679" s="24">
        <v>1206</v>
      </c>
      <c r="F679" s="17" t="s">
        <v>373</v>
      </c>
      <c r="G679" s="17" t="str">
        <f>Config!$B$3</f>
        <v>SCH/R_IEC.SchLib</v>
      </c>
      <c r="H679" s="17" t="s">
        <v>419</v>
      </c>
      <c r="I679" s="17" t="s">
        <v>461</v>
      </c>
      <c r="J679" s="17" t="s">
        <v>6410</v>
      </c>
      <c r="K679" s="17"/>
      <c r="L679" s="17"/>
      <c r="M679" s="21">
        <v>1200000</v>
      </c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</row>
    <row r="680" spans="1:28">
      <c r="A680" s="17" t="s">
        <v>9175</v>
      </c>
      <c r="B680" s="17" t="s">
        <v>9175</v>
      </c>
      <c r="C680" s="17" t="s">
        <v>9176</v>
      </c>
      <c r="D680" s="17" t="s">
        <v>21</v>
      </c>
      <c r="E680" s="24">
        <v>1206</v>
      </c>
      <c r="F680" s="17" t="s">
        <v>375</v>
      </c>
      <c r="G680" s="17" t="str">
        <f>Config!$B$3</f>
        <v>SCH/R_IEC.SchLib</v>
      </c>
      <c r="H680" s="17" t="s">
        <v>419</v>
      </c>
      <c r="I680" s="17" t="s">
        <v>461</v>
      </c>
      <c r="J680" s="17" t="s">
        <v>6410</v>
      </c>
      <c r="K680" s="17"/>
      <c r="L680" s="17"/>
      <c r="M680" s="21">
        <v>1300000</v>
      </c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</row>
    <row r="681" spans="1:28">
      <c r="A681" s="17" t="s">
        <v>9177</v>
      </c>
      <c r="B681" s="17" t="s">
        <v>9177</v>
      </c>
      <c r="C681" s="17" t="s">
        <v>9178</v>
      </c>
      <c r="D681" s="17" t="s">
        <v>21</v>
      </c>
      <c r="E681" s="24">
        <v>1206</v>
      </c>
      <c r="F681" s="17" t="s">
        <v>377</v>
      </c>
      <c r="G681" s="17" t="str">
        <f>Config!$B$3</f>
        <v>SCH/R_IEC.SchLib</v>
      </c>
      <c r="H681" s="17" t="s">
        <v>419</v>
      </c>
      <c r="I681" s="17" t="s">
        <v>461</v>
      </c>
      <c r="J681" s="17" t="s">
        <v>6410</v>
      </c>
      <c r="K681" s="17"/>
      <c r="L681" s="17"/>
      <c r="M681" s="21">
        <v>1500000</v>
      </c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</row>
    <row r="682" spans="1:28">
      <c r="A682" s="17" t="s">
        <v>9179</v>
      </c>
      <c r="B682" s="17" t="s">
        <v>9179</v>
      </c>
      <c r="C682" s="17" t="s">
        <v>9180</v>
      </c>
      <c r="D682" s="17" t="s">
        <v>21</v>
      </c>
      <c r="E682" s="24">
        <v>1206</v>
      </c>
      <c r="F682" s="17" t="s">
        <v>379</v>
      </c>
      <c r="G682" s="17" t="str">
        <f>Config!$B$3</f>
        <v>SCH/R_IEC.SchLib</v>
      </c>
      <c r="H682" s="17" t="s">
        <v>419</v>
      </c>
      <c r="I682" s="17" t="s">
        <v>461</v>
      </c>
      <c r="J682" s="17" t="s">
        <v>6410</v>
      </c>
      <c r="K682" s="17"/>
      <c r="L682" s="17"/>
      <c r="M682" s="21">
        <v>1600000</v>
      </c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</row>
    <row r="683" spans="1:28">
      <c r="A683" s="17" t="s">
        <v>9181</v>
      </c>
      <c r="B683" s="17" t="s">
        <v>9181</v>
      </c>
      <c r="C683" s="17" t="s">
        <v>9182</v>
      </c>
      <c r="D683" s="17" t="s">
        <v>21</v>
      </c>
      <c r="E683" s="24">
        <v>1206</v>
      </c>
      <c r="F683" s="17" t="s">
        <v>381</v>
      </c>
      <c r="G683" s="17" t="str">
        <f>Config!$B$3</f>
        <v>SCH/R_IEC.SchLib</v>
      </c>
      <c r="H683" s="17" t="s">
        <v>419</v>
      </c>
      <c r="I683" s="17" t="s">
        <v>461</v>
      </c>
      <c r="J683" s="17" t="s">
        <v>6410</v>
      </c>
      <c r="K683" s="17"/>
      <c r="L683" s="17"/>
      <c r="M683" s="21">
        <v>1800000</v>
      </c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</row>
    <row r="684" spans="1:28">
      <c r="A684" s="17" t="s">
        <v>9183</v>
      </c>
      <c r="B684" s="17" t="s">
        <v>9183</v>
      </c>
      <c r="C684" s="17" t="s">
        <v>9184</v>
      </c>
      <c r="D684" s="17" t="s">
        <v>21</v>
      </c>
      <c r="E684" s="24">
        <v>1206</v>
      </c>
      <c r="F684" s="17" t="s">
        <v>383</v>
      </c>
      <c r="G684" s="17" t="str">
        <f>Config!$B$3</f>
        <v>SCH/R_IEC.SchLib</v>
      </c>
      <c r="H684" s="17" t="s">
        <v>419</v>
      </c>
      <c r="I684" s="17" t="s">
        <v>461</v>
      </c>
      <c r="J684" s="17" t="s">
        <v>6410</v>
      </c>
      <c r="K684" s="17"/>
      <c r="L684" s="17"/>
      <c r="M684" s="21">
        <v>2000000</v>
      </c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</row>
    <row r="685" spans="1:28">
      <c r="A685" s="17" t="s">
        <v>9185</v>
      </c>
      <c r="B685" s="17" t="s">
        <v>9185</v>
      </c>
      <c r="C685" s="17" t="s">
        <v>9186</v>
      </c>
      <c r="D685" s="17" t="s">
        <v>21</v>
      </c>
      <c r="E685" s="24">
        <v>1206</v>
      </c>
      <c r="F685" s="17" t="s">
        <v>385</v>
      </c>
      <c r="G685" s="17" t="str">
        <f>Config!$B$3</f>
        <v>SCH/R_IEC.SchLib</v>
      </c>
      <c r="H685" s="17" t="s">
        <v>419</v>
      </c>
      <c r="I685" s="17" t="s">
        <v>461</v>
      </c>
      <c r="J685" s="17" t="s">
        <v>6410</v>
      </c>
      <c r="K685" s="17"/>
      <c r="L685" s="17"/>
      <c r="M685" s="21">
        <v>2200000</v>
      </c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</row>
    <row r="686" spans="1:28">
      <c r="A686" s="17" t="s">
        <v>9187</v>
      </c>
      <c r="B686" s="17" t="s">
        <v>9187</v>
      </c>
      <c r="C686" s="17" t="s">
        <v>9188</v>
      </c>
      <c r="D686" s="17" t="s">
        <v>21</v>
      </c>
      <c r="E686" s="24">
        <v>1206</v>
      </c>
      <c r="F686" s="17" t="s">
        <v>387</v>
      </c>
      <c r="G686" s="17" t="str">
        <f>Config!$B$3</f>
        <v>SCH/R_IEC.SchLib</v>
      </c>
      <c r="H686" s="17" t="s">
        <v>419</v>
      </c>
      <c r="I686" s="17" t="s">
        <v>461</v>
      </c>
      <c r="J686" s="17" t="s">
        <v>6410</v>
      </c>
      <c r="K686" s="17"/>
      <c r="L686" s="17"/>
      <c r="M686" s="21">
        <v>2400000</v>
      </c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</row>
    <row r="687" spans="1:28">
      <c r="A687" s="17" t="s">
        <v>9189</v>
      </c>
      <c r="B687" s="17" t="s">
        <v>9189</v>
      </c>
      <c r="C687" s="17" t="s">
        <v>9190</v>
      </c>
      <c r="D687" s="17" t="s">
        <v>21</v>
      </c>
      <c r="E687" s="24">
        <v>1206</v>
      </c>
      <c r="F687" s="17" t="s">
        <v>389</v>
      </c>
      <c r="G687" s="17" t="str">
        <f>Config!$B$3</f>
        <v>SCH/R_IEC.SchLib</v>
      </c>
      <c r="H687" s="17" t="s">
        <v>419</v>
      </c>
      <c r="I687" s="17" t="s">
        <v>461</v>
      </c>
      <c r="J687" s="17" t="s">
        <v>6410</v>
      </c>
      <c r="K687" s="17"/>
      <c r="L687" s="17"/>
      <c r="M687" s="21">
        <v>2700000</v>
      </c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</row>
    <row r="688" spans="1:28">
      <c r="A688" s="17" t="s">
        <v>9191</v>
      </c>
      <c r="B688" s="17" t="s">
        <v>9191</v>
      </c>
      <c r="C688" s="17" t="s">
        <v>9192</v>
      </c>
      <c r="D688" s="17" t="s">
        <v>21</v>
      </c>
      <c r="E688" s="24">
        <v>1206</v>
      </c>
      <c r="F688" s="17" t="s">
        <v>391</v>
      </c>
      <c r="G688" s="17" t="str">
        <f>Config!$B$3</f>
        <v>SCH/R_IEC.SchLib</v>
      </c>
      <c r="H688" s="17" t="s">
        <v>419</v>
      </c>
      <c r="I688" s="17" t="s">
        <v>461</v>
      </c>
      <c r="J688" s="17" t="s">
        <v>6410</v>
      </c>
      <c r="K688" s="17"/>
      <c r="L688" s="17"/>
      <c r="M688" s="21">
        <v>3000000</v>
      </c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</row>
    <row r="689" spans="1:28">
      <c r="A689" s="17" t="s">
        <v>9193</v>
      </c>
      <c r="B689" s="17" t="s">
        <v>9193</v>
      </c>
      <c r="C689" s="17" t="s">
        <v>9194</v>
      </c>
      <c r="D689" s="17" t="s">
        <v>21</v>
      </c>
      <c r="E689" s="24">
        <v>1206</v>
      </c>
      <c r="F689" s="17" t="s">
        <v>393</v>
      </c>
      <c r="G689" s="17" t="str">
        <f>Config!$B$3</f>
        <v>SCH/R_IEC.SchLib</v>
      </c>
      <c r="H689" s="17" t="s">
        <v>419</v>
      </c>
      <c r="I689" s="17" t="s">
        <v>461</v>
      </c>
      <c r="J689" s="17" t="s">
        <v>6410</v>
      </c>
      <c r="K689" s="17"/>
      <c r="L689" s="17"/>
      <c r="M689" s="21">
        <v>3300000</v>
      </c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</row>
    <row r="690" spans="1:28">
      <c r="A690" s="17" t="s">
        <v>9195</v>
      </c>
      <c r="B690" s="17" t="s">
        <v>9195</v>
      </c>
      <c r="C690" s="17" t="s">
        <v>9196</v>
      </c>
      <c r="D690" s="17" t="s">
        <v>21</v>
      </c>
      <c r="E690" s="24">
        <v>1206</v>
      </c>
      <c r="F690" s="17" t="s">
        <v>395</v>
      </c>
      <c r="G690" s="17" t="str">
        <f>Config!$B$3</f>
        <v>SCH/R_IEC.SchLib</v>
      </c>
      <c r="H690" s="17" t="s">
        <v>419</v>
      </c>
      <c r="I690" s="17" t="s">
        <v>461</v>
      </c>
      <c r="J690" s="17" t="s">
        <v>6410</v>
      </c>
      <c r="K690" s="17"/>
      <c r="L690" s="17"/>
      <c r="M690" s="21">
        <v>3600000</v>
      </c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</row>
    <row r="691" spans="1:28">
      <c r="A691" s="17" t="s">
        <v>9197</v>
      </c>
      <c r="B691" s="17" t="s">
        <v>9197</v>
      </c>
      <c r="C691" s="17" t="s">
        <v>9198</v>
      </c>
      <c r="D691" s="17" t="s">
        <v>21</v>
      </c>
      <c r="E691" s="24">
        <v>1206</v>
      </c>
      <c r="F691" s="17" t="s">
        <v>397</v>
      </c>
      <c r="G691" s="17" t="str">
        <f>Config!$B$3</f>
        <v>SCH/R_IEC.SchLib</v>
      </c>
      <c r="H691" s="17" t="s">
        <v>419</v>
      </c>
      <c r="I691" s="17" t="s">
        <v>461</v>
      </c>
      <c r="J691" s="17" t="s">
        <v>6410</v>
      </c>
      <c r="K691" s="17"/>
      <c r="L691" s="17"/>
      <c r="M691" s="21">
        <v>3900000</v>
      </c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</row>
    <row r="692" spans="1:28">
      <c r="A692" s="17" t="s">
        <v>9199</v>
      </c>
      <c r="B692" s="17" t="s">
        <v>9199</v>
      </c>
      <c r="C692" s="17" t="s">
        <v>9200</v>
      </c>
      <c r="D692" s="17" t="s">
        <v>21</v>
      </c>
      <c r="E692" s="24">
        <v>1206</v>
      </c>
      <c r="F692" s="17" t="s">
        <v>399</v>
      </c>
      <c r="G692" s="17" t="str">
        <f>Config!$B$3</f>
        <v>SCH/R_IEC.SchLib</v>
      </c>
      <c r="H692" s="17" t="s">
        <v>419</v>
      </c>
      <c r="I692" s="17" t="s">
        <v>461</v>
      </c>
      <c r="J692" s="17" t="s">
        <v>6410</v>
      </c>
      <c r="K692" s="17"/>
      <c r="L692" s="17"/>
      <c r="M692" s="21">
        <v>4300000</v>
      </c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</row>
    <row r="693" spans="1:28">
      <c r="A693" s="17" t="s">
        <v>9201</v>
      </c>
      <c r="B693" s="17" t="s">
        <v>9201</v>
      </c>
      <c r="C693" s="17" t="s">
        <v>9202</v>
      </c>
      <c r="D693" s="17" t="s">
        <v>21</v>
      </c>
      <c r="E693" s="24">
        <v>1206</v>
      </c>
      <c r="F693" s="17" t="s">
        <v>401</v>
      </c>
      <c r="G693" s="17" t="str">
        <f>Config!$B$3</f>
        <v>SCH/R_IEC.SchLib</v>
      </c>
      <c r="H693" s="17" t="s">
        <v>419</v>
      </c>
      <c r="I693" s="17" t="s">
        <v>461</v>
      </c>
      <c r="J693" s="17" t="s">
        <v>6410</v>
      </c>
      <c r="K693" s="17"/>
      <c r="L693" s="17"/>
      <c r="M693" s="21">
        <v>4700000</v>
      </c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</row>
    <row r="694" spans="1:28">
      <c r="A694" s="17" t="s">
        <v>9203</v>
      </c>
      <c r="B694" s="17" t="s">
        <v>9203</v>
      </c>
      <c r="C694" s="17" t="s">
        <v>9204</v>
      </c>
      <c r="D694" s="17" t="s">
        <v>21</v>
      </c>
      <c r="E694" s="24">
        <v>1206</v>
      </c>
      <c r="F694" s="17" t="s">
        <v>403</v>
      </c>
      <c r="G694" s="17" t="str">
        <f>Config!$B$3</f>
        <v>SCH/R_IEC.SchLib</v>
      </c>
      <c r="H694" s="17" t="s">
        <v>419</v>
      </c>
      <c r="I694" s="17" t="s">
        <v>461</v>
      </c>
      <c r="J694" s="17" t="s">
        <v>6410</v>
      </c>
      <c r="K694" s="17"/>
      <c r="L694" s="17"/>
      <c r="M694" s="21">
        <v>5100000</v>
      </c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</row>
    <row r="695" spans="1:28">
      <c r="A695" s="17" t="s">
        <v>9205</v>
      </c>
      <c r="B695" s="17" t="s">
        <v>9205</v>
      </c>
      <c r="C695" s="17" t="s">
        <v>9206</v>
      </c>
      <c r="D695" s="17" t="s">
        <v>21</v>
      </c>
      <c r="E695" s="24">
        <v>1206</v>
      </c>
      <c r="F695" s="17" t="s">
        <v>405</v>
      </c>
      <c r="G695" s="17" t="str">
        <f>Config!$B$3</f>
        <v>SCH/R_IEC.SchLib</v>
      </c>
      <c r="H695" s="17" t="s">
        <v>419</v>
      </c>
      <c r="I695" s="17" t="s">
        <v>461</v>
      </c>
      <c r="J695" s="17" t="s">
        <v>6410</v>
      </c>
      <c r="K695" s="17"/>
      <c r="L695" s="17"/>
      <c r="M695" s="21">
        <v>5600000</v>
      </c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</row>
    <row r="696" spans="1:28">
      <c r="A696" s="17" t="s">
        <v>9207</v>
      </c>
      <c r="B696" s="17" t="s">
        <v>9207</v>
      </c>
      <c r="C696" s="17" t="s">
        <v>9208</v>
      </c>
      <c r="D696" s="17" t="s">
        <v>21</v>
      </c>
      <c r="E696" s="24">
        <v>1206</v>
      </c>
      <c r="F696" s="17" t="s">
        <v>407</v>
      </c>
      <c r="G696" s="17" t="str">
        <f>Config!$B$3</f>
        <v>SCH/R_IEC.SchLib</v>
      </c>
      <c r="H696" s="17" t="s">
        <v>419</v>
      </c>
      <c r="I696" s="17" t="s">
        <v>461</v>
      </c>
      <c r="J696" s="17" t="s">
        <v>6410</v>
      </c>
      <c r="K696" s="17"/>
      <c r="L696" s="17"/>
      <c r="M696" s="21">
        <v>6200000</v>
      </c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</row>
    <row r="697" spans="1:28">
      <c r="A697" s="17" t="s">
        <v>9209</v>
      </c>
      <c r="B697" s="17" t="s">
        <v>9209</v>
      </c>
      <c r="C697" s="17" t="s">
        <v>9210</v>
      </c>
      <c r="D697" s="17" t="s">
        <v>21</v>
      </c>
      <c r="E697" s="24">
        <v>1206</v>
      </c>
      <c r="F697" s="17" t="s">
        <v>409</v>
      </c>
      <c r="G697" s="17" t="str">
        <f>Config!$B$3</f>
        <v>SCH/R_IEC.SchLib</v>
      </c>
      <c r="H697" s="17" t="s">
        <v>419</v>
      </c>
      <c r="I697" s="17" t="s">
        <v>461</v>
      </c>
      <c r="J697" s="17" t="s">
        <v>6410</v>
      </c>
      <c r="K697" s="17"/>
      <c r="L697" s="17"/>
      <c r="M697" s="21">
        <v>6800000</v>
      </c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</row>
    <row r="698" spans="1:28">
      <c r="A698" s="17" t="s">
        <v>9211</v>
      </c>
      <c r="B698" s="17" t="s">
        <v>9211</v>
      </c>
      <c r="C698" s="17" t="s">
        <v>9212</v>
      </c>
      <c r="D698" s="17" t="s">
        <v>21</v>
      </c>
      <c r="E698" s="24">
        <v>1206</v>
      </c>
      <c r="F698" s="17" t="s">
        <v>411</v>
      </c>
      <c r="G698" s="17" t="str">
        <f>Config!$B$3</f>
        <v>SCH/R_IEC.SchLib</v>
      </c>
      <c r="H698" s="17" t="s">
        <v>419</v>
      </c>
      <c r="I698" s="17" t="s">
        <v>461</v>
      </c>
      <c r="J698" s="17" t="s">
        <v>6410</v>
      </c>
      <c r="K698" s="17"/>
      <c r="L698" s="17"/>
      <c r="M698" s="21">
        <v>7500000</v>
      </c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</row>
    <row r="699" spans="1:28">
      <c r="A699" s="17" t="s">
        <v>9213</v>
      </c>
      <c r="B699" s="17" t="s">
        <v>9213</v>
      </c>
      <c r="C699" s="17" t="s">
        <v>9214</v>
      </c>
      <c r="D699" s="17" t="s">
        <v>21</v>
      </c>
      <c r="E699" s="24">
        <v>1206</v>
      </c>
      <c r="F699" s="17" t="s">
        <v>413</v>
      </c>
      <c r="G699" s="17" t="str">
        <f>Config!$B$3</f>
        <v>SCH/R_IEC.SchLib</v>
      </c>
      <c r="H699" s="17" t="s">
        <v>419</v>
      </c>
      <c r="I699" s="17" t="s">
        <v>461</v>
      </c>
      <c r="J699" s="17" t="s">
        <v>6410</v>
      </c>
      <c r="K699" s="17"/>
      <c r="L699" s="17"/>
      <c r="M699" s="21">
        <v>8200000</v>
      </c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</row>
    <row r="700" spans="1:28">
      <c r="A700" s="17" t="s">
        <v>9215</v>
      </c>
      <c r="B700" s="17" t="s">
        <v>9215</v>
      </c>
      <c r="C700" s="17" t="s">
        <v>9216</v>
      </c>
      <c r="D700" s="17" t="s">
        <v>21</v>
      </c>
      <c r="E700" s="24">
        <v>1206</v>
      </c>
      <c r="F700" s="17" t="s">
        <v>415</v>
      </c>
      <c r="G700" s="17" t="str">
        <f>Config!$B$3</f>
        <v>SCH/R_IEC.SchLib</v>
      </c>
      <c r="H700" s="17" t="s">
        <v>419</v>
      </c>
      <c r="I700" s="17" t="s">
        <v>461</v>
      </c>
      <c r="J700" s="17" t="s">
        <v>6410</v>
      </c>
      <c r="K700" s="17"/>
      <c r="L700" s="17"/>
      <c r="M700" s="21">
        <v>9100000</v>
      </c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</row>
    <row r="701" spans="1:28">
      <c r="A701" s="17" t="s">
        <v>9217</v>
      </c>
      <c r="B701" s="17" t="s">
        <v>9217</v>
      </c>
      <c r="C701" s="17" t="s">
        <v>9218</v>
      </c>
      <c r="D701" s="17" t="s">
        <v>21</v>
      </c>
      <c r="E701" s="24">
        <v>1206</v>
      </c>
      <c r="F701" s="17" t="s">
        <v>417</v>
      </c>
      <c r="G701" s="17" t="str">
        <f>Config!$B$3</f>
        <v>SCH/R_IEC.SchLib</v>
      </c>
      <c r="H701" s="17" t="s">
        <v>419</v>
      </c>
      <c r="I701" s="17" t="s">
        <v>461</v>
      </c>
      <c r="J701" s="17" t="s">
        <v>6410</v>
      </c>
      <c r="K701" s="17"/>
      <c r="L701" s="17"/>
      <c r="M701" s="21">
        <v>10000000</v>
      </c>
      <c r="N701" s="17" t="s">
        <v>13979</v>
      </c>
      <c r="O701" s="17" t="s">
        <v>477</v>
      </c>
      <c r="P701" s="17" t="s">
        <v>13981</v>
      </c>
      <c r="Q701" t="s">
        <v>25</v>
      </c>
      <c r="R701" s="17" t="s">
        <v>13982</v>
      </c>
      <c r="S701" s="17"/>
      <c r="T701" s="17"/>
      <c r="U701" s="17"/>
      <c r="V701" s="17"/>
      <c r="W701" s="17"/>
      <c r="X701" s="17"/>
      <c r="Y701" s="17"/>
      <c r="Z701" s="17"/>
      <c r="AA701" s="17"/>
      <c r="AB701" s="17"/>
    </row>
    <row r="702" spans="1:28">
      <c r="A702" s="17" t="s">
        <v>13978</v>
      </c>
      <c r="B702" s="17" t="s">
        <v>13978</v>
      </c>
      <c r="C702" s="17" t="s">
        <v>13989</v>
      </c>
      <c r="D702" s="17" t="s">
        <v>21</v>
      </c>
      <c r="E702" s="24">
        <v>1206</v>
      </c>
      <c r="F702" s="17" t="s">
        <v>417</v>
      </c>
      <c r="G702" s="17" t="str">
        <f>Config!$B$3</f>
        <v>SCH/R_IEC.SchLib</v>
      </c>
      <c r="H702" s="17" t="s">
        <v>419</v>
      </c>
      <c r="I702" s="17" t="s">
        <v>461</v>
      </c>
      <c r="J702" s="17" t="s">
        <v>6410</v>
      </c>
      <c r="K702" s="17"/>
      <c r="L702" s="17"/>
      <c r="M702" s="21">
        <v>10000000</v>
      </c>
      <c r="N702" s="17" t="s">
        <v>13980</v>
      </c>
      <c r="O702" s="17" t="s">
        <v>477</v>
      </c>
      <c r="P702" s="17" t="s">
        <v>13983</v>
      </c>
      <c r="Q702" t="s">
        <v>25</v>
      </c>
      <c r="R702" s="17" t="s">
        <v>13984</v>
      </c>
      <c r="S702" s="17"/>
      <c r="T702" s="17"/>
      <c r="U702" s="17"/>
      <c r="V702" s="17"/>
      <c r="W702" s="17" t="s">
        <v>477</v>
      </c>
      <c r="X702" s="17" t="s">
        <v>13983</v>
      </c>
      <c r="Y702" s="17" t="s">
        <v>4559</v>
      </c>
      <c r="Z702" s="17" t="s">
        <v>13985</v>
      </c>
      <c r="AA702" t="s">
        <v>4727</v>
      </c>
      <c r="AB702" s="17"/>
    </row>
    <row r="703" spans="1:28">
      <c r="A703" s="16" t="s">
        <v>9219</v>
      </c>
      <c r="B703" s="16" t="s">
        <v>9219</v>
      </c>
      <c r="C703" s="16" t="s">
        <v>9220</v>
      </c>
      <c r="D703" s="16" t="s">
        <v>21</v>
      </c>
      <c r="E703" s="16">
        <v>1210</v>
      </c>
      <c r="F703" s="16" t="s">
        <v>23</v>
      </c>
      <c r="G703" s="17" t="str">
        <f>Config!$B$3</f>
        <v>SCH/R_IEC.SchLib</v>
      </c>
      <c r="H703" s="16" t="s">
        <v>419</v>
      </c>
      <c r="I703" s="18" t="s">
        <v>461</v>
      </c>
      <c r="J703" s="17" t="s">
        <v>12473</v>
      </c>
      <c r="K703" s="17"/>
      <c r="L703" s="17"/>
      <c r="M703" s="19">
        <v>0</v>
      </c>
      <c r="N703" s="17" t="s">
        <v>13979</v>
      </c>
      <c r="O703" s="17" t="s">
        <v>477</v>
      </c>
      <c r="P703" s="17" t="s">
        <v>12486</v>
      </c>
      <c r="Q703" s="16" t="s">
        <v>25</v>
      </c>
      <c r="R703" s="17" t="s">
        <v>12487</v>
      </c>
      <c r="S703" s="16"/>
      <c r="T703" s="17"/>
      <c r="U703" s="16"/>
      <c r="V703" s="16"/>
      <c r="W703" s="17"/>
      <c r="X703" s="17"/>
      <c r="Y703" s="16"/>
      <c r="Z703" s="17"/>
      <c r="AA703" s="17"/>
      <c r="AB703" s="17"/>
    </row>
    <row r="704" spans="1:28">
      <c r="A704" s="17" t="s">
        <v>9221</v>
      </c>
      <c r="B704" s="17" t="s">
        <v>9221</v>
      </c>
      <c r="C704" s="17" t="s">
        <v>9222</v>
      </c>
      <c r="D704" s="17" t="s">
        <v>21</v>
      </c>
      <c r="E704" s="24">
        <v>1210</v>
      </c>
      <c r="F704" s="17" t="s">
        <v>29</v>
      </c>
      <c r="G704" s="17" t="str">
        <f>Config!$B$3</f>
        <v>SCH/R_IEC.SchLib</v>
      </c>
      <c r="H704" s="17" t="s">
        <v>419</v>
      </c>
      <c r="I704" s="17" t="s">
        <v>461</v>
      </c>
      <c r="J704" s="17" t="s">
        <v>12473</v>
      </c>
      <c r="K704" s="17"/>
      <c r="L704" s="17"/>
      <c r="M704" s="17">
        <v>1</v>
      </c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</row>
    <row r="705" spans="1:28">
      <c r="A705" s="17" t="s">
        <v>9223</v>
      </c>
      <c r="B705" s="17" t="s">
        <v>9223</v>
      </c>
      <c r="C705" s="17" t="s">
        <v>9224</v>
      </c>
      <c r="D705" s="17" t="s">
        <v>21</v>
      </c>
      <c r="E705" s="24">
        <v>1210</v>
      </c>
      <c r="F705" s="17" t="s">
        <v>1042</v>
      </c>
      <c r="G705" s="17" t="str">
        <f>Config!$B$3</f>
        <v>SCH/R_IEC.SchLib</v>
      </c>
      <c r="H705" s="17" t="s">
        <v>419</v>
      </c>
      <c r="I705" s="17" t="s">
        <v>461</v>
      </c>
      <c r="J705" s="17" t="s">
        <v>12473</v>
      </c>
      <c r="K705" s="17"/>
      <c r="L705" s="17"/>
      <c r="M705" s="17">
        <v>1.1000000000000001</v>
      </c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</row>
    <row r="706" spans="1:28">
      <c r="A706" s="17" t="s">
        <v>9225</v>
      </c>
      <c r="B706" s="17" t="s">
        <v>9225</v>
      </c>
      <c r="C706" s="17" t="s">
        <v>9226</v>
      </c>
      <c r="D706" s="17" t="s">
        <v>21</v>
      </c>
      <c r="E706" s="24">
        <v>1210</v>
      </c>
      <c r="F706" s="17" t="s">
        <v>31</v>
      </c>
      <c r="G706" s="17" t="str">
        <f>Config!$B$3</f>
        <v>SCH/R_IEC.SchLib</v>
      </c>
      <c r="H706" s="17" t="s">
        <v>419</v>
      </c>
      <c r="I706" s="17" t="s">
        <v>461</v>
      </c>
      <c r="J706" s="17" t="s">
        <v>12473</v>
      </c>
      <c r="K706" s="17"/>
      <c r="L706" s="17"/>
      <c r="M706" s="17">
        <v>1.2</v>
      </c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</row>
    <row r="707" spans="1:28">
      <c r="A707" s="17" t="s">
        <v>9227</v>
      </c>
      <c r="B707" s="17" t="s">
        <v>9227</v>
      </c>
      <c r="C707" s="17" t="s">
        <v>9228</v>
      </c>
      <c r="D707" s="17" t="s">
        <v>21</v>
      </c>
      <c r="E707" s="24">
        <v>1210</v>
      </c>
      <c r="F707" s="17" t="s">
        <v>1052</v>
      </c>
      <c r="G707" s="17" t="str">
        <f>Config!$B$3</f>
        <v>SCH/R_IEC.SchLib</v>
      </c>
      <c r="H707" s="17" t="s">
        <v>419</v>
      </c>
      <c r="I707" s="17" t="s">
        <v>461</v>
      </c>
      <c r="J707" s="17" t="s">
        <v>12473</v>
      </c>
      <c r="K707" s="17"/>
      <c r="L707" s="17"/>
      <c r="M707" s="17">
        <v>1.3</v>
      </c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</row>
    <row r="708" spans="1:28">
      <c r="A708" s="17" t="s">
        <v>9229</v>
      </c>
      <c r="B708" s="17" t="s">
        <v>9229</v>
      </c>
      <c r="C708" s="17" t="s">
        <v>9230</v>
      </c>
      <c r="D708" s="17" t="s">
        <v>21</v>
      </c>
      <c r="E708" s="24">
        <v>1210</v>
      </c>
      <c r="F708" s="17" t="s">
        <v>33</v>
      </c>
      <c r="G708" s="17" t="str">
        <f>Config!$B$3</f>
        <v>SCH/R_IEC.SchLib</v>
      </c>
      <c r="H708" s="17" t="s">
        <v>419</v>
      </c>
      <c r="I708" s="17" t="s">
        <v>461</v>
      </c>
      <c r="J708" s="17" t="s">
        <v>12473</v>
      </c>
      <c r="K708" s="17"/>
      <c r="L708" s="17"/>
      <c r="M708" s="17">
        <v>1.5</v>
      </c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</row>
    <row r="709" spans="1:28">
      <c r="A709" s="17" t="s">
        <v>9231</v>
      </c>
      <c r="B709" s="17" t="s">
        <v>9231</v>
      </c>
      <c r="C709" s="17" t="s">
        <v>9232</v>
      </c>
      <c r="D709" s="17" t="s">
        <v>21</v>
      </c>
      <c r="E709" s="24">
        <v>1210</v>
      </c>
      <c r="F709" s="17" t="s">
        <v>1062</v>
      </c>
      <c r="G709" s="17" t="str">
        <f>Config!$B$3</f>
        <v>SCH/R_IEC.SchLib</v>
      </c>
      <c r="H709" s="17" t="s">
        <v>419</v>
      </c>
      <c r="I709" s="17" t="s">
        <v>461</v>
      </c>
      <c r="J709" s="17" t="s">
        <v>12473</v>
      </c>
      <c r="K709" s="17"/>
      <c r="L709" s="17"/>
      <c r="M709" s="17">
        <v>1.6</v>
      </c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</row>
    <row r="710" spans="1:28">
      <c r="A710" s="17" t="s">
        <v>9233</v>
      </c>
      <c r="B710" s="17" t="s">
        <v>9233</v>
      </c>
      <c r="C710" s="17" t="s">
        <v>9234</v>
      </c>
      <c r="D710" s="17" t="s">
        <v>21</v>
      </c>
      <c r="E710" s="24">
        <v>1210</v>
      </c>
      <c r="F710" s="17" t="s">
        <v>35</v>
      </c>
      <c r="G710" s="17" t="str">
        <f>Config!$B$3</f>
        <v>SCH/R_IEC.SchLib</v>
      </c>
      <c r="H710" s="17" t="s">
        <v>419</v>
      </c>
      <c r="I710" s="17" t="s">
        <v>461</v>
      </c>
      <c r="J710" s="17" t="s">
        <v>12473</v>
      </c>
      <c r="K710" s="17"/>
      <c r="L710" s="17"/>
      <c r="M710" s="17">
        <v>1.8</v>
      </c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</row>
    <row r="711" spans="1:28">
      <c r="A711" s="17" t="s">
        <v>9235</v>
      </c>
      <c r="B711" s="17" t="s">
        <v>9235</v>
      </c>
      <c r="C711" s="17" t="s">
        <v>9236</v>
      </c>
      <c r="D711" s="17" t="s">
        <v>21</v>
      </c>
      <c r="E711" s="24">
        <v>1210</v>
      </c>
      <c r="F711" s="17" t="s">
        <v>1070</v>
      </c>
      <c r="G711" s="17" t="str">
        <f>Config!$B$3</f>
        <v>SCH/R_IEC.SchLib</v>
      </c>
      <c r="H711" s="17" t="s">
        <v>419</v>
      </c>
      <c r="I711" s="17" t="s">
        <v>461</v>
      </c>
      <c r="J711" s="17" t="s">
        <v>12473</v>
      </c>
      <c r="K711" s="17"/>
      <c r="L711" s="17"/>
      <c r="M711" s="17">
        <v>2</v>
      </c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</row>
    <row r="712" spans="1:28">
      <c r="A712" s="17" t="s">
        <v>9237</v>
      </c>
      <c r="B712" s="17" t="s">
        <v>9237</v>
      </c>
      <c r="C712" s="17" t="s">
        <v>9238</v>
      </c>
      <c r="D712" s="17" t="s">
        <v>21</v>
      </c>
      <c r="E712" s="24">
        <v>1210</v>
      </c>
      <c r="F712" s="17" t="s">
        <v>37</v>
      </c>
      <c r="G712" s="17" t="str">
        <f>Config!$B$3</f>
        <v>SCH/R_IEC.SchLib</v>
      </c>
      <c r="H712" s="17" t="s">
        <v>419</v>
      </c>
      <c r="I712" s="17" t="s">
        <v>461</v>
      </c>
      <c r="J712" s="17" t="s">
        <v>12473</v>
      </c>
      <c r="K712" s="17"/>
      <c r="L712" s="17"/>
      <c r="M712" s="17">
        <v>2.2000000000000002</v>
      </c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</row>
    <row r="713" spans="1:28">
      <c r="A713" s="17" t="s">
        <v>9239</v>
      </c>
      <c r="B713" s="17" t="s">
        <v>9239</v>
      </c>
      <c r="C713" s="17" t="s">
        <v>9240</v>
      </c>
      <c r="D713" s="17" t="s">
        <v>21</v>
      </c>
      <c r="E713" s="24">
        <v>1210</v>
      </c>
      <c r="F713" s="17" t="s">
        <v>1080</v>
      </c>
      <c r="G713" s="17" t="str">
        <f>Config!$B$3</f>
        <v>SCH/R_IEC.SchLib</v>
      </c>
      <c r="H713" s="17" t="s">
        <v>419</v>
      </c>
      <c r="I713" s="17" t="s">
        <v>461</v>
      </c>
      <c r="J713" s="17" t="s">
        <v>12473</v>
      </c>
      <c r="K713" s="17"/>
      <c r="L713" s="17"/>
      <c r="M713" s="17">
        <v>2.4</v>
      </c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</row>
    <row r="714" spans="1:28">
      <c r="A714" s="17" t="s">
        <v>9241</v>
      </c>
      <c r="B714" s="17" t="s">
        <v>9241</v>
      </c>
      <c r="C714" s="17" t="s">
        <v>9242</v>
      </c>
      <c r="D714" s="17" t="s">
        <v>21</v>
      </c>
      <c r="E714" s="24">
        <v>1210</v>
      </c>
      <c r="F714" s="17" t="s">
        <v>39</v>
      </c>
      <c r="G714" s="17" t="str">
        <f>Config!$B$3</f>
        <v>SCH/R_IEC.SchLib</v>
      </c>
      <c r="H714" s="17" t="s">
        <v>419</v>
      </c>
      <c r="I714" s="17" t="s">
        <v>461</v>
      </c>
      <c r="J714" s="17" t="s">
        <v>12473</v>
      </c>
      <c r="K714" s="17"/>
      <c r="L714" s="17"/>
      <c r="M714" s="17">
        <v>2.7</v>
      </c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</row>
    <row r="715" spans="1:28">
      <c r="A715" s="17" t="s">
        <v>9243</v>
      </c>
      <c r="B715" s="17" t="s">
        <v>9243</v>
      </c>
      <c r="C715" s="17" t="s">
        <v>9244</v>
      </c>
      <c r="D715" s="17" t="s">
        <v>21</v>
      </c>
      <c r="E715" s="24">
        <v>1210</v>
      </c>
      <c r="F715" s="17" t="s">
        <v>1088</v>
      </c>
      <c r="G715" s="17" t="str">
        <f>Config!$B$3</f>
        <v>SCH/R_IEC.SchLib</v>
      </c>
      <c r="H715" s="17" t="s">
        <v>419</v>
      </c>
      <c r="I715" s="17" t="s">
        <v>461</v>
      </c>
      <c r="J715" s="17" t="s">
        <v>12473</v>
      </c>
      <c r="K715" s="17"/>
      <c r="L715" s="17"/>
      <c r="M715" s="17">
        <v>3</v>
      </c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</row>
    <row r="716" spans="1:28">
      <c r="A716" s="17" t="s">
        <v>9245</v>
      </c>
      <c r="B716" s="17" t="s">
        <v>9245</v>
      </c>
      <c r="C716" s="17" t="s">
        <v>9246</v>
      </c>
      <c r="D716" s="17" t="s">
        <v>21</v>
      </c>
      <c r="E716" s="24">
        <v>1210</v>
      </c>
      <c r="F716" s="17" t="s">
        <v>41</v>
      </c>
      <c r="G716" s="17" t="str">
        <f>Config!$B$3</f>
        <v>SCH/R_IEC.SchLib</v>
      </c>
      <c r="H716" s="17" t="s">
        <v>419</v>
      </c>
      <c r="I716" s="17" t="s">
        <v>461</v>
      </c>
      <c r="J716" s="17" t="s">
        <v>12473</v>
      </c>
      <c r="K716" s="17"/>
      <c r="L716" s="17"/>
      <c r="M716" s="17">
        <v>3.3</v>
      </c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</row>
    <row r="717" spans="1:28">
      <c r="A717" s="17" t="s">
        <v>9247</v>
      </c>
      <c r="B717" s="17" t="s">
        <v>9247</v>
      </c>
      <c r="C717" s="17" t="s">
        <v>9248</v>
      </c>
      <c r="D717" s="17" t="s">
        <v>21</v>
      </c>
      <c r="E717" s="24">
        <v>1210</v>
      </c>
      <c r="F717" s="17" t="s">
        <v>1098</v>
      </c>
      <c r="G717" s="17" t="str">
        <f>Config!$B$3</f>
        <v>SCH/R_IEC.SchLib</v>
      </c>
      <c r="H717" s="17" t="s">
        <v>419</v>
      </c>
      <c r="I717" s="17" t="s">
        <v>461</v>
      </c>
      <c r="J717" s="17" t="s">
        <v>12473</v>
      </c>
      <c r="K717" s="17"/>
      <c r="L717" s="17"/>
      <c r="M717" s="17">
        <v>3.6</v>
      </c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</row>
    <row r="718" spans="1:28">
      <c r="A718" s="17" t="s">
        <v>9249</v>
      </c>
      <c r="B718" s="17" t="s">
        <v>9249</v>
      </c>
      <c r="C718" s="17" t="s">
        <v>9250</v>
      </c>
      <c r="D718" s="17" t="s">
        <v>21</v>
      </c>
      <c r="E718" s="24">
        <v>1210</v>
      </c>
      <c r="F718" s="17" t="s">
        <v>43</v>
      </c>
      <c r="G718" s="17" t="str">
        <f>Config!$B$3</f>
        <v>SCH/R_IEC.SchLib</v>
      </c>
      <c r="H718" s="17" t="s">
        <v>419</v>
      </c>
      <c r="I718" s="17" t="s">
        <v>461</v>
      </c>
      <c r="J718" s="17" t="s">
        <v>12473</v>
      </c>
      <c r="K718" s="17"/>
      <c r="L718" s="17"/>
      <c r="M718" s="17">
        <v>3.9</v>
      </c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</row>
    <row r="719" spans="1:28">
      <c r="A719" s="17" t="s">
        <v>9251</v>
      </c>
      <c r="B719" s="17" t="s">
        <v>9251</v>
      </c>
      <c r="C719" s="17" t="s">
        <v>9252</v>
      </c>
      <c r="D719" s="17" t="s">
        <v>21</v>
      </c>
      <c r="E719" s="24">
        <v>1210</v>
      </c>
      <c r="F719" s="17" t="s">
        <v>1106</v>
      </c>
      <c r="G719" s="17" t="str">
        <f>Config!$B$3</f>
        <v>SCH/R_IEC.SchLib</v>
      </c>
      <c r="H719" s="17" t="s">
        <v>419</v>
      </c>
      <c r="I719" s="17" t="s">
        <v>461</v>
      </c>
      <c r="J719" s="17" t="s">
        <v>12473</v>
      </c>
      <c r="K719" s="17"/>
      <c r="L719" s="17"/>
      <c r="M719" s="17">
        <v>4.3</v>
      </c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</row>
    <row r="720" spans="1:28">
      <c r="A720" s="17" t="s">
        <v>9253</v>
      </c>
      <c r="B720" s="17" t="s">
        <v>9253</v>
      </c>
      <c r="C720" s="17" t="s">
        <v>9254</v>
      </c>
      <c r="D720" s="17" t="s">
        <v>21</v>
      </c>
      <c r="E720" s="24">
        <v>1210</v>
      </c>
      <c r="F720" s="17" t="s">
        <v>45</v>
      </c>
      <c r="G720" s="17" t="str">
        <f>Config!$B$3</f>
        <v>SCH/R_IEC.SchLib</v>
      </c>
      <c r="H720" s="17" t="s">
        <v>419</v>
      </c>
      <c r="I720" s="17" t="s">
        <v>461</v>
      </c>
      <c r="J720" s="17" t="s">
        <v>12473</v>
      </c>
      <c r="K720" s="17"/>
      <c r="L720" s="17"/>
      <c r="M720" s="17">
        <v>4.7</v>
      </c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</row>
    <row r="721" spans="1:28">
      <c r="A721" s="17" t="s">
        <v>9255</v>
      </c>
      <c r="B721" s="17" t="s">
        <v>9255</v>
      </c>
      <c r="C721" s="17" t="s">
        <v>9256</v>
      </c>
      <c r="D721" s="17" t="s">
        <v>21</v>
      </c>
      <c r="E721" s="24">
        <v>1210</v>
      </c>
      <c r="F721" s="17" t="s">
        <v>1116</v>
      </c>
      <c r="G721" s="17" t="str">
        <f>Config!$B$3</f>
        <v>SCH/R_IEC.SchLib</v>
      </c>
      <c r="H721" s="17" t="s">
        <v>419</v>
      </c>
      <c r="I721" s="17" t="s">
        <v>461</v>
      </c>
      <c r="J721" s="17" t="s">
        <v>12473</v>
      </c>
      <c r="K721" s="17"/>
      <c r="L721" s="17"/>
      <c r="M721" s="17">
        <v>5.0999999999999996</v>
      </c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</row>
    <row r="722" spans="1:28">
      <c r="A722" s="17" t="s">
        <v>9257</v>
      </c>
      <c r="B722" s="17" t="s">
        <v>9257</v>
      </c>
      <c r="C722" s="17" t="s">
        <v>9258</v>
      </c>
      <c r="D722" s="17" t="s">
        <v>21</v>
      </c>
      <c r="E722" s="24">
        <v>1210</v>
      </c>
      <c r="F722" s="17" t="s">
        <v>47</v>
      </c>
      <c r="G722" s="17" t="str">
        <f>Config!$B$3</f>
        <v>SCH/R_IEC.SchLib</v>
      </c>
      <c r="H722" s="17" t="s">
        <v>419</v>
      </c>
      <c r="I722" s="17" t="s">
        <v>461</v>
      </c>
      <c r="J722" s="17" t="s">
        <v>12473</v>
      </c>
      <c r="K722" s="17"/>
      <c r="L722" s="17"/>
      <c r="M722" s="17">
        <v>5.6</v>
      </c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</row>
    <row r="723" spans="1:28">
      <c r="A723" s="17" t="s">
        <v>9259</v>
      </c>
      <c r="B723" s="17" t="s">
        <v>9259</v>
      </c>
      <c r="C723" s="17" t="s">
        <v>9260</v>
      </c>
      <c r="D723" s="17" t="s">
        <v>21</v>
      </c>
      <c r="E723" s="24">
        <v>1210</v>
      </c>
      <c r="F723" s="17" t="s">
        <v>1128</v>
      </c>
      <c r="G723" s="17" t="str">
        <f>Config!$B$3</f>
        <v>SCH/R_IEC.SchLib</v>
      </c>
      <c r="H723" s="17" t="s">
        <v>419</v>
      </c>
      <c r="I723" s="17" t="s">
        <v>461</v>
      </c>
      <c r="J723" s="17" t="s">
        <v>12473</v>
      </c>
      <c r="K723" s="17"/>
      <c r="L723" s="17"/>
      <c r="M723" s="17">
        <v>6.2</v>
      </c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</row>
    <row r="724" spans="1:28">
      <c r="A724" s="17" t="s">
        <v>9261</v>
      </c>
      <c r="B724" s="17" t="s">
        <v>9261</v>
      </c>
      <c r="C724" s="17" t="s">
        <v>9262</v>
      </c>
      <c r="D724" s="17" t="s">
        <v>21</v>
      </c>
      <c r="E724" s="24">
        <v>1210</v>
      </c>
      <c r="F724" s="17" t="s">
        <v>49</v>
      </c>
      <c r="G724" s="17" t="str">
        <f>Config!$B$3</f>
        <v>SCH/R_IEC.SchLib</v>
      </c>
      <c r="H724" s="17" t="s">
        <v>419</v>
      </c>
      <c r="I724" s="17" t="s">
        <v>461</v>
      </c>
      <c r="J724" s="17" t="s">
        <v>12473</v>
      </c>
      <c r="K724" s="17"/>
      <c r="L724" s="17"/>
      <c r="M724" s="17">
        <v>6.8</v>
      </c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</row>
    <row r="725" spans="1:28">
      <c r="A725" s="17" t="s">
        <v>9263</v>
      </c>
      <c r="B725" s="17" t="s">
        <v>9263</v>
      </c>
      <c r="C725" s="17" t="s">
        <v>9264</v>
      </c>
      <c r="D725" s="17" t="s">
        <v>21</v>
      </c>
      <c r="E725" s="24">
        <v>1210</v>
      </c>
      <c r="F725" s="17" t="s">
        <v>1138</v>
      </c>
      <c r="G725" s="17" t="str">
        <f>Config!$B$3</f>
        <v>SCH/R_IEC.SchLib</v>
      </c>
      <c r="H725" s="17" t="s">
        <v>419</v>
      </c>
      <c r="I725" s="17" t="s">
        <v>461</v>
      </c>
      <c r="J725" s="17" t="s">
        <v>12473</v>
      </c>
      <c r="K725" s="17"/>
      <c r="L725" s="17"/>
      <c r="M725" s="17">
        <v>7.5</v>
      </c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</row>
    <row r="726" spans="1:28">
      <c r="A726" s="17" t="s">
        <v>9265</v>
      </c>
      <c r="B726" s="17" t="s">
        <v>9265</v>
      </c>
      <c r="C726" s="17" t="s">
        <v>9266</v>
      </c>
      <c r="D726" s="17" t="s">
        <v>21</v>
      </c>
      <c r="E726" s="24">
        <v>1210</v>
      </c>
      <c r="F726" s="17" t="s">
        <v>51</v>
      </c>
      <c r="G726" s="17" t="str">
        <f>Config!$B$3</f>
        <v>SCH/R_IEC.SchLib</v>
      </c>
      <c r="H726" s="17" t="s">
        <v>419</v>
      </c>
      <c r="I726" s="17" t="s">
        <v>461</v>
      </c>
      <c r="J726" s="17" t="s">
        <v>12473</v>
      </c>
      <c r="K726" s="17"/>
      <c r="L726" s="17"/>
      <c r="M726" s="17">
        <v>8.1999999999999993</v>
      </c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</row>
    <row r="727" spans="1:28">
      <c r="A727" s="17" t="s">
        <v>9267</v>
      </c>
      <c r="B727" s="17" t="s">
        <v>9267</v>
      </c>
      <c r="C727" s="17" t="s">
        <v>9268</v>
      </c>
      <c r="D727" s="17" t="s">
        <v>21</v>
      </c>
      <c r="E727" s="24">
        <v>1210</v>
      </c>
      <c r="F727" s="17" t="s">
        <v>1148</v>
      </c>
      <c r="G727" s="17" t="str">
        <f>Config!$B$3</f>
        <v>SCH/R_IEC.SchLib</v>
      </c>
      <c r="H727" s="17" t="s">
        <v>419</v>
      </c>
      <c r="I727" s="17" t="s">
        <v>461</v>
      </c>
      <c r="J727" s="17" t="s">
        <v>12473</v>
      </c>
      <c r="K727" s="17"/>
      <c r="L727" s="17"/>
      <c r="M727" s="17">
        <v>9.1</v>
      </c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</row>
    <row r="728" spans="1:28" ht="15.75">
      <c r="A728" s="17" t="s">
        <v>9269</v>
      </c>
      <c r="B728" s="17" t="s">
        <v>9269</v>
      </c>
      <c r="C728" s="17" t="s">
        <v>9270</v>
      </c>
      <c r="D728" s="17" t="s">
        <v>21</v>
      </c>
      <c r="E728" s="24">
        <v>1210</v>
      </c>
      <c r="F728" s="17" t="s">
        <v>53</v>
      </c>
      <c r="G728" s="17" t="str">
        <f>Config!$B$3</f>
        <v>SCH/R_IEC.SchLib</v>
      </c>
      <c r="H728" s="17" t="s">
        <v>419</v>
      </c>
      <c r="I728" s="17" t="s">
        <v>461</v>
      </c>
      <c r="J728" s="17" t="s">
        <v>12473</v>
      </c>
      <c r="K728" s="17"/>
      <c r="L728" s="17"/>
      <c r="M728" s="21">
        <v>10</v>
      </c>
      <c r="N728" s="17" t="s">
        <v>13979</v>
      </c>
      <c r="O728" s="17" t="s">
        <v>477</v>
      </c>
      <c r="P728" s="17" t="s">
        <v>12484</v>
      </c>
      <c r="Q728" t="s">
        <v>25</v>
      </c>
      <c r="R728" s="17" t="s">
        <v>12485</v>
      </c>
      <c r="S728" s="17"/>
      <c r="T728" s="17"/>
      <c r="U728" s="17"/>
      <c r="V728" s="17"/>
      <c r="W728" s="8" t="s">
        <v>6379</v>
      </c>
      <c r="X728" s="8" t="s">
        <v>13478</v>
      </c>
      <c r="Y728" s="8" t="s">
        <v>4559</v>
      </c>
      <c r="Z728" s="8" t="s">
        <v>13479</v>
      </c>
      <c r="AA728" s="17"/>
      <c r="AB728" s="17"/>
    </row>
    <row r="729" spans="1:28">
      <c r="A729" s="17" t="s">
        <v>9271</v>
      </c>
      <c r="B729" s="17" t="s">
        <v>9271</v>
      </c>
      <c r="C729" s="17" t="s">
        <v>9272</v>
      </c>
      <c r="D729" s="17" t="s">
        <v>21</v>
      </c>
      <c r="E729" s="24">
        <v>1210</v>
      </c>
      <c r="F729" s="17" t="s">
        <v>57</v>
      </c>
      <c r="G729" s="17" t="str">
        <f>Config!$B$3</f>
        <v>SCH/R_IEC.SchLib</v>
      </c>
      <c r="H729" s="17" t="s">
        <v>419</v>
      </c>
      <c r="I729" s="17" t="s">
        <v>461</v>
      </c>
      <c r="J729" s="17" t="s">
        <v>12473</v>
      </c>
      <c r="K729" s="17"/>
      <c r="L729" s="17"/>
      <c r="M729" s="21">
        <v>11</v>
      </c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</row>
    <row r="730" spans="1:28">
      <c r="A730" s="17" t="s">
        <v>9273</v>
      </c>
      <c r="B730" s="17" t="s">
        <v>9273</v>
      </c>
      <c r="C730" s="17" t="s">
        <v>9274</v>
      </c>
      <c r="D730" s="17" t="s">
        <v>21</v>
      </c>
      <c r="E730" s="24">
        <v>1210</v>
      </c>
      <c r="F730" s="17" t="s">
        <v>59</v>
      </c>
      <c r="G730" s="17" t="str">
        <f>Config!$B$3</f>
        <v>SCH/R_IEC.SchLib</v>
      </c>
      <c r="H730" s="17" t="s">
        <v>419</v>
      </c>
      <c r="I730" s="17" t="s">
        <v>461</v>
      </c>
      <c r="J730" s="17" t="s">
        <v>12473</v>
      </c>
      <c r="K730" s="17"/>
      <c r="L730" s="17"/>
      <c r="M730" s="21">
        <v>12</v>
      </c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</row>
    <row r="731" spans="1:28">
      <c r="A731" s="17" t="s">
        <v>9275</v>
      </c>
      <c r="B731" s="17" t="s">
        <v>9275</v>
      </c>
      <c r="C731" s="17" t="s">
        <v>9276</v>
      </c>
      <c r="D731" s="17" t="s">
        <v>21</v>
      </c>
      <c r="E731" s="24">
        <v>1210</v>
      </c>
      <c r="F731" s="17" t="s">
        <v>61</v>
      </c>
      <c r="G731" s="17" t="str">
        <f>Config!$B$3</f>
        <v>SCH/R_IEC.SchLib</v>
      </c>
      <c r="H731" s="17" t="s">
        <v>419</v>
      </c>
      <c r="I731" s="17" t="s">
        <v>461</v>
      </c>
      <c r="J731" s="17" t="s">
        <v>12473</v>
      </c>
      <c r="K731" s="17"/>
      <c r="L731" s="17"/>
      <c r="M731" s="21">
        <v>13</v>
      </c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</row>
    <row r="732" spans="1:28">
      <c r="A732" s="17" t="s">
        <v>9277</v>
      </c>
      <c r="B732" s="17" t="s">
        <v>9277</v>
      </c>
      <c r="C732" s="17" t="s">
        <v>9278</v>
      </c>
      <c r="D732" s="17" t="s">
        <v>21</v>
      </c>
      <c r="E732" s="24">
        <v>1210</v>
      </c>
      <c r="F732" s="17" t="s">
        <v>63</v>
      </c>
      <c r="G732" s="17" t="str">
        <f>Config!$B$3</f>
        <v>SCH/R_IEC.SchLib</v>
      </c>
      <c r="H732" s="17" t="s">
        <v>419</v>
      </c>
      <c r="I732" s="17" t="s">
        <v>461</v>
      </c>
      <c r="J732" s="17" t="s">
        <v>12473</v>
      </c>
      <c r="K732" s="17"/>
      <c r="L732" s="17"/>
      <c r="M732" s="21">
        <v>15</v>
      </c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</row>
    <row r="733" spans="1:28">
      <c r="A733" s="17" t="s">
        <v>9279</v>
      </c>
      <c r="B733" s="17" t="s">
        <v>9279</v>
      </c>
      <c r="C733" s="17" t="s">
        <v>9280</v>
      </c>
      <c r="D733" s="17" t="s">
        <v>21</v>
      </c>
      <c r="E733" s="24">
        <v>1210</v>
      </c>
      <c r="F733" s="17" t="s">
        <v>65</v>
      </c>
      <c r="G733" s="17" t="str">
        <f>Config!$B$3</f>
        <v>SCH/R_IEC.SchLib</v>
      </c>
      <c r="H733" s="17" t="s">
        <v>419</v>
      </c>
      <c r="I733" s="17" t="s">
        <v>461</v>
      </c>
      <c r="J733" s="17" t="s">
        <v>12473</v>
      </c>
      <c r="K733" s="17"/>
      <c r="L733" s="17"/>
      <c r="M733" s="21">
        <v>16</v>
      </c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</row>
    <row r="734" spans="1:28">
      <c r="A734" s="17" t="s">
        <v>9281</v>
      </c>
      <c r="B734" s="17" t="s">
        <v>9281</v>
      </c>
      <c r="C734" s="17" t="s">
        <v>9282</v>
      </c>
      <c r="D734" s="17" t="s">
        <v>21</v>
      </c>
      <c r="E734" s="24">
        <v>1210</v>
      </c>
      <c r="F734" s="17" t="s">
        <v>67</v>
      </c>
      <c r="G734" s="17" t="str">
        <f>Config!$B$3</f>
        <v>SCH/R_IEC.SchLib</v>
      </c>
      <c r="H734" s="17" t="s">
        <v>419</v>
      </c>
      <c r="I734" s="17" t="s">
        <v>461</v>
      </c>
      <c r="J734" s="17" t="s">
        <v>12473</v>
      </c>
      <c r="K734" s="17"/>
      <c r="L734" s="17"/>
      <c r="M734" s="21">
        <v>18</v>
      </c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</row>
    <row r="735" spans="1:28">
      <c r="A735" s="17" t="s">
        <v>9283</v>
      </c>
      <c r="B735" s="17" t="s">
        <v>9283</v>
      </c>
      <c r="C735" s="17" t="s">
        <v>9284</v>
      </c>
      <c r="D735" s="17" t="s">
        <v>21</v>
      </c>
      <c r="E735" s="24">
        <v>1210</v>
      </c>
      <c r="F735" s="17" t="s">
        <v>69</v>
      </c>
      <c r="G735" s="17" t="str">
        <f>Config!$B$3</f>
        <v>SCH/R_IEC.SchLib</v>
      </c>
      <c r="H735" s="17" t="s">
        <v>419</v>
      </c>
      <c r="I735" s="17" t="s">
        <v>461</v>
      </c>
      <c r="J735" s="17" t="s">
        <v>12473</v>
      </c>
      <c r="K735" s="17"/>
      <c r="L735" s="17"/>
      <c r="M735" s="21">
        <v>20</v>
      </c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</row>
    <row r="736" spans="1:28">
      <c r="A736" s="17" t="s">
        <v>9285</v>
      </c>
      <c r="B736" s="17" t="s">
        <v>9285</v>
      </c>
      <c r="C736" s="17" t="s">
        <v>9286</v>
      </c>
      <c r="D736" s="17" t="s">
        <v>21</v>
      </c>
      <c r="E736" s="24">
        <v>1210</v>
      </c>
      <c r="F736" s="17" t="s">
        <v>71</v>
      </c>
      <c r="G736" s="17" t="str">
        <f>Config!$B$3</f>
        <v>SCH/R_IEC.SchLib</v>
      </c>
      <c r="H736" s="17" t="s">
        <v>419</v>
      </c>
      <c r="I736" s="17" t="s">
        <v>461</v>
      </c>
      <c r="J736" s="17" t="s">
        <v>12473</v>
      </c>
      <c r="K736" s="17"/>
      <c r="L736" s="17"/>
      <c r="M736" s="21">
        <v>22</v>
      </c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</row>
    <row r="737" spans="1:28">
      <c r="A737" s="17" t="s">
        <v>9287</v>
      </c>
      <c r="B737" s="17" t="s">
        <v>9287</v>
      </c>
      <c r="C737" s="17" t="s">
        <v>9288</v>
      </c>
      <c r="D737" s="17" t="s">
        <v>21</v>
      </c>
      <c r="E737" s="24">
        <v>1210</v>
      </c>
      <c r="F737" s="17" t="s">
        <v>75</v>
      </c>
      <c r="G737" s="17" t="str">
        <f>Config!$B$3</f>
        <v>SCH/R_IEC.SchLib</v>
      </c>
      <c r="H737" s="17" t="s">
        <v>419</v>
      </c>
      <c r="I737" s="17" t="s">
        <v>461</v>
      </c>
      <c r="J737" s="17" t="s">
        <v>12473</v>
      </c>
      <c r="K737" s="17"/>
      <c r="L737" s="17"/>
      <c r="M737" s="21">
        <v>24</v>
      </c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</row>
    <row r="738" spans="1:28">
      <c r="A738" s="17" t="s">
        <v>9289</v>
      </c>
      <c r="B738" s="17" t="s">
        <v>9289</v>
      </c>
      <c r="C738" s="17" t="s">
        <v>9290</v>
      </c>
      <c r="D738" s="17" t="s">
        <v>21</v>
      </c>
      <c r="E738" s="24">
        <v>1210</v>
      </c>
      <c r="F738" s="17" t="s">
        <v>77</v>
      </c>
      <c r="G738" s="17" t="str">
        <f>Config!$B$3</f>
        <v>SCH/R_IEC.SchLib</v>
      </c>
      <c r="H738" s="17" t="s">
        <v>419</v>
      </c>
      <c r="I738" s="17" t="s">
        <v>461</v>
      </c>
      <c r="J738" s="17" t="s">
        <v>12473</v>
      </c>
      <c r="K738" s="17"/>
      <c r="L738" s="17"/>
      <c r="M738" s="21">
        <v>27</v>
      </c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</row>
    <row r="739" spans="1:28">
      <c r="A739" s="17" t="s">
        <v>9291</v>
      </c>
      <c r="B739" s="17" t="s">
        <v>9291</v>
      </c>
      <c r="C739" s="17" t="s">
        <v>9292</v>
      </c>
      <c r="D739" s="17" t="s">
        <v>21</v>
      </c>
      <c r="E739" s="24">
        <v>1210</v>
      </c>
      <c r="F739" s="17" t="s">
        <v>79</v>
      </c>
      <c r="G739" s="17" t="str">
        <f>Config!$B$3</f>
        <v>SCH/R_IEC.SchLib</v>
      </c>
      <c r="H739" s="17" t="s">
        <v>419</v>
      </c>
      <c r="I739" s="17" t="s">
        <v>461</v>
      </c>
      <c r="J739" s="17" t="s">
        <v>12473</v>
      </c>
      <c r="K739" s="17"/>
      <c r="L739" s="17"/>
      <c r="M739" s="21">
        <v>30</v>
      </c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</row>
    <row r="740" spans="1:28">
      <c r="A740" s="17" t="s">
        <v>9293</v>
      </c>
      <c r="B740" s="17" t="s">
        <v>9293</v>
      </c>
      <c r="C740" s="17" t="s">
        <v>9294</v>
      </c>
      <c r="D740" s="17" t="s">
        <v>21</v>
      </c>
      <c r="E740" s="24">
        <v>1210</v>
      </c>
      <c r="F740" s="17" t="s">
        <v>81</v>
      </c>
      <c r="G740" s="17" t="str">
        <f>Config!$B$3</f>
        <v>SCH/R_IEC.SchLib</v>
      </c>
      <c r="H740" s="17" t="s">
        <v>419</v>
      </c>
      <c r="I740" s="17" t="s">
        <v>461</v>
      </c>
      <c r="J740" s="17" t="s">
        <v>12473</v>
      </c>
      <c r="K740" s="17"/>
      <c r="L740" s="17"/>
      <c r="M740" s="21">
        <v>33</v>
      </c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</row>
    <row r="741" spans="1:28">
      <c r="A741" s="17" t="s">
        <v>9295</v>
      </c>
      <c r="B741" s="17" t="s">
        <v>9295</v>
      </c>
      <c r="C741" s="17" t="s">
        <v>9296</v>
      </c>
      <c r="D741" s="17" t="s">
        <v>21</v>
      </c>
      <c r="E741" s="24">
        <v>1210</v>
      </c>
      <c r="F741" s="17" t="s">
        <v>83</v>
      </c>
      <c r="G741" s="17" t="str">
        <f>Config!$B$3</f>
        <v>SCH/R_IEC.SchLib</v>
      </c>
      <c r="H741" s="17" t="s">
        <v>419</v>
      </c>
      <c r="I741" s="17" t="s">
        <v>461</v>
      </c>
      <c r="J741" s="17" t="s">
        <v>12473</v>
      </c>
      <c r="K741" s="17"/>
      <c r="L741" s="17"/>
      <c r="M741" s="21">
        <v>36</v>
      </c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</row>
    <row r="742" spans="1:28">
      <c r="A742" s="17" t="s">
        <v>9297</v>
      </c>
      <c r="B742" s="17" t="s">
        <v>9297</v>
      </c>
      <c r="C742" s="17" t="s">
        <v>9298</v>
      </c>
      <c r="D742" s="17" t="s">
        <v>21</v>
      </c>
      <c r="E742" s="24">
        <v>1210</v>
      </c>
      <c r="F742" s="17" t="s">
        <v>85</v>
      </c>
      <c r="G742" s="17" t="str">
        <f>Config!$B$3</f>
        <v>SCH/R_IEC.SchLib</v>
      </c>
      <c r="H742" s="17" t="s">
        <v>419</v>
      </c>
      <c r="I742" s="17" t="s">
        <v>461</v>
      </c>
      <c r="J742" s="17" t="s">
        <v>12473</v>
      </c>
      <c r="K742" s="17"/>
      <c r="L742" s="17"/>
      <c r="M742" s="21">
        <v>39</v>
      </c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</row>
    <row r="743" spans="1:28">
      <c r="A743" s="17" t="s">
        <v>9299</v>
      </c>
      <c r="B743" s="17" t="s">
        <v>9299</v>
      </c>
      <c r="C743" s="17" t="s">
        <v>9300</v>
      </c>
      <c r="D743" s="17" t="s">
        <v>21</v>
      </c>
      <c r="E743" s="24">
        <v>1210</v>
      </c>
      <c r="F743" s="17" t="s">
        <v>87</v>
      </c>
      <c r="G743" s="17" t="str">
        <f>Config!$B$3</f>
        <v>SCH/R_IEC.SchLib</v>
      </c>
      <c r="H743" s="17" t="s">
        <v>419</v>
      </c>
      <c r="I743" s="17" t="s">
        <v>461</v>
      </c>
      <c r="J743" s="17" t="s">
        <v>12473</v>
      </c>
      <c r="K743" s="17"/>
      <c r="L743" s="17"/>
      <c r="M743" s="21">
        <v>43</v>
      </c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</row>
    <row r="744" spans="1:28">
      <c r="A744" s="17" t="s">
        <v>9301</v>
      </c>
      <c r="B744" s="17" t="s">
        <v>9301</v>
      </c>
      <c r="C744" s="17" t="s">
        <v>9302</v>
      </c>
      <c r="D744" s="17" t="s">
        <v>21</v>
      </c>
      <c r="E744" s="24">
        <v>1210</v>
      </c>
      <c r="F744" s="17" t="s">
        <v>89</v>
      </c>
      <c r="G744" s="17" t="str">
        <f>Config!$B$3</f>
        <v>SCH/R_IEC.SchLib</v>
      </c>
      <c r="H744" s="17" t="s">
        <v>419</v>
      </c>
      <c r="I744" s="17" t="s">
        <v>461</v>
      </c>
      <c r="J744" s="17" t="s">
        <v>12473</v>
      </c>
      <c r="K744" s="17"/>
      <c r="L744" s="17"/>
      <c r="M744" s="21">
        <v>47</v>
      </c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</row>
    <row r="745" spans="1:28">
      <c r="A745" s="17" t="s">
        <v>9303</v>
      </c>
      <c r="B745" s="17" t="s">
        <v>9303</v>
      </c>
      <c r="C745" s="17" t="s">
        <v>9304</v>
      </c>
      <c r="D745" s="17" t="s">
        <v>21</v>
      </c>
      <c r="E745" s="24">
        <v>1210</v>
      </c>
      <c r="F745" s="17" t="s">
        <v>91</v>
      </c>
      <c r="G745" s="17" t="str">
        <f>Config!$B$3</f>
        <v>SCH/R_IEC.SchLib</v>
      </c>
      <c r="H745" s="17" t="s">
        <v>419</v>
      </c>
      <c r="I745" s="17" t="s">
        <v>461</v>
      </c>
      <c r="J745" s="17" t="s">
        <v>12473</v>
      </c>
      <c r="K745" s="17"/>
      <c r="L745" s="17"/>
      <c r="M745" s="21">
        <v>51</v>
      </c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</row>
    <row r="746" spans="1:28">
      <c r="A746" s="17" t="s">
        <v>9305</v>
      </c>
      <c r="B746" s="17" t="s">
        <v>9305</v>
      </c>
      <c r="C746" s="17" t="s">
        <v>9306</v>
      </c>
      <c r="D746" s="17" t="s">
        <v>21</v>
      </c>
      <c r="E746" s="24">
        <v>1210</v>
      </c>
      <c r="F746" s="17" t="s">
        <v>93</v>
      </c>
      <c r="G746" s="17" t="str">
        <f>Config!$B$3</f>
        <v>SCH/R_IEC.SchLib</v>
      </c>
      <c r="H746" s="17" t="s">
        <v>419</v>
      </c>
      <c r="I746" s="17" t="s">
        <v>461</v>
      </c>
      <c r="J746" s="17" t="s">
        <v>12473</v>
      </c>
      <c r="K746" s="17"/>
      <c r="L746" s="17"/>
      <c r="M746" s="21">
        <v>56</v>
      </c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</row>
    <row r="747" spans="1:28">
      <c r="A747" s="17" t="s">
        <v>9307</v>
      </c>
      <c r="B747" s="17" t="s">
        <v>9307</v>
      </c>
      <c r="C747" s="17" t="s">
        <v>9308</v>
      </c>
      <c r="D747" s="17" t="s">
        <v>21</v>
      </c>
      <c r="E747" s="24">
        <v>1210</v>
      </c>
      <c r="F747" s="17" t="s">
        <v>95</v>
      </c>
      <c r="G747" s="17" t="str">
        <f>Config!$B$3</f>
        <v>SCH/R_IEC.SchLib</v>
      </c>
      <c r="H747" s="17" t="s">
        <v>419</v>
      </c>
      <c r="I747" s="17" t="s">
        <v>461</v>
      </c>
      <c r="J747" s="17" t="s">
        <v>12473</v>
      </c>
      <c r="K747" s="17"/>
      <c r="L747" s="17"/>
      <c r="M747" s="21">
        <v>62</v>
      </c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</row>
    <row r="748" spans="1:28">
      <c r="A748" s="17" t="s">
        <v>9309</v>
      </c>
      <c r="B748" s="17" t="s">
        <v>9309</v>
      </c>
      <c r="C748" s="17" t="s">
        <v>9310</v>
      </c>
      <c r="D748" s="17" t="s">
        <v>21</v>
      </c>
      <c r="E748" s="24">
        <v>1210</v>
      </c>
      <c r="F748" s="17" t="s">
        <v>97</v>
      </c>
      <c r="G748" s="17" t="str">
        <f>Config!$B$3</f>
        <v>SCH/R_IEC.SchLib</v>
      </c>
      <c r="H748" s="17" t="s">
        <v>419</v>
      </c>
      <c r="I748" s="17" t="s">
        <v>461</v>
      </c>
      <c r="J748" s="17" t="s">
        <v>12473</v>
      </c>
      <c r="K748" s="17"/>
      <c r="L748" s="17"/>
      <c r="M748" s="21">
        <v>68</v>
      </c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</row>
    <row r="749" spans="1:28">
      <c r="A749" s="17" t="s">
        <v>9311</v>
      </c>
      <c r="B749" s="17" t="s">
        <v>9311</v>
      </c>
      <c r="C749" s="17" t="s">
        <v>9312</v>
      </c>
      <c r="D749" s="17" t="s">
        <v>21</v>
      </c>
      <c r="E749" s="24">
        <v>1210</v>
      </c>
      <c r="F749" s="17" t="s">
        <v>99</v>
      </c>
      <c r="G749" s="17" t="str">
        <f>Config!$B$3</f>
        <v>SCH/R_IEC.SchLib</v>
      </c>
      <c r="H749" s="17" t="s">
        <v>419</v>
      </c>
      <c r="I749" s="17" t="s">
        <v>461</v>
      </c>
      <c r="J749" s="17" t="s">
        <v>12473</v>
      </c>
      <c r="K749" s="17"/>
      <c r="L749" s="17"/>
      <c r="M749" s="21">
        <v>75</v>
      </c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</row>
    <row r="750" spans="1:28">
      <c r="A750" s="17" t="s">
        <v>9313</v>
      </c>
      <c r="B750" s="17" t="s">
        <v>9313</v>
      </c>
      <c r="C750" s="17" t="s">
        <v>9314</v>
      </c>
      <c r="D750" s="17" t="s">
        <v>21</v>
      </c>
      <c r="E750" s="24">
        <v>1210</v>
      </c>
      <c r="F750" s="17" t="s">
        <v>101</v>
      </c>
      <c r="G750" s="17" t="str">
        <f>Config!$B$3</f>
        <v>SCH/R_IEC.SchLib</v>
      </c>
      <c r="H750" s="17" t="s">
        <v>419</v>
      </c>
      <c r="I750" s="17" t="s">
        <v>461</v>
      </c>
      <c r="J750" s="17" t="s">
        <v>12473</v>
      </c>
      <c r="K750" s="17"/>
      <c r="L750" s="17"/>
      <c r="M750" s="21">
        <v>82</v>
      </c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</row>
    <row r="751" spans="1:28">
      <c r="A751" s="17" t="s">
        <v>9315</v>
      </c>
      <c r="B751" s="17" t="s">
        <v>9315</v>
      </c>
      <c r="C751" s="17" t="s">
        <v>9316</v>
      </c>
      <c r="D751" s="17" t="s">
        <v>21</v>
      </c>
      <c r="E751" s="24">
        <v>1210</v>
      </c>
      <c r="F751" s="17" t="s">
        <v>103</v>
      </c>
      <c r="G751" s="17" t="str">
        <f>Config!$B$3</f>
        <v>SCH/R_IEC.SchLib</v>
      </c>
      <c r="H751" s="17" t="s">
        <v>419</v>
      </c>
      <c r="I751" s="17" t="s">
        <v>461</v>
      </c>
      <c r="J751" s="17" t="s">
        <v>12473</v>
      </c>
      <c r="K751" s="17"/>
      <c r="L751" s="17"/>
      <c r="M751" s="21">
        <v>91</v>
      </c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</row>
    <row r="752" spans="1:28">
      <c r="A752" s="17" t="s">
        <v>9317</v>
      </c>
      <c r="B752" s="17" t="s">
        <v>9317</v>
      </c>
      <c r="C752" s="17" t="s">
        <v>9318</v>
      </c>
      <c r="D752" s="17" t="s">
        <v>21</v>
      </c>
      <c r="E752" s="24">
        <v>1210</v>
      </c>
      <c r="F752" s="17" t="s">
        <v>105</v>
      </c>
      <c r="G752" s="17" t="str">
        <f>Config!$B$3</f>
        <v>SCH/R_IEC.SchLib</v>
      </c>
      <c r="H752" s="17" t="s">
        <v>419</v>
      </c>
      <c r="I752" s="17" t="s">
        <v>461</v>
      </c>
      <c r="J752" s="17" t="s">
        <v>12473</v>
      </c>
      <c r="K752" s="17"/>
      <c r="L752" s="17"/>
      <c r="M752" s="21">
        <v>100</v>
      </c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  <c r="AA752" s="17"/>
      <c r="AB752" s="17"/>
    </row>
    <row r="753" spans="1:28">
      <c r="A753" s="17" t="s">
        <v>9319</v>
      </c>
      <c r="B753" s="17" t="s">
        <v>9319</v>
      </c>
      <c r="C753" s="17" t="s">
        <v>9320</v>
      </c>
      <c r="D753" s="17" t="s">
        <v>21</v>
      </c>
      <c r="E753" s="24">
        <v>1210</v>
      </c>
      <c r="F753" s="17" t="s">
        <v>109</v>
      </c>
      <c r="G753" s="17" t="str">
        <f>Config!$B$3</f>
        <v>SCH/R_IEC.SchLib</v>
      </c>
      <c r="H753" s="17" t="s">
        <v>419</v>
      </c>
      <c r="I753" s="17" t="s">
        <v>461</v>
      </c>
      <c r="J753" s="17" t="s">
        <v>12473</v>
      </c>
      <c r="K753" s="17"/>
      <c r="L753" s="17"/>
      <c r="M753" s="21">
        <v>110</v>
      </c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  <c r="AA753" s="17"/>
      <c r="AB753" s="17"/>
    </row>
    <row r="754" spans="1:28">
      <c r="A754" s="17" t="s">
        <v>9321</v>
      </c>
      <c r="B754" s="17" t="s">
        <v>9321</v>
      </c>
      <c r="C754" s="17" t="s">
        <v>9322</v>
      </c>
      <c r="D754" s="17" t="s">
        <v>21</v>
      </c>
      <c r="E754" s="24">
        <v>1210</v>
      </c>
      <c r="F754" s="17" t="s">
        <v>111</v>
      </c>
      <c r="G754" s="17" t="str">
        <f>Config!$B$3</f>
        <v>SCH/R_IEC.SchLib</v>
      </c>
      <c r="H754" s="17" t="s">
        <v>419</v>
      </c>
      <c r="I754" s="17" t="s">
        <v>461</v>
      </c>
      <c r="J754" s="17" t="s">
        <v>12473</v>
      </c>
      <c r="K754" s="17"/>
      <c r="L754" s="17"/>
      <c r="M754" s="21">
        <v>120</v>
      </c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  <c r="AA754" s="17"/>
      <c r="AB754" s="17"/>
    </row>
    <row r="755" spans="1:28">
      <c r="A755" s="17" t="s">
        <v>9323</v>
      </c>
      <c r="B755" s="17" t="s">
        <v>9323</v>
      </c>
      <c r="C755" s="17" t="s">
        <v>9324</v>
      </c>
      <c r="D755" s="17" t="s">
        <v>21</v>
      </c>
      <c r="E755" s="24">
        <v>1210</v>
      </c>
      <c r="F755" s="17" t="s">
        <v>113</v>
      </c>
      <c r="G755" s="17" t="str">
        <f>Config!$B$3</f>
        <v>SCH/R_IEC.SchLib</v>
      </c>
      <c r="H755" s="17" t="s">
        <v>419</v>
      </c>
      <c r="I755" s="17" t="s">
        <v>461</v>
      </c>
      <c r="J755" s="17" t="s">
        <v>12473</v>
      </c>
      <c r="K755" s="17"/>
      <c r="L755" s="17"/>
      <c r="M755" s="21">
        <v>130</v>
      </c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</row>
    <row r="756" spans="1:28">
      <c r="A756" s="17" t="s">
        <v>9325</v>
      </c>
      <c r="B756" s="17" t="s">
        <v>9325</v>
      </c>
      <c r="C756" s="17" t="s">
        <v>9326</v>
      </c>
      <c r="D756" s="17" t="s">
        <v>21</v>
      </c>
      <c r="E756" s="24">
        <v>1210</v>
      </c>
      <c r="F756" s="17" t="s">
        <v>115</v>
      </c>
      <c r="G756" s="17" t="str">
        <f>Config!$B$3</f>
        <v>SCH/R_IEC.SchLib</v>
      </c>
      <c r="H756" s="17" t="s">
        <v>419</v>
      </c>
      <c r="I756" s="17" t="s">
        <v>461</v>
      </c>
      <c r="J756" s="17" t="s">
        <v>12473</v>
      </c>
      <c r="K756" s="17"/>
      <c r="L756" s="17"/>
      <c r="M756" s="21">
        <v>150</v>
      </c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</row>
    <row r="757" spans="1:28">
      <c r="A757" s="17" t="s">
        <v>9327</v>
      </c>
      <c r="B757" s="17" t="s">
        <v>9327</v>
      </c>
      <c r="C757" s="17" t="s">
        <v>9328</v>
      </c>
      <c r="D757" s="17" t="s">
        <v>21</v>
      </c>
      <c r="E757" s="24">
        <v>1210</v>
      </c>
      <c r="F757" s="17" t="s">
        <v>117</v>
      </c>
      <c r="G757" s="17" t="str">
        <f>Config!$B$3</f>
        <v>SCH/R_IEC.SchLib</v>
      </c>
      <c r="H757" s="17" t="s">
        <v>419</v>
      </c>
      <c r="I757" s="17" t="s">
        <v>461</v>
      </c>
      <c r="J757" s="17" t="s">
        <v>12473</v>
      </c>
      <c r="K757" s="17"/>
      <c r="L757" s="17"/>
      <c r="M757" s="21">
        <v>160</v>
      </c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</row>
    <row r="758" spans="1:28">
      <c r="A758" s="17" t="s">
        <v>9329</v>
      </c>
      <c r="B758" s="17" t="s">
        <v>9329</v>
      </c>
      <c r="C758" s="17" t="s">
        <v>9330</v>
      </c>
      <c r="D758" s="17" t="s">
        <v>21</v>
      </c>
      <c r="E758" s="24">
        <v>1210</v>
      </c>
      <c r="F758" s="17" t="s">
        <v>119</v>
      </c>
      <c r="G758" s="17" t="str">
        <f>Config!$B$3</f>
        <v>SCH/R_IEC.SchLib</v>
      </c>
      <c r="H758" s="17" t="s">
        <v>419</v>
      </c>
      <c r="I758" s="17" t="s">
        <v>461</v>
      </c>
      <c r="J758" s="17" t="s">
        <v>12473</v>
      </c>
      <c r="K758" s="17"/>
      <c r="L758" s="17"/>
      <c r="M758" s="21">
        <v>180</v>
      </c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</row>
    <row r="759" spans="1:28">
      <c r="A759" s="17" t="s">
        <v>9331</v>
      </c>
      <c r="B759" s="17" t="s">
        <v>9331</v>
      </c>
      <c r="C759" s="17" t="s">
        <v>9332</v>
      </c>
      <c r="D759" s="17" t="s">
        <v>21</v>
      </c>
      <c r="E759" s="24">
        <v>1210</v>
      </c>
      <c r="F759" s="17" t="s">
        <v>123</v>
      </c>
      <c r="G759" s="17" t="str">
        <f>Config!$B$3</f>
        <v>SCH/R_IEC.SchLib</v>
      </c>
      <c r="H759" s="17" t="s">
        <v>419</v>
      </c>
      <c r="I759" s="17" t="s">
        <v>461</v>
      </c>
      <c r="J759" s="17" t="s">
        <v>12473</v>
      </c>
      <c r="K759" s="17"/>
      <c r="L759" s="17"/>
      <c r="M759" s="21">
        <v>200</v>
      </c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</row>
    <row r="760" spans="1:28">
      <c r="A760" s="17" t="s">
        <v>9333</v>
      </c>
      <c r="B760" s="17" t="s">
        <v>9333</v>
      </c>
      <c r="C760" s="17" t="s">
        <v>9334</v>
      </c>
      <c r="D760" s="17" t="s">
        <v>21</v>
      </c>
      <c r="E760" s="24">
        <v>1210</v>
      </c>
      <c r="F760" s="17" t="s">
        <v>125</v>
      </c>
      <c r="G760" s="17" t="str">
        <f>Config!$B$3</f>
        <v>SCH/R_IEC.SchLib</v>
      </c>
      <c r="H760" s="17" t="s">
        <v>419</v>
      </c>
      <c r="I760" s="17" t="s">
        <v>461</v>
      </c>
      <c r="J760" s="17" t="s">
        <v>12473</v>
      </c>
      <c r="K760" s="17"/>
      <c r="L760" s="17"/>
      <c r="M760" s="21">
        <v>220</v>
      </c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</row>
    <row r="761" spans="1:28">
      <c r="A761" s="17" t="s">
        <v>9335</v>
      </c>
      <c r="B761" s="17" t="s">
        <v>9335</v>
      </c>
      <c r="C761" s="17" t="s">
        <v>9336</v>
      </c>
      <c r="D761" s="17" t="s">
        <v>21</v>
      </c>
      <c r="E761" s="24">
        <v>1210</v>
      </c>
      <c r="F761" s="17" t="s">
        <v>129</v>
      </c>
      <c r="G761" s="17" t="str">
        <f>Config!$B$3</f>
        <v>SCH/R_IEC.SchLib</v>
      </c>
      <c r="H761" s="17" t="s">
        <v>419</v>
      </c>
      <c r="I761" s="17" t="s">
        <v>461</v>
      </c>
      <c r="J761" s="17" t="s">
        <v>12473</v>
      </c>
      <c r="K761" s="17"/>
      <c r="L761" s="17"/>
      <c r="M761" s="21">
        <v>240</v>
      </c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</row>
    <row r="762" spans="1:28">
      <c r="A762" s="17" t="s">
        <v>9337</v>
      </c>
      <c r="B762" s="17" t="s">
        <v>9337</v>
      </c>
      <c r="C762" s="17" t="s">
        <v>9338</v>
      </c>
      <c r="D762" s="17" t="s">
        <v>21</v>
      </c>
      <c r="E762" s="24">
        <v>1210</v>
      </c>
      <c r="F762" s="17" t="s">
        <v>131</v>
      </c>
      <c r="G762" s="17" t="str">
        <f>Config!$B$3</f>
        <v>SCH/R_IEC.SchLib</v>
      </c>
      <c r="H762" s="17" t="s">
        <v>419</v>
      </c>
      <c r="I762" s="17" t="s">
        <v>461</v>
      </c>
      <c r="J762" s="17" t="s">
        <v>12473</v>
      </c>
      <c r="K762" s="17"/>
      <c r="L762" s="17"/>
      <c r="M762" s="21">
        <v>270</v>
      </c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</row>
    <row r="763" spans="1:28">
      <c r="A763" s="17" t="s">
        <v>9339</v>
      </c>
      <c r="B763" s="17" t="s">
        <v>9339</v>
      </c>
      <c r="C763" s="17" t="s">
        <v>9340</v>
      </c>
      <c r="D763" s="17" t="s">
        <v>21</v>
      </c>
      <c r="E763" s="24">
        <v>1210</v>
      </c>
      <c r="F763" s="17" t="s">
        <v>133</v>
      </c>
      <c r="G763" s="17" t="str">
        <f>Config!$B$3</f>
        <v>SCH/R_IEC.SchLib</v>
      </c>
      <c r="H763" s="17" t="s">
        <v>419</v>
      </c>
      <c r="I763" s="17" t="s">
        <v>461</v>
      </c>
      <c r="J763" s="17" t="s">
        <v>12473</v>
      </c>
      <c r="K763" s="17"/>
      <c r="L763" s="17"/>
      <c r="M763" s="21">
        <v>300</v>
      </c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</row>
    <row r="764" spans="1:28">
      <c r="A764" s="17" t="s">
        <v>9341</v>
      </c>
      <c r="B764" s="17" t="s">
        <v>9341</v>
      </c>
      <c r="C764" s="17" t="s">
        <v>9342</v>
      </c>
      <c r="D764" s="17" t="s">
        <v>21</v>
      </c>
      <c r="E764" s="24">
        <v>1210</v>
      </c>
      <c r="F764" s="17" t="s">
        <v>137</v>
      </c>
      <c r="G764" s="17" t="str">
        <f>Config!$B$3</f>
        <v>SCH/R_IEC.SchLib</v>
      </c>
      <c r="H764" s="17" t="s">
        <v>419</v>
      </c>
      <c r="I764" s="17" t="s">
        <v>461</v>
      </c>
      <c r="J764" s="17" t="s">
        <v>12473</v>
      </c>
      <c r="K764" s="17"/>
      <c r="L764" s="17"/>
      <c r="M764" s="21">
        <v>330</v>
      </c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</row>
    <row r="765" spans="1:28">
      <c r="A765" s="17" t="s">
        <v>9343</v>
      </c>
      <c r="B765" s="17" t="s">
        <v>9343</v>
      </c>
      <c r="C765" s="17" t="s">
        <v>9344</v>
      </c>
      <c r="D765" s="17" t="s">
        <v>21</v>
      </c>
      <c r="E765" s="24">
        <v>1210</v>
      </c>
      <c r="F765" s="17" t="s">
        <v>139</v>
      </c>
      <c r="G765" s="17" t="str">
        <f>Config!$B$3</f>
        <v>SCH/R_IEC.SchLib</v>
      </c>
      <c r="H765" s="17" t="s">
        <v>419</v>
      </c>
      <c r="I765" s="17" t="s">
        <v>461</v>
      </c>
      <c r="J765" s="17" t="s">
        <v>12473</v>
      </c>
      <c r="K765" s="17"/>
      <c r="L765" s="17"/>
      <c r="M765" s="21">
        <v>360</v>
      </c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  <c r="AA765" s="17"/>
      <c r="AB765" s="17"/>
    </row>
    <row r="766" spans="1:28">
      <c r="A766" s="17" t="s">
        <v>9345</v>
      </c>
      <c r="B766" s="17" t="s">
        <v>9345</v>
      </c>
      <c r="C766" s="17" t="s">
        <v>9346</v>
      </c>
      <c r="D766" s="17" t="s">
        <v>21</v>
      </c>
      <c r="E766" s="24">
        <v>1210</v>
      </c>
      <c r="F766" s="17" t="s">
        <v>141</v>
      </c>
      <c r="G766" s="17" t="str">
        <f>Config!$B$3</f>
        <v>SCH/R_IEC.SchLib</v>
      </c>
      <c r="H766" s="17" t="s">
        <v>419</v>
      </c>
      <c r="I766" s="17" t="s">
        <v>461</v>
      </c>
      <c r="J766" s="17" t="s">
        <v>12473</v>
      </c>
      <c r="K766" s="17"/>
      <c r="L766" s="17"/>
      <c r="M766" s="21">
        <v>390</v>
      </c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  <c r="AA766" s="17"/>
      <c r="AB766" s="17"/>
    </row>
    <row r="767" spans="1:28">
      <c r="A767" s="17" t="s">
        <v>9347</v>
      </c>
      <c r="B767" s="17" t="s">
        <v>9347</v>
      </c>
      <c r="C767" s="17" t="s">
        <v>9348</v>
      </c>
      <c r="D767" s="17" t="s">
        <v>21</v>
      </c>
      <c r="E767" s="24">
        <v>1210</v>
      </c>
      <c r="F767" s="17" t="s">
        <v>143</v>
      </c>
      <c r="G767" s="17" t="str">
        <f>Config!$B$3</f>
        <v>SCH/R_IEC.SchLib</v>
      </c>
      <c r="H767" s="17" t="s">
        <v>419</v>
      </c>
      <c r="I767" s="17" t="s">
        <v>461</v>
      </c>
      <c r="J767" s="17" t="s">
        <v>12473</v>
      </c>
      <c r="K767" s="17"/>
      <c r="L767" s="17"/>
      <c r="M767" s="21">
        <v>430</v>
      </c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  <c r="AA767" s="17"/>
      <c r="AB767" s="17"/>
    </row>
    <row r="768" spans="1:28">
      <c r="A768" s="17" t="s">
        <v>9349</v>
      </c>
      <c r="B768" s="17" t="s">
        <v>9349</v>
      </c>
      <c r="C768" s="17" t="s">
        <v>9350</v>
      </c>
      <c r="D768" s="17" t="s">
        <v>21</v>
      </c>
      <c r="E768" s="24">
        <v>1210</v>
      </c>
      <c r="F768" s="17" t="s">
        <v>145</v>
      </c>
      <c r="G768" s="17" t="str">
        <f>Config!$B$3</f>
        <v>SCH/R_IEC.SchLib</v>
      </c>
      <c r="H768" s="17" t="s">
        <v>419</v>
      </c>
      <c r="I768" s="17" t="s">
        <v>461</v>
      </c>
      <c r="J768" s="17" t="s">
        <v>12473</v>
      </c>
      <c r="K768" s="17"/>
      <c r="L768" s="17"/>
      <c r="M768" s="21">
        <v>470</v>
      </c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</row>
    <row r="769" spans="1:28">
      <c r="A769" s="17" t="s">
        <v>9351</v>
      </c>
      <c r="B769" s="17" t="s">
        <v>9351</v>
      </c>
      <c r="C769" s="17" t="s">
        <v>9352</v>
      </c>
      <c r="D769" s="17" t="s">
        <v>21</v>
      </c>
      <c r="E769" s="24">
        <v>1210</v>
      </c>
      <c r="F769" s="17" t="s">
        <v>149</v>
      </c>
      <c r="G769" s="17" t="str">
        <f>Config!$B$3</f>
        <v>SCH/R_IEC.SchLib</v>
      </c>
      <c r="H769" s="17" t="s">
        <v>419</v>
      </c>
      <c r="I769" s="17" t="s">
        <v>461</v>
      </c>
      <c r="J769" s="17" t="s">
        <v>12473</v>
      </c>
      <c r="K769" s="17"/>
      <c r="L769" s="17"/>
      <c r="M769" s="21">
        <v>510</v>
      </c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</row>
    <row r="770" spans="1:28">
      <c r="A770" s="17" t="s">
        <v>9353</v>
      </c>
      <c r="B770" s="17" t="s">
        <v>9353</v>
      </c>
      <c r="C770" s="17" t="s">
        <v>9354</v>
      </c>
      <c r="D770" s="17" t="s">
        <v>21</v>
      </c>
      <c r="E770" s="24">
        <v>1210</v>
      </c>
      <c r="F770" s="17" t="s">
        <v>151</v>
      </c>
      <c r="G770" s="17" t="str">
        <f>Config!$B$3</f>
        <v>SCH/R_IEC.SchLib</v>
      </c>
      <c r="H770" s="17" t="s">
        <v>419</v>
      </c>
      <c r="I770" s="17" t="s">
        <v>461</v>
      </c>
      <c r="J770" s="17" t="s">
        <v>12473</v>
      </c>
      <c r="K770" s="17"/>
      <c r="L770" s="17"/>
      <c r="M770" s="21">
        <v>560</v>
      </c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</row>
    <row r="771" spans="1:28">
      <c r="A771" s="17" t="s">
        <v>9355</v>
      </c>
      <c r="B771" s="17" t="s">
        <v>9355</v>
      </c>
      <c r="C771" s="17" t="s">
        <v>9356</v>
      </c>
      <c r="D771" s="17" t="s">
        <v>21</v>
      </c>
      <c r="E771" s="24">
        <v>1210</v>
      </c>
      <c r="F771" s="17" t="s">
        <v>153</v>
      </c>
      <c r="G771" s="17" t="str">
        <f>Config!$B$3</f>
        <v>SCH/R_IEC.SchLib</v>
      </c>
      <c r="H771" s="17" t="s">
        <v>419</v>
      </c>
      <c r="I771" s="17" t="s">
        <v>461</v>
      </c>
      <c r="J771" s="17" t="s">
        <v>12473</v>
      </c>
      <c r="K771" s="17"/>
      <c r="L771" s="17"/>
      <c r="M771" s="21">
        <v>620</v>
      </c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</row>
    <row r="772" spans="1:28">
      <c r="A772" s="17" t="s">
        <v>9357</v>
      </c>
      <c r="B772" s="17" t="s">
        <v>9357</v>
      </c>
      <c r="C772" s="17" t="s">
        <v>9358</v>
      </c>
      <c r="D772" s="17" t="s">
        <v>21</v>
      </c>
      <c r="E772" s="24">
        <v>1210</v>
      </c>
      <c r="F772" s="17" t="s">
        <v>155</v>
      </c>
      <c r="G772" s="17" t="str">
        <f>Config!$B$3</f>
        <v>SCH/R_IEC.SchLib</v>
      </c>
      <c r="H772" s="17" t="s">
        <v>419</v>
      </c>
      <c r="I772" s="17" t="s">
        <v>461</v>
      </c>
      <c r="J772" s="17" t="s">
        <v>12473</v>
      </c>
      <c r="K772" s="17"/>
      <c r="L772" s="17"/>
      <c r="M772" s="21">
        <v>680</v>
      </c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</row>
    <row r="773" spans="1:28">
      <c r="A773" s="17" t="s">
        <v>9359</v>
      </c>
      <c r="B773" s="17" t="s">
        <v>9359</v>
      </c>
      <c r="C773" s="17" t="s">
        <v>9360</v>
      </c>
      <c r="D773" s="17" t="s">
        <v>21</v>
      </c>
      <c r="E773" s="24">
        <v>1210</v>
      </c>
      <c r="F773" s="17" t="s">
        <v>157</v>
      </c>
      <c r="G773" s="17" t="str">
        <f>Config!$B$3</f>
        <v>SCH/R_IEC.SchLib</v>
      </c>
      <c r="H773" s="17" t="s">
        <v>419</v>
      </c>
      <c r="I773" s="17" t="s">
        <v>461</v>
      </c>
      <c r="J773" s="17" t="s">
        <v>12473</v>
      </c>
      <c r="K773" s="17"/>
      <c r="L773" s="17"/>
      <c r="M773" s="21">
        <v>750</v>
      </c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</row>
    <row r="774" spans="1:28">
      <c r="A774" s="17" t="s">
        <v>9361</v>
      </c>
      <c r="B774" s="17" t="s">
        <v>9361</v>
      </c>
      <c r="C774" s="17" t="s">
        <v>9362</v>
      </c>
      <c r="D774" s="17" t="s">
        <v>21</v>
      </c>
      <c r="E774" s="24">
        <v>1210</v>
      </c>
      <c r="F774" s="17" t="s">
        <v>159</v>
      </c>
      <c r="G774" s="17" t="str">
        <f>Config!$B$3</f>
        <v>SCH/R_IEC.SchLib</v>
      </c>
      <c r="H774" s="17" t="s">
        <v>419</v>
      </c>
      <c r="I774" s="17" t="s">
        <v>461</v>
      </c>
      <c r="J774" s="17" t="s">
        <v>12473</v>
      </c>
      <c r="K774" s="17"/>
      <c r="L774" s="17"/>
      <c r="M774" s="21">
        <v>820</v>
      </c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</row>
    <row r="775" spans="1:28">
      <c r="A775" s="17" t="s">
        <v>9363</v>
      </c>
      <c r="B775" s="17" t="s">
        <v>9363</v>
      </c>
      <c r="C775" s="17" t="s">
        <v>9364</v>
      </c>
      <c r="D775" s="17" t="s">
        <v>21</v>
      </c>
      <c r="E775" s="24">
        <v>1210</v>
      </c>
      <c r="F775" s="17" t="s">
        <v>161</v>
      </c>
      <c r="G775" s="17" t="str">
        <f>Config!$B$3</f>
        <v>SCH/R_IEC.SchLib</v>
      </c>
      <c r="H775" s="17" t="s">
        <v>419</v>
      </c>
      <c r="I775" s="17" t="s">
        <v>461</v>
      </c>
      <c r="J775" s="17" t="s">
        <v>12473</v>
      </c>
      <c r="K775" s="17"/>
      <c r="L775" s="17"/>
      <c r="M775" s="21">
        <v>910</v>
      </c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</row>
    <row r="776" spans="1:28" ht="15.75">
      <c r="A776" s="17" t="s">
        <v>9365</v>
      </c>
      <c r="B776" s="17" t="s">
        <v>9365</v>
      </c>
      <c r="C776" s="17" t="s">
        <v>9366</v>
      </c>
      <c r="D776" s="17" t="s">
        <v>21</v>
      </c>
      <c r="E776" s="24">
        <v>1210</v>
      </c>
      <c r="F776" s="17" t="s">
        <v>163</v>
      </c>
      <c r="G776" s="17" t="str">
        <f>Config!$B$3</f>
        <v>SCH/R_IEC.SchLib</v>
      </c>
      <c r="H776" s="17" t="s">
        <v>419</v>
      </c>
      <c r="I776" s="17" t="s">
        <v>461</v>
      </c>
      <c r="J776" s="17" t="s">
        <v>12473</v>
      </c>
      <c r="K776" s="17"/>
      <c r="L776" s="17"/>
      <c r="M776" s="21">
        <v>1000</v>
      </c>
      <c r="N776" s="17" t="s">
        <v>13979</v>
      </c>
      <c r="O776" s="17" t="s">
        <v>477</v>
      </c>
      <c r="P776" s="17" t="s">
        <v>12482</v>
      </c>
      <c r="Q776" t="s">
        <v>25</v>
      </c>
      <c r="R776" s="17" t="s">
        <v>12483</v>
      </c>
      <c r="S776" s="17"/>
      <c r="T776" s="17"/>
      <c r="U776" s="17"/>
      <c r="V776" s="17"/>
      <c r="W776" s="8" t="s">
        <v>477</v>
      </c>
      <c r="X776" s="42" t="s">
        <v>12482</v>
      </c>
      <c r="Y776" s="17" t="s">
        <v>4559</v>
      </c>
      <c r="Z776" s="8" t="s">
        <v>13482</v>
      </c>
      <c r="AA776" s="17"/>
      <c r="AB776" s="17"/>
    </row>
    <row r="777" spans="1:28">
      <c r="A777" s="17" t="s">
        <v>9367</v>
      </c>
      <c r="B777" s="17" t="s">
        <v>9367</v>
      </c>
      <c r="C777" s="17" t="s">
        <v>9368</v>
      </c>
      <c r="D777" s="17" t="s">
        <v>21</v>
      </c>
      <c r="E777" s="24">
        <v>1210</v>
      </c>
      <c r="F777" s="17" t="s">
        <v>165</v>
      </c>
      <c r="G777" s="17" t="str">
        <f>Config!$B$3</f>
        <v>SCH/R_IEC.SchLib</v>
      </c>
      <c r="H777" s="17" t="s">
        <v>419</v>
      </c>
      <c r="I777" s="17" t="s">
        <v>461</v>
      </c>
      <c r="J777" s="17" t="s">
        <v>12473</v>
      </c>
      <c r="K777" s="17"/>
      <c r="L777" s="17"/>
      <c r="M777" s="21">
        <v>1100</v>
      </c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</row>
    <row r="778" spans="1:28">
      <c r="A778" s="17" t="s">
        <v>9369</v>
      </c>
      <c r="B778" s="17" t="s">
        <v>9369</v>
      </c>
      <c r="C778" s="17" t="s">
        <v>9370</v>
      </c>
      <c r="D778" s="17" t="s">
        <v>21</v>
      </c>
      <c r="E778" s="24">
        <v>1210</v>
      </c>
      <c r="F778" s="17" t="s">
        <v>167</v>
      </c>
      <c r="G778" s="17" t="str">
        <f>Config!$B$3</f>
        <v>SCH/R_IEC.SchLib</v>
      </c>
      <c r="H778" s="17" t="s">
        <v>419</v>
      </c>
      <c r="I778" s="17" t="s">
        <v>461</v>
      </c>
      <c r="J778" s="17" t="s">
        <v>12473</v>
      </c>
      <c r="K778" s="17"/>
      <c r="L778" s="17"/>
      <c r="M778" s="21">
        <v>1200</v>
      </c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</row>
    <row r="779" spans="1:28">
      <c r="A779" s="17" t="s">
        <v>9371</v>
      </c>
      <c r="B779" s="17" t="s">
        <v>9371</v>
      </c>
      <c r="C779" s="17" t="s">
        <v>9372</v>
      </c>
      <c r="D779" s="17" t="s">
        <v>21</v>
      </c>
      <c r="E779" s="24">
        <v>1210</v>
      </c>
      <c r="F779" s="17" t="s">
        <v>169</v>
      </c>
      <c r="G779" s="17" t="str">
        <f>Config!$B$3</f>
        <v>SCH/R_IEC.SchLib</v>
      </c>
      <c r="H779" s="17" t="s">
        <v>419</v>
      </c>
      <c r="I779" s="17" t="s">
        <v>461</v>
      </c>
      <c r="J779" s="17" t="s">
        <v>12473</v>
      </c>
      <c r="K779" s="17"/>
      <c r="L779" s="17"/>
      <c r="M779" s="21">
        <v>1300</v>
      </c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</row>
    <row r="780" spans="1:28">
      <c r="A780" s="17" t="s">
        <v>9373</v>
      </c>
      <c r="B780" s="17" t="s">
        <v>9373</v>
      </c>
      <c r="C780" s="17" t="s">
        <v>9374</v>
      </c>
      <c r="D780" s="17" t="s">
        <v>21</v>
      </c>
      <c r="E780" s="24">
        <v>1210</v>
      </c>
      <c r="F780" s="17" t="s">
        <v>171</v>
      </c>
      <c r="G780" s="17" t="str">
        <f>Config!$B$3</f>
        <v>SCH/R_IEC.SchLib</v>
      </c>
      <c r="H780" s="17" t="s">
        <v>419</v>
      </c>
      <c r="I780" s="17" t="s">
        <v>461</v>
      </c>
      <c r="J780" s="17" t="s">
        <v>12473</v>
      </c>
      <c r="K780" s="17"/>
      <c r="L780" s="17"/>
      <c r="M780" s="21">
        <v>1500</v>
      </c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</row>
    <row r="781" spans="1:28">
      <c r="A781" s="17" t="s">
        <v>9375</v>
      </c>
      <c r="B781" s="17" t="s">
        <v>9375</v>
      </c>
      <c r="C781" s="17" t="s">
        <v>9376</v>
      </c>
      <c r="D781" s="17" t="s">
        <v>21</v>
      </c>
      <c r="E781" s="24">
        <v>1210</v>
      </c>
      <c r="F781" s="17" t="s">
        <v>175</v>
      </c>
      <c r="G781" s="17" t="str">
        <f>Config!$B$3</f>
        <v>SCH/R_IEC.SchLib</v>
      </c>
      <c r="H781" s="17" t="s">
        <v>419</v>
      </c>
      <c r="I781" s="17" t="s">
        <v>461</v>
      </c>
      <c r="J781" s="17" t="s">
        <v>12473</v>
      </c>
      <c r="K781" s="17"/>
      <c r="L781" s="17"/>
      <c r="M781" s="21">
        <v>1600</v>
      </c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</row>
    <row r="782" spans="1:28">
      <c r="A782" s="17" t="s">
        <v>9377</v>
      </c>
      <c r="B782" s="17" t="s">
        <v>9377</v>
      </c>
      <c r="C782" s="17" t="s">
        <v>9378</v>
      </c>
      <c r="D782" s="17" t="s">
        <v>21</v>
      </c>
      <c r="E782" s="24">
        <v>1210</v>
      </c>
      <c r="F782" s="17" t="s">
        <v>181</v>
      </c>
      <c r="G782" s="17" t="str">
        <f>Config!$B$3</f>
        <v>SCH/R_IEC.SchLib</v>
      </c>
      <c r="H782" s="17" t="s">
        <v>419</v>
      </c>
      <c r="I782" s="17" t="s">
        <v>461</v>
      </c>
      <c r="J782" s="17" t="s">
        <v>12473</v>
      </c>
      <c r="K782" s="17"/>
      <c r="L782" s="17"/>
      <c r="M782" s="21">
        <v>1800</v>
      </c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  <c r="AA782" s="17"/>
      <c r="AB782" s="17"/>
    </row>
    <row r="783" spans="1:28">
      <c r="A783" s="17" t="s">
        <v>9379</v>
      </c>
      <c r="B783" s="17" t="s">
        <v>9379</v>
      </c>
      <c r="C783" s="17" t="s">
        <v>9380</v>
      </c>
      <c r="D783" s="17" t="s">
        <v>21</v>
      </c>
      <c r="E783" s="24">
        <v>1210</v>
      </c>
      <c r="F783" s="17" t="s">
        <v>183</v>
      </c>
      <c r="G783" s="17" t="str">
        <f>Config!$B$3</f>
        <v>SCH/R_IEC.SchLib</v>
      </c>
      <c r="H783" s="17" t="s">
        <v>419</v>
      </c>
      <c r="I783" s="17" t="s">
        <v>461</v>
      </c>
      <c r="J783" s="17" t="s">
        <v>12473</v>
      </c>
      <c r="K783" s="17"/>
      <c r="L783" s="17"/>
      <c r="M783" s="21">
        <v>2000</v>
      </c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  <c r="AA783" s="17"/>
      <c r="AB783" s="17"/>
    </row>
    <row r="784" spans="1:28">
      <c r="A784" s="17" t="s">
        <v>9381</v>
      </c>
      <c r="B784" s="17" t="s">
        <v>9381</v>
      </c>
      <c r="C784" s="17" t="s">
        <v>9382</v>
      </c>
      <c r="D784" s="17" t="s">
        <v>21</v>
      </c>
      <c r="E784" s="24">
        <v>1210</v>
      </c>
      <c r="F784" s="17" t="s">
        <v>187</v>
      </c>
      <c r="G784" s="17" t="str">
        <f>Config!$B$3</f>
        <v>SCH/R_IEC.SchLib</v>
      </c>
      <c r="H784" s="17" t="s">
        <v>419</v>
      </c>
      <c r="I784" s="17" t="s">
        <v>461</v>
      </c>
      <c r="J784" s="17" t="s">
        <v>12473</v>
      </c>
      <c r="K784" s="17"/>
      <c r="L784" s="17"/>
      <c r="M784" s="21">
        <v>2200</v>
      </c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  <c r="AA784" s="17"/>
      <c r="AB784" s="17"/>
    </row>
    <row r="785" spans="1:28">
      <c r="A785" s="17" t="s">
        <v>9383</v>
      </c>
      <c r="B785" s="17" t="s">
        <v>9383</v>
      </c>
      <c r="C785" s="17" t="s">
        <v>9384</v>
      </c>
      <c r="D785" s="17" t="s">
        <v>21</v>
      </c>
      <c r="E785" s="24">
        <v>1210</v>
      </c>
      <c r="F785" s="17" t="s">
        <v>191</v>
      </c>
      <c r="G785" s="17" t="str">
        <f>Config!$B$3</f>
        <v>SCH/R_IEC.SchLib</v>
      </c>
      <c r="H785" s="17" t="s">
        <v>419</v>
      </c>
      <c r="I785" s="17" t="s">
        <v>461</v>
      </c>
      <c r="J785" s="17" t="s">
        <v>12473</v>
      </c>
      <c r="K785" s="17"/>
      <c r="L785" s="17"/>
      <c r="M785" s="21">
        <v>2400</v>
      </c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</row>
    <row r="786" spans="1:28">
      <c r="A786" s="17" t="s">
        <v>9385</v>
      </c>
      <c r="B786" s="17" t="s">
        <v>9385</v>
      </c>
      <c r="C786" s="17" t="s">
        <v>9386</v>
      </c>
      <c r="D786" s="17" t="s">
        <v>21</v>
      </c>
      <c r="E786" s="24">
        <v>1210</v>
      </c>
      <c r="F786" s="17" t="s">
        <v>193</v>
      </c>
      <c r="G786" s="17" t="str">
        <f>Config!$B$3</f>
        <v>SCH/R_IEC.SchLib</v>
      </c>
      <c r="H786" s="17" t="s">
        <v>419</v>
      </c>
      <c r="I786" s="17" t="s">
        <v>461</v>
      </c>
      <c r="J786" s="17" t="s">
        <v>12473</v>
      </c>
      <c r="K786" s="17"/>
      <c r="L786" s="17"/>
      <c r="M786" s="21">
        <v>2700</v>
      </c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</row>
    <row r="787" spans="1:28">
      <c r="A787" s="17" t="s">
        <v>9387</v>
      </c>
      <c r="B787" s="17" t="s">
        <v>9387</v>
      </c>
      <c r="C787" s="17" t="s">
        <v>9388</v>
      </c>
      <c r="D787" s="17" t="s">
        <v>21</v>
      </c>
      <c r="E787" s="24">
        <v>1210</v>
      </c>
      <c r="F787" s="17" t="s">
        <v>197</v>
      </c>
      <c r="G787" s="17" t="str">
        <f>Config!$B$3</f>
        <v>SCH/R_IEC.SchLib</v>
      </c>
      <c r="H787" s="17" t="s">
        <v>419</v>
      </c>
      <c r="I787" s="17" t="s">
        <v>461</v>
      </c>
      <c r="J787" s="17" t="s">
        <v>12473</v>
      </c>
      <c r="K787" s="17"/>
      <c r="L787" s="17"/>
      <c r="M787" s="21">
        <v>3000</v>
      </c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</row>
    <row r="788" spans="1:28">
      <c r="A788" s="17" t="s">
        <v>9389</v>
      </c>
      <c r="B788" s="17" t="s">
        <v>9389</v>
      </c>
      <c r="C788" s="17" t="s">
        <v>9390</v>
      </c>
      <c r="D788" s="17" t="s">
        <v>21</v>
      </c>
      <c r="E788" s="24">
        <v>1210</v>
      </c>
      <c r="F788" s="17" t="s">
        <v>201</v>
      </c>
      <c r="G788" s="17" t="str">
        <f>Config!$B$3</f>
        <v>SCH/R_IEC.SchLib</v>
      </c>
      <c r="H788" s="17" t="s">
        <v>419</v>
      </c>
      <c r="I788" s="17" t="s">
        <v>461</v>
      </c>
      <c r="J788" s="17" t="s">
        <v>12473</v>
      </c>
      <c r="K788" s="17"/>
      <c r="L788" s="17"/>
      <c r="M788" s="21">
        <v>3300</v>
      </c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</row>
    <row r="789" spans="1:28">
      <c r="A789" s="17" t="s">
        <v>9391</v>
      </c>
      <c r="B789" s="17" t="s">
        <v>9391</v>
      </c>
      <c r="C789" s="17" t="s">
        <v>9392</v>
      </c>
      <c r="D789" s="17" t="s">
        <v>21</v>
      </c>
      <c r="E789" s="24">
        <v>1210</v>
      </c>
      <c r="F789" s="17" t="s">
        <v>203</v>
      </c>
      <c r="G789" s="17" t="str">
        <f>Config!$B$3</f>
        <v>SCH/R_IEC.SchLib</v>
      </c>
      <c r="H789" s="17" t="s">
        <v>419</v>
      </c>
      <c r="I789" s="17" t="s">
        <v>461</v>
      </c>
      <c r="J789" s="17" t="s">
        <v>12473</v>
      </c>
      <c r="K789" s="17"/>
      <c r="L789" s="17"/>
      <c r="M789" s="21">
        <v>3600</v>
      </c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</row>
    <row r="790" spans="1:28">
      <c r="A790" s="17" t="s">
        <v>9393</v>
      </c>
      <c r="B790" s="17" t="s">
        <v>9393</v>
      </c>
      <c r="C790" s="17" t="s">
        <v>9394</v>
      </c>
      <c r="D790" s="17" t="s">
        <v>21</v>
      </c>
      <c r="E790" s="24">
        <v>1210</v>
      </c>
      <c r="F790" s="17" t="s">
        <v>205</v>
      </c>
      <c r="G790" s="17" t="str">
        <f>Config!$B$3</f>
        <v>SCH/R_IEC.SchLib</v>
      </c>
      <c r="H790" s="17" t="s">
        <v>419</v>
      </c>
      <c r="I790" s="17" t="s">
        <v>461</v>
      </c>
      <c r="J790" s="17" t="s">
        <v>12473</v>
      </c>
      <c r="K790" s="17"/>
      <c r="L790" s="17"/>
      <c r="M790" s="21">
        <v>3900</v>
      </c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</row>
    <row r="791" spans="1:28">
      <c r="A791" s="17" t="s">
        <v>9395</v>
      </c>
      <c r="B791" s="17" t="s">
        <v>9395</v>
      </c>
      <c r="C791" s="17" t="s">
        <v>9396</v>
      </c>
      <c r="D791" s="17" t="s">
        <v>21</v>
      </c>
      <c r="E791" s="24">
        <v>1210</v>
      </c>
      <c r="F791" s="17" t="s">
        <v>207</v>
      </c>
      <c r="G791" s="17" t="str">
        <f>Config!$B$3</f>
        <v>SCH/R_IEC.SchLib</v>
      </c>
      <c r="H791" s="17" t="s">
        <v>419</v>
      </c>
      <c r="I791" s="17" t="s">
        <v>461</v>
      </c>
      <c r="J791" s="17" t="s">
        <v>12473</v>
      </c>
      <c r="K791" s="17"/>
      <c r="L791" s="17"/>
      <c r="M791" s="21">
        <v>4300</v>
      </c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</row>
    <row r="792" spans="1:28">
      <c r="A792" s="17" t="s">
        <v>9397</v>
      </c>
      <c r="B792" s="17" t="s">
        <v>9397</v>
      </c>
      <c r="C792" s="17" t="s">
        <v>9398</v>
      </c>
      <c r="D792" s="17" t="s">
        <v>21</v>
      </c>
      <c r="E792" s="24">
        <v>1210</v>
      </c>
      <c r="F792" s="17" t="s">
        <v>209</v>
      </c>
      <c r="G792" s="17" t="str">
        <f>Config!$B$3</f>
        <v>SCH/R_IEC.SchLib</v>
      </c>
      <c r="H792" s="17" t="s">
        <v>419</v>
      </c>
      <c r="I792" s="17" t="s">
        <v>461</v>
      </c>
      <c r="J792" s="17" t="s">
        <v>12473</v>
      </c>
      <c r="K792" s="17"/>
      <c r="L792" s="17"/>
      <c r="M792" s="21">
        <v>4700</v>
      </c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</row>
    <row r="793" spans="1:28">
      <c r="A793" s="17" t="s">
        <v>9399</v>
      </c>
      <c r="B793" s="17" t="s">
        <v>9399</v>
      </c>
      <c r="C793" s="17" t="s">
        <v>9400</v>
      </c>
      <c r="D793" s="17" t="s">
        <v>21</v>
      </c>
      <c r="E793" s="24">
        <v>1210</v>
      </c>
      <c r="F793" s="17" t="s">
        <v>213</v>
      </c>
      <c r="G793" s="17" t="str">
        <f>Config!$B$3</f>
        <v>SCH/R_IEC.SchLib</v>
      </c>
      <c r="H793" s="17" t="s">
        <v>419</v>
      </c>
      <c r="I793" s="17" t="s">
        <v>461</v>
      </c>
      <c r="J793" s="17" t="s">
        <v>12473</v>
      </c>
      <c r="K793" s="17"/>
      <c r="L793" s="17"/>
      <c r="M793" s="21">
        <v>5100</v>
      </c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</row>
    <row r="794" spans="1:28">
      <c r="A794" s="17" t="s">
        <v>9401</v>
      </c>
      <c r="B794" s="17" t="s">
        <v>9401</v>
      </c>
      <c r="C794" s="17" t="s">
        <v>9402</v>
      </c>
      <c r="D794" s="17" t="s">
        <v>21</v>
      </c>
      <c r="E794" s="24">
        <v>1210</v>
      </c>
      <c r="F794" s="17" t="s">
        <v>215</v>
      </c>
      <c r="G794" s="17" t="str">
        <f>Config!$B$3</f>
        <v>SCH/R_IEC.SchLib</v>
      </c>
      <c r="H794" s="17" t="s">
        <v>419</v>
      </c>
      <c r="I794" s="17" t="s">
        <v>461</v>
      </c>
      <c r="J794" s="17" t="s">
        <v>12473</v>
      </c>
      <c r="K794" s="17"/>
      <c r="L794" s="17"/>
      <c r="M794" s="21">
        <v>5600</v>
      </c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</row>
    <row r="795" spans="1:28">
      <c r="A795" s="17" t="s">
        <v>9403</v>
      </c>
      <c r="B795" s="17" t="s">
        <v>9403</v>
      </c>
      <c r="C795" s="17" t="s">
        <v>9404</v>
      </c>
      <c r="D795" s="17" t="s">
        <v>21</v>
      </c>
      <c r="E795" s="24">
        <v>1210</v>
      </c>
      <c r="F795" s="17" t="s">
        <v>217</v>
      </c>
      <c r="G795" s="17" t="str">
        <f>Config!$B$3</f>
        <v>SCH/R_IEC.SchLib</v>
      </c>
      <c r="H795" s="17" t="s">
        <v>419</v>
      </c>
      <c r="I795" s="17" t="s">
        <v>461</v>
      </c>
      <c r="J795" s="17" t="s">
        <v>12473</v>
      </c>
      <c r="K795" s="17"/>
      <c r="L795" s="17"/>
      <c r="M795" s="21">
        <v>6200</v>
      </c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</row>
    <row r="796" spans="1:28">
      <c r="A796" s="17" t="s">
        <v>9405</v>
      </c>
      <c r="B796" s="17" t="s">
        <v>9405</v>
      </c>
      <c r="C796" s="17" t="s">
        <v>9406</v>
      </c>
      <c r="D796" s="17" t="s">
        <v>21</v>
      </c>
      <c r="E796" s="24">
        <v>1210</v>
      </c>
      <c r="F796" s="17" t="s">
        <v>219</v>
      </c>
      <c r="G796" s="17" t="str">
        <f>Config!$B$3</f>
        <v>SCH/R_IEC.SchLib</v>
      </c>
      <c r="H796" s="17" t="s">
        <v>419</v>
      </c>
      <c r="I796" s="17" t="s">
        <v>461</v>
      </c>
      <c r="J796" s="17" t="s">
        <v>12473</v>
      </c>
      <c r="K796" s="17"/>
      <c r="L796" s="17"/>
      <c r="M796" s="21">
        <v>6800</v>
      </c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</row>
    <row r="797" spans="1:28">
      <c r="A797" s="17" t="s">
        <v>9407</v>
      </c>
      <c r="B797" s="17" t="s">
        <v>9407</v>
      </c>
      <c r="C797" s="17" t="s">
        <v>9408</v>
      </c>
      <c r="D797" s="17" t="s">
        <v>21</v>
      </c>
      <c r="E797" s="24">
        <v>1210</v>
      </c>
      <c r="F797" s="17" t="s">
        <v>221</v>
      </c>
      <c r="G797" s="17" t="str">
        <f>Config!$B$3</f>
        <v>SCH/R_IEC.SchLib</v>
      </c>
      <c r="H797" s="17" t="s">
        <v>419</v>
      </c>
      <c r="I797" s="17" t="s">
        <v>461</v>
      </c>
      <c r="J797" s="17" t="s">
        <v>12473</v>
      </c>
      <c r="K797" s="17"/>
      <c r="L797" s="17"/>
      <c r="M797" s="21">
        <v>7500</v>
      </c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</row>
    <row r="798" spans="1:28">
      <c r="A798" s="17" t="s">
        <v>9409</v>
      </c>
      <c r="B798" s="17" t="s">
        <v>9409</v>
      </c>
      <c r="C798" s="17" t="s">
        <v>9410</v>
      </c>
      <c r="D798" s="17" t="s">
        <v>21</v>
      </c>
      <c r="E798" s="24">
        <v>1210</v>
      </c>
      <c r="F798" s="17" t="s">
        <v>223</v>
      </c>
      <c r="G798" s="17" t="str">
        <f>Config!$B$3</f>
        <v>SCH/R_IEC.SchLib</v>
      </c>
      <c r="H798" s="17" t="s">
        <v>419</v>
      </c>
      <c r="I798" s="17" t="s">
        <v>461</v>
      </c>
      <c r="J798" s="17" t="s">
        <v>12473</v>
      </c>
      <c r="K798" s="17"/>
      <c r="L798" s="17"/>
      <c r="M798" s="21">
        <v>8200</v>
      </c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</row>
    <row r="799" spans="1:28">
      <c r="A799" s="17" t="s">
        <v>9411</v>
      </c>
      <c r="B799" s="17" t="s">
        <v>9411</v>
      </c>
      <c r="C799" s="17" t="s">
        <v>9412</v>
      </c>
      <c r="D799" s="17" t="s">
        <v>21</v>
      </c>
      <c r="E799" s="24">
        <v>1210</v>
      </c>
      <c r="F799" s="17" t="s">
        <v>225</v>
      </c>
      <c r="G799" s="17" t="str">
        <f>Config!$B$3</f>
        <v>SCH/R_IEC.SchLib</v>
      </c>
      <c r="H799" s="17" t="s">
        <v>419</v>
      </c>
      <c r="I799" s="17" t="s">
        <v>461</v>
      </c>
      <c r="J799" s="17" t="s">
        <v>12473</v>
      </c>
      <c r="K799" s="17"/>
      <c r="L799" s="17"/>
      <c r="M799" s="21">
        <v>9100</v>
      </c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  <c r="AA799" s="17"/>
      <c r="AB799" s="17"/>
    </row>
    <row r="800" spans="1:28">
      <c r="A800" s="17" t="s">
        <v>9413</v>
      </c>
      <c r="B800" s="17" t="s">
        <v>9413</v>
      </c>
      <c r="C800" s="17" t="s">
        <v>9414</v>
      </c>
      <c r="D800" s="17" t="s">
        <v>21</v>
      </c>
      <c r="E800" s="24">
        <v>1210</v>
      </c>
      <c r="F800" s="17" t="s">
        <v>229</v>
      </c>
      <c r="G800" s="17" t="str">
        <f>Config!$B$3</f>
        <v>SCH/R_IEC.SchLib</v>
      </c>
      <c r="H800" s="17" t="s">
        <v>419</v>
      </c>
      <c r="I800" s="17" t="s">
        <v>461</v>
      </c>
      <c r="J800" s="17" t="s">
        <v>12473</v>
      </c>
      <c r="K800" s="17"/>
      <c r="L800" s="17"/>
      <c r="M800" s="21">
        <v>10000</v>
      </c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  <c r="AA800" s="17"/>
      <c r="AB800" s="17"/>
    </row>
    <row r="801" spans="1:28">
      <c r="A801" s="17" t="s">
        <v>9415</v>
      </c>
      <c r="B801" s="17" t="s">
        <v>9415</v>
      </c>
      <c r="C801" s="17" t="s">
        <v>9416</v>
      </c>
      <c r="D801" s="17" t="s">
        <v>21</v>
      </c>
      <c r="E801" s="24">
        <v>1210</v>
      </c>
      <c r="F801" s="17" t="s">
        <v>233</v>
      </c>
      <c r="G801" s="17" t="str">
        <f>Config!$B$3</f>
        <v>SCH/R_IEC.SchLib</v>
      </c>
      <c r="H801" s="17" t="s">
        <v>419</v>
      </c>
      <c r="I801" s="17" t="s">
        <v>461</v>
      </c>
      <c r="J801" s="17" t="s">
        <v>12473</v>
      </c>
      <c r="K801" s="17"/>
      <c r="L801" s="17"/>
      <c r="M801" s="21">
        <v>11000</v>
      </c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  <c r="AA801" s="17"/>
      <c r="AB801" s="17"/>
    </row>
    <row r="802" spans="1:28">
      <c r="A802" s="17" t="s">
        <v>9417</v>
      </c>
      <c r="B802" s="17" t="s">
        <v>9417</v>
      </c>
      <c r="C802" s="17" t="s">
        <v>9418</v>
      </c>
      <c r="D802" s="17" t="s">
        <v>21</v>
      </c>
      <c r="E802" s="24">
        <v>1210</v>
      </c>
      <c r="F802" s="17" t="s">
        <v>235</v>
      </c>
      <c r="G802" s="17" t="str">
        <f>Config!$B$3</f>
        <v>SCH/R_IEC.SchLib</v>
      </c>
      <c r="H802" s="17" t="s">
        <v>419</v>
      </c>
      <c r="I802" s="17" t="s">
        <v>461</v>
      </c>
      <c r="J802" s="17" t="s">
        <v>12473</v>
      </c>
      <c r="K802" s="17"/>
      <c r="L802" s="17"/>
      <c r="M802" s="21">
        <v>12000</v>
      </c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</row>
    <row r="803" spans="1:28">
      <c r="A803" s="17" t="s">
        <v>9419</v>
      </c>
      <c r="B803" s="17" t="s">
        <v>9419</v>
      </c>
      <c r="C803" s="17" t="s">
        <v>9420</v>
      </c>
      <c r="D803" s="17" t="s">
        <v>21</v>
      </c>
      <c r="E803" s="24">
        <v>1210</v>
      </c>
      <c r="F803" s="17" t="s">
        <v>239</v>
      </c>
      <c r="G803" s="17" t="str">
        <f>Config!$B$3</f>
        <v>SCH/R_IEC.SchLib</v>
      </c>
      <c r="H803" s="17" t="s">
        <v>419</v>
      </c>
      <c r="I803" s="17" t="s">
        <v>461</v>
      </c>
      <c r="J803" s="17" t="s">
        <v>12473</v>
      </c>
      <c r="K803" s="17"/>
      <c r="L803" s="17"/>
      <c r="M803" s="21">
        <v>13000</v>
      </c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</row>
    <row r="804" spans="1:28">
      <c r="A804" s="17" t="s">
        <v>9421</v>
      </c>
      <c r="B804" s="17" t="s">
        <v>9421</v>
      </c>
      <c r="C804" s="17" t="s">
        <v>9422</v>
      </c>
      <c r="D804" s="17" t="s">
        <v>21</v>
      </c>
      <c r="E804" s="24">
        <v>1210</v>
      </c>
      <c r="F804" s="17" t="s">
        <v>243</v>
      </c>
      <c r="G804" s="17" t="str">
        <f>Config!$B$3</f>
        <v>SCH/R_IEC.SchLib</v>
      </c>
      <c r="H804" s="17" t="s">
        <v>419</v>
      </c>
      <c r="I804" s="17" t="s">
        <v>461</v>
      </c>
      <c r="J804" s="17" t="s">
        <v>12473</v>
      </c>
      <c r="K804" s="17"/>
      <c r="L804" s="17"/>
      <c r="M804" s="21">
        <v>15000</v>
      </c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  <c r="AA804" s="17"/>
      <c r="AB804" s="17"/>
    </row>
    <row r="805" spans="1:28">
      <c r="A805" s="17" t="s">
        <v>9423</v>
      </c>
      <c r="B805" s="17" t="s">
        <v>9423</v>
      </c>
      <c r="C805" s="17" t="s">
        <v>9424</v>
      </c>
      <c r="D805" s="17" t="s">
        <v>21</v>
      </c>
      <c r="E805" s="24">
        <v>1210</v>
      </c>
      <c r="F805" s="17" t="s">
        <v>247</v>
      </c>
      <c r="G805" s="17" t="str">
        <f>Config!$B$3</f>
        <v>SCH/R_IEC.SchLib</v>
      </c>
      <c r="H805" s="17" t="s">
        <v>419</v>
      </c>
      <c r="I805" s="17" t="s">
        <v>461</v>
      </c>
      <c r="J805" s="17" t="s">
        <v>12473</v>
      </c>
      <c r="K805" s="17"/>
      <c r="L805" s="17"/>
      <c r="M805" s="21">
        <v>16000</v>
      </c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  <c r="AA805" s="17"/>
      <c r="AB805" s="17"/>
    </row>
    <row r="806" spans="1:28">
      <c r="A806" s="17" t="s">
        <v>9425</v>
      </c>
      <c r="B806" s="17" t="s">
        <v>9425</v>
      </c>
      <c r="C806" s="17" t="s">
        <v>9426</v>
      </c>
      <c r="D806" s="17" t="s">
        <v>21</v>
      </c>
      <c r="E806" s="24">
        <v>1210</v>
      </c>
      <c r="F806" s="17" t="s">
        <v>251</v>
      </c>
      <c r="G806" s="17" t="str">
        <f>Config!$B$3</f>
        <v>SCH/R_IEC.SchLib</v>
      </c>
      <c r="H806" s="17" t="s">
        <v>419</v>
      </c>
      <c r="I806" s="17" t="s">
        <v>461</v>
      </c>
      <c r="J806" s="17" t="s">
        <v>12473</v>
      </c>
      <c r="K806" s="17"/>
      <c r="L806" s="17"/>
      <c r="M806" s="21">
        <v>18000</v>
      </c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  <c r="AA806" s="17"/>
      <c r="AB806" s="17"/>
    </row>
    <row r="807" spans="1:28">
      <c r="A807" s="17" t="s">
        <v>9427</v>
      </c>
      <c r="B807" s="17" t="s">
        <v>9427</v>
      </c>
      <c r="C807" s="17" t="s">
        <v>9428</v>
      </c>
      <c r="D807" s="17" t="s">
        <v>21</v>
      </c>
      <c r="E807" s="24">
        <v>1210</v>
      </c>
      <c r="F807" s="17" t="s">
        <v>255</v>
      </c>
      <c r="G807" s="17" t="str">
        <f>Config!$B$3</f>
        <v>SCH/R_IEC.SchLib</v>
      </c>
      <c r="H807" s="17" t="s">
        <v>419</v>
      </c>
      <c r="I807" s="17" t="s">
        <v>461</v>
      </c>
      <c r="J807" s="17" t="s">
        <v>12473</v>
      </c>
      <c r="K807" s="17"/>
      <c r="L807" s="17"/>
      <c r="M807" s="21">
        <v>20000</v>
      </c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</row>
    <row r="808" spans="1:28">
      <c r="A808" s="17" t="s">
        <v>9429</v>
      </c>
      <c r="B808" s="17" t="s">
        <v>9429</v>
      </c>
      <c r="C808" s="17" t="s">
        <v>9430</v>
      </c>
      <c r="D808" s="17" t="s">
        <v>21</v>
      </c>
      <c r="E808" s="24">
        <v>1210</v>
      </c>
      <c r="F808" s="17" t="s">
        <v>257</v>
      </c>
      <c r="G808" s="17" t="str">
        <f>Config!$B$3</f>
        <v>SCH/R_IEC.SchLib</v>
      </c>
      <c r="H808" s="17" t="s">
        <v>419</v>
      </c>
      <c r="I808" s="17" t="s">
        <v>461</v>
      </c>
      <c r="J808" s="17" t="s">
        <v>12473</v>
      </c>
      <c r="K808" s="17"/>
      <c r="L808" s="17"/>
      <c r="M808" s="21">
        <v>22000</v>
      </c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</row>
    <row r="809" spans="1:28">
      <c r="A809" s="17" t="s">
        <v>9431</v>
      </c>
      <c r="B809" s="17" t="s">
        <v>9431</v>
      </c>
      <c r="C809" s="17" t="s">
        <v>9432</v>
      </c>
      <c r="D809" s="17" t="s">
        <v>21</v>
      </c>
      <c r="E809" s="24">
        <v>1210</v>
      </c>
      <c r="F809" s="17" t="s">
        <v>259</v>
      </c>
      <c r="G809" s="17" t="str">
        <f>Config!$B$3</f>
        <v>SCH/R_IEC.SchLib</v>
      </c>
      <c r="H809" s="17" t="s">
        <v>419</v>
      </c>
      <c r="I809" s="17" t="s">
        <v>461</v>
      </c>
      <c r="J809" s="17" t="s">
        <v>12473</v>
      </c>
      <c r="K809" s="17"/>
      <c r="L809" s="17"/>
      <c r="M809" s="21">
        <v>24000</v>
      </c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</row>
    <row r="810" spans="1:28">
      <c r="A810" s="17" t="s">
        <v>9433</v>
      </c>
      <c r="B810" s="17" t="s">
        <v>9433</v>
      </c>
      <c r="C810" s="17" t="s">
        <v>9434</v>
      </c>
      <c r="D810" s="17" t="s">
        <v>21</v>
      </c>
      <c r="E810" s="24">
        <v>1210</v>
      </c>
      <c r="F810" s="17" t="s">
        <v>263</v>
      </c>
      <c r="G810" s="17" t="str">
        <f>Config!$B$3</f>
        <v>SCH/R_IEC.SchLib</v>
      </c>
      <c r="H810" s="17" t="s">
        <v>419</v>
      </c>
      <c r="I810" s="17" t="s">
        <v>461</v>
      </c>
      <c r="J810" s="17" t="s">
        <v>12473</v>
      </c>
      <c r="K810" s="17"/>
      <c r="L810" s="17"/>
      <c r="M810" s="21">
        <v>27000</v>
      </c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  <c r="AA810" s="17"/>
      <c r="AB810" s="17"/>
    </row>
    <row r="811" spans="1:28">
      <c r="A811" s="17" t="s">
        <v>9435</v>
      </c>
      <c r="B811" s="17" t="s">
        <v>9435</v>
      </c>
      <c r="C811" s="17" t="s">
        <v>9436</v>
      </c>
      <c r="D811" s="17" t="s">
        <v>21</v>
      </c>
      <c r="E811" s="24">
        <v>1210</v>
      </c>
      <c r="F811" s="17" t="s">
        <v>265</v>
      </c>
      <c r="G811" s="17" t="str">
        <f>Config!$B$3</f>
        <v>SCH/R_IEC.SchLib</v>
      </c>
      <c r="H811" s="17" t="s">
        <v>419</v>
      </c>
      <c r="I811" s="17" t="s">
        <v>461</v>
      </c>
      <c r="J811" s="17" t="s">
        <v>12473</v>
      </c>
      <c r="K811" s="17"/>
      <c r="L811" s="17"/>
      <c r="M811" s="21">
        <v>30000</v>
      </c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  <c r="AA811" s="17"/>
      <c r="AB811" s="17"/>
    </row>
    <row r="812" spans="1:28">
      <c r="A812" s="17" t="s">
        <v>9437</v>
      </c>
      <c r="B812" s="17" t="s">
        <v>9437</v>
      </c>
      <c r="C812" s="17" t="s">
        <v>9438</v>
      </c>
      <c r="D812" s="17" t="s">
        <v>21</v>
      </c>
      <c r="E812" s="24">
        <v>1210</v>
      </c>
      <c r="F812" s="17" t="s">
        <v>267</v>
      </c>
      <c r="G812" s="17" t="str">
        <f>Config!$B$3</f>
        <v>SCH/R_IEC.SchLib</v>
      </c>
      <c r="H812" s="17" t="s">
        <v>419</v>
      </c>
      <c r="I812" s="17" t="s">
        <v>461</v>
      </c>
      <c r="J812" s="17" t="s">
        <v>12473</v>
      </c>
      <c r="K812" s="17"/>
      <c r="L812" s="17"/>
      <c r="M812" s="21">
        <v>33000</v>
      </c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  <c r="AA812" s="17"/>
      <c r="AB812" s="17"/>
    </row>
    <row r="813" spans="1:28">
      <c r="A813" s="17" t="s">
        <v>9439</v>
      </c>
      <c r="B813" s="17" t="s">
        <v>9439</v>
      </c>
      <c r="C813" s="17" t="s">
        <v>9440</v>
      </c>
      <c r="D813" s="17" t="s">
        <v>21</v>
      </c>
      <c r="E813" s="24">
        <v>1210</v>
      </c>
      <c r="F813" s="17" t="s">
        <v>269</v>
      </c>
      <c r="G813" s="17" t="str">
        <f>Config!$B$3</f>
        <v>SCH/R_IEC.SchLib</v>
      </c>
      <c r="H813" s="17" t="s">
        <v>419</v>
      </c>
      <c r="I813" s="17" t="s">
        <v>461</v>
      </c>
      <c r="J813" s="17" t="s">
        <v>12473</v>
      </c>
      <c r="K813" s="17"/>
      <c r="L813" s="17"/>
      <c r="M813" s="21">
        <v>36000</v>
      </c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</row>
    <row r="814" spans="1:28">
      <c r="A814" s="17" t="s">
        <v>9441</v>
      </c>
      <c r="B814" s="17" t="s">
        <v>9441</v>
      </c>
      <c r="C814" s="17" t="s">
        <v>9442</v>
      </c>
      <c r="D814" s="17" t="s">
        <v>21</v>
      </c>
      <c r="E814" s="24">
        <v>1210</v>
      </c>
      <c r="F814" s="17" t="s">
        <v>273</v>
      </c>
      <c r="G814" s="17" t="str">
        <f>Config!$B$3</f>
        <v>SCH/R_IEC.SchLib</v>
      </c>
      <c r="H814" s="17" t="s">
        <v>419</v>
      </c>
      <c r="I814" s="17" t="s">
        <v>461</v>
      </c>
      <c r="J814" s="17" t="s">
        <v>12473</v>
      </c>
      <c r="K814" s="17"/>
      <c r="L814" s="17"/>
      <c r="M814" s="21">
        <v>39000</v>
      </c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</row>
    <row r="815" spans="1:28">
      <c r="A815" s="17" t="s">
        <v>9443</v>
      </c>
      <c r="B815" s="17" t="s">
        <v>9443</v>
      </c>
      <c r="C815" s="17" t="s">
        <v>9444</v>
      </c>
      <c r="D815" s="17" t="s">
        <v>21</v>
      </c>
      <c r="E815" s="24">
        <v>1210</v>
      </c>
      <c r="F815" s="17" t="s">
        <v>277</v>
      </c>
      <c r="G815" s="17" t="str">
        <f>Config!$B$3</f>
        <v>SCH/R_IEC.SchLib</v>
      </c>
      <c r="H815" s="17" t="s">
        <v>419</v>
      </c>
      <c r="I815" s="17" t="s">
        <v>461</v>
      </c>
      <c r="J815" s="17" t="s">
        <v>12473</v>
      </c>
      <c r="K815" s="17"/>
      <c r="L815" s="17"/>
      <c r="M815" s="21">
        <v>43000</v>
      </c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</row>
    <row r="816" spans="1:28">
      <c r="A816" s="17" t="s">
        <v>9445</v>
      </c>
      <c r="B816" s="17" t="s">
        <v>9445</v>
      </c>
      <c r="C816" s="17" t="s">
        <v>9446</v>
      </c>
      <c r="D816" s="17" t="s">
        <v>21</v>
      </c>
      <c r="E816" s="24">
        <v>1210</v>
      </c>
      <c r="F816" s="17" t="s">
        <v>279</v>
      </c>
      <c r="G816" s="17" t="str">
        <f>Config!$B$3</f>
        <v>SCH/R_IEC.SchLib</v>
      </c>
      <c r="H816" s="17" t="s">
        <v>419</v>
      </c>
      <c r="I816" s="17" t="s">
        <v>461</v>
      </c>
      <c r="J816" s="17" t="s">
        <v>12473</v>
      </c>
      <c r="K816" s="17"/>
      <c r="L816" s="17"/>
      <c r="M816" s="21">
        <v>47000</v>
      </c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</row>
    <row r="817" spans="1:28">
      <c r="A817" s="17" t="s">
        <v>9447</v>
      </c>
      <c r="B817" s="17" t="s">
        <v>9447</v>
      </c>
      <c r="C817" s="17" t="s">
        <v>9448</v>
      </c>
      <c r="D817" s="17" t="s">
        <v>21</v>
      </c>
      <c r="E817" s="24">
        <v>1210</v>
      </c>
      <c r="F817" s="17" t="s">
        <v>283</v>
      </c>
      <c r="G817" s="17" t="str">
        <f>Config!$B$3</f>
        <v>SCH/R_IEC.SchLib</v>
      </c>
      <c r="H817" s="17" t="s">
        <v>419</v>
      </c>
      <c r="I817" s="17" t="s">
        <v>461</v>
      </c>
      <c r="J817" s="17" t="s">
        <v>12473</v>
      </c>
      <c r="K817" s="17"/>
      <c r="L817" s="17"/>
      <c r="M817" s="21">
        <v>51000</v>
      </c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</row>
    <row r="818" spans="1:28">
      <c r="A818" s="17" t="s">
        <v>9449</v>
      </c>
      <c r="B818" s="17" t="s">
        <v>9449</v>
      </c>
      <c r="C818" s="17" t="s">
        <v>9450</v>
      </c>
      <c r="D818" s="17" t="s">
        <v>21</v>
      </c>
      <c r="E818" s="24">
        <v>1210</v>
      </c>
      <c r="F818" s="17" t="s">
        <v>287</v>
      </c>
      <c r="G818" s="17" t="str">
        <f>Config!$B$3</f>
        <v>SCH/R_IEC.SchLib</v>
      </c>
      <c r="H818" s="17" t="s">
        <v>419</v>
      </c>
      <c r="I818" s="17" t="s">
        <v>461</v>
      </c>
      <c r="J818" s="17" t="s">
        <v>12473</v>
      </c>
      <c r="K818" s="17"/>
      <c r="L818" s="17"/>
      <c r="M818" s="21">
        <v>56000</v>
      </c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</row>
    <row r="819" spans="1:28">
      <c r="A819" s="17" t="s">
        <v>9451</v>
      </c>
      <c r="B819" s="17" t="s">
        <v>9451</v>
      </c>
      <c r="C819" s="17" t="s">
        <v>9452</v>
      </c>
      <c r="D819" s="17" t="s">
        <v>21</v>
      </c>
      <c r="E819" s="24">
        <v>1210</v>
      </c>
      <c r="F819" s="17" t="s">
        <v>291</v>
      </c>
      <c r="G819" s="17" t="str">
        <f>Config!$B$3</f>
        <v>SCH/R_IEC.SchLib</v>
      </c>
      <c r="H819" s="17" t="s">
        <v>419</v>
      </c>
      <c r="I819" s="17" t="s">
        <v>461</v>
      </c>
      <c r="J819" s="17" t="s">
        <v>12473</v>
      </c>
      <c r="K819" s="17"/>
      <c r="L819" s="17"/>
      <c r="M819" s="21">
        <v>62000</v>
      </c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</row>
    <row r="820" spans="1:28">
      <c r="A820" s="17" t="s">
        <v>9453</v>
      </c>
      <c r="B820" s="17" t="s">
        <v>9453</v>
      </c>
      <c r="C820" s="17" t="s">
        <v>9454</v>
      </c>
      <c r="D820" s="17" t="s">
        <v>21</v>
      </c>
      <c r="E820" s="24">
        <v>1210</v>
      </c>
      <c r="F820" s="17" t="s">
        <v>295</v>
      </c>
      <c r="G820" s="17" t="str">
        <f>Config!$B$3</f>
        <v>SCH/R_IEC.SchLib</v>
      </c>
      <c r="H820" s="17" t="s">
        <v>419</v>
      </c>
      <c r="I820" s="17" t="s">
        <v>461</v>
      </c>
      <c r="J820" s="17" t="s">
        <v>12473</v>
      </c>
      <c r="K820" s="17"/>
      <c r="L820" s="17"/>
      <c r="M820" s="21">
        <v>68000</v>
      </c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</row>
    <row r="821" spans="1:28">
      <c r="A821" s="17" t="s">
        <v>9455</v>
      </c>
      <c r="B821" s="17" t="s">
        <v>9455</v>
      </c>
      <c r="C821" s="17" t="s">
        <v>9456</v>
      </c>
      <c r="D821" s="17" t="s">
        <v>21</v>
      </c>
      <c r="E821" s="24">
        <v>1210</v>
      </c>
      <c r="F821" s="17" t="s">
        <v>299</v>
      </c>
      <c r="G821" s="17" t="str">
        <f>Config!$B$3</f>
        <v>SCH/R_IEC.SchLib</v>
      </c>
      <c r="H821" s="17" t="s">
        <v>419</v>
      </c>
      <c r="I821" s="17" t="s">
        <v>461</v>
      </c>
      <c r="J821" s="17" t="s">
        <v>12473</v>
      </c>
      <c r="K821" s="17"/>
      <c r="L821" s="17"/>
      <c r="M821" s="21">
        <v>75000</v>
      </c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</row>
    <row r="822" spans="1:28">
      <c r="A822" s="17" t="s">
        <v>9457</v>
      </c>
      <c r="B822" s="17" t="s">
        <v>9457</v>
      </c>
      <c r="C822" s="17" t="s">
        <v>9458</v>
      </c>
      <c r="D822" s="17" t="s">
        <v>21</v>
      </c>
      <c r="E822" s="24">
        <v>1210</v>
      </c>
      <c r="F822" s="17" t="s">
        <v>301</v>
      </c>
      <c r="G822" s="17" t="str">
        <f>Config!$B$3</f>
        <v>SCH/R_IEC.SchLib</v>
      </c>
      <c r="H822" s="17" t="s">
        <v>419</v>
      </c>
      <c r="I822" s="17" t="s">
        <v>461</v>
      </c>
      <c r="J822" s="17" t="s">
        <v>12473</v>
      </c>
      <c r="K822" s="17"/>
      <c r="L822" s="17"/>
      <c r="M822" s="21">
        <v>82000</v>
      </c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</row>
    <row r="823" spans="1:28">
      <c r="A823" s="17" t="s">
        <v>9459</v>
      </c>
      <c r="B823" s="17" t="s">
        <v>9459</v>
      </c>
      <c r="C823" s="17" t="s">
        <v>9460</v>
      </c>
      <c r="D823" s="17" t="s">
        <v>21</v>
      </c>
      <c r="E823" s="24">
        <v>1210</v>
      </c>
      <c r="F823" s="17" t="s">
        <v>303</v>
      </c>
      <c r="G823" s="17" t="str">
        <f>Config!$B$3</f>
        <v>SCH/R_IEC.SchLib</v>
      </c>
      <c r="H823" s="17" t="s">
        <v>419</v>
      </c>
      <c r="I823" s="17" t="s">
        <v>461</v>
      </c>
      <c r="J823" s="17" t="s">
        <v>12473</v>
      </c>
      <c r="K823" s="17"/>
      <c r="L823" s="17"/>
      <c r="M823" s="21">
        <v>91000</v>
      </c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</row>
    <row r="824" spans="1:28">
      <c r="A824" s="17" t="s">
        <v>9461</v>
      </c>
      <c r="B824" s="17" t="s">
        <v>9461</v>
      </c>
      <c r="C824" s="17" t="s">
        <v>9462</v>
      </c>
      <c r="D824" s="17" t="s">
        <v>21</v>
      </c>
      <c r="E824" s="24">
        <v>1210</v>
      </c>
      <c r="F824" s="17" t="s">
        <v>305</v>
      </c>
      <c r="G824" s="17" t="str">
        <f>Config!$B$3</f>
        <v>SCH/R_IEC.SchLib</v>
      </c>
      <c r="H824" s="17" t="s">
        <v>419</v>
      </c>
      <c r="I824" s="17" t="s">
        <v>461</v>
      </c>
      <c r="J824" s="17" t="s">
        <v>12473</v>
      </c>
      <c r="K824" s="17"/>
      <c r="L824" s="17"/>
      <c r="M824" s="21">
        <v>100000</v>
      </c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</row>
    <row r="825" spans="1:28">
      <c r="A825" s="17" t="s">
        <v>9463</v>
      </c>
      <c r="B825" s="17" t="s">
        <v>9463</v>
      </c>
      <c r="C825" s="17" t="s">
        <v>9464</v>
      </c>
      <c r="D825" s="17" t="s">
        <v>21</v>
      </c>
      <c r="E825" s="24">
        <v>1210</v>
      </c>
      <c r="F825" s="17" t="s">
        <v>309</v>
      </c>
      <c r="G825" s="17" t="str">
        <f>Config!$B$3</f>
        <v>SCH/R_IEC.SchLib</v>
      </c>
      <c r="H825" s="17" t="s">
        <v>419</v>
      </c>
      <c r="I825" s="17" t="s">
        <v>461</v>
      </c>
      <c r="J825" s="17" t="s">
        <v>12473</v>
      </c>
      <c r="K825" s="17"/>
      <c r="L825" s="17"/>
      <c r="M825" s="21">
        <v>110000</v>
      </c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</row>
    <row r="826" spans="1:28">
      <c r="A826" s="17" t="s">
        <v>9465</v>
      </c>
      <c r="B826" s="17" t="s">
        <v>9465</v>
      </c>
      <c r="C826" s="17" t="s">
        <v>9466</v>
      </c>
      <c r="D826" s="17" t="s">
        <v>21</v>
      </c>
      <c r="E826" s="24">
        <v>1210</v>
      </c>
      <c r="F826" s="17" t="s">
        <v>313</v>
      </c>
      <c r="G826" s="17" t="str">
        <f>Config!$B$3</f>
        <v>SCH/R_IEC.SchLib</v>
      </c>
      <c r="H826" s="17" t="s">
        <v>419</v>
      </c>
      <c r="I826" s="17" t="s">
        <v>461</v>
      </c>
      <c r="J826" s="17" t="s">
        <v>12473</v>
      </c>
      <c r="K826" s="17"/>
      <c r="L826" s="17"/>
      <c r="M826" s="21">
        <v>120000</v>
      </c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</row>
    <row r="827" spans="1:28">
      <c r="A827" s="17" t="s">
        <v>9467</v>
      </c>
      <c r="B827" s="17" t="s">
        <v>9467</v>
      </c>
      <c r="C827" s="17" t="s">
        <v>9468</v>
      </c>
      <c r="D827" s="17" t="s">
        <v>21</v>
      </c>
      <c r="E827" s="24">
        <v>1210</v>
      </c>
      <c r="F827" s="17" t="s">
        <v>317</v>
      </c>
      <c r="G827" s="17" t="str">
        <f>Config!$B$3</f>
        <v>SCH/R_IEC.SchLib</v>
      </c>
      <c r="H827" s="17" t="s">
        <v>419</v>
      </c>
      <c r="I827" s="17" t="s">
        <v>461</v>
      </c>
      <c r="J827" s="17" t="s">
        <v>12473</v>
      </c>
      <c r="K827" s="17"/>
      <c r="L827" s="17"/>
      <c r="M827" s="21">
        <v>130000</v>
      </c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</row>
    <row r="828" spans="1:28">
      <c r="A828" s="17" t="s">
        <v>9469</v>
      </c>
      <c r="B828" s="17" t="s">
        <v>9469</v>
      </c>
      <c r="C828" s="17" t="s">
        <v>9470</v>
      </c>
      <c r="D828" s="17" t="s">
        <v>21</v>
      </c>
      <c r="E828" s="24">
        <v>1210</v>
      </c>
      <c r="F828" s="17" t="s">
        <v>321</v>
      </c>
      <c r="G828" s="17" t="str">
        <f>Config!$B$3</f>
        <v>SCH/R_IEC.SchLib</v>
      </c>
      <c r="H828" s="17" t="s">
        <v>419</v>
      </c>
      <c r="I828" s="17" t="s">
        <v>461</v>
      </c>
      <c r="J828" s="17" t="s">
        <v>12473</v>
      </c>
      <c r="K828" s="17"/>
      <c r="L828" s="17"/>
      <c r="M828" s="21">
        <v>150000</v>
      </c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  <c r="AA828" s="17"/>
      <c r="AB828" s="17"/>
    </row>
    <row r="829" spans="1:28">
      <c r="A829" s="17" t="s">
        <v>9471</v>
      </c>
      <c r="B829" s="17" t="s">
        <v>9471</v>
      </c>
      <c r="C829" s="17" t="s">
        <v>9472</v>
      </c>
      <c r="D829" s="17" t="s">
        <v>21</v>
      </c>
      <c r="E829" s="24">
        <v>1210</v>
      </c>
      <c r="F829" s="17" t="s">
        <v>323</v>
      </c>
      <c r="G829" s="17" t="str">
        <f>Config!$B$3</f>
        <v>SCH/R_IEC.SchLib</v>
      </c>
      <c r="H829" s="17" t="s">
        <v>419</v>
      </c>
      <c r="I829" s="17" t="s">
        <v>461</v>
      </c>
      <c r="J829" s="17" t="s">
        <v>12473</v>
      </c>
      <c r="K829" s="17"/>
      <c r="L829" s="17"/>
      <c r="M829" s="21">
        <v>160000</v>
      </c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  <c r="AA829" s="17"/>
      <c r="AB829" s="17"/>
    </row>
    <row r="830" spans="1:28">
      <c r="A830" s="17" t="s">
        <v>9473</v>
      </c>
      <c r="B830" s="17" t="s">
        <v>9473</v>
      </c>
      <c r="C830" s="17" t="s">
        <v>9474</v>
      </c>
      <c r="D830" s="17" t="s">
        <v>21</v>
      </c>
      <c r="E830" s="24">
        <v>1210</v>
      </c>
      <c r="F830" s="17" t="s">
        <v>327</v>
      </c>
      <c r="G830" s="17" t="str">
        <f>Config!$B$3</f>
        <v>SCH/R_IEC.SchLib</v>
      </c>
      <c r="H830" s="17" t="s">
        <v>419</v>
      </c>
      <c r="I830" s="17" t="s">
        <v>461</v>
      </c>
      <c r="J830" s="17" t="s">
        <v>12473</v>
      </c>
      <c r="K830" s="17"/>
      <c r="L830" s="17"/>
      <c r="M830" s="21">
        <v>180000</v>
      </c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  <c r="AA830" s="17"/>
      <c r="AB830" s="17"/>
    </row>
    <row r="831" spans="1:28">
      <c r="A831" s="17" t="s">
        <v>9475</v>
      </c>
      <c r="B831" s="17" t="s">
        <v>9475</v>
      </c>
      <c r="C831" s="17" t="s">
        <v>9476</v>
      </c>
      <c r="D831" s="17" t="s">
        <v>21</v>
      </c>
      <c r="E831" s="24">
        <v>1210</v>
      </c>
      <c r="F831" s="17" t="s">
        <v>331</v>
      </c>
      <c r="G831" s="17" t="str">
        <f>Config!$B$3</f>
        <v>SCH/R_IEC.SchLib</v>
      </c>
      <c r="H831" s="17" t="s">
        <v>419</v>
      </c>
      <c r="I831" s="17" t="s">
        <v>461</v>
      </c>
      <c r="J831" s="17" t="s">
        <v>12473</v>
      </c>
      <c r="K831" s="17"/>
      <c r="L831" s="17"/>
      <c r="M831" s="21">
        <v>200000</v>
      </c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  <c r="AA831" s="17"/>
      <c r="AB831" s="17"/>
    </row>
    <row r="832" spans="1:28">
      <c r="A832" s="17" t="s">
        <v>9477</v>
      </c>
      <c r="B832" s="17" t="s">
        <v>9477</v>
      </c>
      <c r="C832" s="17" t="s">
        <v>9478</v>
      </c>
      <c r="D832" s="17" t="s">
        <v>21</v>
      </c>
      <c r="E832" s="24">
        <v>1210</v>
      </c>
      <c r="F832" s="17" t="s">
        <v>333</v>
      </c>
      <c r="G832" s="17" t="str">
        <f>Config!$B$3</f>
        <v>SCH/R_IEC.SchLib</v>
      </c>
      <c r="H832" s="17" t="s">
        <v>419</v>
      </c>
      <c r="I832" s="17" t="s">
        <v>461</v>
      </c>
      <c r="J832" s="17" t="s">
        <v>12473</v>
      </c>
      <c r="K832" s="17"/>
      <c r="L832" s="17"/>
      <c r="M832" s="21">
        <v>220000</v>
      </c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  <c r="AA832" s="17"/>
      <c r="AB832" s="17"/>
    </row>
    <row r="833" spans="1:28">
      <c r="A833" s="17" t="s">
        <v>9479</v>
      </c>
      <c r="B833" s="17" t="s">
        <v>9479</v>
      </c>
      <c r="C833" s="17" t="s">
        <v>9480</v>
      </c>
      <c r="D833" s="17" t="s">
        <v>21</v>
      </c>
      <c r="E833" s="24">
        <v>1210</v>
      </c>
      <c r="F833" s="17" t="s">
        <v>335</v>
      </c>
      <c r="G833" s="17" t="str">
        <f>Config!$B$3</f>
        <v>SCH/R_IEC.SchLib</v>
      </c>
      <c r="H833" s="17" t="s">
        <v>419</v>
      </c>
      <c r="I833" s="17" t="s">
        <v>461</v>
      </c>
      <c r="J833" s="17" t="s">
        <v>12473</v>
      </c>
      <c r="K833" s="17"/>
      <c r="L833" s="17"/>
      <c r="M833" s="21">
        <v>240000</v>
      </c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  <c r="AA833" s="17"/>
      <c r="AB833" s="17"/>
    </row>
    <row r="834" spans="1:28">
      <c r="A834" s="17" t="s">
        <v>9481</v>
      </c>
      <c r="B834" s="17" t="s">
        <v>9481</v>
      </c>
      <c r="C834" s="17" t="s">
        <v>9482</v>
      </c>
      <c r="D834" s="17" t="s">
        <v>21</v>
      </c>
      <c r="E834" s="24">
        <v>1210</v>
      </c>
      <c r="F834" s="17" t="s">
        <v>337</v>
      </c>
      <c r="G834" s="17" t="str">
        <f>Config!$B$3</f>
        <v>SCH/R_IEC.SchLib</v>
      </c>
      <c r="H834" s="17" t="s">
        <v>419</v>
      </c>
      <c r="I834" s="17" t="s">
        <v>461</v>
      </c>
      <c r="J834" s="17" t="s">
        <v>12473</v>
      </c>
      <c r="K834" s="17"/>
      <c r="L834" s="17"/>
      <c r="M834" s="21">
        <v>270000</v>
      </c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  <c r="AA834" s="17"/>
      <c r="AB834" s="17"/>
    </row>
    <row r="835" spans="1:28">
      <c r="A835" s="17" t="s">
        <v>9483</v>
      </c>
      <c r="B835" s="17" t="s">
        <v>9483</v>
      </c>
      <c r="C835" s="17" t="s">
        <v>9484</v>
      </c>
      <c r="D835" s="17" t="s">
        <v>21</v>
      </c>
      <c r="E835" s="24">
        <v>1210</v>
      </c>
      <c r="F835" s="17" t="s">
        <v>339</v>
      </c>
      <c r="G835" s="17" t="str">
        <f>Config!$B$3</f>
        <v>SCH/R_IEC.SchLib</v>
      </c>
      <c r="H835" s="17" t="s">
        <v>419</v>
      </c>
      <c r="I835" s="17" t="s">
        <v>461</v>
      </c>
      <c r="J835" s="17" t="s">
        <v>12473</v>
      </c>
      <c r="K835" s="17"/>
      <c r="L835" s="17"/>
      <c r="M835" s="21">
        <v>300000</v>
      </c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  <c r="AA835" s="17"/>
      <c r="AB835" s="17"/>
    </row>
    <row r="836" spans="1:28">
      <c r="A836" s="17" t="s">
        <v>9485</v>
      </c>
      <c r="B836" s="17" t="s">
        <v>9485</v>
      </c>
      <c r="C836" s="16" t="s">
        <v>9486</v>
      </c>
      <c r="D836" s="16" t="s">
        <v>21</v>
      </c>
      <c r="E836" s="24">
        <v>1210</v>
      </c>
      <c r="F836" s="17" t="s">
        <v>341</v>
      </c>
      <c r="G836" s="17" t="str">
        <f>Config!$B$3</f>
        <v>SCH/R_IEC.SchLib</v>
      </c>
      <c r="H836" s="16" t="s">
        <v>419</v>
      </c>
      <c r="I836" s="18" t="s">
        <v>461</v>
      </c>
      <c r="J836" s="17" t="s">
        <v>12473</v>
      </c>
      <c r="K836" s="17"/>
      <c r="L836" s="17"/>
      <c r="M836" s="21">
        <v>330000</v>
      </c>
      <c r="N836" s="17"/>
      <c r="O836" s="16"/>
      <c r="P836" s="17"/>
      <c r="Q836" s="16"/>
      <c r="R836" s="17"/>
      <c r="S836" s="17"/>
      <c r="T836" s="17"/>
      <c r="U836" s="17"/>
      <c r="V836" s="17"/>
      <c r="W836" s="17"/>
      <c r="X836" s="17"/>
      <c r="Y836" s="17"/>
      <c r="Z836" s="17"/>
      <c r="AA836" s="17"/>
      <c r="AB836" s="17"/>
    </row>
    <row r="837" spans="1:28">
      <c r="A837" s="17" t="s">
        <v>9487</v>
      </c>
      <c r="B837" s="17" t="s">
        <v>9487</v>
      </c>
      <c r="C837" s="17" t="s">
        <v>9488</v>
      </c>
      <c r="D837" s="17" t="s">
        <v>21</v>
      </c>
      <c r="E837" s="24">
        <v>1210</v>
      </c>
      <c r="F837" s="17" t="s">
        <v>345</v>
      </c>
      <c r="G837" s="17" t="str">
        <f>Config!$B$3</f>
        <v>SCH/R_IEC.SchLib</v>
      </c>
      <c r="H837" s="17" t="s">
        <v>419</v>
      </c>
      <c r="I837" s="17" t="s">
        <v>461</v>
      </c>
      <c r="J837" s="17" t="s">
        <v>12473</v>
      </c>
      <c r="K837" s="17"/>
      <c r="L837" s="17"/>
      <c r="M837" s="21">
        <v>360000</v>
      </c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</row>
    <row r="838" spans="1:28">
      <c r="A838" s="17" t="s">
        <v>9489</v>
      </c>
      <c r="B838" s="17" t="s">
        <v>9489</v>
      </c>
      <c r="C838" s="17" t="s">
        <v>9490</v>
      </c>
      <c r="D838" s="17" t="s">
        <v>21</v>
      </c>
      <c r="E838" s="24">
        <v>1210</v>
      </c>
      <c r="F838" s="17" t="s">
        <v>349</v>
      </c>
      <c r="G838" s="17" t="str">
        <f>Config!$B$3</f>
        <v>SCH/R_IEC.SchLib</v>
      </c>
      <c r="H838" s="17" t="s">
        <v>419</v>
      </c>
      <c r="I838" s="17" t="s">
        <v>461</v>
      </c>
      <c r="J838" s="17" t="s">
        <v>12473</v>
      </c>
      <c r="K838" s="17"/>
      <c r="L838" s="17"/>
      <c r="M838" s="21">
        <v>390000</v>
      </c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  <c r="AA838" s="17"/>
      <c r="AB838" s="17"/>
    </row>
    <row r="839" spans="1:28">
      <c r="A839" s="17" t="s">
        <v>9491</v>
      </c>
      <c r="B839" s="17" t="s">
        <v>9491</v>
      </c>
      <c r="C839" s="17" t="s">
        <v>9492</v>
      </c>
      <c r="D839" s="17" t="s">
        <v>21</v>
      </c>
      <c r="E839" s="24">
        <v>1210</v>
      </c>
      <c r="F839" s="17" t="s">
        <v>351</v>
      </c>
      <c r="G839" s="17" t="str">
        <f>Config!$B$3</f>
        <v>SCH/R_IEC.SchLib</v>
      </c>
      <c r="H839" s="17" t="s">
        <v>419</v>
      </c>
      <c r="I839" s="17" t="s">
        <v>461</v>
      </c>
      <c r="J839" s="17" t="s">
        <v>12473</v>
      </c>
      <c r="K839" s="17"/>
      <c r="L839" s="17"/>
      <c r="M839" s="21">
        <v>430000</v>
      </c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  <c r="AA839" s="17"/>
      <c r="AB839" s="17"/>
    </row>
    <row r="840" spans="1:28">
      <c r="A840" s="17" t="s">
        <v>9493</v>
      </c>
      <c r="B840" s="17" t="s">
        <v>9493</v>
      </c>
      <c r="C840" s="17" t="s">
        <v>9494</v>
      </c>
      <c r="D840" s="17" t="s">
        <v>21</v>
      </c>
      <c r="E840" s="24">
        <v>1210</v>
      </c>
      <c r="F840" s="17" t="s">
        <v>353</v>
      </c>
      <c r="G840" s="17" t="str">
        <f>Config!$B$3</f>
        <v>SCH/R_IEC.SchLib</v>
      </c>
      <c r="H840" s="17" t="s">
        <v>419</v>
      </c>
      <c r="I840" s="17" t="s">
        <v>461</v>
      </c>
      <c r="J840" s="17" t="s">
        <v>12473</v>
      </c>
      <c r="K840" s="17"/>
      <c r="L840" s="17"/>
      <c r="M840" s="21">
        <v>470000</v>
      </c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  <c r="AA840" s="17"/>
      <c r="AB840" s="17"/>
    </row>
    <row r="841" spans="1:28">
      <c r="A841" s="17" t="s">
        <v>9495</v>
      </c>
      <c r="B841" s="17" t="s">
        <v>9495</v>
      </c>
      <c r="C841" s="17" t="s">
        <v>9496</v>
      </c>
      <c r="D841" s="17" t="s">
        <v>21</v>
      </c>
      <c r="E841" s="24">
        <v>1210</v>
      </c>
      <c r="F841" s="17" t="s">
        <v>355</v>
      </c>
      <c r="G841" s="17" t="str">
        <f>Config!$B$3</f>
        <v>SCH/R_IEC.SchLib</v>
      </c>
      <c r="H841" s="17" t="s">
        <v>419</v>
      </c>
      <c r="I841" s="17" t="s">
        <v>461</v>
      </c>
      <c r="J841" s="17" t="s">
        <v>12473</v>
      </c>
      <c r="K841" s="17"/>
      <c r="L841" s="17"/>
      <c r="M841" s="21">
        <v>510000</v>
      </c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  <c r="AA841" s="17"/>
      <c r="AB841" s="17"/>
    </row>
    <row r="842" spans="1:28">
      <c r="A842" s="17" t="s">
        <v>9497</v>
      </c>
      <c r="B842" s="17" t="s">
        <v>9497</v>
      </c>
      <c r="C842" s="17" t="s">
        <v>9498</v>
      </c>
      <c r="D842" s="17" t="s">
        <v>21</v>
      </c>
      <c r="E842" s="24">
        <v>1210</v>
      </c>
      <c r="F842" s="17" t="s">
        <v>357</v>
      </c>
      <c r="G842" s="17" t="str">
        <f>Config!$B$3</f>
        <v>SCH/R_IEC.SchLib</v>
      </c>
      <c r="H842" s="17" t="s">
        <v>419</v>
      </c>
      <c r="I842" s="17" t="s">
        <v>461</v>
      </c>
      <c r="J842" s="17" t="s">
        <v>12473</v>
      </c>
      <c r="K842" s="17"/>
      <c r="L842" s="17"/>
      <c r="M842" s="21">
        <v>560000</v>
      </c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  <c r="AA842" s="17"/>
      <c r="AB842" s="17"/>
    </row>
    <row r="843" spans="1:28">
      <c r="A843" s="17" t="s">
        <v>9499</v>
      </c>
      <c r="B843" s="17" t="s">
        <v>9499</v>
      </c>
      <c r="C843" s="17" t="s">
        <v>9500</v>
      </c>
      <c r="D843" s="17" t="s">
        <v>21</v>
      </c>
      <c r="E843" s="24">
        <v>1210</v>
      </c>
      <c r="F843" s="17" t="s">
        <v>359</v>
      </c>
      <c r="G843" s="17" t="str">
        <f>Config!$B$3</f>
        <v>SCH/R_IEC.SchLib</v>
      </c>
      <c r="H843" s="17" t="s">
        <v>419</v>
      </c>
      <c r="I843" s="17" t="s">
        <v>461</v>
      </c>
      <c r="J843" s="17" t="s">
        <v>12473</v>
      </c>
      <c r="K843" s="17"/>
      <c r="L843" s="17"/>
      <c r="M843" s="21">
        <v>620000</v>
      </c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  <c r="AA843" s="17"/>
      <c r="AB843" s="17"/>
    </row>
    <row r="844" spans="1:28">
      <c r="A844" s="17" t="s">
        <v>9501</v>
      </c>
      <c r="B844" s="17" t="s">
        <v>9501</v>
      </c>
      <c r="C844" s="17" t="s">
        <v>9502</v>
      </c>
      <c r="D844" s="17" t="s">
        <v>21</v>
      </c>
      <c r="E844" s="24">
        <v>1210</v>
      </c>
      <c r="F844" s="17" t="s">
        <v>361</v>
      </c>
      <c r="G844" s="17" t="str">
        <f>Config!$B$3</f>
        <v>SCH/R_IEC.SchLib</v>
      </c>
      <c r="H844" s="17" t="s">
        <v>419</v>
      </c>
      <c r="I844" s="17" t="s">
        <v>461</v>
      </c>
      <c r="J844" s="17" t="s">
        <v>12473</v>
      </c>
      <c r="K844" s="17"/>
      <c r="L844" s="17"/>
      <c r="M844" s="21">
        <v>680000</v>
      </c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</row>
    <row r="845" spans="1:28">
      <c r="A845" s="17" t="s">
        <v>9503</v>
      </c>
      <c r="B845" s="17" t="s">
        <v>9503</v>
      </c>
      <c r="C845" s="17" t="s">
        <v>9504</v>
      </c>
      <c r="D845" s="17" t="s">
        <v>21</v>
      </c>
      <c r="E845" s="24">
        <v>1210</v>
      </c>
      <c r="F845" s="17" t="s">
        <v>363</v>
      </c>
      <c r="G845" s="17" t="str">
        <f>Config!$B$3</f>
        <v>SCH/R_IEC.SchLib</v>
      </c>
      <c r="H845" s="17" t="s">
        <v>419</v>
      </c>
      <c r="I845" s="17" t="s">
        <v>461</v>
      </c>
      <c r="J845" s="17" t="s">
        <v>12473</v>
      </c>
      <c r="K845" s="17"/>
      <c r="L845" s="17"/>
      <c r="M845" s="21">
        <v>750000</v>
      </c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  <c r="AA845" s="17"/>
      <c r="AB845" s="17"/>
    </row>
    <row r="846" spans="1:28">
      <c r="A846" s="17" t="s">
        <v>9505</v>
      </c>
      <c r="B846" s="17" t="s">
        <v>9505</v>
      </c>
      <c r="C846" s="17" t="s">
        <v>9506</v>
      </c>
      <c r="D846" s="17" t="s">
        <v>21</v>
      </c>
      <c r="E846" s="24">
        <v>1210</v>
      </c>
      <c r="F846" s="17" t="s">
        <v>365</v>
      </c>
      <c r="G846" s="17" t="str">
        <f>Config!$B$3</f>
        <v>SCH/R_IEC.SchLib</v>
      </c>
      <c r="H846" s="17" t="s">
        <v>419</v>
      </c>
      <c r="I846" s="17" t="s">
        <v>461</v>
      </c>
      <c r="J846" s="17" t="s">
        <v>12473</v>
      </c>
      <c r="K846" s="17"/>
      <c r="L846" s="17"/>
      <c r="M846" s="21">
        <v>820000</v>
      </c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  <c r="AA846" s="17"/>
      <c r="AB846" s="17"/>
    </row>
    <row r="847" spans="1:28">
      <c r="A847" s="17" t="s">
        <v>9507</v>
      </c>
      <c r="B847" s="17" t="s">
        <v>9507</v>
      </c>
      <c r="C847" s="17" t="s">
        <v>9508</v>
      </c>
      <c r="D847" s="17" t="s">
        <v>21</v>
      </c>
      <c r="E847" s="24">
        <v>1210</v>
      </c>
      <c r="F847" s="17" t="s">
        <v>367</v>
      </c>
      <c r="G847" s="17" t="str">
        <f>Config!$B$3</f>
        <v>SCH/R_IEC.SchLib</v>
      </c>
      <c r="H847" s="17" t="s">
        <v>419</v>
      </c>
      <c r="I847" s="17" t="s">
        <v>461</v>
      </c>
      <c r="J847" s="17" t="s">
        <v>12473</v>
      </c>
      <c r="K847" s="17"/>
      <c r="L847" s="17"/>
      <c r="M847" s="21">
        <v>910000</v>
      </c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  <c r="AA847" s="17"/>
      <c r="AB847" s="17"/>
    </row>
    <row r="848" spans="1:28">
      <c r="A848" s="17" t="s">
        <v>9509</v>
      </c>
      <c r="B848" s="17" t="s">
        <v>9509</v>
      </c>
      <c r="C848" s="17" t="s">
        <v>9510</v>
      </c>
      <c r="D848" s="17" t="s">
        <v>21</v>
      </c>
      <c r="E848" s="24">
        <v>1210</v>
      </c>
      <c r="F848" s="17" t="s">
        <v>369</v>
      </c>
      <c r="G848" s="17" t="str">
        <f>Config!$B$3</f>
        <v>SCH/R_IEC.SchLib</v>
      </c>
      <c r="H848" s="17" t="s">
        <v>419</v>
      </c>
      <c r="I848" s="17" t="s">
        <v>461</v>
      </c>
      <c r="J848" s="17" t="s">
        <v>12473</v>
      </c>
      <c r="K848" s="17"/>
      <c r="L848" s="17"/>
      <c r="M848" s="21">
        <v>1000000</v>
      </c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</row>
    <row r="849" spans="1:28">
      <c r="A849" s="17" t="s">
        <v>9511</v>
      </c>
      <c r="B849" s="17" t="s">
        <v>9511</v>
      </c>
      <c r="C849" s="17" t="s">
        <v>9512</v>
      </c>
      <c r="D849" s="17" t="s">
        <v>21</v>
      </c>
      <c r="E849" s="24">
        <v>1210</v>
      </c>
      <c r="F849" s="17" t="s">
        <v>371</v>
      </c>
      <c r="G849" s="17" t="str">
        <f>Config!$B$3</f>
        <v>SCH/R_IEC.SchLib</v>
      </c>
      <c r="H849" s="17" t="s">
        <v>419</v>
      </c>
      <c r="I849" s="17" t="s">
        <v>461</v>
      </c>
      <c r="J849" s="17" t="s">
        <v>12473</v>
      </c>
      <c r="K849" s="17"/>
      <c r="L849" s="17"/>
      <c r="M849" s="21">
        <v>1100000</v>
      </c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</row>
    <row r="850" spans="1:28">
      <c r="A850" s="17" t="s">
        <v>9513</v>
      </c>
      <c r="B850" s="17" t="s">
        <v>9513</v>
      </c>
      <c r="C850" s="17" t="s">
        <v>9514</v>
      </c>
      <c r="D850" s="17" t="s">
        <v>21</v>
      </c>
      <c r="E850" s="24">
        <v>1210</v>
      </c>
      <c r="F850" s="17" t="s">
        <v>373</v>
      </c>
      <c r="G850" s="17" t="str">
        <f>Config!$B$3</f>
        <v>SCH/R_IEC.SchLib</v>
      </c>
      <c r="H850" s="17" t="s">
        <v>419</v>
      </c>
      <c r="I850" s="17" t="s">
        <v>461</v>
      </c>
      <c r="J850" s="17" t="s">
        <v>12473</v>
      </c>
      <c r="K850" s="17"/>
      <c r="L850" s="17"/>
      <c r="M850" s="21">
        <v>1200000</v>
      </c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</row>
    <row r="851" spans="1:28">
      <c r="A851" s="17" t="s">
        <v>9515</v>
      </c>
      <c r="B851" s="17" t="s">
        <v>9515</v>
      </c>
      <c r="C851" s="17" t="s">
        <v>9516</v>
      </c>
      <c r="D851" s="17" t="s">
        <v>21</v>
      </c>
      <c r="E851" s="24">
        <v>1210</v>
      </c>
      <c r="F851" s="17" t="s">
        <v>375</v>
      </c>
      <c r="G851" s="17" t="str">
        <f>Config!$B$3</f>
        <v>SCH/R_IEC.SchLib</v>
      </c>
      <c r="H851" s="17" t="s">
        <v>419</v>
      </c>
      <c r="I851" s="17" t="s">
        <v>461</v>
      </c>
      <c r="J851" s="17" t="s">
        <v>12473</v>
      </c>
      <c r="K851" s="17"/>
      <c r="L851" s="17"/>
      <c r="M851" s="21">
        <v>1300000</v>
      </c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</row>
    <row r="852" spans="1:28">
      <c r="A852" s="17" t="s">
        <v>9517</v>
      </c>
      <c r="B852" s="17" t="s">
        <v>9517</v>
      </c>
      <c r="C852" s="17" t="s">
        <v>9518</v>
      </c>
      <c r="D852" s="17" t="s">
        <v>21</v>
      </c>
      <c r="E852" s="24">
        <v>1210</v>
      </c>
      <c r="F852" s="17" t="s">
        <v>377</v>
      </c>
      <c r="G852" s="17" t="str">
        <f>Config!$B$3</f>
        <v>SCH/R_IEC.SchLib</v>
      </c>
      <c r="H852" s="17" t="s">
        <v>419</v>
      </c>
      <c r="I852" s="17" t="s">
        <v>461</v>
      </c>
      <c r="J852" s="17" t="s">
        <v>12473</v>
      </c>
      <c r="K852" s="17"/>
      <c r="L852" s="17"/>
      <c r="M852" s="21">
        <v>1500000</v>
      </c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</row>
    <row r="853" spans="1:28">
      <c r="A853" s="17" t="s">
        <v>9519</v>
      </c>
      <c r="B853" s="17" t="s">
        <v>9519</v>
      </c>
      <c r="C853" s="17" t="s">
        <v>9520</v>
      </c>
      <c r="D853" s="17" t="s">
        <v>21</v>
      </c>
      <c r="E853" s="24">
        <v>1210</v>
      </c>
      <c r="F853" s="17" t="s">
        <v>379</v>
      </c>
      <c r="G853" s="17" t="str">
        <f>Config!$B$3</f>
        <v>SCH/R_IEC.SchLib</v>
      </c>
      <c r="H853" s="17" t="s">
        <v>419</v>
      </c>
      <c r="I853" s="17" t="s">
        <v>461</v>
      </c>
      <c r="J853" s="17" t="s">
        <v>12473</v>
      </c>
      <c r="K853" s="17"/>
      <c r="L853" s="17"/>
      <c r="M853" s="21">
        <v>1600000</v>
      </c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</row>
    <row r="854" spans="1:28">
      <c r="A854" s="17" t="s">
        <v>9521</v>
      </c>
      <c r="B854" s="17" t="s">
        <v>9521</v>
      </c>
      <c r="C854" s="17" t="s">
        <v>9522</v>
      </c>
      <c r="D854" s="17" t="s">
        <v>21</v>
      </c>
      <c r="E854" s="24">
        <v>1210</v>
      </c>
      <c r="F854" s="17" t="s">
        <v>381</v>
      </c>
      <c r="G854" s="17" t="str">
        <f>Config!$B$3</f>
        <v>SCH/R_IEC.SchLib</v>
      </c>
      <c r="H854" s="17" t="s">
        <v>419</v>
      </c>
      <c r="I854" s="17" t="s">
        <v>461</v>
      </c>
      <c r="J854" s="17" t="s">
        <v>12473</v>
      </c>
      <c r="K854" s="17"/>
      <c r="L854" s="17"/>
      <c r="M854" s="21">
        <v>1800000</v>
      </c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</row>
    <row r="855" spans="1:28">
      <c r="A855" s="17" t="s">
        <v>9523</v>
      </c>
      <c r="B855" s="17" t="s">
        <v>9523</v>
      </c>
      <c r="C855" s="17" t="s">
        <v>9524</v>
      </c>
      <c r="D855" s="17" t="s">
        <v>21</v>
      </c>
      <c r="E855" s="24">
        <v>1210</v>
      </c>
      <c r="F855" s="17" t="s">
        <v>383</v>
      </c>
      <c r="G855" s="17" t="str">
        <f>Config!$B$3</f>
        <v>SCH/R_IEC.SchLib</v>
      </c>
      <c r="H855" s="17" t="s">
        <v>419</v>
      </c>
      <c r="I855" s="17" t="s">
        <v>461</v>
      </c>
      <c r="J855" s="17" t="s">
        <v>12473</v>
      </c>
      <c r="K855" s="17"/>
      <c r="L855" s="17"/>
      <c r="M855" s="21">
        <v>2000000</v>
      </c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</row>
    <row r="856" spans="1:28">
      <c r="A856" s="17" t="s">
        <v>9525</v>
      </c>
      <c r="B856" s="17" t="s">
        <v>9525</v>
      </c>
      <c r="C856" s="17" t="s">
        <v>9526</v>
      </c>
      <c r="D856" s="17" t="s">
        <v>21</v>
      </c>
      <c r="E856" s="24">
        <v>1210</v>
      </c>
      <c r="F856" s="17" t="s">
        <v>385</v>
      </c>
      <c r="G856" s="17" t="str">
        <f>Config!$B$3</f>
        <v>SCH/R_IEC.SchLib</v>
      </c>
      <c r="H856" s="17" t="s">
        <v>419</v>
      </c>
      <c r="I856" s="17" t="s">
        <v>461</v>
      </c>
      <c r="J856" s="17" t="s">
        <v>12473</v>
      </c>
      <c r="K856" s="17"/>
      <c r="L856" s="17"/>
      <c r="M856" s="21">
        <v>2200000</v>
      </c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  <c r="AA856" s="17"/>
      <c r="AB856" s="17"/>
    </row>
    <row r="857" spans="1:28">
      <c r="A857" s="17" t="s">
        <v>9527</v>
      </c>
      <c r="B857" s="17" t="s">
        <v>9527</v>
      </c>
      <c r="C857" s="17" t="s">
        <v>9528</v>
      </c>
      <c r="D857" s="17" t="s">
        <v>21</v>
      </c>
      <c r="E857" s="24">
        <v>1210</v>
      </c>
      <c r="F857" s="17" t="s">
        <v>387</v>
      </c>
      <c r="G857" s="17" t="str">
        <f>Config!$B$3</f>
        <v>SCH/R_IEC.SchLib</v>
      </c>
      <c r="H857" s="17" t="s">
        <v>419</v>
      </c>
      <c r="I857" s="17" t="s">
        <v>461</v>
      </c>
      <c r="J857" s="17" t="s">
        <v>12473</v>
      </c>
      <c r="K857" s="17"/>
      <c r="L857" s="17"/>
      <c r="M857" s="21">
        <v>2400000</v>
      </c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  <c r="AA857" s="17"/>
      <c r="AB857" s="17"/>
    </row>
    <row r="858" spans="1:28">
      <c r="A858" s="17" t="s">
        <v>9529</v>
      </c>
      <c r="B858" s="17" t="s">
        <v>9529</v>
      </c>
      <c r="C858" s="17" t="s">
        <v>9530</v>
      </c>
      <c r="D858" s="17" t="s">
        <v>21</v>
      </c>
      <c r="E858" s="24">
        <v>1210</v>
      </c>
      <c r="F858" s="17" t="s">
        <v>389</v>
      </c>
      <c r="G858" s="17" t="str">
        <f>Config!$B$3</f>
        <v>SCH/R_IEC.SchLib</v>
      </c>
      <c r="H858" s="17" t="s">
        <v>419</v>
      </c>
      <c r="I858" s="17" t="s">
        <v>461</v>
      </c>
      <c r="J858" s="17" t="s">
        <v>12473</v>
      </c>
      <c r="K858" s="17"/>
      <c r="L858" s="17"/>
      <c r="M858" s="21">
        <v>2700000</v>
      </c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  <c r="AA858" s="17"/>
      <c r="AB858" s="17"/>
    </row>
    <row r="859" spans="1:28">
      <c r="A859" s="17" t="s">
        <v>9531</v>
      </c>
      <c r="B859" s="17" t="s">
        <v>9531</v>
      </c>
      <c r="C859" s="17" t="s">
        <v>9532</v>
      </c>
      <c r="D859" s="17" t="s">
        <v>21</v>
      </c>
      <c r="E859" s="24">
        <v>1210</v>
      </c>
      <c r="F859" s="17" t="s">
        <v>391</v>
      </c>
      <c r="G859" s="17" t="str">
        <f>Config!$B$3</f>
        <v>SCH/R_IEC.SchLib</v>
      </c>
      <c r="H859" s="17" t="s">
        <v>419</v>
      </c>
      <c r="I859" s="17" t="s">
        <v>461</v>
      </c>
      <c r="J859" s="17" t="s">
        <v>12473</v>
      </c>
      <c r="K859" s="17"/>
      <c r="L859" s="17"/>
      <c r="M859" s="21">
        <v>3000000</v>
      </c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</row>
    <row r="860" spans="1:28">
      <c r="A860" s="17" t="s">
        <v>9533</v>
      </c>
      <c r="B860" s="17" t="s">
        <v>9533</v>
      </c>
      <c r="C860" s="17" t="s">
        <v>9534</v>
      </c>
      <c r="D860" s="17" t="s">
        <v>21</v>
      </c>
      <c r="E860" s="24">
        <v>1210</v>
      </c>
      <c r="F860" s="17" t="s">
        <v>393</v>
      </c>
      <c r="G860" s="17" t="str">
        <f>Config!$B$3</f>
        <v>SCH/R_IEC.SchLib</v>
      </c>
      <c r="H860" s="17" t="s">
        <v>419</v>
      </c>
      <c r="I860" s="17" t="s">
        <v>461</v>
      </c>
      <c r="J860" s="17" t="s">
        <v>12473</v>
      </c>
      <c r="K860" s="17"/>
      <c r="L860" s="17"/>
      <c r="M860" s="21">
        <v>3300000</v>
      </c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</row>
    <row r="861" spans="1:28">
      <c r="A861" s="17" t="s">
        <v>9535</v>
      </c>
      <c r="B861" s="17" t="s">
        <v>9535</v>
      </c>
      <c r="C861" s="17" t="s">
        <v>9536</v>
      </c>
      <c r="D861" s="17" t="s">
        <v>21</v>
      </c>
      <c r="E861" s="24">
        <v>1210</v>
      </c>
      <c r="F861" s="17" t="s">
        <v>395</v>
      </c>
      <c r="G861" s="17" t="str">
        <f>Config!$B$3</f>
        <v>SCH/R_IEC.SchLib</v>
      </c>
      <c r="H861" s="17" t="s">
        <v>419</v>
      </c>
      <c r="I861" s="17" t="s">
        <v>461</v>
      </c>
      <c r="J861" s="17" t="s">
        <v>12473</v>
      </c>
      <c r="K861" s="17"/>
      <c r="L861" s="17"/>
      <c r="M861" s="21">
        <v>3600000</v>
      </c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</row>
    <row r="862" spans="1:28">
      <c r="A862" s="17" t="s">
        <v>9537</v>
      </c>
      <c r="B862" s="17" t="s">
        <v>9537</v>
      </c>
      <c r="C862" s="17" t="s">
        <v>9538</v>
      </c>
      <c r="D862" s="17" t="s">
        <v>21</v>
      </c>
      <c r="E862" s="24">
        <v>1210</v>
      </c>
      <c r="F862" s="17" t="s">
        <v>397</v>
      </c>
      <c r="G862" s="17" t="str">
        <f>Config!$B$3</f>
        <v>SCH/R_IEC.SchLib</v>
      </c>
      <c r="H862" s="17" t="s">
        <v>419</v>
      </c>
      <c r="I862" s="17" t="s">
        <v>461</v>
      </c>
      <c r="J862" s="17" t="s">
        <v>12473</v>
      </c>
      <c r="K862" s="17"/>
      <c r="L862" s="17"/>
      <c r="M862" s="21">
        <v>3900000</v>
      </c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</row>
    <row r="863" spans="1:28">
      <c r="A863" s="17" t="s">
        <v>9539</v>
      </c>
      <c r="B863" s="17" t="s">
        <v>9539</v>
      </c>
      <c r="C863" s="17" t="s">
        <v>9540</v>
      </c>
      <c r="D863" s="17" t="s">
        <v>21</v>
      </c>
      <c r="E863" s="24">
        <v>1210</v>
      </c>
      <c r="F863" s="17" t="s">
        <v>399</v>
      </c>
      <c r="G863" s="17" t="str">
        <f>Config!$B$3</f>
        <v>SCH/R_IEC.SchLib</v>
      </c>
      <c r="H863" s="17" t="s">
        <v>419</v>
      </c>
      <c r="I863" s="17" t="s">
        <v>461</v>
      </c>
      <c r="J863" s="17" t="s">
        <v>12473</v>
      </c>
      <c r="K863" s="17"/>
      <c r="L863" s="17"/>
      <c r="M863" s="21">
        <v>4300000</v>
      </c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</row>
    <row r="864" spans="1:28">
      <c r="A864" s="17" t="s">
        <v>9541</v>
      </c>
      <c r="B864" s="17" t="s">
        <v>9541</v>
      </c>
      <c r="C864" s="17" t="s">
        <v>9542</v>
      </c>
      <c r="D864" s="17" t="s">
        <v>21</v>
      </c>
      <c r="E864" s="24">
        <v>1210</v>
      </c>
      <c r="F864" s="17" t="s">
        <v>401</v>
      </c>
      <c r="G864" s="17" t="str">
        <f>Config!$B$3</f>
        <v>SCH/R_IEC.SchLib</v>
      </c>
      <c r="H864" s="17" t="s">
        <v>419</v>
      </c>
      <c r="I864" s="17" t="s">
        <v>461</v>
      </c>
      <c r="J864" s="17" t="s">
        <v>12473</v>
      </c>
      <c r="K864" s="17"/>
      <c r="L864" s="17"/>
      <c r="M864" s="21">
        <v>4700000</v>
      </c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</row>
    <row r="865" spans="1:28">
      <c r="A865" s="17" t="s">
        <v>9543</v>
      </c>
      <c r="B865" s="17" t="s">
        <v>9543</v>
      </c>
      <c r="C865" s="17" t="s">
        <v>9544</v>
      </c>
      <c r="D865" s="17" t="s">
        <v>21</v>
      </c>
      <c r="E865" s="24">
        <v>1210</v>
      </c>
      <c r="F865" s="17" t="s">
        <v>403</v>
      </c>
      <c r="G865" s="17" t="str">
        <f>Config!$B$3</f>
        <v>SCH/R_IEC.SchLib</v>
      </c>
      <c r="H865" s="17" t="s">
        <v>419</v>
      </c>
      <c r="I865" s="17" t="s">
        <v>461</v>
      </c>
      <c r="J865" s="17" t="s">
        <v>12473</v>
      </c>
      <c r="K865" s="17"/>
      <c r="L865" s="17"/>
      <c r="M865" s="21">
        <v>5100000</v>
      </c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</row>
    <row r="866" spans="1:28">
      <c r="A866" s="17" t="s">
        <v>9545</v>
      </c>
      <c r="B866" s="17" t="s">
        <v>9545</v>
      </c>
      <c r="C866" s="17" t="s">
        <v>9546</v>
      </c>
      <c r="D866" s="17" t="s">
        <v>21</v>
      </c>
      <c r="E866" s="24">
        <v>1210</v>
      </c>
      <c r="F866" s="17" t="s">
        <v>405</v>
      </c>
      <c r="G866" s="17" t="str">
        <f>Config!$B$3</f>
        <v>SCH/R_IEC.SchLib</v>
      </c>
      <c r="H866" s="17" t="s">
        <v>419</v>
      </c>
      <c r="I866" s="17" t="s">
        <v>461</v>
      </c>
      <c r="J866" s="17" t="s">
        <v>12473</v>
      </c>
      <c r="K866" s="17"/>
      <c r="L866" s="17"/>
      <c r="M866" s="21">
        <v>5600000</v>
      </c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</row>
    <row r="867" spans="1:28">
      <c r="A867" s="17" t="s">
        <v>9547</v>
      </c>
      <c r="B867" s="17" t="s">
        <v>9547</v>
      </c>
      <c r="C867" s="17" t="s">
        <v>9548</v>
      </c>
      <c r="D867" s="17" t="s">
        <v>21</v>
      </c>
      <c r="E867" s="24">
        <v>1210</v>
      </c>
      <c r="F867" s="17" t="s">
        <v>407</v>
      </c>
      <c r="G867" s="17" t="str">
        <f>Config!$B$3</f>
        <v>SCH/R_IEC.SchLib</v>
      </c>
      <c r="H867" s="17" t="s">
        <v>419</v>
      </c>
      <c r="I867" s="17" t="s">
        <v>461</v>
      </c>
      <c r="J867" s="17" t="s">
        <v>12473</v>
      </c>
      <c r="K867" s="17"/>
      <c r="L867" s="17"/>
      <c r="M867" s="21">
        <v>6200000</v>
      </c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  <c r="AA867" s="17"/>
      <c r="AB867" s="17"/>
    </row>
    <row r="868" spans="1:28">
      <c r="A868" s="17" t="s">
        <v>9549</v>
      </c>
      <c r="B868" s="17" t="s">
        <v>9549</v>
      </c>
      <c r="C868" s="17" t="s">
        <v>9550</v>
      </c>
      <c r="D868" s="17" t="s">
        <v>21</v>
      </c>
      <c r="E868" s="24">
        <v>1210</v>
      </c>
      <c r="F868" s="17" t="s">
        <v>409</v>
      </c>
      <c r="G868" s="17" t="str">
        <f>Config!$B$3</f>
        <v>SCH/R_IEC.SchLib</v>
      </c>
      <c r="H868" s="17" t="s">
        <v>419</v>
      </c>
      <c r="I868" s="17" t="s">
        <v>461</v>
      </c>
      <c r="J868" s="17" t="s">
        <v>12473</v>
      </c>
      <c r="K868" s="17"/>
      <c r="L868" s="17"/>
      <c r="M868" s="21">
        <v>6800000</v>
      </c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  <c r="AA868" s="17"/>
      <c r="AB868" s="17"/>
    </row>
    <row r="869" spans="1:28">
      <c r="A869" s="17" t="s">
        <v>9551</v>
      </c>
      <c r="B869" s="17" t="s">
        <v>9551</v>
      </c>
      <c r="C869" s="17" t="s">
        <v>9552</v>
      </c>
      <c r="D869" s="17" t="s">
        <v>21</v>
      </c>
      <c r="E869" s="24">
        <v>1210</v>
      </c>
      <c r="F869" s="17" t="s">
        <v>411</v>
      </c>
      <c r="G869" s="17" t="str">
        <f>Config!$B$3</f>
        <v>SCH/R_IEC.SchLib</v>
      </c>
      <c r="H869" s="17" t="s">
        <v>419</v>
      </c>
      <c r="I869" s="17" t="s">
        <v>461</v>
      </c>
      <c r="J869" s="17" t="s">
        <v>12473</v>
      </c>
      <c r="K869" s="17"/>
      <c r="L869" s="17"/>
      <c r="M869" s="21">
        <v>7500000</v>
      </c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  <c r="AA869" s="17"/>
      <c r="AB869" s="17"/>
    </row>
    <row r="870" spans="1:28">
      <c r="A870" s="17" t="s">
        <v>9553</v>
      </c>
      <c r="B870" s="17" t="s">
        <v>9553</v>
      </c>
      <c r="C870" s="17" t="s">
        <v>9554</v>
      </c>
      <c r="D870" s="17" t="s">
        <v>21</v>
      </c>
      <c r="E870" s="24">
        <v>1210</v>
      </c>
      <c r="F870" s="17" t="s">
        <v>413</v>
      </c>
      <c r="G870" s="17" t="str">
        <f>Config!$B$3</f>
        <v>SCH/R_IEC.SchLib</v>
      </c>
      <c r="H870" s="17" t="s">
        <v>419</v>
      </c>
      <c r="I870" s="17" t="s">
        <v>461</v>
      </c>
      <c r="J870" s="17" t="s">
        <v>12473</v>
      </c>
      <c r="K870" s="17"/>
      <c r="L870" s="17"/>
      <c r="M870" s="21">
        <v>8200000</v>
      </c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</row>
    <row r="871" spans="1:28">
      <c r="A871" s="17" t="s">
        <v>9555</v>
      </c>
      <c r="B871" s="17" t="s">
        <v>9555</v>
      </c>
      <c r="C871" s="17" t="s">
        <v>9556</v>
      </c>
      <c r="D871" s="17" t="s">
        <v>21</v>
      </c>
      <c r="E871" s="24">
        <v>1210</v>
      </c>
      <c r="F871" s="17" t="s">
        <v>415</v>
      </c>
      <c r="G871" s="17" t="str">
        <f>Config!$B$3</f>
        <v>SCH/R_IEC.SchLib</v>
      </c>
      <c r="H871" s="17" t="s">
        <v>419</v>
      </c>
      <c r="I871" s="17" t="s">
        <v>461</v>
      </c>
      <c r="J871" s="17" t="s">
        <v>12473</v>
      </c>
      <c r="K871" s="17"/>
      <c r="L871" s="17"/>
      <c r="M871" s="21">
        <v>9100000</v>
      </c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</row>
    <row r="872" spans="1:28">
      <c r="A872" s="17" t="s">
        <v>9557</v>
      </c>
      <c r="B872" s="17" t="s">
        <v>9557</v>
      </c>
      <c r="C872" s="17" t="s">
        <v>9558</v>
      </c>
      <c r="D872" s="17" t="s">
        <v>21</v>
      </c>
      <c r="E872" s="24">
        <v>1210</v>
      </c>
      <c r="F872" s="17" t="s">
        <v>417</v>
      </c>
      <c r="G872" s="17" t="str">
        <f>Config!$B$3</f>
        <v>SCH/R_IEC.SchLib</v>
      </c>
      <c r="H872" s="17" t="s">
        <v>419</v>
      </c>
      <c r="I872" s="17" t="s">
        <v>461</v>
      </c>
      <c r="J872" s="17" t="s">
        <v>12473</v>
      </c>
      <c r="K872" s="17"/>
      <c r="L872" s="17"/>
      <c r="M872" s="21">
        <v>10000000</v>
      </c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</row>
    <row r="873" spans="1:28">
      <c r="A873" s="16" t="s">
        <v>10237</v>
      </c>
      <c r="B873" s="16" t="s">
        <v>10237</v>
      </c>
      <c r="C873" s="16" t="s">
        <v>10238</v>
      </c>
      <c r="D873" s="16" t="s">
        <v>21</v>
      </c>
      <c r="E873" s="16">
        <v>1218</v>
      </c>
      <c r="F873" s="16" t="s">
        <v>23</v>
      </c>
      <c r="G873" s="17" t="str">
        <f>Config!$B$3</f>
        <v>SCH/R_IEC.SchLib</v>
      </c>
      <c r="H873" s="16" t="s">
        <v>419</v>
      </c>
      <c r="I873" s="18" t="s">
        <v>461</v>
      </c>
      <c r="J873" s="41"/>
      <c r="K873" s="41"/>
      <c r="L873" s="41"/>
      <c r="M873" s="19">
        <v>0</v>
      </c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</row>
    <row r="874" spans="1:28">
      <c r="A874" s="17" t="s">
        <v>10239</v>
      </c>
      <c r="B874" s="17" t="s">
        <v>10239</v>
      </c>
      <c r="C874" s="17" t="s">
        <v>10240</v>
      </c>
      <c r="D874" s="17" t="s">
        <v>21</v>
      </c>
      <c r="E874" s="24">
        <v>1218</v>
      </c>
      <c r="F874" s="17" t="s">
        <v>29</v>
      </c>
      <c r="G874" s="17" t="str">
        <f>Config!$B$3</f>
        <v>SCH/R_IEC.SchLib</v>
      </c>
      <c r="H874" s="17" t="s">
        <v>419</v>
      </c>
      <c r="I874" s="17" t="s">
        <v>461</v>
      </c>
      <c r="J874" s="41"/>
      <c r="K874" s="41"/>
      <c r="L874" s="41"/>
      <c r="M874" s="17">
        <v>1</v>
      </c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</row>
    <row r="875" spans="1:28">
      <c r="A875" s="17" t="s">
        <v>10241</v>
      </c>
      <c r="B875" s="17" t="s">
        <v>10241</v>
      </c>
      <c r="C875" s="17" t="s">
        <v>10242</v>
      </c>
      <c r="D875" s="17" t="s">
        <v>21</v>
      </c>
      <c r="E875" s="24">
        <v>1218</v>
      </c>
      <c r="F875" s="17" t="s">
        <v>1042</v>
      </c>
      <c r="G875" s="17" t="str">
        <f>Config!$B$3</f>
        <v>SCH/R_IEC.SchLib</v>
      </c>
      <c r="H875" s="17" t="s">
        <v>419</v>
      </c>
      <c r="I875" s="17" t="s">
        <v>461</v>
      </c>
      <c r="J875" s="41"/>
      <c r="K875" s="41"/>
      <c r="L875" s="41"/>
      <c r="M875" s="17">
        <v>1.1000000000000001</v>
      </c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</row>
    <row r="876" spans="1:28">
      <c r="A876" s="17" t="s">
        <v>10243</v>
      </c>
      <c r="B876" s="17" t="s">
        <v>10243</v>
      </c>
      <c r="C876" s="17" t="s">
        <v>10244</v>
      </c>
      <c r="D876" s="17" t="s">
        <v>21</v>
      </c>
      <c r="E876" s="24">
        <v>1218</v>
      </c>
      <c r="F876" s="17" t="s">
        <v>31</v>
      </c>
      <c r="G876" s="17" t="str">
        <f>Config!$B$3</f>
        <v>SCH/R_IEC.SchLib</v>
      </c>
      <c r="H876" s="17" t="s">
        <v>419</v>
      </c>
      <c r="I876" s="17" t="s">
        <v>461</v>
      </c>
      <c r="J876" s="41"/>
      <c r="K876" s="41"/>
      <c r="L876" s="41"/>
      <c r="M876" s="17">
        <v>1.2</v>
      </c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</row>
    <row r="877" spans="1:28">
      <c r="A877" s="17" t="s">
        <v>10245</v>
      </c>
      <c r="B877" s="17" t="s">
        <v>10245</v>
      </c>
      <c r="C877" s="17" t="s">
        <v>10246</v>
      </c>
      <c r="D877" s="17" t="s">
        <v>21</v>
      </c>
      <c r="E877" s="24">
        <v>1218</v>
      </c>
      <c r="F877" s="17" t="s">
        <v>1052</v>
      </c>
      <c r="G877" s="17" t="str">
        <f>Config!$B$3</f>
        <v>SCH/R_IEC.SchLib</v>
      </c>
      <c r="H877" s="17" t="s">
        <v>419</v>
      </c>
      <c r="I877" s="17" t="s">
        <v>461</v>
      </c>
      <c r="J877" s="41"/>
      <c r="K877" s="41"/>
      <c r="L877" s="41"/>
      <c r="M877" s="17">
        <v>1.3</v>
      </c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</row>
    <row r="878" spans="1:28">
      <c r="A878" s="17" t="s">
        <v>10247</v>
      </c>
      <c r="B878" s="17" t="s">
        <v>10247</v>
      </c>
      <c r="C878" s="17" t="s">
        <v>10248</v>
      </c>
      <c r="D878" s="17" t="s">
        <v>21</v>
      </c>
      <c r="E878" s="24">
        <v>1218</v>
      </c>
      <c r="F878" s="17" t="s">
        <v>33</v>
      </c>
      <c r="G878" s="17" t="str">
        <f>Config!$B$3</f>
        <v>SCH/R_IEC.SchLib</v>
      </c>
      <c r="H878" s="17" t="s">
        <v>419</v>
      </c>
      <c r="I878" s="17" t="s">
        <v>461</v>
      </c>
      <c r="J878" s="41"/>
      <c r="K878" s="41"/>
      <c r="L878" s="41"/>
      <c r="M878" s="17">
        <v>1.5</v>
      </c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</row>
    <row r="879" spans="1:28">
      <c r="A879" s="17" t="s">
        <v>10249</v>
      </c>
      <c r="B879" s="17" t="s">
        <v>10249</v>
      </c>
      <c r="C879" s="17" t="s">
        <v>10250</v>
      </c>
      <c r="D879" s="17" t="s">
        <v>21</v>
      </c>
      <c r="E879" s="24">
        <v>1218</v>
      </c>
      <c r="F879" s="17" t="s">
        <v>1062</v>
      </c>
      <c r="G879" s="17" t="str">
        <f>Config!$B$3</f>
        <v>SCH/R_IEC.SchLib</v>
      </c>
      <c r="H879" s="17" t="s">
        <v>419</v>
      </c>
      <c r="I879" s="17" t="s">
        <v>461</v>
      </c>
      <c r="J879" s="41"/>
      <c r="K879" s="41"/>
      <c r="L879" s="41"/>
      <c r="M879" s="17">
        <v>1.6</v>
      </c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</row>
    <row r="880" spans="1:28">
      <c r="A880" s="17" t="s">
        <v>10251</v>
      </c>
      <c r="B880" s="17" t="s">
        <v>10251</v>
      </c>
      <c r="C880" s="17" t="s">
        <v>10252</v>
      </c>
      <c r="D880" s="17" t="s">
        <v>21</v>
      </c>
      <c r="E880" s="24">
        <v>1218</v>
      </c>
      <c r="F880" s="17" t="s">
        <v>35</v>
      </c>
      <c r="G880" s="17" t="str">
        <f>Config!$B$3</f>
        <v>SCH/R_IEC.SchLib</v>
      </c>
      <c r="H880" s="17" t="s">
        <v>419</v>
      </c>
      <c r="I880" s="17" t="s">
        <v>461</v>
      </c>
      <c r="J880" s="41"/>
      <c r="K880" s="41"/>
      <c r="L880" s="41"/>
      <c r="M880" s="17">
        <v>1.8</v>
      </c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</row>
    <row r="881" spans="1:28">
      <c r="A881" s="17" t="s">
        <v>10253</v>
      </c>
      <c r="B881" s="17" t="s">
        <v>10253</v>
      </c>
      <c r="C881" s="17" t="s">
        <v>10254</v>
      </c>
      <c r="D881" s="17" t="s">
        <v>21</v>
      </c>
      <c r="E881" s="24">
        <v>1218</v>
      </c>
      <c r="F881" s="17" t="s">
        <v>1070</v>
      </c>
      <c r="G881" s="17" t="str">
        <f>Config!$B$3</f>
        <v>SCH/R_IEC.SchLib</v>
      </c>
      <c r="H881" s="17" t="s">
        <v>419</v>
      </c>
      <c r="I881" s="17" t="s">
        <v>461</v>
      </c>
      <c r="J881" s="41"/>
      <c r="K881" s="41"/>
      <c r="L881" s="41"/>
      <c r="M881" s="17">
        <v>2</v>
      </c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  <c r="AA881" s="17"/>
      <c r="AB881" s="17"/>
    </row>
    <row r="882" spans="1:28">
      <c r="A882" s="17" t="s">
        <v>10255</v>
      </c>
      <c r="B882" s="17" t="s">
        <v>10255</v>
      </c>
      <c r="C882" s="17" t="s">
        <v>10256</v>
      </c>
      <c r="D882" s="17" t="s">
        <v>21</v>
      </c>
      <c r="E882" s="24">
        <v>1218</v>
      </c>
      <c r="F882" s="17" t="s">
        <v>37</v>
      </c>
      <c r="G882" s="17" t="str">
        <f>Config!$B$3</f>
        <v>SCH/R_IEC.SchLib</v>
      </c>
      <c r="H882" s="17" t="s">
        <v>419</v>
      </c>
      <c r="I882" s="17" t="s">
        <v>461</v>
      </c>
      <c r="J882" s="41"/>
      <c r="K882" s="41"/>
      <c r="L882" s="41"/>
      <c r="M882" s="17">
        <v>2.2000000000000002</v>
      </c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  <c r="AA882" s="17"/>
      <c r="AB882" s="17"/>
    </row>
    <row r="883" spans="1:28">
      <c r="A883" s="17" t="s">
        <v>10257</v>
      </c>
      <c r="B883" s="17" t="s">
        <v>10257</v>
      </c>
      <c r="C883" s="17" t="s">
        <v>10258</v>
      </c>
      <c r="D883" s="17" t="s">
        <v>21</v>
      </c>
      <c r="E883" s="24">
        <v>1218</v>
      </c>
      <c r="F883" s="17" t="s">
        <v>1080</v>
      </c>
      <c r="G883" s="17" t="str">
        <f>Config!$B$3</f>
        <v>SCH/R_IEC.SchLib</v>
      </c>
      <c r="H883" s="17" t="s">
        <v>419</v>
      </c>
      <c r="I883" s="17" t="s">
        <v>461</v>
      </c>
      <c r="J883" s="41"/>
      <c r="K883" s="41"/>
      <c r="L883" s="41"/>
      <c r="M883" s="17">
        <v>2.4</v>
      </c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  <c r="AA883" s="17"/>
      <c r="AB883" s="17"/>
    </row>
    <row r="884" spans="1:28">
      <c r="A884" s="17" t="s">
        <v>10259</v>
      </c>
      <c r="B884" s="17" t="s">
        <v>10259</v>
      </c>
      <c r="C884" s="17" t="s">
        <v>10260</v>
      </c>
      <c r="D884" s="17" t="s">
        <v>21</v>
      </c>
      <c r="E884" s="24">
        <v>1218</v>
      </c>
      <c r="F884" s="17" t="s">
        <v>39</v>
      </c>
      <c r="G884" s="17" t="str">
        <f>Config!$B$3</f>
        <v>SCH/R_IEC.SchLib</v>
      </c>
      <c r="H884" s="17" t="s">
        <v>419</v>
      </c>
      <c r="I884" s="17" t="s">
        <v>461</v>
      </c>
      <c r="J884" s="41"/>
      <c r="K884" s="41"/>
      <c r="L884" s="41"/>
      <c r="M884" s="17">
        <v>2.7</v>
      </c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</row>
    <row r="885" spans="1:28">
      <c r="A885" s="17" t="s">
        <v>10261</v>
      </c>
      <c r="B885" s="17" t="s">
        <v>10261</v>
      </c>
      <c r="C885" s="17" t="s">
        <v>10262</v>
      </c>
      <c r="D885" s="17" t="s">
        <v>21</v>
      </c>
      <c r="E885" s="24">
        <v>1218</v>
      </c>
      <c r="F885" s="17" t="s">
        <v>1088</v>
      </c>
      <c r="G885" s="17" t="str">
        <f>Config!$B$3</f>
        <v>SCH/R_IEC.SchLib</v>
      </c>
      <c r="H885" s="17" t="s">
        <v>419</v>
      </c>
      <c r="I885" s="17" t="s">
        <v>461</v>
      </c>
      <c r="J885" s="41"/>
      <c r="K885" s="41"/>
      <c r="L885" s="41"/>
      <c r="M885" s="17">
        <v>3</v>
      </c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</row>
    <row r="886" spans="1:28">
      <c r="A886" s="17" t="s">
        <v>10263</v>
      </c>
      <c r="B886" s="17" t="s">
        <v>10263</v>
      </c>
      <c r="C886" s="17" t="s">
        <v>10264</v>
      </c>
      <c r="D886" s="17" t="s">
        <v>21</v>
      </c>
      <c r="E886" s="24">
        <v>1218</v>
      </c>
      <c r="F886" s="17" t="s">
        <v>41</v>
      </c>
      <c r="G886" s="17" t="str">
        <f>Config!$B$3</f>
        <v>SCH/R_IEC.SchLib</v>
      </c>
      <c r="H886" s="17" t="s">
        <v>419</v>
      </c>
      <c r="I886" s="17" t="s">
        <v>461</v>
      </c>
      <c r="J886" s="41"/>
      <c r="K886" s="41"/>
      <c r="L886" s="41"/>
      <c r="M886" s="17">
        <v>3.3</v>
      </c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</row>
    <row r="887" spans="1:28">
      <c r="A887" s="17" t="s">
        <v>10265</v>
      </c>
      <c r="B887" s="17" t="s">
        <v>10265</v>
      </c>
      <c r="C887" s="17" t="s">
        <v>10266</v>
      </c>
      <c r="D887" s="17" t="s">
        <v>21</v>
      </c>
      <c r="E887" s="24">
        <v>1218</v>
      </c>
      <c r="F887" s="17" t="s">
        <v>1098</v>
      </c>
      <c r="G887" s="17" t="str">
        <f>Config!$B$3</f>
        <v>SCH/R_IEC.SchLib</v>
      </c>
      <c r="H887" s="17" t="s">
        <v>419</v>
      </c>
      <c r="I887" s="17" t="s">
        <v>461</v>
      </c>
      <c r="J887" s="41"/>
      <c r="K887" s="41"/>
      <c r="L887" s="41"/>
      <c r="M887" s="17">
        <v>3.6</v>
      </c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</row>
    <row r="888" spans="1:28">
      <c r="A888" s="17" t="s">
        <v>10267</v>
      </c>
      <c r="B888" s="17" t="s">
        <v>10267</v>
      </c>
      <c r="C888" s="17" t="s">
        <v>10268</v>
      </c>
      <c r="D888" s="17" t="s">
        <v>21</v>
      </c>
      <c r="E888" s="24">
        <v>1218</v>
      </c>
      <c r="F888" s="17" t="s">
        <v>43</v>
      </c>
      <c r="G888" s="17" t="str">
        <f>Config!$B$3</f>
        <v>SCH/R_IEC.SchLib</v>
      </c>
      <c r="H888" s="17" t="s">
        <v>419</v>
      </c>
      <c r="I888" s="17" t="s">
        <v>461</v>
      </c>
      <c r="J888" s="41"/>
      <c r="K888" s="41"/>
      <c r="L888" s="41"/>
      <c r="M888" s="17">
        <v>3.9</v>
      </c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</row>
    <row r="889" spans="1:28">
      <c r="A889" s="17" t="s">
        <v>10269</v>
      </c>
      <c r="B889" s="17" t="s">
        <v>10269</v>
      </c>
      <c r="C889" s="17" t="s">
        <v>10270</v>
      </c>
      <c r="D889" s="17" t="s">
        <v>21</v>
      </c>
      <c r="E889" s="24">
        <v>1218</v>
      </c>
      <c r="F889" s="17" t="s">
        <v>1106</v>
      </c>
      <c r="G889" s="17" t="str">
        <f>Config!$B$3</f>
        <v>SCH/R_IEC.SchLib</v>
      </c>
      <c r="H889" s="17" t="s">
        <v>419</v>
      </c>
      <c r="I889" s="17" t="s">
        <v>461</v>
      </c>
      <c r="J889" s="41"/>
      <c r="K889" s="41"/>
      <c r="L889" s="41"/>
      <c r="M889" s="17">
        <v>4.3</v>
      </c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</row>
    <row r="890" spans="1:28">
      <c r="A890" s="17" t="s">
        <v>10271</v>
      </c>
      <c r="B890" s="17" t="s">
        <v>10271</v>
      </c>
      <c r="C890" s="17" t="s">
        <v>10272</v>
      </c>
      <c r="D890" s="17" t="s">
        <v>21</v>
      </c>
      <c r="E890" s="24">
        <v>1218</v>
      </c>
      <c r="F890" s="17" t="s">
        <v>45</v>
      </c>
      <c r="G890" s="17" t="str">
        <f>Config!$B$3</f>
        <v>SCH/R_IEC.SchLib</v>
      </c>
      <c r="H890" s="17" t="s">
        <v>419</v>
      </c>
      <c r="I890" s="17" t="s">
        <v>461</v>
      </c>
      <c r="J890" s="41"/>
      <c r="K890" s="41"/>
      <c r="L890" s="41"/>
      <c r="M890" s="17">
        <v>4.7</v>
      </c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  <c r="AA890" s="17"/>
      <c r="AB890" s="17"/>
    </row>
    <row r="891" spans="1:28">
      <c r="A891" s="17" t="s">
        <v>10273</v>
      </c>
      <c r="B891" s="17" t="s">
        <v>10273</v>
      </c>
      <c r="C891" s="17" t="s">
        <v>10274</v>
      </c>
      <c r="D891" s="17" t="s">
        <v>21</v>
      </c>
      <c r="E891" s="24">
        <v>1218</v>
      </c>
      <c r="F891" s="17" t="s">
        <v>1116</v>
      </c>
      <c r="G891" s="17" t="str">
        <f>Config!$B$3</f>
        <v>SCH/R_IEC.SchLib</v>
      </c>
      <c r="H891" s="17" t="s">
        <v>419</v>
      </c>
      <c r="I891" s="17" t="s">
        <v>461</v>
      </c>
      <c r="J891" s="41"/>
      <c r="K891" s="41"/>
      <c r="L891" s="41"/>
      <c r="M891" s="17">
        <v>5.0999999999999996</v>
      </c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  <c r="AA891" s="17"/>
      <c r="AB891" s="17"/>
    </row>
    <row r="892" spans="1:28">
      <c r="A892" s="17" t="s">
        <v>10275</v>
      </c>
      <c r="B892" s="17" t="s">
        <v>10275</v>
      </c>
      <c r="C892" s="17" t="s">
        <v>10276</v>
      </c>
      <c r="D892" s="17" t="s">
        <v>21</v>
      </c>
      <c r="E892" s="24">
        <v>1218</v>
      </c>
      <c r="F892" s="17" t="s">
        <v>47</v>
      </c>
      <c r="G892" s="17" t="str">
        <f>Config!$B$3</f>
        <v>SCH/R_IEC.SchLib</v>
      </c>
      <c r="H892" s="17" t="s">
        <v>419</v>
      </c>
      <c r="I892" s="17" t="s">
        <v>461</v>
      </c>
      <c r="J892" s="41"/>
      <c r="K892" s="41"/>
      <c r="L892" s="41"/>
      <c r="M892" s="17">
        <v>5.6</v>
      </c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  <c r="AA892" s="17"/>
      <c r="AB892" s="17"/>
    </row>
    <row r="893" spans="1:28">
      <c r="A893" s="17" t="s">
        <v>10277</v>
      </c>
      <c r="B893" s="17" t="s">
        <v>10277</v>
      </c>
      <c r="C893" s="17" t="s">
        <v>10278</v>
      </c>
      <c r="D893" s="17" t="s">
        <v>21</v>
      </c>
      <c r="E893" s="24">
        <v>1218</v>
      </c>
      <c r="F893" s="17" t="s">
        <v>1128</v>
      </c>
      <c r="G893" s="17" t="str">
        <f>Config!$B$3</f>
        <v>SCH/R_IEC.SchLib</v>
      </c>
      <c r="H893" s="17" t="s">
        <v>419</v>
      </c>
      <c r="I893" s="17" t="s">
        <v>461</v>
      </c>
      <c r="J893" s="41"/>
      <c r="K893" s="41"/>
      <c r="L893" s="41"/>
      <c r="M893" s="17">
        <v>6.2</v>
      </c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</row>
    <row r="894" spans="1:28">
      <c r="A894" s="17" t="s">
        <v>10279</v>
      </c>
      <c r="B894" s="17" t="s">
        <v>10279</v>
      </c>
      <c r="C894" s="17" t="s">
        <v>10280</v>
      </c>
      <c r="D894" s="17" t="s">
        <v>21</v>
      </c>
      <c r="E894" s="24">
        <v>1218</v>
      </c>
      <c r="F894" s="17" t="s">
        <v>49</v>
      </c>
      <c r="G894" s="17" t="str">
        <f>Config!$B$3</f>
        <v>SCH/R_IEC.SchLib</v>
      </c>
      <c r="H894" s="17" t="s">
        <v>419</v>
      </c>
      <c r="I894" s="17" t="s">
        <v>461</v>
      </c>
      <c r="J894" s="41"/>
      <c r="K894" s="41"/>
      <c r="L894" s="41"/>
      <c r="M894" s="17">
        <v>6.8</v>
      </c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</row>
    <row r="895" spans="1:28">
      <c r="A895" s="17" t="s">
        <v>10281</v>
      </c>
      <c r="B895" s="17" t="s">
        <v>10281</v>
      </c>
      <c r="C895" s="17" t="s">
        <v>10282</v>
      </c>
      <c r="D895" s="17" t="s">
        <v>21</v>
      </c>
      <c r="E895" s="24">
        <v>1218</v>
      </c>
      <c r="F895" s="17" t="s">
        <v>1138</v>
      </c>
      <c r="G895" s="17" t="str">
        <f>Config!$B$3</f>
        <v>SCH/R_IEC.SchLib</v>
      </c>
      <c r="H895" s="17" t="s">
        <v>419</v>
      </c>
      <c r="I895" s="17" t="s">
        <v>461</v>
      </c>
      <c r="J895" s="41"/>
      <c r="K895" s="41"/>
      <c r="L895" s="41"/>
      <c r="M895" s="17">
        <v>7.5</v>
      </c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</row>
    <row r="896" spans="1:28">
      <c r="A896" s="17" t="s">
        <v>10283</v>
      </c>
      <c r="B896" s="17" t="s">
        <v>10283</v>
      </c>
      <c r="C896" s="17" t="s">
        <v>10284</v>
      </c>
      <c r="D896" s="17" t="s">
        <v>21</v>
      </c>
      <c r="E896" s="24">
        <v>1218</v>
      </c>
      <c r="F896" s="17" t="s">
        <v>51</v>
      </c>
      <c r="G896" s="17" t="str">
        <f>Config!$B$3</f>
        <v>SCH/R_IEC.SchLib</v>
      </c>
      <c r="H896" s="17" t="s">
        <v>419</v>
      </c>
      <c r="I896" s="17" t="s">
        <v>461</v>
      </c>
      <c r="J896" s="41"/>
      <c r="K896" s="41"/>
      <c r="L896" s="41"/>
      <c r="M896" s="17">
        <v>8.1999999999999993</v>
      </c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</row>
    <row r="897" spans="1:28">
      <c r="A897" s="17" t="s">
        <v>10285</v>
      </c>
      <c r="B897" s="17" t="s">
        <v>10285</v>
      </c>
      <c r="C897" s="17" t="s">
        <v>10286</v>
      </c>
      <c r="D897" s="17" t="s">
        <v>21</v>
      </c>
      <c r="E897" s="24">
        <v>1218</v>
      </c>
      <c r="F897" s="17" t="s">
        <v>1148</v>
      </c>
      <c r="G897" s="17" t="str">
        <f>Config!$B$3</f>
        <v>SCH/R_IEC.SchLib</v>
      </c>
      <c r="H897" s="17" t="s">
        <v>419</v>
      </c>
      <c r="I897" s="17" t="s">
        <v>461</v>
      </c>
      <c r="J897" s="41"/>
      <c r="K897" s="41"/>
      <c r="L897" s="41"/>
      <c r="M897" s="17">
        <v>9.1</v>
      </c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</row>
    <row r="898" spans="1:28">
      <c r="A898" s="17" t="s">
        <v>10287</v>
      </c>
      <c r="B898" s="17" t="s">
        <v>10287</v>
      </c>
      <c r="C898" s="17" t="s">
        <v>10288</v>
      </c>
      <c r="D898" s="17" t="s">
        <v>21</v>
      </c>
      <c r="E898" s="24">
        <v>1218</v>
      </c>
      <c r="F898" s="17" t="s">
        <v>53</v>
      </c>
      <c r="G898" s="17" t="str">
        <f>Config!$B$3</f>
        <v>SCH/R_IEC.SchLib</v>
      </c>
      <c r="H898" s="17" t="s">
        <v>419</v>
      </c>
      <c r="I898" s="17" t="s">
        <v>461</v>
      </c>
      <c r="J898" s="41"/>
      <c r="K898" s="41"/>
      <c r="L898" s="41"/>
      <c r="M898" s="21">
        <v>10</v>
      </c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</row>
    <row r="899" spans="1:28">
      <c r="A899" s="17" t="s">
        <v>10289</v>
      </c>
      <c r="B899" s="17" t="s">
        <v>10289</v>
      </c>
      <c r="C899" s="17" t="s">
        <v>10290</v>
      </c>
      <c r="D899" s="17" t="s">
        <v>21</v>
      </c>
      <c r="E899" s="24">
        <v>1218</v>
      </c>
      <c r="F899" s="17" t="s">
        <v>57</v>
      </c>
      <c r="G899" s="17" t="str">
        <f>Config!$B$3</f>
        <v>SCH/R_IEC.SchLib</v>
      </c>
      <c r="H899" s="17" t="s">
        <v>419</v>
      </c>
      <c r="I899" s="17" t="s">
        <v>461</v>
      </c>
      <c r="J899" s="41"/>
      <c r="K899" s="41"/>
      <c r="L899" s="41"/>
      <c r="M899" s="21">
        <v>11</v>
      </c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</row>
    <row r="900" spans="1:28">
      <c r="A900" s="17" t="s">
        <v>10291</v>
      </c>
      <c r="B900" s="17" t="s">
        <v>10291</v>
      </c>
      <c r="C900" s="17" t="s">
        <v>10292</v>
      </c>
      <c r="D900" s="17" t="s">
        <v>21</v>
      </c>
      <c r="E900" s="24">
        <v>1218</v>
      </c>
      <c r="F900" s="17" t="s">
        <v>59</v>
      </c>
      <c r="G900" s="17" t="str">
        <f>Config!$B$3</f>
        <v>SCH/R_IEC.SchLib</v>
      </c>
      <c r="H900" s="17" t="s">
        <v>419</v>
      </c>
      <c r="I900" s="17" t="s">
        <v>461</v>
      </c>
      <c r="J900" s="41"/>
      <c r="K900" s="41"/>
      <c r="L900" s="41"/>
      <c r="M900" s="21">
        <v>12</v>
      </c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</row>
    <row r="901" spans="1:28">
      <c r="A901" s="17" t="s">
        <v>10293</v>
      </c>
      <c r="B901" s="17" t="s">
        <v>10293</v>
      </c>
      <c r="C901" s="17" t="s">
        <v>10294</v>
      </c>
      <c r="D901" s="17" t="s">
        <v>21</v>
      </c>
      <c r="E901" s="24">
        <v>1218</v>
      </c>
      <c r="F901" s="17" t="s">
        <v>61</v>
      </c>
      <c r="G901" s="17" t="str">
        <f>Config!$B$3</f>
        <v>SCH/R_IEC.SchLib</v>
      </c>
      <c r="H901" s="17" t="s">
        <v>419</v>
      </c>
      <c r="I901" s="17" t="s">
        <v>461</v>
      </c>
      <c r="J901" s="41"/>
      <c r="K901" s="41"/>
      <c r="L901" s="41"/>
      <c r="M901" s="21">
        <v>13</v>
      </c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</row>
    <row r="902" spans="1:28">
      <c r="A902" s="17" t="s">
        <v>10295</v>
      </c>
      <c r="B902" s="17" t="s">
        <v>10295</v>
      </c>
      <c r="C902" s="17" t="s">
        <v>10296</v>
      </c>
      <c r="D902" s="17" t="s">
        <v>21</v>
      </c>
      <c r="E902" s="24">
        <v>1218</v>
      </c>
      <c r="F902" s="17" t="s">
        <v>63</v>
      </c>
      <c r="G902" s="17" t="str">
        <f>Config!$B$3</f>
        <v>SCH/R_IEC.SchLib</v>
      </c>
      <c r="H902" s="17" t="s">
        <v>419</v>
      </c>
      <c r="I902" s="17" t="s">
        <v>461</v>
      </c>
      <c r="J902" s="41"/>
      <c r="K902" s="41"/>
      <c r="L902" s="41"/>
      <c r="M902" s="21">
        <v>15</v>
      </c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</row>
    <row r="903" spans="1:28">
      <c r="A903" s="17" t="s">
        <v>10297</v>
      </c>
      <c r="B903" s="17" t="s">
        <v>10297</v>
      </c>
      <c r="C903" s="17" t="s">
        <v>10298</v>
      </c>
      <c r="D903" s="17" t="s">
        <v>21</v>
      </c>
      <c r="E903" s="24">
        <v>1218</v>
      </c>
      <c r="F903" s="17" t="s">
        <v>65</v>
      </c>
      <c r="G903" s="17" t="str">
        <f>Config!$B$3</f>
        <v>SCH/R_IEC.SchLib</v>
      </c>
      <c r="H903" s="17" t="s">
        <v>419</v>
      </c>
      <c r="I903" s="17" t="s">
        <v>461</v>
      </c>
      <c r="J903" s="41"/>
      <c r="K903" s="41"/>
      <c r="L903" s="41"/>
      <c r="M903" s="21">
        <v>16</v>
      </c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</row>
    <row r="904" spans="1:28">
      <c r="A904" s="17" t="s">
        <v>10299</v>
      </c>
      <c r="B904" s="17" t="s">
        <v>10299</v>
      </c>
      <c r="C904" s="17" t="s">
        <v>10300</v>
      </c>
      <c r="D904" s="17" t="s">
        <v>21</v>
      </c>
      <c r="E904" s="24">
        <v>1218</v>
      </c>
      <c r="F904" s="17" t="s">
        <v>67</v>
      </c>
      <c r="G904" s="17" t="str">
        <f>Config!$B$3</f>
        <v>SCH/R_IEC.SchLib</v>
      </c>
      <c r="H904" s="17" t="s">
        <v>419</v>
      </c>
      <c r="I904" s="17" t="s">
        <v>461</v>
      </c>
      <c r="J904" s="41"/>
      <c r="K904" s="41"/>
      <c r="L904" s="41"/>
      <c r="M904" s="21">
        <v>18</v>
      </c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</row>
    <row r="905" spans="1:28">
      <c r="A905" s="17" t="s">
        <v>10301</v>
      </c>
      <c r="B905" s="17" t="s">
        <v>10301</v>
      </c>
      <c r="C905" s="17" t="s">
        <v>10302</v>
      </c>
      <c r="D905" s="17" t="s">
        <v>21</v>
      </c>
      <c r="E905" s="24">
        <v>1218</v>
      </c>
      <c r="F905" s="17" t="s">
        <v>69</v>
      </c>
      <c r="G905" s="17" t="str">
        <f>Config!$B$3</f>
        <v>SCH/R_IEC.SchLib</v>
      </c>
      <c r="H905" s="17" t="s">
        <v>419</v>
      </c>
      <c r="I905" s="17" t="s">
        <v>461</v>
      </c>
      <c r="J905" s="41"/>
      <c r="K905" s="41"/>
      <c r="L905" s="41"/>
      <c r="M905" s="21">
        <v>20</v>
      </c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  <c r="AA905" s="17"/>
      <c r="AB905" s="17"/>
    </row>
    <row r="906" spans="1:28">
      <c r="A906" s="17" t="s">
        <v>10303</v>
      </c>
      <c r="B906" s="17" t="s">
        <v>10303</v>
      </c>
      <c r="C906" s="17" t="s">
        <v>10304</v>
      </c>
      <c r="D906" s="17" t="s">
        <v>21</v>
      </c>
      <c r="E906" s="24">
        <v>1218</v>
      </c>
      <c r="F906" s="17" t="s">
        <v>71</v>
      </c>
      <c r="G906" s="17" t="str">
        <f>Config!$B$3</f>
        <v>SCH/R_IEC.SchLib</v>
      </c>
      <c r="H906" s="17" t="s">
        <v>419</v>
      </c>
      <c r="I906" s="17" t="s">
        <v>461</v>
      </c>
      <c r="J906" s="41"/>
      <c r="K906" s="41"/>
      <c r="L906" s="41"/>
      <c r="M906" s="21">
        <v>22</v>
      </c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  <c r="AA906" s="17"/>
      <c r="AB906" s="17"/>
    </row>
    <row r="907" spans="1:28">
      <c r="A907" s="17" t="s">
        <v>10305</v>
      </c>
      <c r="B907" s="17" t="s">
        <v>10305</v>
      </c>
      <c r="C907" s="17" t="s">
        <v>10306</v>
      </c>
      <c r="D907" s="17" t="s">
        <v>21</v>
      </c>
      <c r="E907" s="24">
        <v>1218</v>
      </c>
      <c r="F907" s="17" t="s">
        <v>75</v>
      </c>
      <c r="G907" s="17" t="str">
        <f>Config!$B$3</f>
        <v>SCH/R_IEC.SchLib</v>
      </c>
      <c r="H907" s="17" t="s">
        <v>419</v>
      </c>
      <c r="I907" s="17" t="s">
        <v>461</v>
      </c>
      <c r="J907" s="41"/>
      <c r="K907" s="41"/>
      <c r="L907" s="41"/>
      <c r="M907" s="21">
        <v>24</v>
      </c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  <c r="AA907" s="17"/>
      <c r="AB907" s="17"/>
    </row>
    <row r="908" spans="1:28">
      <c r="A908" s="17" t="s">
        <v>10307</v>
      </c>
      <c r="B908" s="17" t="s">
        <v>10307</v>
      </c>
      <c r="C908" s="17" t="s">
        <v>10308</v>
      </c>
      <c r="D908" s="17" t="s">
        <v>21</v>
      </c>
      <c r="E908" s="24">
        <v>1218</v>
      </c>
      <c r="F908" s="17" t="s">
        <v>77</v>
      </c>
      <c r="G908" s="17" t="str">
        <f>Config!$B$3</f>
        <v>SCH/R_IEC.SchLib</v>
      </c>
      <c r="H908" s="17" t="s">
        <v>419</v>
      </c>
      <c r="I908" s="17" t="s">
        <v>461</v>
      </c>
      <c r="J908" s="41"/>
      <c r="K908" s="41"/>
      <c r="L908" s="41"/>
      <c r="M908" s="21">
        <v>27</v>
      </c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</row>
    <row r="909" spans="1:28">
      <c r="A909" s="17" t="s">
        <v>10309</v>
      </c>
      <c r="B909" s="17" t="s">
        <v>10309</v>
      </c>
      <c r="C909" s="17" t="s">
        <v>10310</v>
      </c>
      <c r="D909" s="17" t="s">
        <v>21</v>
      </c>
      <c r="E909" s="24">
        <v>1218</v>
      </c>
      <c r="F909" s="17" t="s">
        <v>79</v>
      </c>
      <c r="G909" s="17" t="str">
        <f>Config!$B$3</f>
        <v>SCH/R_IEC.SchLib</v>
      </c>
      <c r="H909" s="17" t="s">
        <v>419</v>
      </c>
      <c r="I909" s="17" t="s">
        <v>461</v>
      </c>
      <c r="J909" s="41"/>
      <c r="K909" s="41"/>
      <c r="L909" s="41"/>
      <c r="M909" s="21">
        <v>30</v>
      </c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</row>
    <row r="910" spans="1:28">
      <c r="A910" s="17" t="s">
        <v>10311</v>
      </c>
      <c r="B910" s="17" t="s">
        <v>10311</v>
      </c>
      <c r="C910" s="17" t="s">
        <v>10312</v>
      </c>
      <c r="D910" s="17" t="s">
        <v>21</v>
      </c>
      <c r="E910" s="24">
        <v>1218</v>
      </c>
      <c r="F910" s="17" t="s">
        <v>81</v>
      </c>
      <c r="G910" s="17" t="str">
        <f>Config!$B$3</f>
        <v>SCH/R_IEC.SchLib</v>
      </c>
      <c r="H910" s="17" t="s">
        <v>419</v>
      </c>
      <c r="I910" s="17" t="s">
        <v>461</v>
      </c>
      <c r="J910" s="41"/>
      <c r="K910" s="41"/>
      <c r="L910" s="41"/>
      <c r="M910" s="21">
        <v>33</v>
      </c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</row>
    <row r="911" spans="1:28">
      <c r="A911" s="17" t="s">
        <v>10313</v>
      </c>
      <c r="B911" s="17" t="s">
        <v>10313</v>
      </c>
      <c r="C911" s="17" t="s">
        <v>10314</v>
      </c>
      <c r="D911" s="17" t="s">
        <v>21</v>
      </c>
      <c r="E911" s="24">
        <v>1218</v>
      </c>
      <c r="F911" s="17" t="s">
        <v>83</v>
      </c>
      <c r="G911" s="17" t="str">
        <f>Config!$B$3</f>
        <v>SCH/R_IEC.SchLib</v>
      </c>
      <c r="H911" s="17" t="s">
        <v>419</v>
      </c>
      <c r="I911" s="17" t="s">
        <v>461</v>
      </c>
      <c r="J911" s="41"/>
      <c r="K911" s="41"/>
      <c r="L911" s="41"/>
      <c r="M911" s="21">
        <v>36</v>
      </c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  <c r="AA911" s="17"/>
      <c r="AB911" s="17"/>
    </row>
    <row r="912" spans="1:28">
      <c r="A912" s="17" t="s">
        <v>10315</v>
      </c>
      <c r="B912" s="17" t="s">
        <v>10315</v>
      </c>
      <c r="C912" s="17" t="s">
        <v>10316</v>
      </c>
      <c r="D912" s="17" t="s">
        <v>21</v>
      </c>
      <c r="E912" s="24">
        <v>1218</v>
      </c>
      <c r="F912" s="17" t="s">
        <v>85</v>
      </c>
      <c r="G912" s="17" t="str">
        <f>Config!$B$3</f>
        <v>SCH/R_IEC.SchLib</v>
      </c>
      <c r="H912" s="17" t="s">
        <v>419</v>
      </c>
      <c r="I912" s="17" t="s">
        <v>461</v>
      </c>
      <c r="J912" s="41"/>
      <c r="K912" s="41"/>
      <c r="L912" s="41"/>
      <c r="M912" s="21">
        <v>39</v>
      </c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  <c r="AA912" s="17"/>
      <c r="AB912" s="17"/>
    </row>
    <row r="913" spans="1:28">
      <c r="A913" s="17" t="s">
        <v>10317</v>
      </c>
      <c r="B913" s="17" t="s">
        <v>10317</v>
      </c>
      <c r="C913" s="17" t="s">
        <v>10318</v>
      </c>
      <c r="D913" s="17" t="s">
        <v>21</v>
      </c>
      <c r="E913" s="24">
        <v>1218</v>
      </c>
      <c r="F913" s="17" t="s">
        <v>87</v>
      </c>
      <c r="G913" s="17" t="str">
        <f>Config!$B$3</f>
        <v>SCH/R_IEC.SchLib</v>
      </c>
      <c r="H913" s="17" t="s">
        <v>419</v>
      </c>
      <c r="I913" s="17" t="s">
        <v>461</v>
      </c>
      <c r="J913" s="41"/>
      <c r="K913" s="41"/>
      <c r="L913" s="41"/>
      <c r="M913" s="21">
        <v>43</v>
      </c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  <c r="AA913" s="17"/>
      <c r="AB913" s="17"/>
    </row>
    <row r="914" spans="1:28">
      <c r="A914" s="17" t="s">
        <v>10319</v>
      </c>
      <c r="B914" s="17" t="s">
        <v>10319</v>
      </c>
      <c r="C914" s="17" t="s">
        <v>10320</v>
      </c>
      <c r="D914" s="17" t="s">
        <v>21</v>
      </c>
      <c r="E914" s="24">
        <v>1218</v>
      </c>
      <c r="F914" s="17" t="s">
        <v>89</v>
      </c>
      <c r="G914" s="17" t="str">
        <f>Config!$B$3</f>
        <v>SCH/R_IEC.SchLib</v>
      </c>
      <c r="H914" s="17" t="s">
        <v>419</v>
      </c>
      <c r="I914" s="17" t="s">
        <v>461</v>
      </c>
      <c r="J914" s="41"/>
      <c r="K914" s="41"/>
      <c r="L914" s="41"/>
      <c r="M914" s="21">
        <v>47</v>
      </c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</row>
    <row r="915" spans="1:28">
      <c r="A915" s="17" t="s">
        <v>10321</v>
      </c>
      <c r="B915" s="17" t="s">
        <v>10321</v>
      </c>
      <c r="C915" s="17" t="s">
        <v>10322</v>
      </c>
      <c r="D915" s="17" t="s">
        <v>21</v>
      </c>
      <c r="E915" s="24">
        <v>1218</v>
      </c>
      <c r="F915" s="17" t="s">
        <v>91</v>
      </c>
      <c r="G915" s="17" t="str">
        <f>Config!$B$3</f>
        <v>SCH/R_IEC.SchLib</v>
      </c>
      <c r="H915" s="17" t="s">
        <v>419</v>
      </c>
      <c r="I915" s="17" t="s">
        <v>461</v>
      </c>
      <c r="J915" s="41"/>
      <c r="K915" s="41"/>
      <c r="L915" s="41"/>
      <c r="M915" s="21">
        <v>51</v>
      </c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  <c r="AA915" s="17"/>
      <c r="AB915" s="17"/>
    </row>
    <row r="916" spans="1:28">
      <c r="A916" s="17" t="s">
        <v>10323</v>
      </c>
      <c r="B916" s="17" t="s">
        <v>10323</v>
      </c>
      <c r="C916" s="17" t="s">
        <v>10324</v>
      </c>
      <c r="D916" s="17" t="s">
        <v>21</v>
      </c>
      <c r="E916" s="24">
        <v>1218</v>
      </c>
      <c r="F916" s="17" t="s">
        <v>93</v>
      </c>
      <c r="G916" s="17" t="str">
        <f>Config!$B$3</f>
        <v>SCH/R_IEC.SchLib</v>
      </c>
      <c r="H916" s="17" t="s">
        <v>419</v>
      </c>
      <c r="I916" s="17" t="s">
        <v>461</v>
      </c>
      <c r="J916" s="41"/>
      <c r="K916" s="41"/>
      <c r="L916" s="41"/>
      <c r="M916" s="21">
        <v>56</v>
      </c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  <c r="AA916" s="17"/>
      <c r="AB916" s="17"/>
    </row>
    <row r="917" spans="1:28">
      <c r="A917" s="17" t="s">
        <v>10325</v>
      </c>
      <c r="B917" s="17" t="s">
        <v>10325</v>
      </c>
      <c r="C917" s="17" t="s">
        <v>10326</v>
      </c>
      <c r="D917" s="17" t="s">
        <v>21</v>
      </c>
      <c r="E917" s="24">
        <v>1218</v>
      </c>
      <c r="F917" s="17" t="s">
        <v>95</v>
      </c>
      <c r="G917" s="17" t="str">
        <f>Config!$B$3</f>
        <v>SCH/R_IEC.SchLib</v>
      </c>
      <c r="H917" s="17" t="s">
        <v>419</v>
      </c>
      <c r="I917" s="17" t="s">
        <v>461</v>
      </c>
      <c r="J917" s="41"/>
      <c r="K917" s="41"/>
      <c r="L917" s="41"/>
      <c r="M917" s="21">
        <v>62</v>
      </c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  <c r="AA917" s="17"/>
      <c r="AB917" s="17"/>
    </row>
    <row r="918" spans="1:28">
      <c r="A918" s="17" t="s">
        <v>10327</v>
      </c>
      <c r="B918" s="17" t="s">
        <v>10327</v>
      </c>
      <c r="C918" s="17" t="s">
        <v>10328</v>
      </c>
      <c r="D918" s="17" t="s">
        <v>21</v>
      </c>
      <c r="E918" s="24">
        <v>1218</v>
      </c>
      <c r="F918" s="17" t="s">
        <v>97</v>
      </c>
      <c r="G918" s="17" t="str">
        <f>Config!$B$3</f>
        <v>SCH/R_IEC.SchLib</v>
      </c>
      <c r="H918" s="17" t="s">
        <v>419</v>
      </c>
      <c r="I918" s="17" t="s">
        <v>461</v>
      </c>
      <c r="J918" s="41"/>
      <c r="K918" s="41"/>
      <c r="L918" s="41"/>
      <c r="M918" s="21">
        <v>68</v>
      </c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</row>
    <row r="919" spans="1:28">
      <c r="A919" s="17" t="s">
        <v>10329</v>
      </c>
      <c r="B919" s="17" t="s">
        <v>10329</v>
      </c>
      <c r="C919" s="17" t="s">
        <v>10330</v>
      </c>
      <c r="D919" s="17" t="s">
        <v>21</v>
      </c>
      <c r="E919" s="24">
        <v>1218</v>
      </c>
      <c r="F919" s="17" t="s">
        <v>99</v>
      </c>
      <c r="G919" s="17" t="str">
        <f>Config!$B$3</f>
        <v>SCH/R_IEC.SchLib</v>
      </c>
      <c r="H919" s="17" t="s">
        <v>419</v>
      </c>
      <c r="I919" s="17" t="s">
        <v>461</v>
      </c>
      <c r="J919" s="41"/>
      <c r="K919" s="41"/>
      <c r="L919" s="41"/>
      <c r="M919" s="21">
        <v>75</v>
      </c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</row>
    <row r="920" spans="1:28">
      <c r="A920" s="17" t="s">
        <v>10331</v>
      </c>
      <c r="B920" s="17" t="s">
        <v>10331</v>
      </c>
      <c r="C920" s="17" t="s">
        <v>10332</v>
      </c>
      <c r="D920" s="17" t="s">
        <v>21</v>
      </c>
      <c r="E920" s="24">
        <v>1218</v>
      </c>
      <c r="F920" s="17" t="s">
        <v>101</v>
      </c>
      <c r="G920" s="17" t="str">
        <f>Config!$B$3</f>
        <v>SCH/R_IEC.SchLib</v>
      </c>
      <c r="H920" s="17" t="s">
        <v>419</v>
      </c>
      <c r="I920" s="17" t="s">
        <v>461</v>
      </c>
      <c r="J920" s="41"/>
      <c r="K920" s="41"/>
      <c r="L920" s="41"/>
      <c r="M920" s="21">
        <v>82</v>
      </c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</row>
    <row r="921" spans="1:28">
      <c r="A921" s="17" t="s">
        <v>10333</v>
      </c>
      <c r="B921" s="17" t="s">
        <v>10333</v>
      </c>
      <c r="C921" s="17" t="s">
        <v>10334</v>
      </c>
      <c r="D921" s="17" t="s">
        <v>21</v>
      </c>
      <c r="E921" s="24">
        <v>1218</v>
      </c>
      <c r="F921" s="17" t="s">
        <v>103</v>
      </c>
      <c r="G921" s="17" t="str">
        <f>Config!$B$3</f>
        <v>SCH/R_IEC.SchLib</v>
      </c>
      <c r="H921" s="17" t="s">
        <v>419</v>
      </c>
      <c r="I921" s="17" t="s">
        <v>461</v>
      </c>
      <c r="J921" s="41"/>
      <c r="K921" s="41"/>
      <c r="L921" s="41"/>
      <c r="M921" s="21">
        <v>91</v>
      </c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</row>
    <row r="922" spans="1:28">
      <c r="A922" s="17" t="s">
        <v>10335</v>
      </c>
      <c r="B922" s="17" t="s">
        <v>10335</v>
      </c>
      <c r="C922" s="17" t="s">
        <v>10336</v>
      </c>
      <c r="D922" s="17" t="s">
        <v>21</v>
      </c>
      <c r="E922" s="24">
        <v>1218</v>
      </c>
      <c r="F922" s="17" t="s">
        <v>105</v>
      </c>
      <c r="G922" s="17" t="str">
        <f>Config!$B$3</f>
        <v>SCH/R_IEC.SchLib</v>
      </c>
      <c r="H922" s="17" t="s">
        <v>419</v>
      </c>
      <c r="I922" s="17" t="s">
        <v>461</v>
      </c>
      <c r="J922" s="41"/>
      <c r="K922" s="41"/>
      <c r="L922" s="41"/>
      <c r="M922" s="21">
        <v>100</v>
      </c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</row>
    <row r="923" spans="1:28">
      <c r="A923" s="17" t="s">
        <v>10337</v>
      </c>
      <c r="B923" s="17" t="s">
        <v>10337</v>
      </c>
      <c r="C923" s="17" t="s">
        <v>10338</v>
      </c>
      <c r="D923" s="17" t="s">
        <v>21</v>
      </c>
      <c r="E923" s="24">
        <v>1218</v>
      </c>
      <c r="F923" s="17" t="s">
        <v>109</v>
      </c>
      <c r="G923" s="17" t="str">
        <f>Config!$B$3</f>
        <v>SCH/R_IEC.SchLib</v>
      </c>
      <c r="H923" s="17" t="s">
        <v>419</v>
      </c>
      <c r="I923" s="17" t="s">
        <v>461</v>
      </c>
      <c r="J923" s="41"/>
      <c r="K923" s="41"/>
      <c r="L923" s="41"/>
      <c r="M923" s="21">
        <v>110</v>
      </c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</row>
    <row r="924" spans="1:28">
      <c r="A924" s="17" t="s">
        <v>10339</v>
      </c>
      <c r="B924" s="17" t="s">
        <v>10339</v>
      </c>
      <c r="C924" s="17" t="s">
        <v>10340</v>
      </c>
      <c r="D924" s="17" t="s">
        <v>21</v>
      </c>
      <c r="E924" s="24">
        <v>1218</v>
      </c>
      <c r="F924" s="17" t="s">
        <v>111</v>
      </c>
      <c r="G924" s="17" t="str">
        <f>Config!$B$3</f>
        <v>SCH/R_IEC.SchLib</v>
      </c>
      <c r="H924" s="17" t="s">
        <v>419</v>
      </c>
      <c r="I924" s="17" t="s">
        <v>461</v>
      </c>
      <c r="J924" s="41"/>
      <c r="K924" s="41"/>
      <c r="L924" s="41"/>
      <c r="M924" s="21">
        <v>120</v>
      </c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</row>
    <row r="925" spans="1:28">
      <c r="A925" s="17" t="s">
        <v>10341</v>
      </c>
      <c r="B925" s="17" t="s">
        <v>10341</v>
      </c>
      <c r="C925" s="17" t="s">
        <v>10342</v>
      </c>
      <c r="D925" s="17" t="s">
        <v>21</v>
      </c>
      <c r="E925" s="24">
        <v>1218</v>
      </c>
      <c r="F925" s="17" t="s">
        <v>113</v>
      </c>
      <c r="G925" s="17" t="str">
        <f>Config!$B$3</f>
        <v>SCH/R_IEC.SchLib</v>
      </c>
      <c r="H925" s="17" t="s">
        <v>419</v>
      </c>
      <c r="I925" s="17" t="s">
        <v>461</v>
      </c>
      <c r="J925" s="41"/>
      <c r="K925" s="41"/>
      <c r="L925" s="41"/>
      <c r="M925" s="21">
        <v>130</v>
      </c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</row>
    <row r="926" spans="1:28">
      <c r="A926" s="17" t="s">
        <v>10343</v>
      </c>
      <c r="B926" s="17" t="s">
        <v>10343</v>
      </c>
      <c r="C926" s="17" t="s">
        <v>10344</v>
      </c>
      <c r="D926" s="17" t="s">
        <v>21</v>
      </c>
      <c r="E926" s="24">
        <v>1218</v>
      </c>
      <c r="F926" s="17" t="s">
        <v>115</v>
      </c>
      <c r="G926" s="17" t="str">
        <f>Config!$B$3</f>
        <v>SCH/R_IEC.SchLib</v>
      </c>
      <c r="H926" s="17" t="s">
        <v>419</v>
      </c>
      <c r="I926" s="17" t="s">
        <v>461</v>
      </c>
      <c r="J926" s="41"/>
      <c r="K926" s="41"/>
      <c r="L926" s="41"/>
      <c r="M926" s="21">
        <v>150</v>
      </c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</row>
    <row r="927" spans="1:28">
      <c r="A927" s="17" t="s">
        <v>10345</v>
      </c>
      <c r="B927" s="17" t="s">
        <v>10345</v>
      </c>
      <c r="C927" s="17" t="s">
        <v>10346</v>
      </c>
      <c r="D927" s="17" t="s">
        <v>21</v>
      </c>
      <c r="E927" s="24">
        <v>1218</v>
      </c>
      <c r="F927" s="17" t="s">
        <v>117</v>
      </c>
      <c r="G927" s="17" t="str">
        <f>Config!$B$3</f>
        <v>SCH/R_IEC.SchLib</v>
      </c>
      <c r="H927" s="17" t="s">
        <v>419</v>
      </c>
      <c r="I927" s="17" t="s">
        <v>461</v>
      </c>
      <c r="J927" s="41"/>
      <c r="K927" s="41"/>
      <c r="L927" s="41"/>
      <c r="M927" s="21">
        <v>160</v>
      </c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</row>
    <row r="928" spans="1:28">
      <c r="A928" s="17" t="s">
        <v>10347</v>
      </c>
      <c r="B928" s="17" t="s">
        <v>10347</v>
      </c>
      <c r="C928" s="17" t="s">
        <v>10348</v>
      </c>
      <c r="D928" s="17" t="s">
        <v>21</v>
      </c>
      <c r="E928" s="24">
        <v>1218</v>
      </c>
      <c r="F928" s="17" t="s">
        <v>119</v>
      </c>
      <c r="G928" s="17" t="str">
        <f>Config!$B$3</f>
        <v>SCH/R_IEC.SchLib</v>
      </c>
      <c r="H928" s="17" t="s">
        <v>419</v>
      </c>
      <c r="I928" s="17" t="s">
        <v>461</v>
      </c>
      <c r="J928" s="41"/>
      <c r="K928" s="41"/>
      <c r="L928" s="41"/>
      <c r="M928" s="21">
        <v>180</v>
      </c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</row>
    <row r="929" spans="1:28">
      <c r="A929" s="17" t="s">
        <v>10349</v>
      </c>
      <c r="B929" s="17" t="s">
        <v>10349</v>
      </c>
      <c r="C929" s="17" t="s">
        <v>10350</v>
      </c>
      <c r="D929" s="17" t="s">
        <v>21</v>
      </c>
      <c r="E929" s="24">
        <v>1218</v>
      </c>
      <c r="F929" s="17" t="s">
        <v>123</v>
      </c>
      <c r="G929" s="17" t="str">
        <f>Config!$B$3</f>
        <v>SCH/R_IEC.SchLib</v>
      </c>
      <c r="H929" s="17" t="s">
        <v>419</v>
      </c>
      <c r="I929" s="17" t="s">
        <v>461</v>
      </c>
      <c r="J929" s="41"/>
      <c r="K929" s="41"/>
      <c r="L929" s="41"/>
      <c r="M929" s="21">
        <v>200</v>
      </c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</row>
    <row r="930" spans="1:28">
      <c r="A930" s="17" t="s">
        <v>10351</v>
      </c>
      <c r="B930" s="17" t="s">
        <v>10351</v>
      </c>
      <c r="C930" s="17" t="s">
        <v>10352</v>
      </c>
      <c r="D930" s="17" t="s">
        <v>21</v>
      </c>
      <c r="E930" s="24">
        <v>1218</v>
      </c>
      <c r="F930" s="17" t="s">
        <v>125</v>
      </c>
      <c r="G930" s="17" t="str">
        <f>Config!$B$3</f>
        <v>SCH/R_IEC.SchLib</v>
      </c>
      <c r="H930" s="17" t="s">
        <v>419</v>
      </c>
      <c r="I930" s="17" t="s">
        <v>461</v>
      </c>
      <c r="J930" s="41"/>
      <c r="K930" s="41"/>
      <c r="L930" s="41"/>
      <c r="M930" s="21">
        <v>220</v>
      </c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</row>
    <row r="931" spans="1:28">
      <c r="A931" s="17" t="s">
        <v>10353</v>
      </c>
      <c r="B931" s="17" t="s">
        <v>10353</v>
      </c>
      <c r="C931" s="17" t="s">
        <v>10354</v>
      </c>
      <c r="D931" s="17" t="s">
        <v>21</v>
      </c>
      <c r="E931" s="24">
        <v>1218</v>
      </c>
      <c r="F931" s="17" t="s">
        <v>129</v>
      </c>
      <c r="G931" s="17" t="str">
        <f>Config!$B$3</f>
        <v>SCH/R_IEC.SchLib</v>
      </c>
      <c r="H931" s="17" t="s">
        <v>419</v>
      </c>
      <c r="I931" s="17" t="s">
        <v>461</v>
      </c>
      <c r="J931" s="41"/>
      <c r="K931" s="41"/>
      <c r="L931" s="41"/>
      <c r="M931" s="21">
        <v>240</v>
      </c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</row>
    <row r="932" spans="1:28">
      <c r="A932" s="17" t="s">
        <v>10355</v>
      </c>
      <c r="B932" s="17" t="s">
        <v>10355</v>
      </c>
      <c r="C932" s="17" t="s">
        <v>10356</v>
      </c>
      <c r="D932" s="17" t="s">
        <v>21</v>
      </c>
      <c r="E932" s="24">
        <v>1218</v>
      </c>
      <c r="F932" s="17" t="s">
        <v>131</v>
      </c>
      <c r="G932" s="17" t="str">
        <f>Config!$B$3</f>
        <v>SCH/R_IEC.SchLib</v>
      </c>
      <c r="H932" s="17" t="s">
        <v>419</v>
      </c>
      <c r="I932" s="17" t="s">
        <v>461</v>
      </c>
      <c r="J932" s="41"/>
      <c r="K932" s="41"/>
      <c r="L932" s="41"/>
      <c r="M932" s="21">
        <v>270</v>
      </c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  <c r="AA932" s="17"/>
      <c r="AB932" s="17"/>
    </row>
    <row r="933" spans="1:28">
      <c r="A933" s="17" t="s">
        <v>10357</v>
      </c>
      <c r="B933" s="17" t="s">
        <v>10357</v>
      </c>
      <c r="C933" s="17" t="s">
        <v>10358</v>
      </c>
      <c r="D933" s="17" t="s">
        <v>21</v>
      </c>
      <c r="E933" s="24">
        <v>1218</v>
      </c>
      <c r="F933" s="17" t="s">
        <v>133</v>
      </c>
      <c r="G933" s="17" t="str">
        <f>Config!$B$3</f>
        <v>SCH/R_IEC.SchLib</v>
      </c>
      <c r="H933" s="17" t="s">
        <v>419</v>
      </c>
      <c r="I933" s="17" t="s">
        <v>461</v>
      </c>
      <c r="J933" s="41"/>
      <c r="K933" s="41"/>
      <c r="L933" s="41"/>
      <c r="M933" s="21">
        <v>300</v>
      </c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  <c r="AA933" s="17"/>
      <c r="AB933" s="17"/>
    </row>
    <row r="934" spans="1:28">
      <c r="A934" s="17" t="s">
        <v>10359</v>
      </c>
      <c r="B934" s="17" t="s">
        <v>10359</v>
      </c>
      <c r="C934" s="17" t="s">
        <v>10360</v>
      </c>
      <c r="D934" s="17" t="s">
        <v>21</v>
      </c>
      <c r="E934" s="24">
        <v>1218</v>
      </c>
      <c r="F934" s="17" t="s">
        <v>137</v>
      </c>
      <c r="G934" s="17" t="str">
        <f>Config!$B$3</f>
        <v>SCH/R_IEC.SchLib</v>
      </c>
      <c r="H934" s="17" t="s">
        <v>419</v>
      </c>
      <c r="I934" s="17" t="s">
        <v>461</v>
      </c>
      <c r="J934" s="41"/>
      <c r="K934" s="41"/>
      <c r="L934" s="41"/>
      <c r="M934" s="21">
        <v>330</v>
      </c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  <c r="AA934" s="17"/>
      <c r="AB934" s="17"/>
    </row>
    <row r="935" spans="1:28">
      <c r="A935" s="17" t="s">
        <v>10361</v>
      </c>
      <c r="B935" s="17" t="s">
        <v>10361</v>
      </c>
      <c r="C935" s="17" t="s">
        <v>10362</v>
      </c>
      <c r="D935" s="17" t="s">
        <v>21</v>
      </c>
      <c r="E935" s="24">
        <v>1218</v>
      </c>
      <c r="F935" s="17" t="s">
        <v>139</v>
      </c>
      <c r="G935" s="17" t="str">
        <f>Config!$B$3</f>
        <v>SCH/R_IEC.SchLib</v>
      </c>
      <c r="H935" s="17" t="s">
        <v>419</v>
      </c>
      <c r="I935" s="17" t="s">
        <v>461</v>
      </c>
      <c r="J935" s="41"/>
      <c r="K935" s="41"/>
      <c r="L935" s="41"/>
      <c r="M935" s="21">
        <v>360</v>
      </c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</row>
    <row r="936" spans="1:28">
      <c r="A936" s="17" t="s">
        <v>10363</v>
      </c>
      <c r="B936" s="17" t="s">
        <v>10363</v>
      </c>
      <c r="C936" s="17" t="s">
        <v>10364</v>
      </c>
      <c r="D936" s="17" t="s">
        <v>21</v>
      </c>
      <c r="E936" s="24">
        <v>1218</v>
      </c>
      <c r="F936" s="17" t="s">
        <v>141</v>
      </c>
      <c r="G936" s="17" t="str">
        <f>Config!$B$3</f>
        <v>SCH/R_IEC.SchLib</v>
      </c>
      <c r="H936" s="17" t="s">
        <v>419</v>
      </c>
      <c r="I936" s="17" t="s">
        <v>461</v>
      </c>
      <c r="J936" s="41"/>
      <c r="K936" s="41"/>
      <c r="L936" s="41"/>
      <c r="M936" s="21">
        <v>390</v>
      </c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  <c r="AA936" s="17"/>
      <c r="AB936" s="17"/>
    </row>
    <row r="937" spans="1:28">
      <c r="A937" s="17" t="s">
        <v>10365</v>
      </c>
      <c r="B937" s="17" t="s">
        <v>10365</v>
      </c>
      <c r="C937" s="17" t="s">
        <v>10366</v>
      </c>
      <c r="D937" s="17" t="s">
        <v>21</v>
      </c>
      <c r="E937" s="24">
        <v>1218</v>
      </c>
      <c r="F937" s="17" t="s">
        <v>143</v>
      </c>
      <c r="G937" s="17" t="str">
        <f>Config!$B$3</f>
        <v>SCH/R_IEC.SchLib</v>
      </c>
      <c r="H937" s="17" t="s">
        <v>419</v>
      </c>
      <c r="I937" s="17" t="s">
        <v>461</v>
      </c>
      <c r="J937" s="41"/>
      <c r="K937" s="41"/>
      <c r="L937" s="41"/>
      <c r="M937" s="21">
        <v>430</v>
      </c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  <c r="AA937" s="17"/>
      <c r="AB937" s="17"/>
    </row>
    <row r="938" spans="1:28">
      <c r="A938" s="17" t="s">
        <v>10367</v>
      </c>
      <c r="B938" s="17" t="s">
        <v>10367</v>
      </c>
      <c r="C938" s="17" t="s">
        <v>10368</v>
      </c>
      <c r="D938" s="17" t="s">
        <v>21</v>
      </c>
      <c r="E938" s="24">
        <v>1218</v>
      </c>
      <c r="F938" s="17" t="s">
        <v>145</v>
      </c>
      <c r="G938" s="17" t="str">
        <f>Config!$B$3</f>
        <v>SCH/R_IEC.SchLib</v>
      </c>
      <c r="H938" s="17" t="s">
        <v>419</v>
      </c>
      <c r="I938" s="17" t="s">
        <v>461</v>
      </c>
      <c r="J938" s="41"/>
      <c r="K938" s="41"/>
      <c r="L938" s="41"/>
      <c r="M938" s="21">
        <v>470</v>
      </c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  <c r="AA938" s="17"/>
      <c r="AB938" s="17"/>
    </row>
    <row r="939" spans="1:28">
      <c r="A939" s="17" t="s">
        <v>10369</v>
      </c>
      <c r="B939" s="17" t="s">
        <v>10369</v>
      </c>
      <c r="C939" s="17" t="s">
        <v>10370</v>
      </c>
      <c r="D939" s="17" t="s">
        <v>21</v>
      </c>
      <c r="E939" s="24">
        <v>1218</v>
      </c>
      <c r="F939" s="17" t="s">
        <v>149</v>
      </c>
      <c r="G939" s="17" t="str">
        <f>Config!$B$3</f>
        <v>SCH/R_IEC.SchLib</v>
      </c>
      <c r="H939" s="17" t="s">
        <v>419</v>
      </c>
      <c r="I939" s="17" t="s">
        <v>461</v>
      </c>
      <c r="J939" s="41"/>
      <c r="K939" s="41"/>
      <c r="L939" s="41"/>
      <c r="M939" s="21">
        <v>510</v>
      </c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</row>
    <row r="940" spans="1:28">
      <c r="A940" s="17" t="s">
        <v>10371</v>
      </c>
      <c r="B940" s="17" t="s">
        <v>10371</v>
      </c>
      <c r="C940" s="17" t="s">
        <v>10372</v>
      </c>
      <c r="D940" s="17" t="s">
        <v>21</v>
      </c>
      <c r="E940" s="24">
        <v>1218</v>
      </c>
      <c r="F940" s="17" t="s">
        <v>151</v>
      </c>
      <c r="G940" s="17" t="str">
        <f>Config!$B$3</f>
        <v>SCH/R_IEC.SchLib</v>
      </c>
      <c r="H940" s="17" t="s">
        <v>419</v>
      </c>
      <c r="I940" s="17" t="s">
        <v>461</v>
      </c>
      <c r="J940" s="41"/>
      <c r="K940" s="41"/>
      <c r="L940" s="41"/>
      <c r="M940" s="21">
        <v>560</v>
      </c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</row>
    <row r="941" spans="1:28">
      <c r="A941" s="17" t="s">
        <v>10373</v>
      </c>
      <c r="B941" s="17" t="s">
        <v>10373</v>
      </c>
      <c r="C941" s="17" t="s">
        <v>10374</v>
      </c>
      <c r="D941" s="17" t="s">
        <v>21</v>
      </c>
      <c r="E941" s="24">
        <v>1218</v>
      </c>
      <c r="F941" s="17" t="s">
        <v>153</v>
      </c>
      <c r="G941" s="17" t="str">
        <f>Config!$B$3</f>
        <v>SCH/R_IEC.SchLib</v>
      </c>
      <c r="H941" s="17" t="s">
        <v>419</v>
      </c>
      <c r="I941" s="17" t="s">
        <v>461</v>
      </c>
      <c r="J941" s="41"/>
      <c r="K941" s="41"/>
      <c r="L941" s="41"/>
      <c r="M941" s="21">
        <v>620</v>
      </c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</row>
    <row r="942" spans="1:28">
      <c r="A942" s="17" t="s">
        <v>10375</v>
      </c>
      <c r="B942" s="17" t="s">
        <v>10375</v>
      </c>
      <c r="C942" s="17" t="s">
        <v>10376</v>
      </c>
      <c r="D942" s="17" t="s">
        <v>21</v>
      </c>
      <c r="E942" s="24">
        <v>1218</v>
      </c>
      <c r="F942" s="17" t="s">
        <v>155</v>
      </c>
      <c r="G942" s="17" t="str">
        <f>Config!$B$3</f>
        <v>SCH/R_IEC.SchLib</v>
      </c>
      <c r="H942" s="17" t="s">
        <v>419</v>
      </c>
      <c r="I942" s="17" t="s">
        <v>461</v>
      </c>
      <c r="J942" s="41"/>
      <c r="K942" s="41"/>
      <c r="L942" s="41"/>
      <c r="M942" s="21">
        <v>680</v>
      </c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</row>
    <row r="943" spans="1:28">
      <c r="A943" s="17" t="s">
        <v>10377</v>
      </c>
      <c r="B943" s="17" t="s">
        <v>10377</v>
      </c>
      <c r="C943" s="17" t="s">
        <v>10378</v>
      </c>
      <c r="D943" s="17" t="s">
        <v>21</v>
      </c>
      <c r="E943" s="24">
        <v>1218</v>
      </c>
      <c r="F943" s="17" t="s">
        <v>157</v>
      </c>
      <c r="G943" s="17" t="str">
        <f>Config!$B$3</f>
        <v>SCH/R_IEC.SchLib</v>
      </c>
      <c r="H943" s="17" t="s">
        <v>419</v>
      </c>
      <c r="I943" s="17" t="s">
        <v>461</v>
      </c>
      <c r="J943" s="41"/>
      <c r="K943" s="41"/>
      <c r="L943" s="41"/>
      <c r="M943" s="21">
        <v>750</v>
      </c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</row>
    <row r="944" spans="1:28">
      <c r="A944" s="17" t="s">
        <v>10379</v>
      </c>
      <c r="B944" s="17" t="s">
        <v>10379</v>
      </c>
      <c r="C944" s="17" t="s">
        <v>10380</v>
      </c>
      <c r="D944" s="17" t="s">
        <v>21</v>
      </c>
      <c r="E944" s="24">
        <v>1218</v>
      </c>
      <c r="F944" s="17" t="s">
        <v>159</v>
      </c>
      <c r="G944" s="17" t="str">
        <f>Config!$B$3</f>
        <v>SCH/R_IEC.SchLib</v>
      </c>
      <c r="H944" s="17" t="s">
        <v>419</v>
      </c>
      <c r="I944" s="17" t="s">
        <v>461</v>
      </c>
      <c r="J944" s="41"/>
      <c r="K944" s="41"/>
      <c r="L944" s="41"/>
      <c r="M944" s="21">
        <v>820</v>
      </c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</row>
    <row r="945" spans="1:28">
      <c r="A945" s="17" t="s">
        <v>10381</v>
      </c>
      <c r="B945" s="17" t="s">
        <v>10381</v>
      </c>
      <c r="C945" s="17" t="s">
        <v>10382</v>
      </c>
      <c r="D945" s="17" t="s">
        <v>21</v>
      </c>
      <c r="E945" s="24">
        <v>1218</v>
      </c>
      <c r="F945" s="17" t="s">
        <v>161</v>
      </c>
      <c r="G945" s="17" t="str">
        <f>Config!$B$3</f>
        <v>SCH/R_IEC.SchLib</v>
      </c>
      <c r="H945" s="17" t="s">
        <v>419</v>
      </c>
      <c r="I945" s="17" t="s">
        <v>461</v>
      </c>
      <c r="J945" s="41"/>
      <c r="K945" s="41"/>
      <c r="L945" s="41"/>
      <c r="M945" s="21">
        <v>910</v>
      </c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</row>
    <row r="946" spans="1:28">
      <c r="A946" s="17" t="s">
        <v>10383</v>
      </c>
      <c r="B946" s="17" t="s">
        <v>10383</v>
      </c>
      <c r="C946" s="17" t="s">
        <v>10384</v>
      </c>
      <c r="D946" s="17" t="s">
        <v>21</v>
      </c>
      <c r="E946" s="24">
        <v>1218</v>
      </c>
      <c r="F946" s="17" t="s">
        <v>163</v>
      </c>
      <c r="G946" s="17" t="str">
        <f>Config!$B$3</f>
        <v>SCH/R_IEC.SchLib</v>
      </c>
      <c r="H946" s="17" t="s">
        <v>419</v>
      </c>
      <c r="I946" s="17" t="s">
        <v>461</v>
      </c>
      <c r="J946" s="41"/>
      <c r="K946" s="41"/>
      <c r="L946" s="41"/>
      <c r="M946" s="21">
        <v>1000</v>
      </c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</row>
    <row r="947" spans="1:28">
      <c r="A947" s="17" t="s">
        <v>10385</v>
      </c>
      <c r="B947" s="17" t="s">
        <v>10385</v>
      </c>
      <c r="C947" s="17" t="s">
        <v>10386</v>
      </c>
      <c r="D947" s="17" t="s">
        <v>21</v>
      </c>
      <c r="E947" s="24">
        <v>1218</v>
      </c>
      <c r="F947" s="17" t="s">
        <v>165</v>
      </c>
      <c r="G947" s="17" t="str">
        <f>Config!$B$3</f>
        <v>SCH/R_IEC.SchLib</v>
      </c>
      <c r="H947" s="17" t="s">
        <v>419</v>
      </c>
      <c r="I947" s="17" t="s">
        <v>461</v>
      </c>
      <c r="J947" s="41"/>
      <c r="K947" s="41"/>
      <c r="L947" s="41"/>
      <c r="M947" s="21">
        <v>1100</v>
      </c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</row>
    <row r="948" spans="1:28">
      <c r="A948" s="17" t="s">
        <v>10387</v>
      </c>
      <c r="B948" s="17" t="s">
        <v>10387</v>
      </c>
      <c r="C948" s="17" t="s">
        <v>10388</v>
      </c>
      <c r="D948" s="17" t="s">
        <v>21</v>
      </c>
      <c r="E948" s="24">
        <v>1218</v>
      </c>
      <c r="F948" s="17" t="s">
        <v>167</v>
      </c>
      <c r="G948" s="17" t="str">
        <f>Config!$B$3</f>
        <v>SCH/R_IEC.SchLib</v>
      </c>
      <c r="H948" s="17" t="s">
        <v>419</v>
      </c>
      <c r="I948" s="17" t="s">
        <v>461</v>
      </c>
      <c r="J948" s="41"/>
      <c r="K948" s="41"/>
      <c r="L948" s="41"/>
      <c r="M948" s="21">
        <v>1200</v>
      </c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</row>
    <row r="949" spans="1:28">
      <c r="A949" s="17" t="s">
        <v>10389</v>
      </c>
      <c r="B949" s="17" t="s">
        <v>10389</v>
      </c>
      <c r="C949" s="17" t="s">
        <v>10390</v>
      </c>
      <c r="D949" s="17" t="s">
        <v>21</v>
      </c>
      <c r="E949" s="24">
        <v>1218</v>
      </c>
      <c r="F949" s="17" t="s">
        <v>169</v>
      </c>
      <c r="G949" s="17" t="str">
        <f>Config!$B$3</f>
        <v>SCH/R_IEC.SchLib</v>
      </c>
      <c r="H949" s="17" t="s">
        <v>419</v>
      </c>
      <c r="I949" s="17" t="s">
        <v>461</v>
      </c>
      <c r="J949" s="41"/>
      <c r="K949" s="41"/>
      <c r="L949" s="41"/>
      <c r="M949" s="21">
        <v>1300</v>
      </c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</row>
    <row r="950" spans="1:28">
      <c r="A950" s="17" t="s">
        <v>10391</v>
      </c>
      <c r="B950" s="17" t="s">
        <v>10391</v>
      </c>
      <c r="C950" s="17" t="s">
        <v>10392</v>
      </c>
      <c r="D950" s="17" t="s">
        <v>21</v>
      </c>
      <c r="E950" s="24">
        <v>1218</v>
      </c>
      <c r="F950" s="17" t="s">
        <v>171</v>
      </c>
      <c r="G950" s="17" t="str">
        <f>Config!$B$3</f>
        <v>SCH/R_IEC.SchLib</v>
      </c>
      <c r="H950" s="17" t="s">
        <v>419</v>
      </c>
      <c r="I950" s="17" t="s">
        <v>461</v>
      </c>
      <c r="J950" s="41"/>
      <c r="K950" s="41"/>
      <c r="L950" s="41"/>
      <c r="M950" s="21">
        <v>1500</v>
      </c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</row>
    <row r="951" spans="1:28">
      <c r="A951" s="17" t="s">
        <v>10393</v>
      </c>
      <c r="B951" s="17" t="s">
        <v>10393</v>
      </c>
      <c r="C951" s="17" t="s">
        <v>10394</v>
      </c>
      <c r="D951" s="17" t="s">
        <v>21</v>
      </c>
      <c r="E951" s="24">
        <v>1218</v>
      </c>
      <c r="F951" s="17" t="s">
        <v>175</v>
      </c>
      <c r="G951" s="17" t="str">
        <f>Config!$B$3</f>
        <v>SCH/R_IEC.SchLib</v>
      </c>
      <c r="H951" s="17" t="s">
        <v>419</v>
      </c>
      <c r="I951" s="17" t="s">
        <v>461</v>
      </c>
      <c r="J951" s="41"/>
      <c r="K951" s="41"/>
      <c r="L951" s="41"/>
      <c r="M951" s="21">
        <v>1600</v>
      </c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</row>
    <row r="952" spans="1:28">
      <c r="A952" s="17" t="s">
        <v>10395</v>
      </c>
      <c r="B952" s="17" t="s">
        <v>10395</v>
      </c>
      <c r="C952" s="17" t="s">
        <v>10396</v>
      </c>
      <c r="D952" s="17" t="s">
        <v>21</v>
      </c>
      <c r="E952" s="24">
        <v>1218</v>
      </c>
      <c r="F952" s="17" t="s">
        <v>181</v>
      </c>
      <c r="G952" s="17" t="str">
        <f>Config!$B$3</f>
        <v>SCH/R_IEC.SchLib</v>
      </c>
      <c r="H952" s="17" t="s">
        <v>419</v>
      </c>
      <c r="I952" s="17" t="s">
        <v>461</v>
      </c>
      <c r="J952" s="41"/>
      <c r="K952" s="41"/>
      <c r="L952" s="41"/>
      <c r="M952" s="21">
        <v>1800</v>
      </c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</row>
    <row r="953" spans="1:28">
      <c r="A953" s="17" t="s">
        <v>10397</v>
      </c>
      <c r="B953" s="17" t="s">
        <v>10397</v>
      </c>
      <c r="C953" s="17" t="s">
        <v>10398</v>
      </c>
      <c r="D953" s="17" t="s">
        <v>21</v>
      </c>
      <c r="E953" s="24">
        <v>1218</v>
      </c>
      <c r="F953" s="17" t="s">
        <v>183</v>
      </c>
      <c r="G953" s="17" t="str">
        <f>Config!$B$3</f>
        <v>SCH/R_IEC.SchLib</v>
      </c>
      <c r="H953" s="17" t="s">
        <v>419</v>
      </c>
      <c r="I953" s="17" t="s">
        <v>461</v>
      </c>
      <c r="J953" s="41"/>
      <c r="K953" s="41"/>
      <c r="L953" s="41"/>
      <c r="M953" s="21">
        <v>2000</v>
      </c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  <c r="AA953" s="17"/>
      <c r="AB953" s="17"/>
    </row>
    <row r="954" spans="1:28">
      <c r="A954" s="17" t="s">
        <v>10399</v>
      </c>
      <c r="B954" s="17" t="s">
        <v>10399</v>
      </c>
      <c r="C954" s="17" t="s">
        <v>10400</v>
      </c>
      <c r="D954" s="17" t="s">
        <v>21</v>
      </c>
      <c r="E954" s="24">
        <v>1218</v>
      </c>
      <c r="F954" s="17" t="s">
        <v>187</v>
      </c>
      <c r="G954" s="17" t="str">
        <f>Config!$B$3</f>
        <v>SCH/R_IEC.SchLib</v>
      </c>
      <c r="H954" s="17" t="s">
        <v>419</v>
      </c>
      <c r="I954" s="17" t="s">
        <v>461</v>
      </c>
      <c r="J954" s="41"/>
      <c r="K954" s="41"/>
      <c r="L954" s="41"/>
      <c r="M954" s="21">
        <v>2200</v>
      </c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  <c r="AA954" s="17"/>
      <c r="AB954" s="17"/>
    </row>
    <row r="955" spans="1:28">
      <c r="A955" s="17" t="s">
        <v>10401</v>
      </c>
      <c r="B955" s="17" t="s">
        <v>10401</v>
      </c>
      <c r="C955" s="17" t="s">
        <v>10402</v>
      </c>
      <c r="D955" s="17" t="s">
        <v>21</v>
      </c>
      <c r="E955" s="24">
        <v>1218</v>
      </c>
      <c r="F955" s="17" t="s">
        <v>191</v>
      </c>
      <c r="G955" s="17" t="str">
        <f>Config!$B$3</f>
        <v>SCH/R_IEC.SchLib</v>
      </c>
      <c r="H955" s="17" t="s">
        <v>419</v>
      </c>
      <c r="I955" s="17" t="s">
        <v>461</v>
      </c>
      <c r="J955" s="41"/>
      <c r="K955" s="41"/>
      <c r="L955" s="41"/>
      <c r="M955" s="21">
        <v>2400</v>
      </c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  <c r="AA955" s="17"/>
      <c r="AB955" s="17"/>
    </row>
    <row r="956" spans="1:28">
      <c r="A956" s="17" t="s">
        <v>10403</v>
      </c>
      <c r="B956" s="17" t="s">
        <v>10403</v>
      </c>
      <c r="C956" s="17" t="s">
        <v>10404</v>
      </c>
      <c r="D956" s="17" t="s">
        <v>21</v>
      </c>
      <c r="E956" s="24">
        <v>1218</v>
      </c>
      <c r="F956" s="17" t="s">
        <v>193</v>
      </c>
      <c r="G956" s="17" t="str">
        <f>Config!$B$3</f>
        <v>SCH/R_IEC.SchLib</v>
      </c>
      <c r="H956" s="17" t="s">
        <v>419</v>
      </c>
      <c r="I956" s="17" t="s">
        <v>461</v>
      </c>
      <c r="J956" s="41"/>
      <c r="K956" s="41"/>
      <c r="L956" s="41"/>
      <c r="M956" s="21">
        <v>2700</v>
      </c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</row>
    <row r="957" spans="1:28">
      <c r="A957" s="17" t="s">
        <v>10405</v>
      </c>
      <c r="B957" s="17" t="s">
        <v>10405</v>
      </c>
      <c r="C957" s="17" t="s">
        <v>10406</v>
      </c>
      <c r="D957" s="17" t="s">
        <v>21</v>
      </c>
      <c r="E957" s="24">
        <v>1218</v>
      </c>
      <c r="F957" s="17" t="s">
        <v>197</v>
      </c>
      <c r="G957" s="17" t="str">
        <f>Config!$B$3</f>
        <v>SCH/R_IEC.SchLib</v>
      </c>
      <c r="H957" s="17" t="s">
        <v>419</v>
      </c>
      <c r="I957" s="17" t="s">
        <v>461</v>
      </c>
      <c r="J957" s="41"/>
      <c r="K957" s="41"/>
      <c r="L957" s="41"/>
      <c r="M957" s="21">
        <v>3000</v>
      </c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</row>
    <row r="958" spans="1:28">
      <c r="A958" s="17" t="s">
        <v>10407</v>
      </c>
      <c r="B958" s="17" t="s">
        <v>10407</v>
      </c>
      <c r="C958" s="17" t="s">
        <v>10408</v>
      </c>
      <c r="D958" s="17" t="s">
        <v>21</v>
      </c>
      <c r="E958" s="24">
        <v>1218</v>
      </c>
      <c r="F958" s="17" t="s">
        <v>201</v>
      </c>
      <c r="G958" s="17" t="str">
        <f>Config!$B$3</f>
        <v>SCH/R_IEC.SchLib</v>
      </c>
      <c r="H958" s="17" t="s">
        <v>419</v>
      </c>
      <c r="I958" s="17" t="s">
        <v>461</v>
      </c>
      <c r="J958" s="41"/>
      <c r="K958" s="41"/>
      <c r="L958" s="41"/>
      <c r="M958" s="21">
        <v>3300</v>
      </c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  <c r="AA958" s="17"/>
      <c r="AB958" s="17"/>
    </row>
    <row r="959" spans="1:28">
      <c r="A959" s="17" t="s">
        <v>10409</v>
      </c>
      <c r="B959" s="17" t="s">
        <v>10409</v>
      </c>
      <c r="C959" s="17" t="s">
        <v>10410</v>
      </c>
      <c r="D959" s="17" t="s">
        <v>21</v>
      </c>
      <c r="E959" s="24">
        <v>1218</v>
      </c>
      <c r="F959" s="17" t="s">
        <v>203</v>
      </c>
      <c r="G959" s="17" t="str">
        <f>Config!$B$3</f>
        <v>SCH/R_IEC.SchLib</v>
      </c>
      <c r="H959" s="17" t="s">
        <v>419</v>
      </c>
      <c r="I959" s="17" t="s">
        <v>461</v>
      </c>
      <c r="J959" s="41"/>
      <c r="K959" s="41"/>
      <c r="L959" s="41"/>
      <c r="M959" s="21">
        <v>3600</v>
      </c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  <c r="AA959" s="17"/>
      <c r="AB959" s="17"/>
    </row>
    <row r="960" spans="1:28">
      <c r="A960" s="17" t="s">
        <v>10411</v>
      </c>
      <c r="B960" s="17" t="s">
        <v>10411</v>
      </c>
      <c r="C960" s="17" t="s">
        <v>10412</v>
      </c>
      <c r="D960" s="17" t="s">
        <v>21</v>
      </c>
      <c r="E960" s="24">
        <v>1218</v>
      </c>
      <c r="F960" s="17" t="s">
        <v>205</v>
      </c>
      <c r="G960" s="17" t="str">
        <f>Config!$B$3</f>
        <v>SCH/R_IEC.SchLib</v>
      </c>
      <c r="H960" s="17" t="s">
        <v>419</v>
      </c>
      <c r="I960" s="17" t="s">
        <v>461</v>
      </c>
      <c r="J960" s="41"/>
      <c r="K960" s="41"/>
      <c r="L960" s="41"/>
      <c r="M960" s="21">
        <v>3900</v>
      </c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  <c r="AA960" s="17"/>
      <c r="AB960" s="17"/>
    </row>
    <row r="961" spans="1:28">
      <c r="A961" s="17" t="s">
        <v>10413</v>
      </c>
      <c r="B961" s="17" t="s">
        <v>10413</v>
      </c>
      <c r="C961" s="17" t="s">
        <v>10414</v>
      </c>
      <c r="D961" s="17" t="s">
        <v>21</v>
      </c>
      <c r="E961" s="24">
        <v>1218</v>
      </c>
      <c r="F961" s="17" t="s">
        <v>207</v>
      </c>
      <c r="G961" s="17" t="str">
        <f>Config!$B$3</f>
        <v>SCH/R_IEC.SchLib</v>
      </c>
      <c r="H961" s="17" t="s">
        <v>419</v>
      </c>
      <c r="I961" s="17" t="s">
        <v>461</v>
      </c>
      <c r="J961" s="41"/>
      <c r="K961" s="41"/>
      <c r="L961" s="41"/>
      <c r="M961" s="21">
        <v>4300</v>
      </c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</row>
    <row r="962" spans="1:28">
      <c r="A962" s="17" t="s">
        <v>10415</v>
      </c>
      <c r="B962" s="17" t="s">
        <v>10415</v>
      </c>
      <c r="C962" s="17" t="s">
        <v>10416</v>
      </c>
      <c r="D962" s="17" t="s">
        <v>21</v>
      </c>
      <c r="E962" s="24">
        <v>1218</v>
      </c>
      <c r="F962" s="17" t="s">
        <v>209</v>
      </c>
      <c r="G962" s="17" t="str">
        <f>Config!$B$3</f>
        <v>SCH/R_IEC.SchLib</v>
      </c>
      <c r="H962" s="17" t="s">
        <v>419</v>
      </c>
      <c r="I962" s="17" t="s">
        <v>461</v>
      </c>
      <c r="J962" s="41"/>
      <c r="K962" s="41"/>
      <c r="L962" s="41"/>
      <c r="M962" s="21">
        <v>4700</v>
      </c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</row>
    <row r="963" spans="1:28">
      <c r="A963" s="17" t="s">
        <v>10417</v>
      </c>
      <c r="B963" s="17" t="s">
        <v>10417</v>
      </c>
      <c r="C963" s="17" t="s">
        <v>10418</v>
      </c>
      <c r="D963" s="17" t="s">
        <v>21</v>
      </c>
      <c r="E963" s="24">
        <v>1218</v>
      </c>
      <c r="F963" s="17" t="s">
        <v>213</v>
      </c>
      <c r="G963" s="17" t="str">
        <f>Config!$B$3</f>
        <v>SCH/R_IEC.SchLib</v>
      </c>
      <c r="H963" s="17" t="s">
        <v>419</v>
      </c>
      <c r="I963" s="17" t="s">
        <v>461</v>
      </c>
      <c r="J963" s="41"/>
      <c r="K963" s="41"/>
      <c r="L963" s="41"/>
      <c r="M963" s="21">
        <v>5100</v>
      </c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</row>
    <row r="964" spans="1:28">
      <c r="A964" s="17" t="s">
        <v>10419</v>
      </c>
      <c r="B964" s="17" t="s">
        <v>10419</v>
      </c>
      <c r="C964" s="17" t="s">
        <v>10420</v>
      </c>
      <c r="D964" s="17" t="s">
        <v>21</v>
      </c>
      <c r="E964" s="24">
        <v>1218</v>
      </c>
      <c r="F964" s="17" t="s">
        <v>215</v>
      </c>
      <c r="G964" s="17" t="str">
        <f>Config!$B$3</f>
        <v>SCH/R_IEC.SchLib</v>
      </c>
      <c r="H964" s="17" t="s">
        <v>419</v>
      </c>
      <c r="I964" s="17" t="s">
        <v>461</v>
      </c>
      <c r="J964" s="41"/>
      <c r="K964" s="41"/>
      <c r="L964" s="41"/>
      <c r="M964" s="21">
        <v>5600</v>
      </c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</row>
    <row r="965" spans="1:28">
      <c r="A965" s="17" t="s">
        <v>10421</v>
      </c>
      <c r="B965" s="17" t="s">
        <v>10421</v>
      </c>
      <c r="C965" s="17" t="s">
        <v>10422</v>
      </c>
      <c r="D965" s="17" t="s">
        <v>21</v>
      </c>
      <c r="E965" s="24">
        <v>1218</v>
      </c>
      <c r="F965" s="17" t="s">
        <v>217</v>
      </c>
      <c r="G965" s="17" t="str">
        <f>Config!$B$3</f>
        <v>SCH/R_IEC.SchLib</v>
      </c>
      <c r="H965" s="17" t="s">
        <v>419</v>
      </c>
      <c r="I965" s="17" t="s">
        <v>461</v>
      </c>
      <c r="J965" s="41"/>
      <c r="K965" s="41"/>
      <c r="L965" s="41"/>
      <c r="M965" s="21">
        <v>6200</v>
      </c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</row>
    <row r="966" spans="1:28">
      <c r="A966" s="17" t="s">
        <v>10423</v>
      </c>
      <c r="B966" s="17" t="s">
        <v>10423</v>
      </c>
      <c r="C966" s="17" t="s">
        <v>10424</v>
      </c>
      <c r="D966" s="17" t="s">
        <v>21</v>
      </c>
      <c r="E966" s="24">
        <v>1218</v>
      </c>
      <c r="F966" s="17" t="s">
        <v>219</v>
      </c>
      <c r="G966" s="17" t="str">
        <f>Config!$B$3</f>
        <v>SCH/R_IEC.SchLib</v>
      </c>
      <c r="H966" s="17" t="s">
        <v>419</v>
      </c>
      <c r="I966" s="17" t="s">
        <v>461</v>
      </c>
      <c r="J966" s="41"/>
      <c r="K966" s="41"/>
      <c r="L966" s="41"/>
      <c r="M966" s="21">
        <v>6800</v>
      </c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</row>
    <row r="967" spans="1:28">
      <c r="A967" s="17" t="s">
        <v>10425</v>
      </c>
      <c r="B967" s="17" t="s">
        <v>10425</v>
      </c>
      <c r="C967" s="17" t="s">
        <v>10426</v>
      </c>
      <c r="D967" s="17" t="s">
        <v>21</v>
      </c>
      <c r="E967" s="24">
        <v>1218</v>
      </c>
      <c r="F967" s="17" t="s">
        <v>221</v>
      </c>
      <c r="G967" s="17" t="str">
        <f>Config!$B$3</f>
        <v>SCH/R_IEC.SchLib</v>
      </c>
      <c r="H967" s="17" t="s">
        <v>419</v>
      </c>
      <c r="I967" s="17" t="s">
        <v>461</v>
      </c>
      <c r="J967" s="41"/>
      <c r="K967" s="41"/>
      <c r="L967" s="41"/>
      <c r="M967" s="21">
        <v>7500</v>
      </c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</row>
    <row r="968" spans="1:28">
      <c r="A968" s="17" t="s">
        <v>10427</v>
      </c>
      <c r="B968" s="17" t="s">
        <v>10427</v>
      </c>
      <c r="C968" s="17" t="s">
        <v>10428</v>
      </c>
      <c r="D968" s="17" t="s">
        <v>21</v>
      </c>
      <c r="E968" s="24">
        <v>1218</v>
      </c>
      <c r="F968" s="17" t="s">
        <v>223</v>
      </c>
      <c r="G968" s="17" t="str">
        <f>Config!$B$3</f>
        <v>SCH/R_IEC.SchLib</v>
      </c>
      <c r="H968" s="17" t="s">
        <v>419</v>
      </c>
      <c r="I968" s="17" t="s">
        <v>461</v>
      </c>
      <c r="J968" s="41"/>
      <c r="K968" s="41"/>
      <c r="L968" s="41"/>
      <c r="M968" s="21">
        <v>8200</v>
      </c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</row>
    <row r="969" spans="1:28">
      <c r="A969" s="17" t="s">
        <v>10429</v>
      </c>
      <c r="B969" s="17" t="s">
        <v>10429</v>
      </c>
      <c r="C969" s="17" t="s">
        <v>10430</v>
      </c>
      <c r="D969" s="17" t="s">
        <v>21</v>
      </c>
      <c r="E969" s="24">
        <v>1218</v>
      </c>
      <c r="F969" s="17" t="s">
        <v>225</v>
      </c>
      <c r="G969" s="17" t="str">
        <f>Config!$B$3</f>
        <v>SCH/R_IEC.SchLib</v>
      </c>
      <c r="H969" s="17" t="s">
        <v>419</v>
      </c>
      <c r="I969" s="17" t="s">
        <v>461</v>
      </c>
      <c r="J969" s="41"/>
      <c r="K969" s="41"/>
      <c r="L969" s="41"/>
      <c r="M969" s="21">
        <v>9100</v>
      </c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</row>
    <row r="970" spans="1:28">
      <c r="A970" s="17" t="s">
        <v>10431</v>
      </c>
      <c r="B970" s="17" t="s">
        <v>10431</v>
      </c>
      <c r="C970" s="17" t="s">
        <v>10432</v>
      </c>
      <c r="D970" s="17" t="s">
        <v>21</v>
      </c>
      <c r="E970" s="24">
        <v>1218</v>
      </c>
      <c r="F970" s="17" t="s">
        <v>229</v>
      </c>
      <c r="G970" s="17" t="str">
        <f>Config!$B$3</f>
        <v>SCH/R_IEC.SchLib</v>
      </c>
      <c r="H970" s="17" t="s">
        <v>419</v>
      </c>
      <c r="I970" s="17" t="s">
        <v>461</v>
      </c>
      <c r="J970" s="41"/>
      <c r="K970" s="41"/>
      <c r="L970" s="41"/>
      <c r="M970" s="21">
        <v>10000</v>
      </c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</row>
    <row r="971" spans="1:28">
      <c r="A971" s="17" t="s">
        <v>10433</v>
      </c>
      <c r="B971" s="17" t="s">
        <v>10433</v>
      </c>
      <c r="C971" s="17" t="s">
        <v>10434</v>
      </c>
      <c r="D971" s="17" t="s">
        <v>21</v>
      </c>
      <c r="E971" s="24">
        <v>1218</v>
      </c>
      <c r="F971" s="17" t="s">
        <v>233</v>
      </c>
      <c r="G971" s="17" t="str">
        <f>Config!$B$3</f>
        <v>SCH/R_IEC.SchLib</v>
      </c>
      <c r="H971" s="17" t="s">
        <v>419</v>
      </c>
      <c r="I971" s="17" t="s">
        <v>461</v>
      </c>
      <c r="J971" s="41"/>
      <c r="K971" s="41"/>
      <c r="L971" s="41"/>
      <c r="M971" s="21">
        <v>11000</v>
      </c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</row>
    <row r="972" spans="1:28">
      <c r="A972" s="17" t="s">
        <v>10435</v>
      </c>
      <c r="B972" s="17" t="s">
        <v>10435</v>
      </c>
      <c r="C972" s="17" t="s">
        <v>10436</v>
      </c>
      <c r="D972" s="17" t="s">
        <v>21</v>
      </c>
      <c r="E972" s="24">
        <v>1218</v>
      </c>
      <c r="F972" s="17" t="s">
        <v>235</v>
      </c>
      <c r="G972" s="17" t="str">
        <f>Config!$B$3</f>
        <v>SCH/R_IEC.SchLib</v>
      </c>
      <c r="H972" s="17" t="s">
        <v>419</v>
      </c>
      <c r="I972" s="17" t="s">
        <v>461</v>
      </c>
      <c r="J972" s="41"/>
      <c r="K972" s="41"/>
      <c r="L972" s="41"/>
      <c r="M972" s="21">
        <v>12000</v>
      </c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</row>
    <row r="973" spans="1:28">
      <c r="A973" s="17" t="s">
        <v>10437</v>
      </c>
      <c r="B973" s="17" t="s">
        <v>10437</v>
      </c>
      <c r="C973" s="17" t="s">
        <v>10438</v>
      </c>
      <c r="D973" s="17" t="s">
        <v>21</v>
      </c>
      <c r="E973" s="24">
        <v>1218</v>
      </c>
      <c r="F973" s="17" t="s">
        <v>239</v>
      </c>
      <c r="G973" s="17" t="str">
        <f>Config!$B$3</f>
        <v>SCH/R_IEC.SchLib</v>
      </c>
      <c r="H973" s="17" t="s">
        <v>419</v>
      </c>
      <c r="I973" s="17" t="s">
        <v>461</v>
      </c>
      <c r="J973" s="41"/>
      <c r="K973" s="41"/>
      <c r="L973" s="41"/>
      <c r="M973" s="21">
        <v>13000</v>
      </c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</row>
    <row r="974" spans="1:28">
      <c r="A974" s="17" t="s">
        <v>10439</v>
      </c>
      <c r="B974" s="17" t="s">
        <v>10439</v>
      </c>
      <c r="C974" s="17" t="s">
        <v>10440</v>
      </c>
      <c r="D974" s="17" t="s">
        <v>21</v>
      </c>
      <c r="E974" s="24">
        <v>1218</v>
      </c>
      <c r="F974" s="17" t="s">
        <v>243</v>
      </c>
      <c r="G974" s="17" t="str">
        <f>Config!$B$3</f>
        <v>SCH/R_IEC.SchLib</v>
      </c>
      <c r="H974" s="17" t="s">
        <v>419</v>
      </c>
      <c r="I974" s="17" t="s">
        <v>461</v>
      </c>
      <c r="J974" s="41"/>
      <c r="K974" s="41"/>
      <c r="L974" s="41"/>
      <c r="M974" s="21">
        <v>15000</v>
      </c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</row>
    <row r="975" spans="1:28">
      <c r="A975" s="17" t="s">
        <v>10441</v>
      </c>
      <c r="B975" s="17" t="s">
        <v>10441</v>
      </c>
      <c r="C975" s="17" t="s">
        <v>10442</v>
      </c>
      <c r="D975" s="17" t="s">
        <v>21</v>
      </c>
      <c r="E975" s="24">
        <v>1218</v>
      </c>
      <c r="F975" s="17" t="s">
        <v>247</v>
      </c>
      <c r="G975" s="17" t="str">
        <f>Config!$B$3</f>
        <v>SCH/R_IEC.SchLib</v>
      </c>
      <c r="H975" s="17" t="s">
        <v>419</v>
      </c>
      <c r="I975" s="17" t="s">
        <v>461</v>
      </c>
      <c r="J975" s="41"/>
      <c r="K975" s="41"/>
      <c r="L975" s="41"/>
      <c r="M975" s="21">
        <v>16000</v>
      </c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  <c r="AA975" s="17"/>
      <c r="AB975" s="17"/>
    </row>
    <row r="976" spans="1:28">
      <c r="A976" s="17" t="s">
        <v>10443</v>
      </c>
      <c r="B976" s="17" t="s">
        <v>10443</v>
      </c>
      <c r="C976" s="17" t="s">
        <v>10444</v>
      </c>
      <c r="D976" s="17" t="s">
        <v>21</v>
      </c>
      <c r="E976" s="24">
        <v>1218</v>
      </c>
      <c r="F976" s="17" t="s">
        <v>251</v>
      </c>
      <c r="G976" s="17" t="str">
        <f>Config!$B$3</f>
        <v>SCH/R_IEC.SchLib</v>
      </c>
      <c r="H976" s="17" t="s">
        <v>419</v>
      </c>
      <c r="I976" s="17" t="s">
        <v>461</v>
      </c>
      <c r="J976" s="41"/>
      <c r="K976" s="41"/>
      <c r="L976" s="41"/>
      <c r="M976" s="21">
        <v>18000</v>
      </c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  <c r="AA976" s="17"/>
      <c r="AB976" s="17"/>
    </row>
    <row r="977" spans="1:28">
      <c r="A977" s="17" t="s">
        <v>10445</v>
      </c>
      <c r="B977" s="17" t="s">
        <v>10445</v>
      </c>
      <c r="C977" s="17" t="s">
        <v>10446</v>
      </c>
      <c r="D977" s="17" t="s">
        <v>21</v>
      </c>
      <c r="E977" s="24">
        <v>1218</v>
      </c>
      <c r="F977" s="17" t="s">
        <v>255</v>
      </c>
      <c r="G977" s="17" t="str">
        <f>Config!$B$3</f>
        <v>SCH/R_IEC.SchLib</v>
      </c>
      <c r="H977" s="17" t="s">
        <v>419</v>
      </c>
      <c r="I977" s="17" t="s">
        <v>461</v>
      </c>
      <c r="J977" s="41"/>
      <c r="K977" s="41"/>
      <c r="L977" s="41"/>
      <c r="M977" s="21">
        <v>20000</v>
      </c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  <c r="AA977" s="17"/>
      <c r="AB977" s="17"/>
    </row>
    <row r="978" spans="1:28">
      <c r="A978" s="17" t="s">
        <v>10447</v>
      </c>
      <c r="B978" s="17" t="s">
        <v>10447</v>
      </c>
      <c r="C978" s="17" t="s">
        <v>10448</v>
      </c>
      <c r="D978" s="17" t="s">
        <v>21</v>
      </c>
      <c r="E978" s="24">
        <v>1218</v>
      </c>
      <c r="F978" s="17" t="s">
        <v>257</v>
      </c>
      <c r="G978" s="17" t="str">
        <f>Config!$B$3</f>
        <v>SCH/R_IEC.SchLib</v>
      </c>
      <c r="H978" s="17" t="s">
        <v>419</v>
      </c>
      <c r="I978" s="17" t="s">
        <v>461</v>
      </c>
      <c r="J978" s="41"/>
      <c r="K978" s="41"/>
      <c r="L978" s="41"/>
      <c r="M978" s="21">
        <v>22000</v>
      </c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</row>
    <row r="979" spans="1:28">
      <c r="A979" s="17" t="s">
        <v>10449</v>
      </c>
      <c r="B979" s="17" t="s">
        <v>10449</v>
      </c>
      <c r="C979" s="17" t="s">
        <v>10450</v>
      </c>
      <c r="D979" s="17" t="s">
        <v>21</v>
      </c>
      <c r="E979" s="24">
        <v>1218</v>
      </c>
      <c r="F979" s="17" t="s">
        <v>259</v>
      </c>
      <c r="G979" s="17" t="str">
        <f>Config!$B$3</f>
        <v>SCH/R_IEC.SchLib</v>
      </c>
      <c r="H979" s="17" t="s">
        <v>419</v>
      </c>
      <c r="I979" s="17" t="s">
        <v>461</v>
      </c>
      <c r="J979" s="41"/>
      <c r="K979" s="41"/>
      <c r="L979" s="41"/>
      <c r="M979" s="21">
        <v>24000</v>
      </c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</row>
    <row r="980" spans="1:28">
      <c r="A980" s="17" t="s">
        <v>10451</v>
      </c>
      <c r="B980" s="17" t="s">
        <v>10451</v>
      </c>
      <c r="C980" s="17" t="s">
        <v>10452</v>
      </c>
      <c r="D980" s="17" t="s">
        <v>21</v>
      </c>
      <c r="E980" s="24">
        <v>1218</v>
      </c>
      <c r="F980" s="17" t="s">
        <v>263</v>
      </c>
      <c r="G980" s="17" t="str">
        <f>Config!$B$3</f>
        <v>SCH/R_IEC.SchLib</v>
      </c>
      <c r="H980" s="17" t="s">
        <v>419</v>
      </c>
      <c r="I980" s="17" t="s">
        <v>461</v>
      </c>
      <c r="J980" s="41"/>
      <c r="K980" s="41"/>
      <c r="L980" s="41"/>
      <c r="M980" s="21">
        <v>27000</v>
      </c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</row>
    <row r="981" spans="1:28">
      <c r="A981" s="17" t="s">
        <v>10453</v>
      </c>
      <c r="B981" s="17" t="s">
        <v>10453</v>
      </c>
      <c r="C981" s="17" t="s">
        <v>10454</v>
      </c>
      <c r="D981" s="17" t="s">
        <v>21</v>
      </c>
      <c r="E981" s="24">
        <v>1218</v>
      </c>
      <c r="F981" s="17" t="s">
        <v>265</v>
      </c>
      <c r="G981" s="17" t="str">
        <f>Config!$B$3</f>
        <v>SCH/R_IEC.SchLib</v>
      </c>
      <c r="H981" s="17" t="s">
        <v>419</v>
      </c>
      <c r="I981" s="17" t="s">
        <v>461</v>
      </c>
      <c r="J981" s="41"/>
      <c r="K981" s="41"/>
      <c r="L981" s="41"/>
      <c r="M981" s="21">
        <v>30000</v>
      </c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</row>
    <row r="982" spans="1:28">
      <c r="A982" s="17" t="s">
        <v>10455</v>
      </c>
      <c r="B982" s="17" t="s">
        <v>10455</v>
      </c>
      <c r="C982" s="17" t="s">
        <v>10456</v>
      </c>
      <c r="D982" s="17" t="s">
        <v>21</v>
      </c>
      <c r="E982" s="24">
        <v>1218</v>
      </c>
      <c r="F982" s="17" t="s">
        <v>267</v>
      </c>
      <c r="G982" s="17" t="str">
        <f>Config!$B$3</f>
        <v>SCH/R_IEC.SchLib</v>
      </c>
      <c r="H982" s="17" t="s">
        <v>419</v>
      </c>
      <c r="I982" s="17" t="s">
        <v>461</v>
      </c>
      <c r="J982" s="41"/>
      <c r="K982" s="41"/>
      <c r="L982" s="41"/>
      <c r="M982" s="21">
        <v>33000</v>
      </c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</row>
    <row r="983" spans="1:28">
      <c r="A983" s="17" t="s">
        <v>10457</v>
      </c>
      <c r="B983" s="17" t="s">
        <v>10457</v>
      </c>
      <c r="C983" s="17" t="s">
        <v>10458</v>
      </c>
      <c r="D983" s="17" t="s">
        <v>21</v>
      </c>
      <c r="E983" s="24">
        <v>1218</v>
      </c>
      <c r="F983" s="17" t="s">
        <v>269</v>
      </c>
      <c r="G983" s="17" t="str">
        <f>Config!$B$3</f>
        <v>SCH/R_IEC.SchLib</v>
      </c>
      <c r="H983" s="17" t="s">
        <v>419</v>
      </c>
      <c r="I983" s="17" t="s">
        <v>461</v>
      </c>
      <c r="J983" s="41"/>
      <c r="K983" s="41"/>
      <c r="L983" s="41"/>
      <c r="M983" s="21">
        <v>36000</v>
      </c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</row>
    <row r="984" spans="1:28">
      <c r="A984" s="17" t="s">
        <v>10459</v>
      </c>
      <c r="B984" s="17" t="s">
        <v>10459</v>
      </c>
      <c r="C984" s="17" t="s">
        <v>10460</v>
      </c>
      <c r="D984" s="17" t="s">
        <v>21</v>
      </c>
      <c r="E984" s="24">
        <v>1218</v>
      </c>
      <c r="F984" s="17" t="s">
        <v>273</v>
      </c>
      <c r="G984" s="17" t="str">
        <f>Config!$B$3</f>
        <v>SCH/R_IEC.SchLib</v>
      </c>
      <c r="H984" s="17" t="s">
        <v>419</v>
      </c>
      <c r="I984" s="17" t="s">
        <v>461</v>
      </c>
      <c r="J984" s="41"/>
      <c r="K984" s="41"/>
      <c r="L984" s="41"/>
      <c r="M984" s="21">
        <v>39000</v>
      </c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</row>
    <row r="985" spans="1:28">
      <c r="A985" s="17" t="s">
        <v>10461</v>
      </c>
      <c r="B985" s="17" t="s">
        <v>10461</v>
      </c>
      <c r="C985" s="17" t="s">
        <v>10462</v>
      </c>
      <c r="D985" s="17" t="s">
        <v>21</v>
      </c>
      <c r="E985" s="24">
        <v>1218</v>
      </c>
      <c r="F985" s="17" t="s">
        <v>277</v>
      </c>
      <c r="G985" s="17" t="str">
        <f>Config!$B$3</f>
        <v>SCH/R_IEC.SchLib</v>
      </c>
      <c r="H985" s="17" t="s">
        <v>419</v>
      </c>
      <c r="I985" s="17" t="s">
        <v>461</v>
      </c>
      <c r="J985" s="41"/>
      <c r="K985" s="41"/>
      <c r="L985" s="41"/>
      <c r="M985" s="21">
        <v>43000</v>
      </c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</row>
    <row r="986" spans="1:28">
      <c r="A986" s="17" t="s">
        <v>10463</v>
      </c>
      <c r="B986" s="17" t="s">
        <v>10463</v>
      </c>
      <c r="C986" s="17" t="s">
        <v>10464</v>
      </c>
      <c r="D986" s="17" t="s">
        <v>21</v>
      </c>
      <c r="E986" s="24">
        <v>1218</v>
      </c>
      <c r="F986" s="17" t="s">
        <v>279</v>
      </c>
      <c r="G986" s="17" t="str">
        <f>Config!$B$3</f>
        <v>SCH/R_IEC.SchLib</v>
      </c>
      <c r="H986" s="17" t="s">
        <v>419</v>
      </c>
      <c r="I986" s="17" t="s">
        <v>461</v>
      </c>
      <c r="J986" s="41"/>
      <c r="K986" s="41"/>
      <c r="L986" s="41"/>
      <c r="M986" s="21">
        <v>47000</v>
      </c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  <c r="AA986" s="17"/>
      <c r="AB986" s="17"/>
    </row>
    <row r="987" spans="1:28">
      <c r="A987" s="17" t="s">
        <v>10465</v>
      </c>
      <c r="B987" s="17" t="s">
        <v>10465</v>
      </c>
      <c r="C987" s="17" t="s">
        <v>10466</v>
      </c>
      <c r="D987" s="17" t="s">
        <v>21</v>
      </c>
      <c r="E987" s="24">
        <v>1218</v>
      </c>
      <c r="F987" s="17" t="s">
        <v>283</v>
      </c>
      <c r="G987" s="17" t="str">
        <f>Config!$B$3</f>
        <v>SCH/R_IEC.SchLib</v>
      </c>
      <c r="H987" s="17" t="s">
        <v>419</v>
      </c>
      <c r="I987" s="17" t="s">
        <v>461</v>
      </c>
      <c r="J987" s="41"/>
      <c r="K987" s="41"/>
      <c r="L987" s="41"/>
      <c r="M987" s="21">
        <v>51000</v>
      </c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  <c r="AA987" s="17"/>
      <c r="AB987" s="17"/>
    </row>
    <row r="988" spans="1:28">
      <c r="A988" s="17" t="s">
        <v>10467</v>
      </c>
      <c r="B988" s="17" t="s">
        <v>10467</v>
      </c>
      <c r="C988" s="17" t="s">
        <v>10468</v>
      </c>
      <c r="D988" s="17" t="s">
        <v>21</v>
      </c>
      <c r="E988" s="24">
        <v>1218</v>
      </c>
      <c r="F988" s="17" t="s">
        <v>287</v>
      </c>
      <c r="G988" s="17" t="str">
        <f>Config!$B$3</f>
        <v>SCH/R_IEC.SchLib</v>
      </c>
      <c r="H988" s="17" t="s">
        <v>419</v>
      </c>
      <c r="I988" s="17" t="s">
        <v>461</v>
      </c>
      <c r="J988" s="41"/>
      <c r="K988" s="41"/>
      <c r="L988" s="41"/>
      <c r="M988" s="21">
        <v>56000</v>
      </c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  <c r="AA988" s="17"/>
      <c r="AB988" s="17"/>
    </row>
    <row r="989" spans="1:28">
      <c r="A989" s="17" t="s">
        <v>10469</v>
      </c>
      <c r="B989" s="17" t="s">
        <v>10469</v>
      </c>
      <c r="C989" s="17" t="s">
        <v>10470</v>
      </c>
      <c r="D989" s="17" t="s">
        <v>21</v>
      </c>
      <c r="E989" s="24">
        <v>1218</v>
      </c>
      <c r="F989" s="17" t="s">
        <v>291</v>
      </c>
      <c r="G989" s="17" t="str">
        <f>Config!$B$3</f>
        <v>SCH/R_IEC.SchLib</v>
      </c>
      <c r="H989" s="17" t="s">
        <v>419</v>
      </c>
      <c r="I989" s="17" t="s">
        <v>461</v>
      </c>
      <c r="J989" s="41"/>
      <c r="K989" s="41"/>
      <c r="L989" s="41"/>
      <c r="M989" s="21">
        <v>62000</v>
      </c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</row>
    <row r="990" spans="1:28">
      <c r="A990" s="17" t="s">
        <v>10471</v>
      </c>
      <c r="B990" s="17" t="s">
        <v>10471</v>
      </c>
      <c r="C990" s="17" t="s">
        <v>10472</v>
      </c>
      <c r="D990" s="17" t="s">
        <v>21</v>
      </c>
      <c r="E990" s="24">
        <v>1218</v>
      </c>
      <c r="F990" s="17" t="s">
        <v>295</v>
      </c>
      <c r="G990" s="17" t="str">
        <f>Config!$B$3</f>
        <v>SCH/R_IEC.SchLib</v>
      </c>
      <c r="H990" s="17" t="s">
        <v>419</v>
      </c>
      <c r="I990" s="17" t="s">
        <v>461</v>
      </c>
      <c r="J990" s="41"/>
      <c r="K990" s="41"/>
      <c r="L990" s="41"/>
      <c r="M990" s="21">
        <v>68000</v>
      </c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</row>
    <row r="991" spans="1:28">
      <c r="A991" s="17" t="s">
        <v>10473</v>
      </c>
      <c r="B991" s="17" t="s">
        <v>10473</v>
      </c>
      <c r="C991" s="17" t="s">
        <v>10474</v>
      </c>
      <c r="D991" s="17" t="s">
        <v>21</v>
      </c>
      <c r="E991" s="24">
        <v>1218</v>
      </c>
      <c r="F991" s="17" t="s">
        <v>299</v>
      </c>
      <c r="G991" s="17" t="str">
        <f>Config!$B$3</f>
        <v>SCH/R_IEC.SchLib</v>
      </c>
      <c r="H991" s="17" t="s">
        <v>419</v>
      </c>
      <c r="I991" s="17" t="s">
        <v>461</v>
      </c>
      <c r="J991" s="41"/>
      <c r="K991" s="41"/>
      <c r="L991" s="41"/>
      <c r="M991" s="21">
        <v>75000</v>
      </c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</row>
    <row r="992" spans="1:28">
      <c r="A992" s="17" t="s">
        <v>10475</v>
      </c>
      <c r="B992" s="17" t="s">
        <v>10475</v>
      </c>
      <c r="C992" s="17" t="s">
        <v>10476</v>
      </c>
      <c r="D992" s="17" t="s">
        <v>21</v>
      </c>
      <c r="E992" s="24">
        <v>1218</v>
      </c>
      <c r="F992" s="17" t="s">
        <v>301</v>
      </c>
      <c r="G992" s="17" t="str">
        <f>Config!$B$3</f>
        <v>SCH/R_IEC.SchLib</v>
      </c>
      <c r="H992" s="17" t="s">
        <v>419</v>
      </c>
      <c r="I992" s="17" t="s">
        <v>461</v>
      </c>
      <c r="J992" s="41"/>
      <c r="K992" s="41"/>
      <c r="L992" s="41"/>
      <c r="M992" s="21">
        <v>82000</v>
      </c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</row>
    <row r="993" spans="1:28">
      <c r="A993" s="17" t="s">
        <v>10477</v>
      </c>
      <c r="B993" s="17" t="s">
        <v>10477</v>
      </c>
      <c r="C993" s="17" t="s">
        <v>10478</v>
      </c>
      <c r="D993" s="17" t="s">
        <v>21</v>
      </c>
      <c r="E993" s="24">
        <v>1218</v>
      </c>
      <c r="F993" s="17" t="s">
        <v>303</v>
      </c>
      <c r="G993" s="17" t="str">
        <f>Config!$B$3</f>
        <v>SCH/R_IEC.SchLib</v>
      </c>
      <c r="H993" s="17" t="s">
        <v>419</v>
      </c>
      <c r="I993" s="17" t="s">
        <v>461</v>
      </c>
      <c r="J993" s="41"/>
      <c r="K993" s="41"/>
      <c r="L993" s="41"/>
      <c r="M993" s="21">
        <v>91000</v>
      </c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</row>
    <row r="994" spans="1:28">
      <c r="A994" s="17" t="s">
        <v>10479</v>
      </c>
      <c r="B994" s="17" t="s">
        <v>10479</v>
      </c>
      <c r="C994" s="17" t="s">
        <v>10480</v>
      </c>
      <c r="D994" s="17" t="s">
        <v>21</v>
      </c>
      <c r="E994" s="24">
        <v>1218</v>
      </c>
      <c r="F994" s="17" t="s">
        <v>305</v>
      </c>
      <c r="G994" s="17" t="str">
        <f>Config!$B$3</f>
        <v>SCH/R_IEC.SchLib</v>
      </c>
      <c r="H994" s="17" t="s">
        <v>419</v>
      </c>
      <c r="I994" s="17" t="s">
        <v>461</v>
      </c>
      <c r="J994" s="41"/>
      <c r="K994" s="41"/>
      <c r="L994" s="41"/>
      <c r="M994" s="21">
        <v>100000</v>
      </c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</row>
    <row r="995" spans="1:28">
      <c r="A995" s="17" t="s">
        <v>10481</v>
      </c>
      <c r="B995" s="17" t="s">
        <v>10481</v>
      </c>
      <c r="C995" s="17" t="s">
        <v>10482</v>
      </c>
      <c r="D995" s="17" t="s">
        <v>21</v>
      </c>
      <c r="E995" s="24">
        <v>1218</v>
      </c>
      <c r="F995" s="17" t="s">
        <v>309</v>
      </c>
      <c r="G995" s="17" t="str">
        <f>Config!$B$3</f>
        <v>SCH/R_IEC.SchLib</v>
      </c>
      <c r="H995" s="17" t="s">
        <v>419</v>
      </c>
      <c r="I995" s="17" t="s">
        <v>461</v>
      </c>
      <c r="J995" s="41"/>
      <c r="K995" s="41"/>
      <c r="L995" s="41"/>
      <c r="M995" s="21">
        <v>110000</v>
      </c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</row>
    <row r="996" spans="1:28">
      <c r="A996" s="17" t="s">
        <v>10483</v>
      </c>
      <c r="B996" s="17" t="s">
        <v>10483</v>
      </c>
      <c r="C996" s="17" t="s">
        <v>10484</v>
      </c>
      <c r="D996" s="17" t="s">
        <v>21</v>
      </c>
      <c r="E996" s="24">
        <v>1218</v>
      </c>
      <c r="F996" s="17" t="s">
        <v>313</v>
      </c>
      <c r="G996" s="17" t="str">
        <f>Config!$B$3</f>
        <v>SCH/R_IEC.SchLib</v>
      </c>
      <c r="H996" s="17" t="s">
        <v>419</v>
      </c>
      <c r="I996" s="17" t="s">
        <v>461</v>
      </c>
      <c r="J996" s="41"/>
      <c r="K996" s="41"/>
      <c r="L996" s="41"/>
      <c r="M996" s="21">
        <v>120000</v>
      </c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</row>
    <row r="997" spans="1:28">
      <c r="A997" s="17" t="s">
        <v>10485</v>
      </c>
      <c r="B997" s="17" t="s">
        <v>10485</v>
      </c>
      <c r="C997" s="17" t="s">
        <v>10486</v>
      </c>
      <c r="D997" s="17" t="s">
        <v>21</v>
      </c>
      <c r="E997" s="24">
        <v>1218</v>
      </c>
      <c r="F997" s="17" t="s">
        <v>317</v>
      </c>
      <c r="G997" s="17" t="str">
        <f>Config!$B$3</f>
        <v>SCH/R_IEC.SchLib</v>
      </c>
      <c r="H997" s="17" t="s">
        <v>419</v>
      </c>
      <c r="I997" s="17" t="s">
        <v>461</v>
      </c>
      <c r="J997" s="41"/>
      <c r="K997" s="41"/>
      <c r="L997" s="41"/>
      <c r="M997" s="21">
        <v>130000</v>
      </c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</row>
    <row r="998" spans="1:28">
      <c r="A998" s="17" t="s">
        <v>10487</v>
      </c>
      <c r="B998" s="17" t="s">
        <v>10487</v>
      </c>
      <c r="C998" s="17" t="s">
        <v>10488</v>
      </c>
      <c r="D998" s="17" t="s">
        <v>21</v>
      </c>
      <c r="E998" s="24">
        <v>1218</v>
      </c>
      <c r="F998" s="17" t="s">
        <v>321</v>
      </c>
      <c r="G998" s="17" t="str">
        <f>Config!$B$3</f>
        <v>SCH/R_IEC.SchLib</v>
      </c>
      <c r="H998" s="17" t="s">
        <v>419</v>
      </c>
      <c r="I998" s="17" t="s">
        <v>461</v>
      </c>
      <c r="J998" s="41"/>
      <c r="K998" s="41"/>
      <c r="L998" s="41"/>
      <c r="M998" s="21">
        <v>150000</v>
      </c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</row>
    <row r="999" spans="1:28">
      <c r="A999" s="17" t="s">
        <v>10489</v>
      </c>
      <c r="B999" s="17" t="s">
        <v>10489</v>
      </c>
      <c r="C999" s="17" t="s">
        <v>10490</v>
      </c>
      <c r="D999" s="17" t="s">
        <v>21</v>
      </c>
      <c r="E999" s="24">
        <v>1218</v>
      </c>
      <c r="F999" s="17" t="s">
        <v>323</v>
      </c>
      <c r="G999" s="17" t="str">
        <f>Config!$B$3</f>
        <v>SCH/R_IEC.SchLib</v>
      </c>
      <c r="H999" s="17" t="s">
        <v>419</v>
      </c>
      <c r="I999" s="17" t="s">
        <v>461</v>
      </c>
      <c r="J999" s="41"/>
      <c r="K999" s="41"/>
      <c r="L999" s="41"/>
      <c r="M999" s="21">
        <v>160000</v>
      </c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</row>
    <row r="1000" spans="1:28">
      <c r="A1000" s="17" t="s">
        <v>10491</v>
      </c>
      <c r="B1000" s="17" t="s">
        <v>10491</v>
      </c>
      <c r="C1000" s="17" t="s">
        <v>10492</v>
      </c>
      <c r="D1000" s="17" t="s">
        <v>21</v>
      </c>
      <c r="E1000" s="24">
        <v>1218</v>
      </c>
      <c r="F1000" s="17" t="s">
        <v>327</v>
      </c>
      <c r="G1000" s="17" t="str">
        <f>Config!$B$3</f>
        <v>SCH/R_IEC.SchLib</v>
      </c>
      <c r="H1000" s="17" t="s">
        <v>419</v>
      </c>
      <c r="I1000" s="17" t="s">
        <v>461</v>
      </c>
      <c r="J1000" s="41"/>
      <c r="K1000" s="41"/>
      <c r="L1000" s="41"/>
      <c r="M1000" s="21">
        <v>180000</v>
      </c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  <c r="AA1000" s="17"/>
      <c r="AB1000" s="17"/>
    </row>
    <row r="1001" spans="1:28">
      <c r="A1001" s="17" t="s">
        <v>10493</v>
      </c>
      <c r="B1001" s="17" t="s">
        <v>10493</v>
      </c>
      <c r="C1001" s="17" t="s">
        <v>10494</v>
      </c>
      <c r="D1001" s="17" t="s">
        <v>21</v>
      </c>
      <c r="E1001" s="24">
        <v>1218</v>
      </c>
      <c r="F1001" s="17" t="s">
        <v>331</v>
      </c>
      <c r="G1001" s="17" t="str">
        <f>Config!$B$3</f>
        <v>SCH/R_IEC.SchLib</v>
      </c>
      <c r="H1001" s="17" t="s">
        <v>419</v>
      </c>
      <c r="I1001" s="17" t="s">
        <v>461</v>
      </c>
      <c r="J1001" s="41"/>
      <c r="K1001" s="41"/>
      <c r="L1001" s="41"/>
      <c r="M1001" s="21">
        <v>200000</v>
      </c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  <c r="AA1001" s="17"/>
      <c r="AB1001" s="17"/>
    </row>
    <row r="1002" spans="1:28">
      <c r="A1002" s="17" t="s">
        <v>10495</v>
      </c>
      <c r="B1002" s="17" t="s">
        <v>10495</v>
      </c>
      <c r="C1002" s="17" t="s">
        <v>10496</v>
      </c>
      <c r="D1002" s="17" t="s">
        <v>21</v>
      </c>
      <c r="E1002" s="24">
        <v>1218</v>
      </c>
      <c r="F1002" s="17" t="s">
        <v>333</v>
      </c>
      <c r="G1002" s="17" t="str">
        <f>Config!$B$3</f>
        <v>SCH/R_IEC.SchLib</v>
      </c>
      <c r="H1002" s="17" t="s">
        <v>419</v>
      </c>
      <c r="I1002" s="17" t="s">
        <v>461</v>
      </c>
      <c r="J1002" s="41"/>
      <c r="K1002" s="41"/>
      <c r="L1002" s="41"/>
      <c r="M1002" s="21">
        <v>220000</v>
      </c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  <c r="AA1002" s="17"/>
      <c r="AB1002" s="17"/>
    </row>
    <row r="1003" spans="1:28">
      <c r="A1003" s="17" t="s">
        <v>10497</v>
      </c>
      <c r="B1003" s="17" t="s">
        <v>10497</v>
      </c>
      <c r="C1003" s="17" t="s">
        <v>10498</v>
      </c>
      <c r="D1003" s="17" t="s">
        <v>21</v>
      </c>
      <c r="E1003" s="24">
        <v>1218</v>
      </c>
      <c r="F1003" s="17" t="s">
        <v>335</v>
      </c>
      <c r="G1003" s="17" t="str">
        <f>Config!$B$3</f>
        <v>SCH/R_IEC.SchLib</v>
      </c>
      <c r="H1003" s="17" t="s">
        <v>419</v>
      </c>
      <c r="I1003" s="17" t="s">
        <v>461</v>
      </c>
      <c r="J1003" s="41"/>
      <c r="K1003" s="41"/>
      <c r="L1003" s="41"/>
      <c r="M1003" s="21">
        <v>240000</v>
      </c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</row>
    <row r="1004" spans="1:28">
      <c r="A1004" s="17" t="s">
        <v>10499</v>
      </c>
      <c r="B1004" s="17" t="s">
        <v>10499</v>
      </c>
      <c r="C1004" s="17" t="s">
        <v>10500</v>
      </c>
      <c r="D1004" s="17" t="s">
        <v>21</v>
      </c>
      <c r="E1004" s="24">
        <v>1218</v>
      </c>
      <c r="F1004" s="17" t="s">
        <v>337</v>
      </c>
      <c r="G1004" s="17" t="str">
        <f>Config!$B$3</f>
        <v>SCH/R_IEC.SchLib</v>
      </c>
      <c r="H1004" s="17" t="s">
        <v>419</v>
      </c>
      <c r="I1004" s="17" t="s">
        <v>461</v>
      </c>
      <c r="J1004" s="41"/>
      <c r="K1004" s="41"/>
      <c r="L1004" s="41"/>
      <c r="M1004" s="21">
        <v>270000</v>
      </c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</row>
    <row r="1005" spans="1:28">
      <c r="A1005" s="17" t="s">
        <v>10501</v>
      </c>
      <c r="B1005" s="17" t="s">
        <v>10501</v>
      </c>
      <c r="C1005" s="17" t="s">
        <v>10502</v>
      </c>
      <c r="D1005" s="17" t="s">
        <v>21</v>
      </c>
      <c r="E1005" s="24">
        <v>1218</v>
      </c>
      <c r="F1005" s="17" t="s">
        <v>339</v>
      </c>
      <c r="G1005" s="17" t="str">
        <f>Config!$B$3</f>
        <v>SCH/R_IEC.SchLib</v>
      </c>
      <c r="H1005" s="17" t="s">
        <v>419</v>
      </c>
      <c r="I1005" s="17" t="s">
        <v>461</v>
      </c>
      <c r="J1005" s="41"/>
      <c r="K1005" s="41"/>
      <c r="L1005" s="41"/>
      <c r="M1005" s="21">
        <v>300000</v>
      </c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</row>
    <row r="1006" spans="1:28">
      <c r="A1006" s="17" t="s">
        <v>10503</v>
      </c>
      <c r="B1006" s="17" t="s">
        <v>10503</v>
      </c>
      <c r="C1006" s="16" t="s">
        <v>10504</v>
      </c>
      <c r="D1006" s="16" t="s">
        <v>21</v>
      </c>
      <c r="E1006" s="24">
        <v>1218</v>
      </c>
      <c r="F1006" s="17" t="s">
        <v>341</v>
      </c>
      <c r="G1006" s="17" t="str">
        <f>Config!$B$3</f>
        <v>SCH/R_IEC.SchLib</v>
      </c>
      <c r="H1006" s="16" t="s">
        <v>419</v>
      </c>
      <c r="I1006" s="18" t="s">
        <v>461</v>
      </c>
      <c r="J1006" s="40"/>
      <c r="K1006" s="40"/>
      <c r="L1006" s="40"/>
      <c r="M1006" s="21">
        <v>330000</v>
      </c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</row>
    <row r="1007" spans="1:28">
      <c r="A1007" s="17" t="s">
        <v>10505</v>
      </c>
      <c r="B1007" s="17" t="s">
        <v>10505</v>
      </c>
      <c r="C1007" s="17" t="s">
        <v>10506</v>
      </c>
      <c r="D1007" s="17" t="s">
        <v>21</v>
      </c>
      <c r="E1007" s="24">
        <v>1218</v>
      </c>
      <c r="F1007" s="17" t="s">
        <v>345</v>
      </c>
      <c r="G1007" s="17" t="str">
        <f>Config!$B$3</f>
        <v>SCH/R_IEC.SchLib</v>
      </c>
      <c r="H1007" s="17" t="s">
        <v>419</v>
      </c>
      <c r="I1007" s="17" t="s">
        <v>461</v>
      </c>
      <c r="J1007" s="41"/>
      <c r="K1007" s="41"/>
      <c r="L1007" s="41"/>
      <c r="M1007" s="21">
        <v>360000</v>
      </c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</row>
    <row r="1008" spans="1:28">
      <c r="A1008" s="17" t="s">
        <v>10507</v>
      </c>
      <c r="B1008" s="17" t="s">
        <v>10507</v>
      </c>
      <c r="C1008" s="17" t="s">
        <v>10508</v>
      </c>
      <c r="D1008" s="17" t="s">
        <v>21</v>
      </c>
      <c r="E1008" s="24">
        <v>1218</v>
      </c>
      <c r="F1008" s="17" t="s">
        <v>349</v>
      </c>
      <c r="G1008" s="17" t="str">
        <f>Config!$B$3</f>
        <v>SCH/R_IEC.SchLib</v>
      </c>
      <c r="H1008" s="17" t="s">
        <v>419</v>
      </c>
      <c r="I1008" s="17" t="s">
        <v>461</v>
      </c>
      <c r="J1008" s="41"/>
      <c r="K1008" s="41"/>
      <c r="L1008" s="41"/>
      <c r="M1008" s="21">
        <v>390000</v>
      </c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</row>
    <row r="1009" spans="1:28">
      <c r="A1009" s="17" t="s">
        <v>10509</v>
      </c>
      <c r="B1009" s="17" t="s">
        <v>10509</v>
      </c>
      <c r="C1009" s="17" t="s">
        <v>10510</v>
      </c>
      <c r="D1009" s="17" t="s">
        <v>21</v>
      </c>
      <c r="E1009" s="24">
        <v>1218</v>
      </c>
      <c r="F1009" s="17" t="s">
        <v>351</v>
      </c>
      <c r="G1009" s="17" t="str">
        <f>Config!$B$3</f>
        <v>SCH/R_IEC.SchLib</v>
      </c>
      <c r="H1009" s="17" t="s">
        <v>419</v>
      </c>
      <c r="I1009" s="17" t="s">
        <v>461</v>
      </c>
      <c r="J1009" s="41"/>
      <c r="K1009" s="41"/>
      <c r="L1009" s="41"/>
      <c r="M1009" s="21">
        <v>430000</v>
      </c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</row>
    <row r="1010" spans="1:28">
      <c r="A1010" s="17" t="s">
        <v>10511</v>
      </c>
      <c r="B1010" s="17" t="s">
        <v>10511</v>
      </c>
      <c r="C1010" s="17" t="s">
        <v>10512</v>
      </c>
      <c r="D1010" s="17" t="s">
        <v>21</v>
      </c>
      <c r="E1010" s="24">
        <v>1218</v>
      </c>
      <c r="F1010" s="17" t="s">
        <v>353</v>
      </c>
      <c r="G1010" s="17" t="str">
        <f>Config!$B$3</f>
        <v>SCH/R_IEC.SchLib</v>
      </c>
      <c r="H1010" s="17" t="s">
        <v>419</v>
      </c>
      <c r="I1010" s="17" t="s">
        <v>461</v>
      </c>
      <c r="J1010" s="41"/>
      <c r="K1010" s="41"/>
      <c r="L1010" s="41"/>
      <c r="M1010" s="21">
        <v>470000</v>
      </c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</row>
    <row r="1011" spans="1:28">
      <c r="A1011" s="17" t="s">
        <v>10513</v>
      </c>
      <c r="B1011" s="17" t="s">
        <v>10513</v>
      </c>
      <c r="C1011" s="17" t="s">
        <v>10514</v>
      </c>
      <c r="D1011" s="17" t="s">
        <v>21</v>
      </c>
      <c r="E1011" s="24">
        <v>1218</v>
      </c>
      <c r="F1011" s="17" t="s">
        <v>355</v>
      </c>
      <c r="G1011" s="17" t="str">
        <f>Config!$B$3</f>
        <v>SCH/R_IEC.SchLib</v>
      </c>
      <c r="H1011" s="17" t="s">
        <v>419</v>
      </c>
      <c r="I1011" s="17" t="s">
        <v>461</v>
      </c>
      <c r="J1011" s="41"/>
      <c r="K1011" s="41"/>
      <c r="L1011" s="41"/>
      <c r="M1011" s="21">
        <v>510000</v>
      </c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  <c r="AA1011" s="17"/>
      <c r="AB1011" s="17"/>
    </row>
    <row r="1012" spans="1:28">
      <c r="A1012" s="17" t="s">
        <v>10515</v>
      </c>
      <c r="B1012" s="17" t="s">
        <v>10515</v>
      </c>
      <c r="C1012" s="17" t="s">
        <v>10516</v>
      </c>
      <c r="D1012" s="17" t="s">
        <v>21</v>
      </c>
      <c r="E1012" s="24">
        <v>1218</v>
      </c>
      <c r="F1012" s="17" t="s">
        <v>357</v>
      </c>
      <c r="G1012" s="17" t="str">
        <f>Config!$B$3</f>
        <v>SCH/R_IEC.SchLib</v>
      </c>
      <c r="H1012" s="17" t="s">
        <v>419</v>
      </c>
      <c r="I1012" s="17" t="s">
        <v>461</v>
      </c>
      <c r="J1012" s="41"/>
      <c r="K1012" s="41"/>
      <c r="L1012" s="41"/>
      <c r="M1012" s="21">
        <v>560000</v>
      </c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  <c r="AA1012" s="17"/>
      <c r="AB1012" s="17"/>
    </row>
    <row r="1013" spans="1:28">
      <c r="A1013" s="17" t="s">
        <v>10517</v>
      </c>
      <c r="B1013" s="17" t="s">
        <v>10517</v>
      </c>
      <c r="C1013" s="17" t="s">
        <v>10518</v>
      </c>
      <c r="D1013" s="17" t="s">
        <v>21</v>
      </c>
      <c r="E1013" s="24">
        <v>1218</v>
      </c>
      <c r="F1013" s="17" t="s">
        <v>359</v>
      </c>
      <c r="G1013" s="17" t="str">
        <f>Config!$B$3</f>
        <v>SCH/R_IEC.SchLib</v>
      </c>
      <c r="H1013" s="17" t="s">
        <v>419</v>
      </c>
      <c r="I1013" s="17" t="s">
        <v>461</v>
      </c>
      <c r="J1013" s="41"/>
      <c r="K1013" s="41"/>
      <c r="L1013" s="41"/>
      <c r="M1013" s="21">
        <v>620000</v>
      </c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  <c r="AA1013" s="17"/>
      <c r="AB1013" s="17"/>
    </row>
    <row r="1014" spans="1:28">
      <c r="A1014" s="17" t="s">
        <v>10519</v>
      </c>
      <c r="B1014" s="17" t="s">
        <v>10519</v>
      </c>
      <c r="C1014" s="17" t="s">
        <v>10520</v>
      </c>
      <c r="D1014" s="17" t="s">
        <v>21</v>
      </c>
      <c r="E1014" s="24">
        <v>1218</v>
      </c>
      <c r="F1014" s="17" t="s">
        <v>361</v>
      </c>
      <c r="G1014" s="17" t="str">
        <f>Config!$B$3</f>
        <v>SCH/R_IEC.SchLib</v>
      </c>
      <c r="H1014" s="17" t="s">
        <v>419</v>
      </c>
      <c r="I1014" s="17" t="s">
        <v>461</v>
      </c>
      <c r="J1014" s="41"/>
      <c r="K1014" s="41"/>
      <c r="L1014" s="41"/>
      <c r="M1014" s="21">
        <v>680000</v>
      </c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</row>
    <row r="1015" spans="1:28">
      <c r="A1015" s="17" t="s">
        <v>10521</v>
      </c>
      <c r="B1015" s="17" t="s">
        <v>10521</v>
      </c>
      <c r="C1015" s="17" t="s">
        <v>10522</v>
      </c>
      <c r="D1015" s="17" t="s">
        <v>21</v>
      </c>
      <c r="E1015" s="24">
        <v>1218</v>
      </c>
      <c r="F1015" s="17" t="s">
        <v>363</v>
      </c>
      <c r="G1015" s="17" t="str">
        <f>Config!$B$3</f>
        <v>SCH/R_IEC.SchLib</v>
      </c>
      <c r="H1015" s="17" t="s">
        <v>419</v>
      </c>
      <c r="I1015" s="17" t="s">
        <v>461</v>
      </c>
      <c r="J1015" s="41"/>
      <c r="K1015" s="41"/>
      <c r="L1015" s="41"/>
      <c r="M1015" s="21">
        <v>750000</v>
      </c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</row>
    <row r="1016" spans="1:28">
      <c r="A1016" s="17" t="s">
        <v>10523</v>
      </c>
      <c r="B1016" s="17" t="s">
        <v>10523</v>
      </c>
      <c r="C1016" s="17" t="s">
        <v>10524</v>
      </c>
      <c r="D1016" s="17" t="s">
        <v>21</v>
      </c>
      <c r="E1016" s="24">
        <v>1218</v>
      </c>
      <c r="F1016" s="17" t="s">
        <v>365</v>
      </c>
      <c r="G1016" s="17" t="str">
        <f>Config!$B$3</f>
        <v>SCH/R_IEC.SchLib</v>
      </c>
      <c r="H1016" s="17" t="s">
        <v>419</v>
      </c>
      <c r="I1016" s="17" t="s">
        <v>461</v>
      </c>
      <c r="J1016" s="41"/>
      <c r="K1016" s="41"/>
      <c r="L1016" s="41"/>
      <c r="M1016" s="21">
        <v>820000</v>
      </c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</row>
    <row r="1017" spans="1:28">
      <c r="A1017" s="17" t="s">
        <v>10525</v>
      </c>
      <c r="B1017" s="17" t="s">
        <v>10525</v>
      </c>
      <c r="C1017" s="17" t="s">
        <v>10526</v>
      </c>
      <c r="D1017" s="17" t="s">
        <v>21</v>
      </c>
      <c r="E1017" s="24">
        <v>1218</v>
      </c>
      <c r="F1017" s="17" t="s">
        <v>367</v>
      </c>
      <c r="G1017" s="17" t="str">
        <f>Config!$B$3</f>
        <v>SCH/R_IEC.SchLib</v>
      </c>
      <c r="H1017" s="17" t="s">
        <v>419</v>
      </c>
      <c r="I1017" s="17" t="s">
        <v>461</v>
      </c>
      <c r="J1017" s="41"/>
      <c r="K1017" s="41"/>
      <c r="L1017" s="41"/>
      <c r="M1017" s="21">
        <v>910000</v>
      </c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</row>
    <row r="1018" spans="1:28">
      <c r="A1018" s="17" t="s">
        <v>10527</v>
      </c>
      <c r="B1018" s="17" t="s">
        <v>10527</v>
      </c>
      <c r="C1018" s="17" t="s">
        <v>10528</v>
      </c>
      <c r="D1018" s="17" t="s">
        <v>21</v>
      </c>
      <c r="E1018" s="24">
        <v>1218</v>
      </c>
      <c r="F1018" s="17" t="s">
        <v>369</v>
      </c>
      <c r="G1018" s="17" t="str">
        <f>Config!$B$3</f>
        <v>SCH/R_IEC.SchLib</v>
      </c>
      <c r="H1018" s="17" t="s">
        <v>419</v>
      </c>
      <c r="I1018" s="17" t="s">
        <v>461</v>
      </c>
      <c r="J1018" s="41"/>
      <c r="K1018" s="41"/>
      <c r="L1018" s="41"/>
      <c r="M1018" s="21">
        <v>1000000</v>
      </c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</row>
    <row r="1019" spans="1:28">
      <c r="A1019" s="17" t="s">
        <v>10529</v>
      </c>
      <c r="B1019" s="17" t="s">
        <v>10529</v>
      </c>
      <c r="C1019" s="17" t="s">
        <v>10530</v>
      </c>
      <c r="D1019" s="17" t="s">
        <v>21</v>
      </c>
      <c r="E1019" s="24">
        <v>1218</v>
      </c>
      <c r="F1019" s="17" t="s">
        <v>371</v>
      </c>
      <c r="G1019" s="17" t="str">
        <f>Config!$B$3</f>
        <v>SCH/R_IEC.SchLib</v>
      </c>
      <c r="H1019" s="17" t="s">
        <v>419</v>
      </c>
      <c r="I1019" s="17" t="s">
        <v>461</v>
      </c>
      <c r="J1019" s="41"/>
      <c r="K1019" s="41"/>
      <c r="L1019" s="41"/>
      <c r="M1019" s="21">
        <v>1100000</v>
      </c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</row>
    <row r="1020" spans="1:28">
      <c r="A1020" s="17" t="s">
        <v>10531</v>
      </c>
      <c r="B1020" s="17" t="s">
        <v>10531</v>
      </c>
      <c r="C1020" s="17" t="s">
        <v>10532</v>
      </c>
      <c r="D1020" s="17" t="s">
        <v>21</v>
      </c>
      <c r="E1020" s="24">
        <v>1218</v>
      </c>
      <c r="F1020" s="17" t="s">
        <v>373</v>
      </c>
      <c r="G1020" s="17" t="str">
        <f>Config!$B$3</f>
        <v>SCH/R_IEC.SchLib</v>
      </c>
      <c r="H1020" s="17" t="s">
        <v>419</v>
      </c>
      <c r="I1020" s="17" t="s">
        <v>461</v>
      </c>
      <c r="J1020" s="41"/>
      <c r="K1020" s="41"/>
      <c r="L1020" s="41"/>
      <c r="M1020" s="21">
        <v>1200000</v>
      </c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</row>
    <row r="1021" spans="1:28">
      <c r="A1021" s="17" t="s">
        <v>10533</v>
      </c>
      <c r="B1021" s="17" t="s">
        <v>10533</v>
      </c>
      <c r="C1021" s="17" t="s">
        <v>10534</v>
      </c>
      <c r="D1021" s="17" t="s">
        <v>21</v>
      </c>
      <c r="E1021" s="24">
        <v>1218</v>
      </c>
      <c r="F1021" s="17" t="s">
        <v>375</v>
      </c>
      <c r="G1021" s="17" t="str">
        <f>Config!$B$3</f>
        <v>SCH/R_IEC.SchLib</v>
      </c>
      <c r="H1021" s="17" t="s">
        <v>419</v>
      </c>
      <c r="I1021" s="17" t="s">
        <v>461</v>
      </c>
      <c r="J1021" s="41"/>
      <c r="K1021" s="41"/>
      <c r="L1021" s="41"/>
      <c r="M1021" s="21">
        <v>1300000</v>
      </c>
      <c r="N1021" s="17"/>
      <c r="O1021" s="17"/>
      <c r="P1021" s="17"/>
      <c r="Q1021" s="17"/>
      <c r="R1021" s="17"/>
      <c r="S1021" s="17"/>
      <c r="T1021" s="17"/>
      <c r="U1021" s="17"/>
      <c r="V1021" s="17"/>
      <c r="W1021" s="17"/>
      <c r="X1021" s="17"/>
      <c r="Y1021" s="17"/>
      <c r="Z1021" s="17"/>
      <c r="AA1021" s="17"/>
      <c r="AB1021" s="17"/>
    </row>
    <row r="1022" spans="1:28">
      <c r="A1022" s="17" t="s">
        <v>10535</v>
      </c>
      <c r="B1022" s="17" t="s">
        <v>10535</v>
      </c>
      <c r="C1022" s="17" t="s">
        <v>10536</v>
      </c>
      <c r="D1022" s="17" t="s">
        <v>21</v>
      </c>
      <c r="E1022" s="24">
        <v>1218</v>
      </c>
      <c r="F1022" s="17" t="s">
        <v>377</v>
      </c>
      <c r="G1022" s="17" t="str">
        <f>Config!$B$3</f>
        <v>SCH/R_IEC.SchLib</v>
      </c>
      <c r="H1022" s="17" t="s">
        <v>419</v>
      </c>
      <c r="I1022" s="17" t="s">
        <v>461</v>
      </c>
      <c r="J1022" s="41"/>
      <c r="K1022" s="41"/>
      <c r="L1022" s="41"/>
      <c r="M1022" s="21">
        <v>1500000</v>
      </c>
      <c r="N1022" s="17"/>
      <c r="O1022" s="17"/>
      <c r="P1022" s="17"/>
      <c r="Q1022" s="17"/>
      <c r="R1022" s="17"/>
      <c r="S1022" s="17"/>
      <c r="T1022" s="17"/>
      <c r="U1022" s="17"/>
      <c r="V1022" s="17"/>
      <c r="W1022" s="17"/>
      <c r="X1022" s="17"/>
      <c r="Y1022" s="17"/>
      <c r="Z1022" s="17"/>
      <c r="AA1022" s="17"/>
      <c r="AB1022" s="17"/>
    </row>
    <row r="1023" spans="1:28">
      <c r="A1023" s="17" t="s">
        <v>10537</v>
      </c>
      <c r="B1023" s="17" t="s">
        <v>10537</v>
      </c>
      <c r="C1023" s="17" t="s">
        <v>10538</v>
      </c>
      <c r="D1023" s="17" t="s">
        <v>21</v>
      </c>
      <c r="E1023" s="24">
        <v>1218</v>
      </c>
      <c r="F1023" s="17" t="s">
        <v>379</v>
      </c>
      <c r="G1023" s="17" t="str">
        <f>Config!$B$3</f>
        <v>SCH/R_IEC.SchLib</v>
      </c>
      <c r="H1023" s="17" t="s">
        <v>419</v>
      </c>
      <c r="I1023" s="17" t="s">
        <v>461</v>
      </c>
      <c r="J1023" s="41"/>
      <c r="K1023" s="41"/>
      <c r="L1023" s="41"/>
      <c r="M1023" s="21">
        <v>1600000</v>
      </c>
      <c r="N1023" s="17"/>
      <c r="O1023" s="17"/>
      <c r="P1023" s="17"/>
      <c r="Q1023" s="17"/>
      <c r="R1023" s="17"/>
      <c r="S1023" s="17"/>
      <c r="T1023" s="17"/>
      <c r="U1023" s="17"/>
      <c r="V1023" s="17"/>
      <c r="W1023" s="17"/>
      <c r="X1023" s="17"/>
      <c r="Y1023" s="17"/>
      <c r="Z1023" s="17"/>
      <c r="AA1023" s="17"/>
      <c r="AB1023" s="17"/>
    </row>
    <row r="1024" spans="1:28">
      <c r="A1024" s="17" t="s">
        <v>10539</v>
      </c>
      <c r="B1024" s="17" t="s">
        <v>10539</v>
      </c>
      <c r="C1024" s="17" t="s">
        <v>10540</v>
      </c>
      <c r="D1024" s="17" t="s">
        <v>21</v>
      </c>
      <c r="E1024" s="24">
        <v>1218</v>
      </c>
      <c r="F1024" s="17" t="s">
        <v>381</v>
      </c>
      <c r="G1024" s="17" t="str">
        <f>Config!$B$3</f>
        <v>SCH/R_IEC.SchLib</v>
      </c>
      <c r="H1024" s="17" t="s">
        <v>419</v>
      </c>
      <c r="I1024" s="17" t="s">
        <v>461</v>
      </c>
      <c r="J1024" s="41"/>
      <c r="K1024" s="41"/>
      <c r="L1024" s="41"/>
      <c r="M1024" s="21">
        <v>1800000</v>
      </c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</row>
    <row r="1025" spans="1:28">
      <c r="A1025" s="17" t="s">
        <v>10541</v>
      </c>
      <c r="B1025" s="17" t="s">
        <v>10541</v>
      </c>
      <c r="C1025" s="17" t="s">
        <v>10542</v>
      </c>
      <c r="D1025" s="17" t="s">
        <v>21</v>
      </c>
      <c r="E1025" s="24">
        <v>1218</v>
      </c>
      <c r="F1025" s="17" t="s">
        <v>383</v>
      </c>
      <c r="G1025" s="17" t="str">
        <f>Config!$B$3</f>
        <v>SCH/R_IEC.SchLib</v>
      </c>
      <c r="H1025" s="17" t="s">
        <v>419</v>
      </c>
      <c r="I1025" s="17" t="s">
        <v>461</v>
      </c>
      <c r="J1025" s="41"/>
      <c r="K1025" s="41"/>
      <c r="L1025" s="41"/>
      <c r="M1025" s="21">
        <v>2000000</v>
      </c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</row>
    <row r="1026" spans="1:28">
      <c r="A1026" s="17" t="s">
        <v>10543</v>
      </c>
      <c r="B1026" s="17" t="s">
        <v>10543</v>
      </c>
      <c r="C1026" s="17" t="s">
        <v>10544</v>
      </c>
      <c r="D1026" s="17" t="s">
        <v>21</v>
      </c>
      <c r="E1026" s="24">
        <v>1218</v>
      </c>
      <c r="F1026" s="17" t="s">
        <v>385</v>
      </c>
      <c r="G1026" s="17" t="str">
        <f>Config!$B$3</f>
        <v>SCH/R_IEC.SchLib</v>
      </c>
      <c r="H1026" s="17" t="s">
        <v>419</v>
      </c>
      <c r="I1026" s="17" t="s">
        <v>461</v>
      </c>
      <c r="J1026" s="41"/>
      <c r="K1026" s="41"/>
      <c r="L1026" s="41"/>
      <c r="M1026" s="21">
        <v>2200000</v>
      </c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</row>
    <row r="1027" spans="1:28">
      <c r="A1027" s="17" t="s">
        <v>10545</v>
      </c>
      <c r="B1027" s="17" t="s">
        <v>10545</v>
      </c>
      <c r="C1027" s="17" t="s">
        <v>10546</v>
      </c>
      <c r="D1027" s="17" t="s">
        <v>21</v>
      </c>
      <c r="E1027" s="24">
        <v>1218</v>
      </c>
      <c r="F1027" s="17" t="s">
        <v>387</v>
      </c>
      <c r="G1027" s="17" t="str">
        <f>Config!$B$3</f>
        <v>SCH/R_IEC.SchLib</v>
      </c>
      <c r="H1027" s="17" t="s">
        <v>419</v>
      </c>
      <c r="I1027" s="17" t="s">
        <v>461</v>
      </c>
      <c r="J1027" s="41"/>
      <c r="K1027" s="41"/>
      <c r="L1027" s="41"/>
      <c r="M1027" s="21">
        <v>2400000</v>
      </c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</row>
    <row r="1028" spans="1:28">
      <c r="A1028" s="17" t="s">
        <v>10547</v>
      </c>
      <c r="B1028" s="17" t="s">
        <v>10547</v>
      </c>
      <c r="C1028" s="17" t="s">
        <v>10548</v>
      </c>
      <c r="D1028" s="17" t="s">
        <v>21</v>
      </c>
      <c r="E1028" s="24">
        <v>1218</v>
      </c>
      <c r="F1028" s="17" t="s">
        <v>389</v>
      </c>
      <c r="G1028" s="17" t="str">
        <f>Config!$B$3</f>
        <v>SCH/R_IEC.SchLib</v>
      </c>
      <c r="H1028" s="17" t="s">
        <v>419</v>
      </c>
      <c r="I1028" s="17" t="s">
        <v>461</v>
      </c>
      <c r="J1028" s="41"/>
      <c r="K1028" s="41"/>
      <c r="L1028" s="41"/>
      <c r="M1028" s="21">
        <v>2700000</v>
      </c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</row>
    <row r="1029" spans="1:28">
      <c r="A1029" s="17" t="s">
        <v>10549</v>
      </c>
      <c r="B1029" s="17" t="s">
        <v>10549</v>
      </c>
      <c r="C1029" s="17" t="s">
        <v>10550</v>
      </c>
      <c r="D1029" s="17" t="s">
        <v>21</v>
      </c>
      <c r="E1029" s="24">
        <v>1218</v>
      </c>
      <c r="F1029" s="17" t="s">
        <v>391</v>
      </c>
      <c r="G1029" s="17" t="str">
        <f>Config!$B$3</f>
        <v>SCH/R_IEC.SchLib</v>
      </c>
      <c r="H1029" s="17" t="s">
        <v>419</v>
      </c>
      <c r="I1029" s="17" t="s">
        <v>461</v>
      </c>
      <c r="J1029" s="41"/>
      <c r="K1029" s="41"/>
      <c r="L1029" s="41"/>
      <c r="M1029" s="21">
        <v>3000000</v>
      </c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</row>
    <row r="1030" spans="1:28">
      <c r="A1030" s="17" t="s">
        <v>10551</v>
      </c>
      <c r="B1030" s="17" t="s">
        <v>10551</v>
      </c>
      <c r="C1030" s="17" t="s">
        <v>10552</v>
      </c>
      <c r="D1030" s="17" t="s">
        <v>21</v>
      </c>
      <c r="E1030" s="24">
        <v>1218</v>
      </c>
      <c r="F1030" s="17" t="s">
        <v>393</v>
      </c>
      <c r="G1030" s="17" t="str">
        <f>Config!$B$3</f>
        <v>SCH/R_IEC.SchLib</v>
      </c>
      <c r="H1030" s="17" t="s">
        <v>419</v>
      </c>
      <c r="I1030" s="17" t="s">
        <v>461</v>
      </c>
      <c r="J1030" s="41"/>
      <c r="K1030" s="41"/>
      <c r="L1030" s="41"/>
      <c r="M1030" s="21">
        <v>3300000</v>
      </c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</row>
    <row r="1031" spans="1:28">
      <c r="A1031" s="17" t="s">
        <v>10553</v>
      </c>
      <c r="B1031" s="17" t="s">
        <v>10553</v>
      </c>
      <c r="C1031" s="17" t="s">
        <v>10554</v>
      </c>
      <c r="D1031" s="17" t="s">
        <v>21</v>
      </c>
      <c r="E1031" s="24">
        <v>1218</v>
      </c>
      <c r="F1031" s="17" t="s">
        <v>395</v>
      </c>
      <c r="G1031" s="17" t="str">
        <f>Config!$B$3</f>
        <v>SCH/R_IEC.SchLib</v>
      </c>
      <c r="H1031" s="17" t="s">
        <v>419</v>
      </c>
      <c r="I1031" s="17" t="s">
        <v>461</v>
      </c>
      <c r="J1031" s="41"/>
      <c r="K1031" s="41"/>
      <c r="L1031" s="41"/>
      <c r="M1031" s="21">
        <v>3600000</v>
      </c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</row>
    <row r="1032" spans="1:28">
      <c r="A1032" s="17" t="s">
        <v>10555</v>
      </c>
      <c r="B1032" s="17" t="s">
        <v>10555</v>
      </c>
      <c r="C1032" s="17" t="s">
        <v>10556</v>
      </c>
      <c r="D1032" s="17" t="s">
        <v>21</v>
      </c>
      <c r="E1032" s="24">
        <v>1218</v>
      </c>
      <c r="F1032" s="17" t="s">
        <v>397</v>
      </c>
      <c r="G1032" s="17" t="str">
        <f>Config!$B$3</f>
        <v>SCH/R_IEC.SchLib</v>
      </c>
      <c r="H1032" s="17" t="s">
        <v>419</v>
      </c>
      <c r="I1032" s="17" t="s">
        <v>461</v>
      </c>
      <c r="J1032" s="41"/>
      <c r="K1032" s="41"/>
      <c r="L1032" s="41"/>
      <c r="M1032" s="21">
        <v>3900000</v>
      </c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</row>
    <row r="1033" spans="1:28">
      <c r="A1033" s="17" t="s">
        <v>10557</v>
      </c>
      <c r="B1033" s="17" t="s">
        <v>10557</v>
      </c>
      <c r="C1033" s="17" t="s">
        <v>10558</v>
      </c>
      <c r="D1033" s="17" t="s">
        <v>21</v>
      </c>
      <c r="E1033" s="24">
        <v>1218</v>
      </c>
      <c r="F1033" s="17" t="s">
        <v>399</v>
      </c>
      <c r="G1033" s="17" t="str">
        <f>Config!$B$3</f>
        <v>SCH/R_IEC.SchLib</v>
      </c>
      <c r="H1033" s="17" t="s">
        <v>419</v>
      </c>
      <c r="I1033" s="17" t="s">
        <v>461</v>
      </c>
      <c r="J1033" s="41"/>
      <c r="K1033" s="41"/>
      <c r="L1033" s="41"/>
      <c r="M1033" s="21">
        <v>4300000</v>
      </c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</row>
    <row r="1034" spans="1:28">
      <c r="A1034" s="17" t="s">
        <v>10559</v>
      </c>
      <c r="B1034" s="17" t="s">
        <v>10559</v>
      </c>
      <c r="C1034" s="17" t="s">
        <v>10560</v>
      </c>
      <c r="D1034" s="17" t="s">
        <v>21</v>
      </c>
      <c r="E1034" s="24">
        <v>1218</v>
      </c>
      <c r="F1034" s="17" t="s">
        <v>401</v>
      </c>
      <c r="G1034" s="17" t="str">
        <f>Config!$B$3</f>
        <v>SCH/R_IEC.SchLib</v>
      </c>
      <c r="H1034" s="17" t="s">
        <v>419</v>
      </c>
      <c r="I1034" s="17" t="s">
        <v>461</v>
      </c>
      <c r="J1034" s="41"/>
      <c r="K1034" s="41"/>
      <c r="L1034" s="41"/>
      <c r="M1034" s="21">
        <v>4700000</v>
      </c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</row>
    <row r="1035" spans="1:28">
      <c r="A1035" s="17" t="s">
        <v>10561</v>
      </c>
      <c r="B1035" s="17" t="s">
        <v>10561</v>
      </c>
      <c r="C1035" s="17" t="s">
        <v>10562</v>
      </c>
      <c r="D1035" s="17" t="s">
        <v>21</v>
      </c>
      <c r="E1035" s="24">
        <v>1218</v>
      </c>
      <c r="F1035" s="17" t="s">
        <v>403</v>
      </c>
      <c r="G1035" s="17" t="str">
        <f>Config!$B$3</f>
        <v>SCH/R_IEC.SchLib</v>
      </c>
      <c r="H1035" s="17" t="s">
        <v>419</v>
      </c>
      <c r="I1035" s="17" t="s">
        <v>461</v>
      </c>
      <c r="J1035" s="41"/>
      <c r="K1035" s="41"/>
      <c r="L1035" s="41"/>
      <c r="M1035" s="21">
        <v>5100000</v>
      </c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</row>
    <row r="1036" spans="1:28">
      <c r="A1036" s="17" t="s">
        <v>10563</v>
      </c>
      <c r="B1036" s="17" t="s">
        <v>10563</v>
      </c>
      <c r="C1036" s="17" t="s">
        <v>10564</v>
      </c>
      <c r="D1036" s="17" t="s">
        <v>21</v>
      </c>
      <c r="E1036" s="24">
        <v>1218</v>
      </c>
      <c r="F1036" s="17" t="s">
        <v>405</v>
      </c>
      <c r="G1036" s="17" t="str">
        <f>Config!$B$3</f>
        <v>SCH/R_IEC.SchLib</v>
      </c>
      <c r="H1036" s="17" t="s">
        <v>419</v>
      </c>
      <c r="I1036" s="17" t="s">
        <v>461</v>
      </c>
      <c r="J1036" s="41"/>
      <c r="K1036" s="41"/>
      <c r="L1036" s="41"/>
      <c r="M1036" s="21">
        <v>5600000</v>
      </c>
      <c r="N1036" s="17"/>
      <c r="O1036" s="17"/>
      <c r="P1036" s="17"/>
      <c r="Q1036" s="17"/>
      <c r="R1036" s="17"/>
      <c r="S1036" s="17"/>
      <c r="T1036" s="17"/>
      <c r="U1036" s="17"/>
      <c r="V1036" s="17"/>
      <c r="W1036" s="17"/>
      <c r="X1036" s="17"/>
      <c r="Y1036" s="17"/>
      <c r="Z1036" s="17"/>
      <c r="AA1036" s="17"/>
      <c r="AB1036" s="17"/>
    </row>
    <row r="1037" spans="1:28">
      <c r="A1037" s="17" t="s">
        <v>10565</v>
      </c>
      <c r="B1037" s="17" t="s">
        <v>10565</v>
      </c>
      <c r="C1037" s="17" t="s">
        <v>10566</v>
      </c>
      <c r="D1037" s="17" t="s">
        <v>21</v>
      </c>
      <c r="E1037" s="24">
        <v>1218</v>
      </c>
      <c r="F1037" s="17" t="s">
        <v>407</v>
      </c>
      <c r="G1037" s="17" t="str">
        <f>Config!$B$3</f>
        <v>SCH/R_IEC.SchLib</v>
      </c>
      <c r="H1037" s="17" t="s">
        <v>419</v>
      </c>
      <c r="I1037" s="17" t="s">
        <v>461</v>
      </c>
      <c r="J1037" s="41"/>
      <c r="K1037" s="41"/>
      <c r="L1037" s="41"/>
      <c r="M1037" s="21">
        <v>6200000</v>
      </c>
      <c r="N1037" s="17"/>
      <c r="O1037" s="17"/>
      <c r="P1037" s="17"/>
      <c r="Q1037" s="17"/>
      <c r="R1037" s="17"/>
      <c r="S1037" s="17"/>
      <c r="T1037" s="17"/>
      <c r="U1037" s="17"/>
      <c r="V1037" s="17"/>
      <c r="W1037" s="17"/>
      <c r="X1037" s="17"/>
      <c r="Y1037" s="17"/>
      <c r="Z1037" s="17"/>
      <c r="AA1037" s="17"/>
      <c r="AB1037" s="17"/>
    </row>
    <row r="1038" spans="1:28">
      <c r="A1038" s="17" t="s">
        <v>10567</v>
      </c>
      <c r="B1038" s="17" t="s">
        <v>10567</v>
      </c>
      <c r="C1038" s="17" t="s">
        <v>10568</v>
      </c>
      <c r="D1038" s="17" t="s">
        <v>21</v>
      </c>
      <c r="E1038" s="24">
        <v>1218</v>
      </c>
      <c r="F1038" s="17" t="s">
        <v>409</v>
      </c>
      <c r="G1038" s="17" t="str">
        <f>Config!$B$3</f>
        <v>SCH/R_IEC.SchLib</v>
      </c>
      <c r="H1038" s="17" t="s">
        <v>419</v>
      </c>
      <c r="I1038" s="17" t="s">
        <v>461</v>
      </c>
      <c r="J1038" s="41"/>
      <c r="K1038" s="41"/>
      <c r="L1038" s="41"/>
      <c r="M1038" s="21">
        <v>6800000</v>
      </c>
      <c r="N1038" s="17"/>
      <c r="O1038" s="17"/>
      <c r="P1038" s="17"/>
      <c r="Q1038" s="17"/>
      <c r="R1038" s="17"/>
      <c r="S1038" s="17"/>
      <c r="T1038" s="17"/>
      <c r="U1038" s="17"/>
      <c r="V1038" s="17"/>
      <c r="W1038" s="17"/>
      <c r="X1038" s="17"/>
      <c r="Y1038" s="17"/>
      <c r="Z1038" s="17"/>
      <c r="AA1038" s="17"/>
      <c r="AB1038" s="17"/>
    </row>
    <row r="1039" spans="1:28">
      <c r="A1039" s="17" t="s">
        <v>10569</v>
      </c>
      <c r="B1039" s="17" t="s">
        <v>10569</v>
      </c>
      <c r="C1039" s="17" t="s">
        <v>10570</v>
      </c>
      <c r="D1039" s="17" t="s">
        <v>21</v>
      </c>
      <c r="E1039" s="24">
        <v>1218</v>
      </c>
      <c r="F1039" s="17" t="s">
        <v>411</v>
      </c>
      <c r="G1039" s="17" t="str">
        <f>Config!$B$3</f>
        <v>SCH/R_IEC.SchLib</v>
      </c>
      <c r="H1039" s="17" t="s">
        <v>419</v>
      </c>
      <c r="I1039" s="17" t="s">
        <v>461</v>
      </c>
      <c r="J1039" s="41"/>
      <c r="K1039" s="41"/>
      <c r="L1039" s="41"/>
      <c r="M1039" s="21">
        <v>7500000</v>
      </c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</row>
    <row r="1040" spans="1:28">
      <c r="A1040" s="17" t="s">
        <v>10571</v>
      </c>
      <c r="B1040" s="17" t="s">
        <v>10571</v>
      </c>
      <c r="C1040" s="17" t="s">
        <v>10572</v>
      </c>
      <c r="D1040" s="17" t="s">
        <v>21</v>
      </c>
      <c r="E1040" s="24">
        <v>1218</v>
      </c>
      <c r="F1040" s="17" t="s">
        <v>413</v>
      </c>
      <c r="G1040" s="17" t="str">
        <f>Config!$B$3</f>
        <v>SCH/R_IEC.SchLib</v>
      </c>
      <c r="H1040" s="17" t="s">
        <v>419</v>
      </c>
      <c r="I1040" s="17" t="s">
        <v>461</v>
      </c>
      <c r="J1040" s="41"/>
      <c r="K1040" s="41"/>
      <c r="L1040" s="41"/>
      <c r="M1040" s="21">
        <v>8200000</v>
      </c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</row>
    <row r="1041" spans="1:28">
      <c r="A1041" s="17" t="s">
        <v>10573</v>
      </c>
      <c r="B1041" s="17" t="s">
        <v>10573</v>
      </c>
      <c r="C1041" s="17" t="s">
        <v>10574</v>
      </c>
      <c r="D1041" s="17" t="s">
        <v>21</v>
      </c>
      <c r="E1041" s="24">
        <v>1218</v>
      </c>
      <c r="F1041" s="17" t="s">
        <v>415</v>
      </c>
      <c r="G1041" s="17" t="str">
        <f>Config!$B$3</f>
        <v>SCH/R_IEC.SchLib</v>
      </c>
      <c r="H1041" s="17" t="s">
        <v>419</v>
      </c>
      <c r="I1041" s="17" t="s">
        <v>461</v>
      </c>
      <c r="J1041" s="41"/>
      <c r="K1041" s="41"/>
      <c r="L1041" s="41"/>
      <c r="M1041" s="21">
        <v>9100000</v>
      </c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</row>
    <row r="1042" spans="1:28">
      <c r="A1042" s="17" t="s">
        <v>10575</v>
      </c>
      <c r="B1042" s="17" t="s">
        <v>10575</v>
      </c>
      <c r="C1042" s="17" t="s">
        <v>10576</v>
      </c>
      <c r="D1042" s="17" t="s">
        <v>21</v>
      </c>
      <c r="E1042" s="24">
        <v>1218</v>
      </c>
      <c r="F1042" s="17" t="s">
        <v>417</v>
      </c>
      <c r="G1042" s="17" t="str">
        <f>Config!$B$3</f>
        <v>SCH/R_IEC.SchLib</v>
      </c>
      <c r="H1042" s="17" t="s">
        <v>419</v>
      </c>
      <c r="I1042" s="17" t="s">
        <v>461</v>
      </c>
      <c r="J1042" s="41"/>
      <c r="K1042" s="41"/>
      <c r="L1042" s="41"/>
      <c r="M1042" s="21">
        <v>10000000</v>
      </c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7"/>
      <c r="AB1042" s="17"/>
    </row>
    <row r="1043" spans="1:28">
      <c r="A1043" s="16" t="s">
        <v>9897</v>
      </c>
      <c r="B1043" s="16" t="s">
        <v>9897</v>
      </c>
      <c r="C1043" s="16" t="s">
        <v>9898</v>
      </c>
      <c r="D1043" s="16" t="s">
        <v>21</v>
      </c>
      <c r="E1043" s="16">
        <v>2010</v>
      </c>
      <c r="F1043" s="16" t="s">
        <v>23</v>
      </c>
      <c r="G1043" s="17" t="str">
        <f>Config!$B$3</f>
        <v>SCH/R_IEC.SchLib</v>
      </c>
      <c r="H1043" s="16" t="s">
        <v>419</v>
      </c>
      <c r="I1043" s="18" t="s">
        <v>461</v>
      </c>
      <c r="J1043" s="41"/>
      <c r="K1043" s="41"/>
      <c r="L1043" s="41"/>
      <c r="M1043" s="19">
        <v>0</v>
      </c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</row>
    <row r="1044" spans="1:28">
      <c r="A1044" s="17" t="s">
        <v>9899</v>
      </c>
      <c r="B1044" s="17" t="s">
        <v>9899</v>
      </c>
      <c r="C1044" s="17" t="s">
        <v>9900</v>
      </c>
      <c r="D1044" s="17" t="s">
        <v>21</v>
      </c>
      <c r="E1044" s="24">
        <v>2010</v>
      </c>
      <c r="F1044" s="17" t="s">
        <v>29</v>
      </c>
      <c r="G1044" s="17" t="str">
        <f>Config!$B$3</f>
        <v>SCH/R_IEC.SchLib</v>
      </c>
      <c r="H1044" s="17" t="s">
        <v>419</v>
      </c>
      <c r="I1044" s="17" t="s">
        <v>461</v>
      </c>
      <c r="J1044" s="41"/>
      <c r="K1044" s="41"/>
      <c r="L1044" s="41"/>
      <c r="M1044" s="17">
        <v>1</v>
      </c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</row>
    <row r="1045" spans="1:28">
      <c r="A1045" s="17" t="s">
        <v>9901</v>
      </c>
      <c r="B1045" s="17" t="s">
        <v>9901</v>
      </c>
      <c r="C1045" s="17" t="s">
        <v>9902</v>
      </c>
      <c r="D1045" s="17" t="s">
        <v>21</v>
      </c>
      <c r="E1045" s="24">
        <v>2010</v>
      </c>
      <c r="F1045" s="17" t="s">
        <v>1042</v>
      </c>
      <c r="G1045" s="17" t="str">
        <f>Config!$B$3</f>
        <v>SCH/R_IEC.SchLib</v>
      </c>
      <c r="H1045" s="17" t="s">
        <v>419</v>
      </c>
      <c r="I1045" s="17" t="s">
        <v>461</v>
      </c>
      <c r="J1045" s="41"/>
      <c r="K1045" s="41"/>
      <c r="L1045" s="41"/>
      <c r="M1045" s="17">
        <v>1.1000000000000001</v>
      </c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</row>
    <row r="1046" spans="1:28">
      <c r="A1046" s="17" t="s">
        <v>9903</v>
      </c>
      <c r="B1046" s="17" t="s">
        <v>9903</v>
      </c>
      <c r="C1046" s="17" t="s">
        <v>9904</v>
      </c>
      <c r="D1046" s="17" t="s">
        <v>21</v>
      </c>
      <c r="E1046" s="24">
        <v>2010</v>
      </c>
      <c r="F1046" s="17" t="s">
        <v>31</v>
      </c>
      <c r="G1046" s="17" t="str">
        <f>Config!$B$3</f>
        <v>SCH/R_IEC.SchLib</v>
      </c>
      <c r="H1046" s="17" t="s">
        <v>419</v>
      </c>
      <c r="I1046" s="17" t="s">
        <v>461</v>
      </c>
      <c r="J1046" s="41"/>
      <c r="K1046" s="41"/>
      <c r="L1046" s="41"/>
      <c r="M1046" s="17">
        <v>1.2</v>
      </c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7"/>
      <c r="AB1046" s="17"/>
    </row>
    <row r="1047" spans="1:28">
      <c r="A1047" s="17" t="s">
        <v>9905</v>
      </c>
      <c r="B1047" s="17" t="s">
        <v>9905</v>
      </c>
      <c r="C1047" s="17" t="s">
        <v>9906</v>
      </c>
      <c r="D1047" s="17" t="s">
        <v>21</v>
      </c>
      <c r="E1047" s="24">
        <v>2010</v>
      </c>
      <c r="F1047" s="17" t="s">
        <v>1052</v>
      </c>
      <c r="G1047" s="17" t="str">
        <f>Config!$B$3</f>
        <v>SCH/R_IEC.SchLib</v>
      </c>
      <c r="H1047" s="17" t="s">
        <v>419</v>
      </c>
      <c r="I1047" s="17" t="s">
        <v>461</v>
      </c>
      <c r="J1047" s="41"/>
      <c r="K1047" s="41"/>
      <c r="L1047" s="41"/>
      <c r="M1047" s="17">
        <v>1.3</v>
      </c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  <c r="AB1047" s="17"/>
    </row>
    <row r="1048" spans="1:28">
      <c r="A1048" s="17" t="s">
        <v>9907</v>
      </c>
      <c r="B1048" s="17" t="s">
        <v>9907</v>
      </c>
      <c r="C1048" s="17" t="s">
        <v>9908</v>
      </c>
      <c r="D1048" s="17" t="s">
        <v>21</v>
      </c>
      <c r="E1048" s="24">
        <v>2010</v>
      </c>
      <c r="F1048" s="17" t="s">
        <v>33</v>
      </c>
      <c r="G1048" s="17" t="str">
        <f>Config!$B$3</f>
        <v>SCH/R_IEC.SchLib</v>
      </c>
      <c r="H1048" s="17" t="s">
        <v>419</v>
      </c>
      <c r="I1048" s="17" t="s">
        <v>461</v>
      </c>
      <c r="J1048" s="41"/>
      <c r="K1048" s="41"/>
      <c r="L1048" s="41"/>
      <c r="M1048" s="17">
        <v>1.5</v>
      </c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  <c r="AA1048" s="17"/>
      <c r="AB1048" s="17"/>
    </row>
    <row r="1049" spans="1:28">
      <c r="A1049" s="17" t="s">
        <v>9909</v>
      </c>
      <c r="B1049" s="17" t="s">
        <v>9909</v>
      </c>
      <c r="C1049" s="17" t="s">
        <v>9910</v>
      </c>
      <c r="D1049" s="17" t="s">
        <v>21</v>
      </c>
      <c r="E1049" s="24">
        <v>2010</v>
      </c>
      <c r="F1049" s="17" t="s">
        <v>1062</v>
      </c>
      <c r="G1049" s="17" t="str">
        <f>Config!$B$3</f>
        <v>SCH/R_IEC.SchLib</v>
      </c>
      <c r="H1049" s="17" t="s">
        <v>419</v>
      </c>
      <c r="I1049" s="17" t="s">
        <v>461</v>
      </c>
      <c r="J1049" s="41"/>
      <c r="K1049" s="41"/>
      <c r="L1049" s="41"/>
      <c r="M1049" s="17">
        <v>1.6</v>
      </c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  <c r="AB1049" s="17"/>
    </row>
    <row r="1050" spans="1:28">
      <c r="A1050" s="17" t="s">
        <v>9911</v>
      </c>
      <c r="B1050" s="17" t="s">
        <v>9911</v>
      </c>
      <c r="C1050" s="17" t="s">
        <v>9912</v>
      </c>
      <c r="D1050" s="17" t="s">
        <v>21</v>
      </c>
      <c r="E1050" s="24">
        <v>2010</v>
      </c>
      <c r="F1050" s="17" t="s">
        <v>35</v>
      </c>
      <c r="G1050" s="17" t="str">
        <f>Config!$B$3</f>
        <v>SCH/R_IEC.SchLib</v>
      </c>
      <c r="H1050" s="17" t="s">
        <v>419</v>
      </c>
      <c r="I1050" s="17" t="s">
        <v>461</v>
      </c>
      <c r="J1050" s="41"/>
      <c r="K1050" s="41"/>
      <c r="L1050" s="41"/>
      <c r="M1050" s="17">
        <v>1.8</v>
      </c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  <c r="AA1050" s="17"/>
      <c r="AB1050" s="17"/>
    </row>
    <row r="1051" spans="1:28">
      <c r="A1051" s="17" t="s">
        <v>9913</v>
      </c>
      <c r="B1051" s="17" t="s">
        <v>9913</v>
      </c>
      <c r="C1051" s="17" t="s">
        <v>9914</v>
      </c>
      <c r="D1051" s="17" t="s">
        <v>21</v>
      </c>
      <c r="E1051" s="24">
        <v>2010</v>
      </c>
      <c r="F1051" s="17" t="s">
        <v>1070</v>
      </c>
      <c r="G1051" s="17" t="str">
        <f>Config!$B$3</f>
        <v>SCH/R_IEC.SchLib</v>
      </c>
      <c r="H1051" s="17" t="s">
        <v>419</v>
      </c>
      <c r="I1051" s="17" t="s">
        <v>461</v>
      </c>
      <c r="J1051" s="41"/>
      <c r="K1051" s="41"/>
      <c r="L1051" s="41"/>
      <c r="M1051" s="17">
        <v>2</v>
      </c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</row>
    <row r="1052" spans="1:28">
      <c r="A1052" s="17" t="s">
        <v>9915</v>
      </c>
      <c r="B1052" s="17" t="s">
        <v>9915</v>
      </c>
      <c r="C1052" s="17" t="s">
        <v>9916</v>
      </c>
      <c r="D1052" s="17" t="s">
        <v>21</v>
      </c>
      <c r="E1052" s="24">
        <v>2010</v>
      </c>
      <c r="F1052" s="17" t="s">
        <v>37</v>
      </c>
      <c r="G1052" s="17" t="str">
        <f>Config!$B$3</f>
        <v>SCH/R_IEC.SchLib</v>
      </c>
      <c r="H1052" s="17" t="s">
        <v>419</v>
      </c>
      <c r="I1052" s="17" t="s">
        <v>461</v>
      </c>
      <c r="J1052" s="41"/>
      <c r="K1052" s="41"/>
      <c r="L1052" s="41"/>
      <c r="M1052" s="17">
        <v>2.2000000000000002</v>
      </c>
      <c r="N1052" s="17"/>
      <c r="O1052" s="17"/>
      <c r="P1052" s="17"/>
      <c r="Q1052" s="17"/>
      <c r="R1052" s="17"/>
      <c r="S1052" s="17"/>
      <c r="T1052" s="17"/>
      <c r="U1052" s="17"/>
      <c r="V1052" s="17"/>
      <c r="W1052" s="17"/>
      <c r="X1052" s="17"/>
      <c r="Y1052" s="17"/>
      <c r="Z1052" s="17"/>
      <c r="AA1052" s="17"/>
      <c r="AB1052" s="17"/>
    </row>
    <row r="1053" spans="1:28">
      <c r="A1053" s="17" t="s">
        <v>9917</v>
      </c>
      <c r="B1053" s="17" t="s">
        <v>9917</v>
      </c>
      <c r="C1053" s="17" t="s">
        <v>9918</v>
      </c>
      <c r="D1053" s="17" t="s">
        <v>21</v>
      </c>
      <c r="E1053" s="24">
        <v>2010</v>
      </c>
      <c r="F1053" s="17" t="s">
        <v>1080</v>
      </c>
      <c r="G1053" s="17" t="str">
        <f>Config!$B$3</f>
        <v>SCH/R_IEC.SchLib</v>
      </c>
      <c r="H1053" s="17" t="s">
        <v>419</v>
      </c>
      <c r="I1053" s="17" t="s">
        <v>461</v>
      </c>
      <c r="J1053" s="41"/>
      <c r="K1053" s="41"/>
      <c r="L1053" s="41"/>
      <c r="M1053" s="17">
        <v>2.4</v>
      </c>
      <c r="N1053" s="17"/>
      <c r="O1053" s="17"/>
      <c r="P1053" s="17"/>
      <c r="Q1053" s="17"/>
      <c r="R1053" s="17"/>
      <c r="S1053" s="17"/>
      <c r="T1053" s="17"/>
      <c r="U1053" s="17"/>
      <c r="V1053" s="17"/>
      <c r="W1053" s="17"/>
      <c r="X1053" s="17"/>
      <c r="Y1053" s="17"/>
      <c r="Z1053" s="17"/>
      <c r="AA1053" s="17"/>
      <c r="AB1053" s="17"/>
    </row>
    <row r="1054" spans="1:28">
      <c r="A1054" s="17" t="s">
        <v>9919</v>
      </c>
      <c r="B1054" s="17" t="s">
        <v>9919</v>
      </c>
      <c r="C1054" s="17" t="s">
        <v>9920</v>
      </c>
      <c r="D1054" s="17" t="s">
        <v>21</v>
      </c>
      <c r="E1054" s="24">
        <v>2010</v>
      </c>
      <c r="F1054" s="17" t="s">
        <v>39</v>
      </c>
      <c r="G1054" s="17" t="str">
        <f>Config!$B$3</f>
        <v>SCH/R_IEC.SchLib</v>
      </c>
      <c r="H1054" s="17" t="s">
        <v>419</v>
      </c>
      <c r="I1054" s="17" t="s">
        <v>461</v>
      </c>
      <c r="J1054" s="41"/>
      <c r="K1054" s="41"/>
      <c r="L1054" s="41"/>
      <c r="M1054" s="17">
        <v>2.7</v>
      </c>
      <c r="N1054" s="17"/>
      <c r="O1054" s="17"/>
      <c r="P1054" s="17"/>
      <c r="Q1054" s="17"/>
      <c r="R1054" s="17"/>
      <c r="S1054" s="17"/>
      <c r="T1054" s="17"/>
      <c r="U1054" s="17"/>
      <c r="V1054" s="17"/>
      <c r="W1054" s="17"/>
      <c r="X1054" s="17"/>
      <c r="Y1054" s="17"/>
      <c r="Z1054" s="17"/>
      <c r="AA1054" s="17"/>
      <c r="AB1054" s="17"/>
    </row>
    <row r="1055" spans="1:28">
      <c r="A1055" s="17" t="s">
        <v>9921</v>
      </c>
      <c r="B1055" s="17" t="s">
        <v>9921</v>
      </c>
      <c r="C1055" s="17" t="s">
        <v>9922</v>
      </c>
      <c r="D1055" s="17" t="s">
        <v>21</v>
      </c>
      <c r="E1055" s="24">
        <v>2010</v>
      </c>
      <c r="F1055" s="17" t="s">
        <v>1088</v>
      </c>
      <c r="G1055" s="17" t="str">
        <f>Config!$B$3</f>
        <v>SCH/R_IEC.SchLib</v>
      </c>
      <c r="H1055" s="17" t="s">
        <v>419</v>
      </c>
      <c r="I1055" s="17" t="s">
        <v>461</v>
      </c>
      <c r="J1055" s="41"/>
      <c r="K1055" s="41"/>
      <c r="L1055" s="41"/>
      <c r="M1055" s="17">
        <v>3</v>
      </c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7"/>
      <c r="AB1055" s="17"/>
    </row>
    <row r="1056" spans="1:28">
      <c r="A1056" s="17" t="s">
        <v>9923</v>
      </c>
      <c r="B1056" s="17" t="s">
        <v>9923</v>
      </c>
      <c r="C1056" s="17" t="s">
        <v>9924</v>
      </c>
      <c r="D1056" s="17" t="s">
        <v>21</v>
      </c>
      <c r="E1056" s="24">
        <v>2010</v>
      </c>
      <c r="F1056" s="17" t="s">
        <v>41</v>
      </c>
      <c r="G1056" s="17" t="str">
        <f>Config!$B$3</f>
        <v>SCH/R_IEC.SchLib</v>
      </c>
      <c r="H1056" s="17" t="s">
        <v>419</v>
      </c>
      <c r="I1056" s="17" t="s">
        <v>461</v>
      </c>
      <c r="J1056" s="41"/>
      <c r="K1056" s="41"/>
      <c r="L1056" s="41"/>
      <c r="M1056" s="17">
        <v>3.3</v>
      </c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  <c r="AA1056" s="17"/>
      <c r="AB1056" s="17"/>
    </row>
    <row r="1057" spans="1:28">
      <c r="A1057" s="17" t="s">
        <v>9925</v>
      </c>
      <c r="B1057" s="17" t="s">
        <v>9925</v>
      </c>
      <c r="C1057" s="17" t="s">
        <v>9926</v>
      </c>
      <c r="D1057" s="17" t="s">
        <v>21</v>
      </c>
      <c r="E1057" s="24">
        <v>2010</v>
      </c>
      <c r="F1057" s="17" t="s">
        <v>1098</v>
      </c>
      <c r="G1057" s="17" t="str">
        <f>Config!$B$3</f>
        <v>SCH/R_IEC.SchLib</v>
      </c>
      <c r="H1057" s="17" t="s">
        <v>419</v>
      </c>
      <c r="I1057" s="17" t="s">
        <v>461</v>
      </c>
      <c r="J1057" s="41"/>
      <c r="K1057" s="41"/>
      <c r="L1057" s="41"/>
      <c r="M1057" s="17">
        <v>3.6</v>
      </c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  <c r="AA1057" s="17"/>
      <c r="AB1057" s="17"/>
    </row>
    <row r="1058" spans="1:28">
      <c r="A1058" s="17" t="s">
        <v>9927</v>
      </c>
      <c r="B1058" s="17" t="s">
        <v>9927</v>
      </c>
      <c r="C1058" s="17" t="s">
        <v>9928</v>
      </c>
      <c r="D1058" s="17" t="s">
        <v>21</v>
      </c>
      <c r="E1058" s="24">
        <v>2010</v>
      </c>
      <c r="F1058" s="17" t="s">
        <v>43</v>
      </c>
      <c r="G1058" s="17" t="str">
        <f>Config!$B$3</f>
        <v>SCH/R_IEC.SchLib</v>
      </c>
      <c r="H1058" s="17" t="s">
        <v>419</v>
      </c>
      <c r="I1058" s="17" t="s">
        <v>461</v>
      </c>
      <c r="J1058" s="41"/>
      <c r="K1058" s="41"/>
      <c r="L1058" s="41"/>
      <c r="M1058" s="17">
        <v>3.9</v>
      </c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17"/>
      <c r="AB1058" s="17"/>
    </row>
    <row r="1059" spans="1:28">
      <c r="A1059" s="17" t="s">
        <v>9929</v>
      </c>
      <c r="B1059" s="17" t="s">
        <v>9929</v>
      </c>
      <c r="C1059" s="17" t="s">
        <v>9930</v>
      </c>
      <c r="D1059" s="17" t="s">
        <v>21</v>
      </c>
      <c r="E1059" s="24">
        <v>2010</v>
      </c>
      <c r="F1059" s="17" t="s">
        <v>1106</v>
      </c>
      <c r="G1059" s="17" t="str">
        <f>Config!$B$3</f>
        <v>SCH/R_IEC.SchLib</v>
      </c>
      <c r="H1059" s="17" t="s">
        <v>419</v>
      </c>
      <c r="I1059" s="17" t="s">
        <v>461</v>
      </c>
      <c r="J1059" s="41"/>
      <c r="K1059" s="41"/>
      <c r="L1059" s="41"/>
      <c r="M1059" s="17">
        <v>4.3</v>
      </c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  <c r="AB1059" s="17"/>
    </row>
    <row r="1060" spans="1:28">
      <c r="A1060" s="17" t="s">
        <v>9931</v>
      </c>
      <c r="B1060" s="17" t="s">
        <v>9931</v>
      </c>
      <c r="C1060" s="17" t="s">
        <v>9932</v>
      </c>
      <c r="D1060" s="17" t="s">
        <v>21</v>
      </c>
      <c r="E1060" s="24">
        <v>2010</v>
      </c>
      <c r="F1060" s="17" t="s">
        <v>45</v>
      </c>
      <c r="G1060" s="17" t="str">
        <f>Config!$B$3</f>
        <v>SCH/R_IEC.SchLib</v>
      </c>
      <c r="H1060" s="17" t="s">
        <v>419</v>
      </c>
      <c r="I1060" s="17" t="s">
        <v>461</v>
      </c>
      <c r="J1060" s="41"/>
      <c r="K1060" s="41"/>
      <c r="L1060" s="41"/>
      <c r="M1060" s="17">
        <v>4.7</v>
      </c>
      <c r="N1060" s="17"/>
      <c r="O1060" s="1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  <c r="AA1060" s="17"/>
      <c r="AB1060" s="17"/>
    </row>
    <row r="1061" spans="1:28">
      <c r="A1061" s="17" t="s">
        <v>9933</v>
      </c>
      <c r="B1061" s="17" t="s">
        <v>9933</v>
      </c>
      <c r="C1061" s="17" t="s">
        <v>9934</v>
      </c>
      <c r="D1061" s="17" t="s">
        <v>21</v>
      </c>
      <c r="E1061" s="24">
        <v>2010</v>
      </c>
      <c r="F1061" s="17" t="s">
        <v>1116</v>
      </c>
      <c r="G1061" s="17" t="str">
        <f>Config!$B$3</f>
        <v>SCH/R_IEC.SchLib</v>
      </c>
      <c r="H1061" s="17" t="s">
        <v>419</v>
      </c>
      <c r="I1061" s="17" t="s">
        <v>461</v>
      </c>
      <c r="J1061" s="41"/>
      <c r="K1061" s="41"/>
      <c r="L1061" s="41"/>
      <c r="M1061" s="17">
        <v>5.0999999999999996</v>
      </c>
      <c r="N1061" s="17"/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  <c r="AA1061" s="17"/>
      <c r="AB1061" s="17"/>
    </row>
    <row r="1062" spans="1:28">
      <c r="A1062" s="17" t="s">
        <v>9935</v>
      </c>
      <c r="B1062" s="17" t="s">
        <v>9935</v>
      </c>
      <c r="C1062" s="17" t="s">
        <v>9936</v>
      </c>
      <c r="D1062" s="17" t="s">
        <v>21</v>
      </c>
      <c r="E1062" s="24">
        <v>2010</v>
      </c>
      <c r="F1062" s="17" t="s">
        <v>47</v>
      </c>
      <c r="G1062" s="17" t="str">
        <f>Config!$B$3</f>
        <v>SCH/R_IEC.SchLib</v>
      </c>
      <c r="H1062" s="17" t="s">
        <v>419</v>
      </c>
      <c r="I1062" s="17" t="s">
        <v>461</v>
      </c>
      <c r="J1062" s="41"/>
      <c r="K1062" s="41"/>
      <c r="L1062" s="41"/>
      <c r="M1062" s="17">
        <v>5.6</v>
      </c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  <c r="AA1062" s="17"/>
      <c r="AB1062" s="17"/>
    </row>
    <row r="1063" spans="1:28">
      <c r="A1063" s="17" t="s">
        <v>9937</v>
      </c>
      <c r="B1063" s="17" t="s">
        <v>9937</v>
      </c>
      <c r="C1063" s="17" t="s">
        <v>9938</v>
      </c>
      <c r="D1063" s="17" t="s">
        <v>21</v>
      </c>
      <c r="E1063" s="24">
        <v>2010</v>
      </c>
      <c r="F1063" s="17" t="s">
        <v>1128</v>
      </c>
      <c r="G1063" s="17" t="str">
        <f>Config!$B$3</f>
        <v>SCH/R_IEC.SchLib</v>
      </c>
      <c r="H1063" s="17" t="s">
        <v>419</v>
      </c>
      <c r="I1063" s="17" t="s">
        <v>461</v>
      </c>
      <c r="J1063" s="41"/>
      <c r="K1063" s="41"/>
      <c r="L1063" s="41"/>
      <c r="M1063" s="17">
        <v>6.2</v>
      </c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  <c r="AA1063" s="17"/>
      <c r="AB1063" s="17"/>
    </row>
    <row r="1064" spans="1:28">
      <c r="A1064" s="17" t="s">
        <v>9939</v>
      </c>
      <c r="B1064" s="17" t="s">
        <v>9939</v>
      </c>
      <c r="C1064" s="17" t="s">
        <v>9940</v>
      </c>
      <c r="D1064" s="17" t="s">
        <v>21</v>
      </c>
      <c r="E1064" s="24">
        <v>2010</v>
      </c>
      <c r="F1064" s="17" t="s">
        <v>49</v>
      </c>
      <c r="G1064" s="17" t="str">
        <f>Config!$B$3</f>
        <v>SCH/R_IEC.SchLib</v>
      </c>
      <c r="H1064" s="17" t="s">
        <v>419</v>
      </c>
      <c r="I1064" s="17" t="s">
        <v>461</v>
      </c>
      <c r="J1064" s="41"/>
      <c r="K1064" s="41"/>
      <c r="L1064" s="41"/>
      <c r="M1064" s="17">
        <v>6.8</v>
      </c>
      <c r="N1064" s="17"/>
      <c r="O1064" s="17"/>
      <c r="P1064" s="17"/>
      <c r="Q1064" s="17"/>
      <c r="R1064" s="17"/>
      <c r="S1064" s="17"/>
      <c r="T1064" s="17"/>
      <c r="U1064" s="17"/>
      <c r="V1064" s="17"/>
      <c r="W1064" s="17"/>
      <c r="X1064" s="17"/>
      <c r="Y1064" s="17"/>
      <c r="Z1064" s="17"/>
      <c r="AA1064" s="17"/>
      <c r="AB1064" s="17"/>
    </row>
    <row r="1065" spans="1:28">
      <c r="A1065" s="17" t="s">
        <v>9941</v>
      </c>
      <c r="B1065" s="17" t="s">
        <v>9941</v>
      </c>
      <c r="C1065" s="17" t="s">
        <v>9942</v>
      </c>
      <c r="D1065" s="17" t="s">
        <v>21</v>
      </c>
      <c r="E1065" s="24">
        <v>2010</v>
      </c>
      <c r="F1065" s="17" t="s">
        <v>1138</v>
      </c>
      <c r="G1065" s="17" t="str">
        <f>Config!$B$3</f>
        <v>SCH/R_IEC.SchLib</v>
      </c>
      <c r="H1065" s="17" t="s">
        <v>419</v>
      </c>
      <c r="I1065" s="17" t="s">
        <v>461</v>
      </c>
      <c r="J1065" s="41"/>
      <c r="K1065" s="41"/>
      <c r="L1065" s="41"/>
      <c r="M1065" s="17">
        <v>7.5</v>
      </c>
      <c r="N1065" s="17"/>
      <c r="O1065" s="17"/>
      <c r="P1065" s="17"/>
      <c r="Q1065" s="17"/>
      <c r="R1065" s="17"/>
      <c r="S1065" s="17"/>
      <c r="T1065" s="17"/>
      <c r="U1065" s="17"/>
      <c r="V1065" s="17"/>
      <c r="W1065" s="17"/>
      <c r="X1065" s="17"/>
      <c r="Y1065" s="17"/>
      <c r="Z1065" s="17"/>
      <c r="AA1065" s="17"/>
      <c r="AB1065" s="17"/>
    </row>
    <row r="1066" spans="1:28">
      <c r="A1066" s="17" t="s">
        <v>9943</v>
      </c>
      <c r="B1066" s="17" t="s">
        <v>9943</v>
      </c>
      <c r="C1066" s="17" t="s">
        <v>9944</v>
      </c>
      <c r="D1066" s="17" t="s">
        <v>21</v>
      </c>
      <c r="E1066" s="24">
        <v>2010</v>
      </c>
      <c r="F1066" s="17" t="s">
        <v>51</v>
      </c>
      <c r="G1066" s="17" t="str">
        <f>Config!$B$3</f>
        <v>SCH/R_IEC.SchLib</v>
      </c>
      <c r="H1066" s="17" t="s">
        <v>419</v>
      </c>
      <c r="I1066" s="17" t="s">
        <v>461</v>
      </c>
      <c r="J1066" s="41"/>
      <c r="K1066" s="41"/>
      <c r="L1066" s="41"/>
      <c r="M1066" s="17">
        <v>8.1999999999999993</v>
      </c>
      <c r="N1066" s="17"/>
      <c r="O1066" s="17"/>
      <c r="P1066" s="17"/>
      <c r="Q1066" s="17"/>
      <c r="R1066" s="17"/>
      <c r="S1066" s="17"/>
      <c r="T1066" s="17"/>
      <c r="U1066" s="17"/>
      <c r="V1066" s="17"/>
      <c r="W1066" s="17"/>
      <c r="X1066" s="17"/>
      <c r="Y1066" s="17"/>
      <c r="Z1066" s="17"/>
      <c r="AA1066" s="17"/>
      <c r="AB1066" s="17"/>
    </row>
    <row r="1067" spans="1:28">
      <c r="A1067" s="17" t="s">
        <v>9945</v>
      </c>
      <c r="B1067" s="17" t="s">
        <v>9945</v>
      </c>
      <c r="C1067" s="17" t="s">
        <v>9946</v>
      </c>
      <c r="D1067" s="17" t="s">
        <v>21</v>
      </c>
      <c r="E1067" s="24">
        <v>2010</v>
      </c>
      <c r="F1067" s="17" t="s">
        <v>1148</v>
      </c>
      <c r="G1067" s="17" t="str">
        <f>Config!$B$3</f>
        <v>SCH/R_IEC.SchLib</v>
      </c>
      <c r="H1067" s="17" t="s">
        <v>419</v>
      </c>
      <c r="I1067" s="17" t="s">
        <v>461</v>
      </c>
      <c r="J1067" s="41"/>
      <c r="K1067" s="41"/>
      <c r="L1067" s="41"/>
      <c r="M1067" s="17">
        <v>9.1</v>
      </c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  <c r="AA1067" s="17"/>
      <c r="AB1067" s="17"/>
    </row>
    <row r="1068" spans="1:28">
      <c r="A1068" s="17" t="s">
        <v>9947</v>
      </c>
      <c r="B1068" s="17" t="s">
        <v>9947</v>
      </c>
      <c r="C1068" s="17" t="s">
        <v>9948</v>
      </c>
      <c r="D1068" s="17" t="s">
        <v>21</v>
      </c>
      <c r="E1068" s="24">
        <v>2010</v>
      </c>
      <c r="F1068" s="17" t="s">
        <v>53</v>
      </c>
      <c r="G1068" s="17" t="str">
        <f>Config!$B$3</f>
        <v>SCH/R_IEC.SchLib</v>
      </c>
      <c r="H1068" s="17" t="s">
        <v>419</v>
      </c>
      <c r="I1068" s="17" t="s">
        <v>461</v>
      </c>
      <c r="J1068" s="41"/>
      <c r="K1068" s="41"/>
      <c r="L1068" s="41"/>
      <c r="M1068" s="21">
        <v>10</v>
      </c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</row>
    <row r="1069" spans="1:28">
      <c r="A1069" s="17" t="s">
        <v>9949</v>
      </c>
      <c r="B1069" s="17" t="s">
        <v>9949</v>
      </c>
      <c r="C1069" s="17" t="s">
        <v>9950</v>
      </c>
      <c r="D1069" s="17" t="s">
        <v>21</v>
      </c>
      <c r="E1069" s="24">
        <v>2010</v>
      </c>
      <c r="F1069" s="17" t="s">
        <v>57</v>
      </c>
      <c r="G1069" s="17" t="str">
        <f>Config!$B$3</f>
        <v>SCH/R_IEC.SchLib</v>
      </c>
      <c r="H1069" s="17" t="s">
        <v>419</v>
      </c>
      <c r="I1069" s="17" t="s">
        <v>461</v>
      </c>
      <c r="J1069" s="41"/>
      <c r="K1069" s="41"/>
      <c r="L1069" s="41"/>
      <c r="M1069" s="21">
        <v>11</v>
      </c>
      <c r="N1069" s="17"/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  <c r="AB1069" s="17"/>
    </row>
    <row r="1070" spans="1:28">
      <c r="A1070" s="17" t="s">
        <v>9951</v>
      </c>
      <c r="B1070" s="17" t="s">
        <v>9951</v>
      </c>
      <c r="C1070" s="17" t="s">
        <v>9952</v>
      </c>
      <c r="D1070" s="17" t="s">
        <v>21</v>
      </c>
      <c r="E1070" s="24">
        <v>2010</v>
      </c>
      <c r="F1070" s="17" t="s">
        <v>59</v>
      </c>
      <c r="G1070" s="17" t="str">
        <f>Config!$B$3</f>
        <v>SCH/R_IEC.SchLib</v>
      </c>
      <c r="H1070" s="17" t="s">
        <v>419</v>
      </c>
      <c r="I1070" s="17" t="s">
        <v>461</v>
      </c>
      <c r="J1070" s="41"/>
      <c r="K1070" s="41"/>
      <c r="L1070" s="41"/>
      <c r="M1070" s="21">
        <v>12</v>
      </c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  <c r="AA1070" s="17"/>
      <c r="AB1070" s="17"/>
    </row>
    <row r="1071" spans="1:28">
      <c r="A1071" s="17" t="s">
        <v>9953</v>
      </c>
      <c r="B1071" s="17" t="s">
        <v>9953</v>
      </c>
      <c r="C1071" s="17" t="s">
        <v>9954</v>
      </c>
      <c r="D1071" s="17" t="s">
        <v>21</v>
      </c>
      <c r="E1071" s="24">
        <v>2010</v>
      </c>
      <c r="F1071" s="17" t="s">
        <v>61</v>
      </c>
      <c r="G1071" s="17" t="str">
        <f>Config!$B$3</f>
        <v>SCH/R_IEC.SchLib</v>
      </c>
      <c r="H1071" s="17" t="s">
        <v>419</v>
      </c>
      <c r="I1071" s="17" t="s">
        <v>461</v>
      </c>
      <c r="J1071" s="41"/>
      <c r="K1071" s="41"/>
      <c r="L1071" s="41"/>
      <c r="M1071" s="21">
        <v>13</v>
      </c>
      <c r="N1071" s="17"/>
      <c r="O1071" s="17"/>
      <c r="P1071" s="17"/>
      <c r="Q1071" s="17"/>
      <c r="R1071" s="17"/>
      <c r="S1071" s="17"/>
      <c r="T1071" s="17"/>
      <c r="U1071" s="17"/>
      <c r="V1071" s="17"/>
      <c r="W1071" s="17"/>
      <c r="X1071" s="17"/>
      <c r="Y1071" s="17"/>
      <c r="Z1071" s="17"/>
      <c r="AA1071" s="17"/>
      <c r="AB1071" s="17"/>
    </row>
    <row r="1072" spans="1:28">
      <c r="A1072" s="17" t="s">
        <v>9955</v>
      </c>
      <c r="B1072" s="17" t="s">
        <v>9955</v>
      </c>
      <c r="C1072" s="17" t="s">
        <v>9956</v>
      </c>
      <c r="D1072" s="17" t="s">
        <v>21</v>
      </c>
      <c r="E1072" s="24">
        <v>2010</v>
      </c>
      <c r="F1072" s="17" t="s">
        <v>63</v>
      </c>
      <c r="G1072" s="17" t="str">
        <f>Config!$B$3</f>
        <v>SCH/R_IEC.SchLib</v>
      </c>
      <c r="H1072" s="17" t="s">
        <v>419</v>
      </c>
      <c r="I1072" s="17" t="s">
        <v>461</v>
      </c>
      <c r="J1072" s="41"/>
      <c r="K1072" s="41"/>
      <c r="L1072" s="41"/>
      <c r="M1072" s="21">
        <v>15</v>
      </c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  <c r="AA1072" s="17"/>
      <c r="AB1072" s="17"/>
    </row>
    <row r="1073" spans="1:28">
      <c r="A1073" s="17" t="s">
        <v>9957</v>
      </c>
      <c r="B1073" s="17" t="s">
        <v>9957</v>
      </c>
      <c r="C1073" s="17" t="s">
        <v>9958</v>
      </c>
      <c r="D1073" s="17" t="s">
        <v>21</v>
      </c>
      <c r="E1073" s="24">
        <v>2010</v>
      </c>
      <c r="F1073" s="17" t="s">
        <v>65</v>
      </c>
      <c r="G1073" s="17" t="str">
        <f>Config!$B$3</f>
        <v>SCH/R_IEC.SchLib</v>
      </c>
      <c r="H1073" s="17" t="s">
        <v>419</v>
      </c>
      <c r="I1073" s="17" t="s">
        <v>461</v>
      </c>
      <c r="J1073" s="41"/>
      <c r="K1073" s="41"/>
      <c r="L1073" s="41"/>
      <c r="M1073" s="21">
        <v>16</v>
      </c>
      <c r="N1073" s="17"/>
      <c r="O1073" s="17"/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  <c r="AA1073" s="17"/>
      <c r="AB1073" s="17"/>
    </row>
    <row r="1074" spans="1:28">
      <c r="A1074" s="17" t="s">
        <v>9959</v>
      </c>
      <c r="B1074" s="17" t="s">
        <v>9959</v>
      </c>
      <c r="C1074" s="17" t="s">
        <v>9960</v>
      </c>
      <c r="D1074" s="17" t="s">
        <v>21</v>
      </c>
      <c r="E1074" s="24">
        <v>2010</v>
      </c>
      <c r="F1074" s="17" t="s">
        <v>67</v>
      </c>
      <c r="G1074" s="17" t="str">
        <f>Config!$B$3</f>
        <v>SCH/R_IEC.SchLib</v>
      </c>
      <c r="H1074" s="17" t="s">
        <v>419</v>
      </c>
      <c r="I1074" s="17" t="s">
        <v>461</v>
      </c>
      <c r="J1074" s="41"/>
      <c r="K1074" s="41"/>
      <c r="L1074" s="41"/>
      <c r="M1074" s="21">
        <v>18</v>
      </c>
      <c r="N1074" s="17"/>
      <c r="O1074" s="17"/>
      <c r="P1074" s="17"/>
      <c r="Q1074" s="17"/>
      <c r="R1074" s="17"/>
      <c r="S1074" s="17"/>
      <c r="T1074" s="17"/>
      <c r="U1074" s="17"/>
      <c r="V1074" s="17"/>
      <c r="W1074" s="17"/>
      <c r="X1074" s="17"/>
      <c r="Y1074" s="17"/>
      <c r="Z1074" s="17"/>
      <c r="AA1074" s="17"/>
      <c r="AB1074" s="17"/>
    </row>
    <row r="1075" spans="1:28">
      <c r="A1075" s="17" t="s">
        <v>9961</v>
      </c>
      <c r="B1075" s="17" t="s">
        <v>9961</v>
      </c>
      <c r="C1075" s="17" t="s">
        <v>9962</v>
      </c>
      <c r="D1075" s="17" t="s">
        <v>21</v>
      </c>
      <c r="E1075" s="24">
        <v>2010</v>
      </c>
      <c r="F1075" s="17" t="s">
        <v>69</v>
      </c>
      <c r="G1075" s="17" t="str">
        <f>Config!$B$3</f>
        <v>SCH/R_IEC.SchLib</v>
      </c>
      <c r="H1075" s="17" t="s">
        <v>419</v>
      </c>
      <c r="I1075" s="17" t="s">
        <v>461</v>
      </c>
      <c r="J1075" s="41"/>
      <c r="K1075" s="41"/>
      <c r="L1075" s="41"/>
      <c r="M1075" s="21">
        <v>20</v>
      </c>
      <c r="N1075" s="17"/>
      <c r="O1075" s="17"/>
      <c r="P1075" s="17"/>
      <c r="Q1075" s="17"/>
      <c r="R1075" s="17"/>
      <c r="S1075" s="17"/>
      <c r="T1075" s="17"/>
      <c r="U1075" s="17"/>
      <c r="V1075" s="17"/>
      <c r="W1075" s="17"/>
      <c r="X1075" s="17"/>
      <c r="Y1075" s="17"/>
      <c r="Z1075" s="17"/>
      <c r="AA1075" s="17"/>
      <c r="AB1075" s="17"/>
    </row>
    <row r="1076" spans="1:28">
      <c r="A1076" s="17" t="s">
        <v>9963</v>
      </c>
      <c r="B1076" s="17" t="s">
        <v>9963</v>
      </c>
      <c r="C1076" s="17" t="s">
        <v>9964</v>
      </c>
      <c r="D1076" s="17" t="s">
        <v>21</v>
      </c>
      <c r="E1076" s="24">
        <v>2010</v>
      </c>
      <c r="F1076" s="17" t="s">
        <v>71</v>
      </c>
      <c r="G1076" s="17" t="str">
        <f>Config!$B$3</f>
        <v>SCH/R_IEC.SchLib</v>
      </c>
      <c r="H1076" s="17" t="s">
        <v>419</v>
      </c>
      <c r="I1076" s="17" t="s">
        <v>461</v>
      </c>
      <c r="J1076" s="41"/>
      <c r="K1076" s="41"/>
      <c r="L1076" s="41"/>
      <c r="M1076" s="21">
        <v>22</v>
      </c>
      <c r="N1076" s="17"/>
      <c r="O1076" s="17"/>
      <c r="P1076" s="17"/>
      <c r="Q1076" s="17"/>
      <c r="R1076" s="17"/>
      <c r="S1076" s="17"/>
      <c r="T1076" s="17"/>
      <c r="U1076" s="17"/>
      <c r="V1076" s="17"/>
      <c r="W1076" s="17"/>
      <c r="X1076" s="17"/>
      <c r="Y1076" s="17"/>
      <c r="Z1076" s="17"/>
      <c r="AA1076" s="17"/>
      <c r="AB1076" s="17"/>
    </row>
    <row r="1077" spans="1:28">
      <c r="A1077" s="17" t="s">
        <v>9965</v>
      </c>
      <c r="B1077" s="17" t="s">
        <v>9965</v>
      </c>
      <c r="C1077" s="17" t="s">
        <v>9966</v>
      </c>
      <c r="D1077" s="17" t="s">
        <v>21</v>
      </c>
      <c r="E1077" s="24">
        <v>2010</v>
      </c>
      <c r="F1077" s="17" t="s">
        <v>75</v>
      </c>
      <c r="G1077" s="17" t="str">
        <f>Config!$B$3</f>
        <v>SCH/R_IEC.SchLib</v>
      </c>
      <c r="H1077" s="17" t="s">
        <v>419</v>
      </c>
      <c r="I1077" s="17" t="s">
        <v>461</v>
      </c>
      <c r="J1077" s="41"/>
      <c r="K1077" s="41"/>
      <c r="L1077" s="41"/>
      <c r="M1077" s="21">
        <v>24</v>
      </c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  <c r="AA1077" s="17"/>
      <c r="AB1077" s="17"/>
    </row>
    <row r="1078" spans="1:28">
      <c r="A1078" s="17" t="s">
        <v>9967</v>
      </c>
      <c r="B1078" s="17" t="s">
        <v>9967</v>
      </c>
      <c r="C1078" s="17" t="s">
        <v>9968</v>
      </c>
      <c r="D1078" s="17" t="s">
        <v>21</v>
      </c>
      <c r="E1078" s="24">
        <v>2010</v>
      </c>
      <c r="F1078" s="17" t="s">
        <v>77</v>
      </c>
      <c r="G1078" s="17" t="str">
        <f>Config!$B$3</f>
        <v>SCH/R_IEC.SchLib</v>
      </c>
      <c r="H1078" s="17" t="s">
        <v>419</v>
      </c>
      <c r="I1078" s="17" t="s">
        <v>461</v>
      </c>
      <c r="J1078" s="41"/>
      <c r="K1078" s="41"/>
      <c r="L1078" s="41"/>
      <c r="M1078" s="21">
        <v>27</v>
      </c>
      <c r="N1078" s="17"/>
      <c r="O1078" s="17"/>
      <c r="P1078" s="17"/>
      <c r="Q1078" s="17"/>
      <c r="R1078" s="17"/>
      <c r="S1078" s="17"/>
      <c r="T1078" s="17"/>
      <c r="U1078" s="17"/>
      <c r="V1078" s="17"/>
      <c r="W1078" s="17"/>
      <c r="X1078" s="17"/>
      <c r="Y1078" s="17"/>
      <c r="Z1078" s="17"/>
      <c r="AA1078" s="17"/>
      <c r="AB1078" s="17"/>
    </row>
    <row r="1079" spans="1:28">
      <c r="A1079" s="17" t="s">
        <v>9969</v>
      </c>
      <c r="B1079" s="17" t="s">
        <v>9969</v>
      </c>
      <c r="C1079" s="17" t="s">
        <v>9970</v>
      </c>
      <c r="D1079" s="17" t="s">
        <v>21</v>
      </c>
      <c r="E1079" s="24">
        <v>2010</v>
      </c>
      <c r="F1079" s="17" t="s">
        <v>79</v>
      </c>
      <c r="G1079" s="17" t="str">
        <f>Config!$B$3</f>
        <v>SCH/R_IEC.SchLib</v>
      </c>
      <c r="H1079" s="17" t="s">
        <v>419</v>
      </c>
      <c r="I1079" s="17" t="s">
        <v>461</v>
      </c>
      <c r="J1079" s="41"/>
      <c r="K1079" s="41"/>
      <c r="L1079" s="41"/>
      <c r="M1079" s="21">
        <v>30</v>
      </c>
      <c r="N1079" s="17"/>
      <c r="O1079" s="17"/>
      <c r="P1079" s="17"/>
      <c r="Q1079" s="17"/>
      <c r="R1079" s="17"/>
      <c r="S1079" s="17"/>
      <c r="T1079" s="17"/>
      <c r="U1079" s="17"/>
      <c r="V1079" s="17"/>
      <c r="W1079" s="17"/>
      <c r="X1079" s="17"/>
      <c r="Y1079" s="17"/>
      <c r="Z1079" s="17"/>
      <c r="AA1079" s="17"/>
      <c r="AB1079" s="17"/>
    </row>
    <row r="1080" spans="1:28">
      <c r="A1080" s="17" t="s">
        <v>9971</v>
      </c>
      <c r="B1080" s="17" t="s">
        <v>9971</v>
      </c>
      <c r="C1080" s="17" t="s">
        <v>9972</v>
      </c>
      <c r="D1080" s="17" t="s">
        <v>21</v>
      </c>
      <c r="E1080" s="24">
        <v>2010</v>
      </c>
      <c r="F1080" s="17" t="s">
        <v>81</v>
      </c>
      <c r="G1080" s="17" t="str">
        <f>Config!$B$3</f>
        <v>SCH/R_IEC.SchLib</v>
      </c>
      <c r="H1080" s="17" t="s">
        <v>419</v>
      </c>
      <c r="I1080" s="17" t="s">
        <v>461</v>
      </c>
      <c r="J1080" s="41"/>
      <c r="K1080" s="41"/>
      <c r="L1080" s="41"/>
      <c r="M1080" s="21">
        <v>33</v>
      </c>
      <c r="N1080" s="17"/>
      <c r="O1080" s="17"/>
      <c r="P1080" s="17"/>
      <c r="Q1080" s="17"/>
      <c r="R1080" s="17"/>
      <c r="S1080" s="17"/>
      <c r="T1080" s="17"/>
      <c r="U1080" s="17"/>
      <c r="V1080" s="17"/>
      <c r="W1080" s="17"/>
      <c r="X1080" s="17"/>
      <c r="Y1080" s="17"/>
      <c r="Z1080" s="17"/>
      <c r="AA1080" s="17"/>
      <c r="AB1080" s="17"/>
    </row>
    <row r="1081" spans="1:28">
      <c r="A1081" s="17" t="s">
        <v>9973</v>
      </c>
      <c r="B1081" s="17" t="s">
        <v>9973</v>
      </c>
      <c r="C1081" s="17" t="s">
        <v>9974</v>
      </c>
      <c r="D1081" s="17" t="s">
        <v>21</v>
      </c>
      <c r="E1081" s="24">
        <v>2010</v>
      </c>
      <c r="F1081" s="17" t="s">
        <v>83</v>
      </c>
      <c r="G1081" s="17" t="str">
        <f>Config!$B$3</f>
        <v>SCH/R_IEC.SchLib</v>
      </c>
      <c r="H1081" s="17" t="s">
        <v>419</v>
      </c>
      <c r="I1081" s="17" t="s">
        <v>461</v>
      </c>
      <c r="J1081" s="41"/>
      <c r="K1081" s="41"/>
      <c r="L1081" s="41"/>
      <c r="M1081" s="21">
        <v>36</v>
      </c>
      <c r="N1081" s="17"/>
      <c r="O1081" s="17"/>
      <c r="P1081" s="17"/>
      <c r="Q1081" s="17"/>
      <c r="R1081" s="17"/>
      <c r="S1081" s="17"/>
      <c r="T1081" s="17"/>
      <c r="U1081" s="17"/>
      <c r="V1081" s="17"/>
      <c r="W1081" s="17"/>
      <c r="X1081" s="17"/>
      <c r="Y1081" s="17"/>
      <c r="Z1081" s="17"/>
      <c r="AA1081" s="17"/>
      <c r="AB1081" s="17"/>
    </row>
    <row r="1082" spans="1:28">
      <c r="A1082" s="17" t="s">
        <v>9975</v>
      </c>
      <c r="B1082" s="17" t="s">
        <v>9975</v>
      </c>
      <c r="C1082" s="17" t="s">
        <v>9976</v>
      </c>
      <c r="D1082" s="17" t="s">
        <v>21</v>
      </c>
      <c r="E1082" s="24">
        <v>2010</v>
      </c>
      <c r="F1082" s="17" t="s">
        <v>85</v>
      </c>
      <c r="G1082" s="17" t="str">
        <f>Config!$B$3</f>
        <v>SCH/R_IEC.SchLib</v>
      </c>
      <c r="H1082" s="17" t="s">
        <v>419</v>
      </c>
      <c r="I1082" s="17" t="s">
        <v>461</v>
      </c>
      <c r="J1082" s="41"/>
      <c r="K1082" s="41"/>
      <c r="L1082" s="41"/>
      <c r="M1082" s="21">
        <v>39</v>
      </c>
      <c r="N1082" s="17"/>
      <c r="O1082" s="17"/>
      <c r="P1082" s="17"/>
      <c r="Q1082" s="17"/>
      <c r="R1082" s="17"/>
      <c r="S1082" s="17"/>
      <c r="T1082" s="17"/>
      <c r="U1082" s="17"/>
      <c r="V1082" s="17"/>
      <c r="W1082" s="17"/>
      <c r="X1082" s="17"/>
      <c r="Y1082" s="17"/>
      <c r="Z1082" s="17"/>
      <c r="AA1082" s="17"/>
      <c r="AB1082" s="17"/>
    </row>
    <row r="1083" spans="1:28">
      <c r="A1083" s="17" t="s">
        <v>9977</v>
      </c>
      <c r="B1083" s="17" t="s">
        <v>9977</v>
      </c>
      <c r="C1083" s="17" t="s">
        <v>9978</v>
      </c>
      <c r="D1083" s="17" t="s">
        <v>21</v>
      </c>
      <c r="E1083" s="24">
        <v>2010</v>
      </c>
      <c r="F1083" s="17" t="s">
        <v>87</v>
      </c>
      <c r="G1083" s="17" t="str">
        <f>Config!$B$3</f>
        <v>SCH/R_IEC.SchLib</v>
      </c>
      <c r="H1083" s="17" t="s">
        <v>419</v>
      </c>
      <c r="I1083" s="17" t="s">
        <v>461</v>
      </c>
      <c r="J1083" s="41"/>
      <c r="K1083" s="41"/>
      <c r="L1083" s="41"/>
      <c r="M1083" s="21">
        <v>43</v>
      </c>
      <c r="N1083" s="17"/>
      <c r="O1083" s="17"/>
      <c r="P1083" s="17"/>
      <c r="Q1083" s="17"/>
      <c r="R1083" s="17"/>
      <c r="S1083" s="17"/>
      <c r="T1083" s="17"/>
      <c r="U1083" s="17"/>
      <c r="V1083" s="17"/>
      <c r="W1083" s="17"/>
      <c r="X1083" s="17"/>
      <c r="Y1083" s="17"/>
      <c r="Z1083" s="17"/>
      <c r="AA1083" s="17"/>
      <c r="AB1083" s="17"/>
    </row>
    <row r="1084" spans="1:28">
      <c r="A1084" s="17" t="s">
        <v>9979</v>
      </c>
      <c r="B1084" s="17" t="s">
        <v>9979</v>
      </c>
      <c r="C1084" s="17" t="s">
        <v>9980</v>
      </c>
      <c r="D1084" s="17" t="s">
        <v>21</v>
      </c>
      <c r="E1084" s="24">
        <v>2010</v>
      </c>
      <c r="F1084" s="17" t="s">
        <v>89</v>
      </c>
      <c r="G1084" s="17" t="str">
        <f>Config!$B$3</f>
        <v>SCH/R_IEC.SchLib</v>
      </c>
      <c r="H1084" s="17" t="s">
        <v>419</v>
      </c>
      <c r="I1084" s="17" t="s">
        <v>461</v>
      </c>
      <c r="J1084" s="41"/>
      <c r="K1084" s="41"/>
      <c r="L1084" s="41"/>
      <c r="M1084" s="21">
        <v>47</v>
      </c>
      <c r="N1084" s="17"/>
      <c r="O1084" s="17"/>
      <c r="P1084" s="17"/>
      <c r="Q1084" s="17"/>
      <c r="R1084" s="17"/>
      <c r="S1084" s="17"/>
      <c r="T1084" s="17"/>
      <c r="U1084" s="17"/>
      <c r="V1084" s="17"/>
      <c r="W1084" s="17"/>
      <c r="X1084" s="17"/>
      <c r="Y1084" s="17"/>
      <c r="Z1084" s="17"/>
      <c r="AA1084" s="17"/>
      <c r="AB1084" s="17"/>
    </row>
    <row r="1085" spans="1:28">
      <c r="A1085" s="17" t="s">
        <v>9981</v>
      </c>
      <c r="B1085" s="17" t="s">
        <v>9981</v>
      </c>
      <c r="C1085" s="17" t="s">
        <v>9982</v>
      </c>
      <c r="D1085" s="17" t="s">
        <v>21</v>
      </c>
      <c r="E1085" s="24">
        <v>2010</v>
      </c>
      <c r="F1085" s="17" t="s">
        <v>91</v>
      </c>
      <c r="G1085" s="17" t="str">
        <f>Config!$B$3</f>
        <v>SCH/R_IEC.SchLib</v>
      </c>
      <c r="H1085" s="17" t="s">
        <v>419</v>
      </c>
      <c r="I1085" s="17" t="s">
        <v>461</v>
      </c>
      <c r="J1085" s="41"/>
      <c r="K1085" s="41"/>
      <c r="L1085" s="41"/>
      <c r="M1085" s="21">
        <v>51</v>
      </c>
      <c r="N1085" s="17"/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  <c r="AA1085" s="17"/>
      <c r="AB1085" s="17"/>
    </row>
    <row r="1086" spans="1:28">
      <c r="A1086" s="17" t="s">
        <v>9983</v>
      </c>
      <c r="B1086" s="17" t="s">
        <v>9983</v>
      </c>
      <c r="C1086" s="17" t="s">
        <v>9984</v>
      </c>
      <c r="D1086" s="17" t="s">
        <v>21</v>
      </c>
      <c r="E1086" s="24">
        <v>2010</v>
      </c>
      <c r="F1086" s="17" t="s">
        <v>93</v>
      </c>
      <c r="G1086" s="17" t="str">
        <f>Config!$B$3</f>
        <v>SCH/R_IEC.SchLib</v>
      </c>
      <c r="H1086" s="17" t="s">
        <v>419</v>
      </c>
      <c r="I1086" s="17" t="s">
        <v>461</v>
      </c>
      <c r="J1086" s="41"/>
      <c r="K1086" s="41"/>
      <c r="L1086" s="41"/>
      <c r="M1086" s="21">
        <v>56</v>
      </c>
      <c r="N1086" s="17"/>
      <c r="O1086" s="17"/>
      <c r="P1086" s="17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  <c r="AA1086" s="17"/>
      <c r="AB1086" s="17"/>
    </row>
    <row r="1087" spans="1:28">
      <c r="A1087" s="17" t="s">
        <v>9985</v>
      </c>
      <c r="B1087" s="17" t="s">
        <v>9985</v>
      </c>
      <c r="C1087" s="17" t="s">
        <v>9986</v>
      </c>
      <c r="D1087" s="17" t="s">
        <v>21</v>
      </c>
      <c r="E1087" s="24">
        <v>2010</v>
      </c>
      <c r="F1087" s="17" t="s">
        <v>95</v>
      </c>
      <c r="G1087" s="17" t="str">
        <f>Config!$B$3</f>
        <v>SCH/R_IEC.SchLib</v>
      </c>
      <c r="H1087" s="17" t="s">
        <v>419</v>
      </c>
      <c r="I1087" s="17" t="s">
        <v>461</v>
      </c>
      <c r="J1087" s="41"/>
      <c r="K1087" s="41"/>
      <c r="L1087" s="41"/>
      <c r="M1087" s="21">
        <v>62</v>
      </c>
      <c r="N1087" s="17"/>
      <c r="O1087" s="17"/>
      <c r="P1087" s="17"/>
      <c r="Q1087" s="17"/>
      <c r="R1087" s="17"/>
      <c r="S1087" s="17"/>
      <c r="T1087" s="17"/>
      <c r="U1087" s="17"/>
      <c r="V1087" s="17"/>
      <c r="W1087" s="17"/>
      <c r="X1087" s="17"/>
      <c r="Y1087" s="17"/>
      <c r="Z1087" s="17"/>
      <c r="AA1087" s="17"/>
      <c r="AB1087" s="17"/>
    </row>
    <row r="1088" spans="1:28">
      <c r="A1088" s="17" t="s">
        <v>9987</v>
      </c>
      <c r="B1088" s="17" t="s">
        <v>9987</v>
      </c>
      <c r="C1088" s="17" t="s">
        <v>9988</v>
      </c>
      <c r="D1088" s="17" t="s">
        <v>21</v>
      </c>
      <c r="E1088" s="24">
        <v>2010</v>
      </c>
      <c r="F1088" s="17" t="s">
        <v>97</v>
      </c>
      <c r="G1088" s="17" t="str">
        <f>Config!$B$3</f>
        <v>SCH/R_IEC.SchLib</v>
      </c>
      <c r="H1088" s="17" t="s">
        <v>419</v>
      </c>
      <c r="I1088" s="17" t="s">
        <v>461</v>
      </c>
      <c r="J1088" s="41"/>
      <c r="K1088" s="41"/>
      <c r="L1088" s="41"/>
      <c r="M1088" s="21">
        <v>68</v>
      </c>
      <c r="N1088" s="17"/>
      <c r="O1088" s="17"/>
      <c r="P1088" s="17"/>
      <c r="Q1088" s="17"/>
      <c r="R1088" s="17"/>
      <c r="S1088" s="17"/>
      <c r="T1088" s="17"/>
      <c r="U1088" s="17"/>
      <c r="V1088" s="17"/>
      <c r="W1088" s="17"/>
      <c r="X1088" s="17"/>
      <c r="Y1088" s="17"/>
      <c r="Z1088" s="17"/>
      <c r="AA1088" s="17"/>
      <c r="AB1088" s="17"/>
    </row>
    <row r="1089" spans="1:28">
      <c r="A1089" s="17" t="s">
        <v>9989</v>
      </c>
      <c r="B1089" s="17" t="s">
        <v>9989</v>
      </c>
      <c r="C1089" s="17" t="s">
        <v>9990</v>
      </c>
      <c r="D1089" s="17" t="s">
        <v>21</v>
      </c>
      <c r="E1089" s="24">
        <v>2010</v>
      </c>
      <c r="F1089" s="17" t="s">
        <v>99</v>
      </c>
      <c r="G1089" s="17" t="str">
        <f>Config!$B$3</f>
        <v>SCH/R_IEC.SchLib</v>
      </c>
      <c r="H1089" s="17" t="s">
        <v>419</v>
      </c>
      <c r="I1089" s="17" t="s">
        <v>461</v>
      </c>
      <c r="J1089" s="41"/>
      <c r="K1089" s="41"/>
      <c r="L1089" s="41"/>
      <c r="M1089" s="21">
        <v>75</v>
      </c>
      <c r="N1089" s="17"/>
      <c r="O1089" s="17"/>
      <c r="P1089" s="17"/>
      <c r="Q1089" s="17"/>
      <c r="R1089" s="17"/>
      <c r="S1089" s="17"/>
      <c r="T1089" s="17"/>
      <c r="U1089" s="17"/>
      <c r="V1089" s="17"/>
      <c r="W1089" s="17"/>
      <c r="X1089" s="17"/>
      <c r="Y1089" s="17"/>
      <c r="Z1089" s="17"/>
      <c r="AA1089" s="17"/>
      <c r="AB1089" s="17"/>
    </row>
    <row r="1090" spans="1:28">
      <c r="A1090" s="17" t="s">
        <v>9991</v>
      </c>
      <c r="B1090" s="17" t="s">
        <v>9991</v>
      </c>
      <c r="C1090" s="17" t="s">
        <v>9992</v>
      </c>
      <c r="D1090" s="17" t="s">
        <v>21</v>
      </c>
      <c r="E1090" s="24">
        <v>2010</v>
      </c>
      <c r="F1090" s="17" t="s">
        <v>101</v>
      </c>
      <c r="G1090" s="17" t="str">
        <f>Config!$B$3</f>
        <v>SCH/R_IEC.SchLib</v>
      </c>
      <c r="H1090" s="17" t="s">
        <v>419</v>
      </c>
      <c r="I1090" s="17" t="s">
        <v>461</v>
      </c>
      <c r="J1090" s="41"/>
      <c r="K1090" s="41"/>
      <c r="L1090" s="41"/>
      <c r="M1090" s="21">
        <v>82</v>
      </c>
      <c r="N1090" s="17"/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</row>
    <row r="1091" spans="1:28">
      <c r="A1091" s="17" t="s">
        <v>9993</v>
      </c>
      <c r="B1091" s="17" t="s">
        <v>9993</v>
      </c>
      <c r="C1091" s="17" t="s">
        <v>9994</v>
      </c>
      <c r="D1091" s="17" t="s">
        <v>21</v>
      </c>
      <c r="E1091" s="24">
        <v>2010</v>
      </c>
      <c r="F1091" s="17" t="s">
        <v>103</v>
      </c>
      <c r="G1091" s="17" t="str">
        <f>Config!$B$3</f>
        <v>SCH/R_IEC.SchLib</v>
      </c>
      <c r="H1091" s="17" t="s">
        <v>419</v>
      </c>
      <c r="I1091" s="17" t="s">
        <v>461</v>
      </c>
      <c r="J1091" s="41"/>
      <c r="K1091" s="41"/>
      <c r="L1091" s="41"/>
      <c r="M1091" s="21">
        <v>91</v>
      </c>
      <c r="N1091" s="17"/>
      <c r="O1091" s="17"/>
      <c r="P1091" s="17"/>
      <c r="Q1091" s="17"/>
      <c r="R1091" s="17"/>
      <c r="S1091" s="17"/>
      <c r="T1091" s="17"/>
      <c r="U1091" s="17"/>
      <c r="V1091" s="17"/>
      <c r="W1091" s="17"/>
      <c r="X1091" s="17"/>
      <c r="Y1091" s="17"/>
      <c r="Z1091" s="17"/>
      <c r="AA1091" s="17"/>
      <c r="AB1091" s="17"/>
    </row>
    <row r="1092" spans="1:28">
      <c r="A1092" s="17" t="s">
        <v>9995</v>
      </c>
      <c r="B1092" s="17" t="s">
        <v>9995</v>
      </c>
      <c r="C1092" s="17" t="s">
        <v>9996</v>
      </c>
      <c r="D1092" s="17" t="s">
        <v>21</v>
      </c>
      <c r="E1092" s="24">
        <v>2010</v>
      </c>
      <c r="F1092" s="17" t="s">
        <v>105</v>
      </c>
      <c r="G1092" s="17" t="str">
        <f>Config!$B$3</f>
        <v>SCH/R_IEC.SchLib</v>
      </c>
      <c r="H1092" s="17" t="s">
        <v>419</v>
      </c>
      <c r="I1092" s="17" t="s">
        <v>461</v>
      </c>
      <c r="J1092" s="41"/>
      <c r="K1092" s="41"/>
      <c r="L1092" s="41"/>
      <c r="M1092" s="21">
        <v>100</v>
      </c>
      <c r="N1092" s="17"/>
      <c r="O1092" s="17"/>
      <c r="P1092" s="17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  <c r="AA1092" s="17"/>
      <c r="AB1092" s="17"/>
    </row>
    <row r="1093" spans="1:28">
      <c r="A1093" s="17" t="s">
        <v>9997</v>
      </c>
      <c r="B1093" s="17" t="s">
        <v>9997</v>
      </c>
      <c r="C1093" s="17" t="s">
        <v>9998</v>
      </c>
      <c r="D1093" s="17" t="s">
        <v>21</v>
      </c>
      <c r="E1093" s="24">
        <v>2010</v>
      </c>
      <c r="F1093" s="17" t="s">
        <v>109</v>
      </c>
      <c r="G1093" s="17" t="str">
        <f>Config!$B$3</f>
        <v>SCH/R_IEC.SchLib</v>
      </c>
      <c r="H1093" s="17" t="s">
        <v>419</v>
      </c>
      <c r="I1093" s="17" t="s">
        <v>461</v>
      </c>
      <c r="J1093" s="41"/>
      <c r="K1093" s="41"/>
      <c r="L1093" s="41"/>
      <c r="M1093" s="21">
        <v>110</v>
      </c>
      <c r="N1093" s="17"/>
      <c r="O1093" s="17"/>
      <c r="P1093" s="17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  <c r="AA1093" s="17"/>
      <c r="AB1093" s="17"/>
    </row>
    <row r="1094" spans="1:28">
      <c r="A1094" s="17" t="s">
        <v>9999</v>
      </c>
      <c r="B1094" s="17" t="s">
        <v>9999</v>
      </c>
      <c r="C1094" s="17" t="s">
        <v>10000</v>
      </c>
      <c r="D1094" s="17" t="s">
        <v>21</v>
      </c>
      <c r="E1094" s="24">
        <v>2010</v>
      </c>
      <c r="F1094" s="17" t="s">
        <v>111</v>
      </c>
      <c r="G1094" s="17" t="str">
        <f>Config!$B$3</f>
        <v>SCH/R_IEC.SchLib</v>
      </c>
      <c r="H1094" s="17" t="s">
        <v>419</v>
      </c>
      <c r="I1094" s="17" t="s">
        <v>461</v>
      </c>
      <c r="J1094" s="41"/>
      <c r="K1094" s="41"/>
      <c r="L1094" s="41"/>
      <c r="M1094" s="21">
        <v>120</v>
      </c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  <c r="AA1094" s="17"/>
      <c r="AB1094" s="17"/>
    </row>
    <row r="1095" spans="1:28">
      <c r="A1095" s="17" t="s">
        <v>10001</v>
      </c>
      <c r="B1095" s="17" t="s">
        <v>10001</v>
      </c>
      <c r="C1095" s="17" t="s">
        <v>10002</v>
      </c>
      <c r="D1095" s="17" t="s">
        <v>21</v>
      </c>
      <c r="E1095" s="24">
        <v>2010</v>
      </c>
      <c r="F1095" s="17" t="s">
        <v>113</v>
      </c>
      <c r="G1095" s="17" t="str">
        <f>Config!$B$3</f>
        <v>SCH/R_IEC.SchLib</v>
      </c>
      <c r="H1095" s="17" t="s">
        <v>419</v>
      </c>
      <c r="I1095" s="17" t="s">
        <v>461</v>
      </c>
      <c r="J1095" s="41"/>
      <c r="K1095" s="41"/>
      <c r="L1095" s="41"/>
      <c r="M1095" s="21">
        <v>130</v>
      </c>
      <c r="N1095" s="17"/>
      <c r="O1095" s="17"/>
      <c r="P1095" s="17"/>
      <c r="Q1095" s="17"/>
      <c r="R1095" s="17"/>
      <c r="S1095" s="17"/>
      <c r="T1095" s="17"/>
      <c r="U1095" s="17"/>
      <c r="V1095" s="17"/>
      <c r="W1095" s="17"/>
      <c r="X1095" s="17"/>
      <c r="Y1095" s="17"/>
      <c r="Z1095" s="17"/>
      <c r="AA1095" s="17"/>
      <c r="AB1095" s="17"/>
    </row>
    <row r="1096" spans="1:28">
      <c r="A1096" s="17" t="s">
        <v>10003</v>
      </c>
      <c r="B1096" s="17" t="s">
        <v>10003</v>
      </c>
      <c r="C1096" s="17" t="s">
        <v>10004</v>
      </c>
      <c r="D1096" s="17" t="s">
        <v>21</v>
      </c>
      <c r="E1096" s="24">
        <v>2010</v>
      </c>
      <c r="F1096" s="17" t="s">
        <v>115</v>
      </c>
      <c r="G1096" s="17" t="str">
        <f>Config!$B$3</f>
        <v>SCH/R_IEC.SchLib</v>
      </c>
      <c r="H1096" s="17" t="s">
        <v>419</v>
      </c>
      <c r="I1096" s="17" t="s">
        <v>461</v>
      </c>
      <c r="J1096" s="41"/>
      <c r="K1096" s="41"/>
      <c r="L1096" s="41"/>
      <c r="M1096" s="21">
        <v>150</v>
      </c>
      <c r="N1096" s="17"/>
      <c r="O1096" s="17"/>
      <c r="P1096" s="17"/>
      <c r="Q1096" s="17"/>
      <c r="R1096" s="17"/>
      <c r="S1096" s="17"/>
      <c r="T1096" s="17"/>
      <c r="U1096" s="17"/>
      <c r="V1096" s="17"/>
      <c r="W1096" s="17"/>
      <c r="X1096" s="17"/>
      <c r="Y1096" s="17"/>
      <c r="Z1096" s="17"/>
      <c r="AA1096" s="17"/>
      <c r="AB1096" s="17"/>
    </row>
    <row r="1097" spans="1:28">
      <c r="A1097" s="17" t="s">
        <v>10005</v>
      </c>
      <c r="B1097" s="17" t="s">
        <v>10005</v>
      </c>
      <c r="C1097" s="17" t="s">
        <v>10006</v>
      </c>
      <c r="D1097" s="17" t="s">
        <v>21</v>
      </c>
      <c r="E1097" s="24">
        <v>2010</v>
      </c>
      <c r="F1097" s="17" t="s">
        <v>117</v>
      </c>
      <c r="G1097" s="17" t="str">
        <f>Config!$B$3</f>
        <v>SCH/R_IEC.SchLib</v>
      </c>
      <c r="H1097" s="17" t="s">
        <v>419</v>
      </c>
      <c r="I1097" s="17" t="s">
        <v>461</v>
      </c>
      <c r="J1097" s="41"/>
      <c r="K1097" s="41"/>
      <c r="L1097" s="41"/>
      <c r="M1097" s="21">
        <v>160</v>
      </c>
      <c r="N1097" s="17"/>
      <c r="O1097" s="17"/>
      <c r="P1097" s="17"/>
      <c r="Q1097" s="17"/>
      <c r="R1097" s="17"/>
      <c r="S1097" s="17"/>
      <c r="T1097" s="17"/>
      <c r="U1097" s="17"/>
      <c r="V1097" s="17"/>
      <c r="W1097" s="17"/>
      <c r="X1097" s="17"/>
      <c r="Y1097" s="17"/>
      <c r="Z1097" s="17"/>
      <c r="AA1097" s="17"/>
      <c r="AB1097" s="17"/>
    </row>
    <row r="1098" spans="1:28">
      <c r="A1098" s="17" t="s">
        <v>10007</v>
      </c>
      <c r="B1098" s="17" t="s">
        <v>10007</v>
      </c>
      <c r="C1098" s="17" t="s">
        <v>10008</v>
      </c>
      <c r="D1098" s="17" t="s">
        <v>21</v>
      </c>
      <c r="E1098" s="24">
        <v>2010</v>
      </c>
      <c r="F1098" s="17" t="s">
        <v>119</v>
      </c>
      <c r="G1098" s="17" t="str">
        <f>Config!$B$3</f>
        <v>SCH/R_IEC.SchLib</v>
      </c>
      <c r="H1098" s="17" t="s">
        <v>419</v>
      </c>
      <c r="I1098" s="17" t="s">
        <v>461</v>
      </c>
      <c r="J1098" s="41"/>
      <c r="K1098" s="41"/>
      <c r="L1098" s="41"/>
      <c r="M1098" s="21">
        <v>180</v>
      </c>
      <c r="N1098" s="17"/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  <c r="AA1098" s="17"/>
      <c r="AB1098" s="17"/>
    </row>
    <row r="1099" spans="1:28">
      <c r="A1099" s="17" t="s">
        <v>10009</v>
      </c>
      <c r="B1099" s="17" t="s">
        <v>10009</v>
      </c>
      <c r="C1099" s="17" t="s">
        <v>10010</v>
      </c>
      <c r="D1099" s="17" t="s">
        <v>21</v>
      </c>
      <c r="E1099" s="24">
        <v>2010</v>
      </c>
      <c r="F1099" s="17" t="s">
        <v>123</v>
      </c>
      <c r="G1099" s="17" t="str">
        <f>Config!$B$3</f>
        <v>SCH/R_IEC.SchLib</v>
      </c>
      <c r="H1099" s="17" t="s">
        <v>419</v>
      </c>
      <c r="I1099" s="17" t="s">
        <v>461</v>
      </c>
      <c r="J1099" s="41"/>
      <c r="K1099" s="41"/>
      <c r="L1099" s="41"/>
      <c r="M1099" s="21">
        <v>200</v>
      </c>
      <c r="N1099" s="17"/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  <c r="AA1099" s="17"/>
      <c r="AB1099" s="17"/>
    </row>
    <row r="1100" spans="1:28">
      <c r="A1100" s="17" t="s">
        <v>10011</v>
      </c>
      <c r="B1100" s="17" t="s">
        <v>10011</v>
      </c>
      <c r="C1100" s="17" t="s">
        <v>10012</v>
      </c>
      <c r="D1100" s="17" t="s">
        <v>21</v>
      </c>
      <c r="E1100" s="24">
        <v>2010</v>
      </c>
      <c r="F1100" s="17" t="s">
        <v>125</v>
      </c>
      <c r="G1100" s="17" t="str">
        <f>Config!$B$3</f>
        <v>SCH/R_IEC.SchLib</v>
      </c>
      <c r="H1100" s="17" t="s">
        <v>419</v>
      </c>
      <c r="I1100" s="17" t="s">
        <v>461</v>
      </c>
      <c r="J1100" s="41"/>
      <c r="K1100" s="41"/>
      <c r="L1100" s="41"/>
      <c r="M1100" s="21">
        <v>220</v>
      </c>
      <c r="N1100" s="17"/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  <c r="AA1100" s="17"/>
      <c r="AB1100" s="17"/>
    </row>
    <row r="1101" spans="1:28">
      <c r="A1101" s="17" t="s">
        <v>10013</v>
      </c>
      <c r="B1101" s="17" t="s">
        <v>10013</v>
      </c>
      <c r="C1101" s="17" t="s">
        <v>10014</v>
      </c>
      <c r="D1101" s="17" t="s">
        <v>21</v>
      </c>
      <c r="E1101" s="24">
        <v>2010</v>
      </c>
      <c r="F1101" s="17" t="s">
        <v>129</v>
      </c>
      <c r="G1101" s="17" t="str">
        <f>Config!$B$3</f>
        <v>SCH/R_IEC.SchLib</v>
      </c>
      <c r="H1101" s="17" t="s">
        <v>419</v>
      </c>
      <c r="I1101" s="17" t="s">
        <v>461</v>
      </c>
      <c r="J1101" s="41"/>
      <c r="K1101" s="41"/>
      <c r="L1101" s="41"/>
      <c r="M1101" s="21">
        <v>240</v>
      </c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  <c r="Y1101" s="17"/>
      <c r="Z1101" s="17"/>
      <c r="AA1101" s="17"/>
      <c r="AB1101" s="17"/>
    </row>
    <row r="1102" spans="1:28">
      <c r="A1102" s="17" t="s">
        <v>10015</v>
      </c>
      <c r="B1102" s="17" t="s">
        <v>10015</v>
      </c>
      <c r="C1102" s="17" t="s">
        <v>10016</v>
      </c>
      <c r="D1102" s="17" t="s">
        <v>21</v>
      </c>
      <c r="E1102" s="24">
        <v>2010</v>
      </c>
      <c r="F1102" s="17" t="s">
        <v>131</v>
      </c>
      <c r="G1102" s="17" t="str">
        <f>Config!$B$3</f>
        <v>SCH/R_IEC.SchLib</v>
      </c>
      <c r="H1102" s="17" t="s">
        <v>419</v>
      </c>
      <c r="I1102" s="17" t="s">
        <v>461</v>
      </c>
      <c r="J1102" s="41"/>
      <c r="K1102" s="41"/>
      <c r="L1102" s="41"/>
      <c r="M1102" s="21">
        <v>270</v>
      </c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  <c r="AA1102" s="17"/>
      <c r="AB1102" s="17"/>
    </row>
    <row r="1103" spans="1:28">
      <c r="A1103" s="17" t="s">
        <v>10017</v>
      </c>
      <c r="B1103" s="17" t="s">
        <v>10017</v>
      </c>
      <c r="C1103" s="17" t="s">
        <v>10018</v>
      </c>
      <c r="D1103" s="17" t="s">
        <v>21</v>
      </c>
      <c r="E1103" s="24">
        <v>2010</v>
      </c>
      <c r="F1103" s="17" t="s">
        <v>133</v>
      </c>
      <c r="G1103" s="17" t="str">
        <f>Config!$B$3</f>
        <v>SCH/R_IEC.SchLib</v>
      </c>
      <c r="H1103" s="17" t="s">
        <v>419</v>
      </c>
      <c r="I1103" s="17" t="s">
        <v>461</v>
      </c>
      <c r="J1103" s="41"/>
      <c r="K1103" s="41"/>
      <c r="L1103" s="41"/>
      <c r="M1103" s="21">
        <v>300</v>
      </c>
      <c r="N1103" s="17"/>
      <c r="O1103" s="17"/>
      <c r="P1103" s="17"/>
      <c r="Q1103" s="17"/>
      <c r="R1103" s="17"/>
      <c r="S1103" s="17"/>
      <c r="T1103" s="17"/>
      <c r="U1103" s="17"/>
      <c r="V1103" s="17"/>
      <c r="W1103" s="17"/>
      <c r="X1103" s="17"/>
      <c r="Y1103" s="17"/>
      <c r="Z1103" s="17"/>
      <c r="AA1103" s="17"/>
      <c r="AB1103" s="17"/>
    </row>
    <row r="1104" spans="1:28">
      <c r="A1104" s="17" t="s">
        <v>10019</v>
      </c>
      <c r="B1104" s="17" t="s">
        <v>10019</v>
      </c>
      <c r="C1104" s="17" t="s">
        <v>10020</v>
      </c>
      <c r="D1104" s="17" t="s">
        <v>21</v>
      </c>
      <c r="E1104" s="24">
        <v>2010</v>
      </c>
      <c r="F1104" s="17" t="s">
        <v>137</v>
      </c>
      <c r="G1104" s="17" t="str">
        <f>Config!$B$3</f>
        <v>SCH/R_IEC.SchLib</v>
      </c>
      <c r="H1104" s="17" t="s">
        <v>419</v>
      </c>
      <c r="I1104" s="17" t="s">
        <v>461</v>
      </c>
      <c r="J1104" s="41"/>
      <c r="K1104" s="41"/>
      <c r="L1104" s="41"/>
      <c r="M1104" s="21">
        <v>330</v>
      </c>
      <c r="N1104" s="17"/>
      <c r="O1104" s="17"/>
      <c r="P1104" s="17"/>
      <c r="Q1104" s="17"/>
      <c r="R1104" s="17"/>
      <c r="S1104" s="17"/>
      <c r="T1104" s="17"/>
      <c r="U1104" s="17"/>
      <c r="V1104" s="17"/>
      <c r="W1104" s="17"/>
      <c r="X1104" s="17"/>
      <c r="Y1104" s="17"/>
      <c r="Z1104" s="17"/>
      <c r="AA1104" s="17"/>
      <c r="AB1104" s="17"/>
    </row>
    <row r="1105" spans="1:28">
      <c r="A1105" s="17" t="s">
        <v>10021</v>
      </c>
      <c r="B1105" s="17" t="s">
        <v>10021</v>
      </c>
      <c r="C1105" s="17" t="s">
        <v>10022</v>
      </c>
      <c r="D1105" s="17" t="s">
        <v>21</v>
      </c>
      <c r="E1105" s="24">
        <v>2010</v>
      </c>
      <c r="F1105" s="17" t="s">
        <v>139</v>
      </c>
      <c r="G1105" s="17" t="str">
        <f>Config!$B$3</f>
        <v>SCH/R_IEC.SchLib</v>
      </c>
      <c r="H1105" s="17" t="s">
        <v>419</v>
      </c>
      <c r="I1105" s="17" t="s">
        <v>461</v>
      </c>
      <c r="J1105" s="41"/>
      <c r="K1105" s="41"/>
      <c r="L1105" s="41"/>
      <c r="M1105" s="21">
        <v>360</v>
      </c>
      <c r="N1105" s="17"/>
      <c r="O1105" s="17"/>
      <c r="P1105" s="17"/>
      <c r="Q1105" s="17"/>
      <c r="R1105" s="17"/>
      <c r="S1105" s="17"/>
      <c r="T1105" s="17"/>
      <c r="U1105" s="17"/>
      <c r="V1105" s="17"/>
      <c r="W1105" s="17"/>
      <c r="X1105" s="17"/>
      <c r="Y1105" s="17"/>
      <c r="Z1105" s="17"/>
      <c r="AA1105" s="17"/>
      <c r="AB1105" s="17"/>
    </row>
    <row r="1106" spans="1:28">
      <c r="A1106" s="17" t="s">
        <v>10023</v>
      </c>
      <c r="B1106" s="17" t="s">
        <v>10023</v>
      </c>
      <c r="C1106" s="17" t="s">
        <v>10024</v>
      </c>
      <c r="D1106" s="17" t="s">
        <v>21</v>
      </c>
      <c r="E1106" s="24">
        <v>2010</v>
      </c>
      <c r="F1106" s="17" t="s">
        <v>141</v>
      </c>
      <c r="G1106" s="17" t="str">
        <f>Config!$B$3</f>
        <v>SCH/R_IEC.SchLib</v>
      </c>
      <c r="H1106" s="17" t="s">
        <v>419</v>
      </c>
      <c r="I1106" s="17" t="s">
        <v>461</v>
      </c>
      <c r="J1106" s="41"/>
      <c r="K1106" s="41"/>
      <c r="L1106" s="41"/>
      <c r="M1106" s="21">
        <v>390</v>
      </c>
      <c r="N1106" s="17"/>
      <c r="O1106" s="17"/>
      <c r="P1106" s="17"/>
      <c r="Q1106" s="17"/>
      <c r="R1106" s="17"/>
      <c r="S1106" s="17"/>
      <c r="T1106" s="17"/>
      <c r="U1106" s="17"/>
      <c r="V1106" s="17"/>
      <c r="W1106" s="17"/>
      <c r="X1106" s="17"/>
      <c r="Y1106" s="17"/>
      <c r="Z1106" s="17"/>
      <c r="AA1106" s="17"/>
      <c r="AB1106" s="17"/>
    </row>
    <row r="1107" spans="1:28">
      <c r="A1107" s="17" t="s">
        <v>10025</v>
      </c>
      <c r="B1107" s="17" t="s">
        <v>10025</v>
      </c>
      <c r="C1107" s="17" t="s">
        <v>10026</v>
      </c>
      <c r="D1107" s="17" t="s">
        <v>21</v>
      </c>
      <c r="E1107" s="24">
        <v>2010</v>
      </c>
      <c r="F1107" s="17" t="s">
        <v>143</v>
      </c>
      <c r="G1107" s="17" t="str">
        <f>Config!$B$3</f>
        <v>SCH/R_IEC.SchLib</v>
      </c>
      <c r="H1107" s="17" t="s">
        <v>419</v>
      </c>
      <c r="I1107" s="17" t="s">
        <v>461</v>
      </c>
      <c r="J1107" s="41"/>
      <c r="K1107" s="41"/>
      <c r="L1107" s="41"/>
      <c r="M1107" s="21">
        <v>430</v>
      </c>
      <c r="N1107" s="17"/>
      <c r="O1107" s="17"/>
      <c r="P1107" s="17"/>
      <c r="Q1107" s="17"/>
      <c r="R1107" s="17"/>
      <c r="S1107" s="17"/>
      <c r="T1107" s="17"/>
      <c r="U1107" s="17"/>
      <c r="V1107" s="17"/>
      <c r="W1107" s="17"/>
      <c r="X1107" s="17"/>
      <c r="Y1107" s="17"/>
      <c r="Z1107" s="17"/>
      <c r="AA1107" s="17"/>
      <c r="AB1107" s="17"/>
    </row>
    <row r="1108" spans="1:28">
      <c r="A1108" s="17" t="s">
        <v>10027</v>
      </c>
      <c r="B1108" s="17" t="s">
        <v>10027</v>
      </c>
      <c r="C1108" s="17" t="s">
        <v>10028</v>
      </c>
      <c r="D1108" s="17" t="s">
        <v>21</v>
      </c>
      <c r="E1108" s="24">
        <v>2010</v>
      </c>
      <c r="F1108" s="17" t="s">
        <v>145</v>
      </c>
      <c r="G1108" s="17" t="str">
        <f>Config!$B$3</f>
        <v>SCH/R_IEC.SchLib</v>
      </c>
      <c r="H1108" s="17" t="s">
        <v>419</v>
      </c>
      <c r="I1108" s="17" t="s">
        <v>461</v>
      </c>
      <c r="J1108" s="41"/>
      <c r="K1108" s="41"/>
      <c r="L1108" s="41"/>
      <c r="M1108" s="21">
        <v>470</v>
      </c>
      <c r="N1108" s="17"/>
      <c r="O1108" s="17"/>
      <c r="P1108" s="17"/>
      <c r="Q1108" s="17"/>
      <c r="R1108" s="17"/>
      <c r="S1108" s="17"/>
      <c r="T1108" s="17"/>
      <c r="U1108" s="17"/>
      <c r="V1108" s="17"/>
      <c r="W1108" s="17"/>
      <c r="X1108" s="17"/>
      <c r="Y1108" s="17"/>
      <c r="Z1108" s="17"/>
      <c r="AA1108" s="17"/>
      <c r="AB1108" s="17"/>
    </row>
    <row r="1109" spans="1:28">
      <c r="A1109" s="17" t="s">
        <v>10029</v>
      </c>
      <c r="B1109" s="17" t="s">
        <v>10029</v>
      </c>
      <c r="C1109" s="17" t="s">
        <v>10030</v>
      </c>
      <c r="D1109" s="17" t="s">
        <v>21</v>
      </c>
      <c r="E1109" s="24">
        <v>2010</v>
      </c>
      <c r="F1109" s="17" t="s">
        <v>149</v>
      </c>
      <c r="G1109" s="17" t="str">
        <f>Config!$B$3</f>
        <v>SCH/R_IEC.SchLib</v>
      </c>
      <c r="H1109" s="17" t="s">
        <v>419</v>
      </c>
      <c r="I1109" s="17" t="s">
        <v>461</v>
      </c>
      <c r="J1109" s="41"/>
      <c r="K1109" s="41"/>
      <c r="L1109" s="41"/>
      <c r="M1109" s="21">
        <v>510</v>
      </c>
      <c r="N1109" s="17"/>
      <c r="O1109" s="17"/>
      <c r="P1109" s="17"/>
      <c r="Q1109" s="17"/>
      <c r="R1109" s="17"/>
      <c r="S1109" s="17"/>
      <c r="T1109" s="17"/>
      <c r="U1109" s="17"/>
      <c r="V1109" s="17"/>
      <c r="W1109" s="17"/>
      <c r="X1109" s="17"/>
      <c r="Y1109" s="17"/>
      <c r="Z1109" s="17"/>
      <c r="AA1109" s="17"/>
      <c r="AB1109" s="17"/>
    </row>
    <row r="1110" spans="1:28">
      <c r="A1110" s="17" t="s">
        <v>10031</v>
      </c>
      <c r="B1110" s="17" t="s">
        <v>10031</v>
      </c>
      <c r="C1110" s="17" t="s">
        <v>10032</v>
      </c>
      <c r="D1110" s="17" t="s">
        <v>21</v>
      </c>
      <c r="E1110" s="24">
        <v>2010</v>
      </c>
      <c r="F1110" s="17" t="s">
        <v>151</v>
      </c>
      <c r="G1110" s="17" t="str">
        <f>Config!$B$3</f>
        <v>SCH/R_IEC.SchLib</v>
      </c>
      <c r="H1110" s="17" t="s">
        <v>419</v>
      </c>
      <c r="I1110" s="17" t="s">
        <v>461</v>
      </c>
      <c r="J1110" s="41"/>
      <c r="K1110" s="41"/>
      <c r="L1110" s="41"/>
      <c r="M1110" s="21">
        <v>560</v>
      </c>
      <c r="N1110" s="17"/>
      <c r="O1110" s="17"/>
      <c r="P1110" s="17"/>
      <c r="Q1110" s="17"/>
      <c r="R1110" s="17"/>
      <c r="S1110" s="17"/>
      <c r="T1110" s="17"/>
      <c r="U1110" s="17"/>
      <c r="V1110" s="17"/>
      <c r="W1110" s="17"/>
      <c r="X1110" s="17"/>
      <c r="Y1110" s="17"/>
      <c r="Z1110" s="17"/>
      <c r="AA1110" s="17"/>
      <c r="AB1110" s="17"/>
    </row>
    <row r="1111" spans="1:28">
      <c r="A1111" s="17" t="s">
        <v>10033</v>
      </c>
      <c r="B1111" s="17" t="s">
        <v>10033</v>
      </c>
      <c r="C1111" s="17" t="s">
        <v>10034</v>
      </c>
      <c r="D1111" s="17" t="s">
        <v>21</v>
      </c>
      <c r="E1111" s="24">
        <v>2010</v>
      </c>
      <c r="F1111" s="17" t="s">
        <v>153</v>
      </c>
      <c r="G1111" s="17" t="str">
        <f>Config!$B$3</f>
        <v>SCH/R_IEC.SchLib</v>
      </c>
      <c r="H1111" s="17" t="s">
        <v>419</v>
      </c>
      <c r="I1111" s="17" t="s">
        <v>461</v>
      </c>
      <c r="J1111" s="41"/>
      <c r="K1111" s="41"/>
      <c r="L1111" s="41"/>
      <c r="M1111" s="21">
        <v>620</v>
      </c>
      <c r="N1111" s="17"/>
      <c r="O1111" s="17"/>
      <c r="P1111" s="17"/>
      <c r="Q1111" s="17"/>
      <c r="R1111" s="17"/>
      <c r="S1111" s="17"/>
      <c r="T1111" s="17"/>
      <c r="U1111" s="17"/>
      <c r="V1111" s="17"/>
      <c r="W1111" s="17"/>
      <c r="X1111" s="17"/>
      <c r="Y1111" s="17"/>
      <c r="Z1111" s="17"/>
      <c r="AA1111" s="17"/>
      <c r="AB1111" s="17"/>
    </row>
    <row r="1112" spans="1:28">
      <c r="A1112" s="17" t="s">
        <v>10035</v>
      </c>
      <c r="B1112" s="17" t="s">
        <v>10035</v>
      </c>
      <c r="C1112" s="17" t="s">
        <v>10036</v>
      </c>
      <c r="D1112" s="17" t="s">
        <v>21</v>
      </c>
      <c r="E1112" s="24">
        <v>2010</v>
      </c>
      <c r="F1112" s="17" t="s">
        <v>155</v>
      </c>
      <c r="G1112" s="17" t="str">
        <f>Config!$B$3</f>
        <v>SCH/R_IEC.SchLib</v>
      </c>
      <c r="H1112" s="17" t="s">
        <v>419</v>
      </c>
      <c r="I1112" s="17" t="s">
        <v>461</v>
      </c>
      <c r="J1112" s="41"/>
      <c r="K1112" s="41"/>
      <c r="L1112" s="41"/>
      <c r="M1112" s="21">
        <v>680</v>
      </c>
      <c r="N1112" s="17"/>
      <c r="O1112" s="17"/>
      <c r="P1112" s="17"/>
      <c r="Q1112" s="17"/>
      <c r="R1112" s="17"/>
      <c r="S1112" s="17"/>
      <c r="T1112" s="17"/>
      <c r="U1112" s="17"/>
      <c r="V1112" s="17"/>
      <c r="W1112" s="17"/>
      <c r="X1112" s="17"/>
      <c r="Y1112" s="17"/>
      <c r="Z1112" s="17"/>
      <c r="AA1112" s="17"/>
      <c r="AB1112" s="17"/>
    </row>
    <row r="1113" spans="1:28">
      <c r="A1113" s="17" t="s">
        <v>10037</v>
      </c>
      <c r="B1113" s="17" t="s">
        <v>10037</v>
      </c>
      <c r="C1113" s="17" t="s">
        <v>10038</v>
      </c>
      <c r="D1113" s="17" t="s">
        <v>21</v>
      </c>
      <c r="E1113" s="24">
        <v>2010</v>
      </c>
      <c r="F1113" s="17" t="s">
        <v>157</v>
      </c>
      <c r="G1113" s="17" t="str">
        <f>Config!$B$3</f>
        <v>SCH/R_IEC.SchLib</v>
      </c>
      <c r="H1113" s="17" t="s">
        <v>419</v>
      </c>
      <c r="I1113" s="17" t="s">
        <v>461</v>
      </c>
      <c r="J1113" s="41"/>
      <c r="K1113" s="41"/>
      <c r="L1113" s="41"/>
      <c r="M1113" s="21">
        <v>750</v>
      </c>
      <c r="N1113" s="17"/>
      <c r="O1113" s="17"/>
      <c r="P1113" s="17"/>
      <c r="Q1113" s="17"/>
      <c r="R1113" s="17"/>
      <c r="S1113" s="17"/>
      <c r="T1113" s="17"/>
      <c r="U1113" s="17"/>
      <c r="V1113" s="17"/>
      <c r="W1113" s="17"/>
      <c r="X1113" s="17"/>
      <c r="Y1113" s="17"/>
      <c r="Z1113" s="17"/>
      <c r="AA1113" s="17"/>
      <c r="AB1113" s="17"/>
    </row>
    <row r="1114" spans="1:28">
      <c r="A1114" s="17" t="s">
        <v>10039</v>
      </c>
      <c r="B1114" s="17" t="s">
        <v>10039</v>
      </c>
      <c r="C1114" s="17" t="s">
        <v>10040</v>
      </c>
      <c r="D1114" s="17" t="s">
        <v>21</v>
      </c>
      <c r="E1114" s="24">
        <v>2010</v>
      </c>
      <c r="F1114" s="17" t="s">
        <v>159</v>
      </c>
      <c r="G1114" s="17" t="str">
        <f>Config!$B$3</f>
        <v>SCH/R_IEC.SchLib</v>
      </c>
      <c r="H1114" s="17" t="s">
        <v>419</v>
      </c>
      <c r="I1114" s="17" t="s">
        <v>461</v>
      </c>
      <c r="J1114" s="41"/>
      <c r="K1114" s="41"/>
      <c r="L1114" s="41"/>
      <c r="M1114" s="21">
        <v>820</v>
      </c>
      <c r="N1114" s="17"/>
      <c r="O1114" s="17"/>
      <c r="P1114" s="17"/>
      <c r="Q1114" s="17"/>
      <c r="R1114" s="17"/>
      <c r="S1114" s="17"/>
      <c r="T1114" s="17"/>
      <c r="U1114" s="17"/>
      <c r="V1114" s="17"/>
      <c r="W1114" s="17"/>
      <c r="X1114" s="17"/>
      <c r="Y1114" s="17"/>
      <c r="Z1114" s="17"/>
      <c r="AA1114" s="17"/>
      <c r="AB1114" s="17"/>
    </row>
    <row r="1115" spans="1:28">
      <c r="A1115" s="17" t="s">
        <v>10041</v>
      </c>
      <c r="B1115" s="17" t="s">
        <v>10041</v>
      </c>
      <c r="C1115" s="17" t="s">
        <v>10042</v>
      </c>
      <c r="D1115" s="17" t="s">
        <v>21</v>
      </c>
      <c r="E1115" s="24">
        <v>2010</v>
      </c>
      <c r="F1115" s="17" t="s">
        <v>161</v>
      </c>
      <c r="G1115" s="17" t="str">
        <f>Config!$B$3</f>
        <v>SCH/R_IEC.SchLib</v>
      </c>
      <c r="H1115" s="17" t="s">
        <v>419</v>
      </c>
      <c r="I1115" s="17" t="s">
        <v>461</v>
      </c>
      <c r="J1115" s="41"/>
      <c r="K1115" s="41"/>
      <c r="L1115" s="41"/>
      <c r="M1115" s="21">
        <v>910</v>
      </c>
      <c r="N1115" s="17"/>
      <c r="O1115" s="17"/>
      <c r="P1115" s="17"/>
      <c r="Q1115" s="17"/>
      <c r="R1115" s="17"/>
      <c r="S1115" s="17"/>
      <c r="T1115" s="17"/>
      <c r="U1115" s="17"/>
      <c r="V1115" s="17"/>
      <c r="W1115" s="17"/>
      <c r="X1115" s="17"/>
      <c r="Y1115" s="17"/>
      <c r="Z1115" s="17"/>
      <c r="AA1115" s="17"/>
      <c r="AB1115" s="17"/>
    </row>
    <row r="1116" spans="1:28">
      <c r="A1116" s="17" t="s">
        <v>10043</v>
      </c>
      <c r="B1116" s="17" t="s">
        <v>10043</v>
      </c>
      <c r="C1116" s="17" t="s">
        <v>10044</v>
      </c>
      <c r="D1116" s="17" t="s">
        <v>21</v>
      </c>
      <c r="E1116" s="24">
        <v>2010</v>
      </c>
      <c r="F1116" s="17" t="s">
        <v>163</v>
      </c>
      <c r="G1116" s="17" t="str">
        <f>Config!$B$3</f>
        <v>SCH/R_IEC.SchLib</v>
      </c>
      <c r="H1116" s="17" t="s">
        <v>419</v>
      </c>
      <c r="I1116" s="17" t="s">
        <v>461</v>
      </c>
      <c r="J1116" s="41"/>
      <c r="K1116" s="41"/>
      <c r="L1116" s="41"/>
      <c r="M1116" s="21">
        <v>1000</v>
      </c>
      <c r="N1116" s="17"/>
      <c r="O1116" s="17"/>
      <c r="P1116" s="17"/>
      <c r="Q1116" s="17"/>
      <c r="R1116" s="17"/>
      <c r="S1116" s="17"/>
      <c r="T1116" s="17"/>
      <c r="U1116" s="17"/>
      <c r="V1116" s="17"/>
      <c r="W1116" s="17"/>
      <c r="X1116" s="17"/>
      <c r="Y1116" s="17"/>
      <c r="Z1116" s="17"/>
      <c r="AA1116" s="17"/>
      <c r="AB1116" s="17"/>
    </row>
    <row r="1117" spans="1:28">
      <c r="A1117" s="17" t="s">
        <v>10045</v>
      </c>
      <c r="B1117" s="17" t="s">
        <v>10045</v>
      </c>
      <c r="C1117" s="17" t="s">
        <v>10046</v>
      </c>
      <c r="D1117" s="17" t="s">
        <v>21</v>
      </c>
      <c r="E1117" s="24">
        <v>2010</v>
      </c>
      <c r="F1117" s="17" t="s">
        <v>165</v>
      </c>
      <c r="G1117" s="17" t="str">
        <f>Config!$B$3</f>
        <v>SCH/R_IEC.SchLib</v>
      </c>
      <c r="H1117" s="17" t="s">
        <v>419</v>
      </c>
      <c r="I1117" s="17" t="s">
        <v>461</v>
      </c>
      <c r="J1117" s="41"/>
      <c r="K1117" s="41"/>
      <c r="L1117" s="41"/>
      <c r="M1117" s="21">
        <v>1100</v>
      </c>
      <c r="N1117" s="17"/>
      <c r="O1117" s="17"/>
      <c r="P1117" s="17"/>
      <c r="Q1117" s="17"/>
      <c r="R1117" s="17"/>
      <c r="S1117" s="17"/>
      <c r="T1117" s="17"/>
      <c r="U1117" s="17"/>
      <c r="V1117" s="17"/>
      <c r="W1117" s="17"/>
      <c r="X1117" s="17"/>
      <c r="Y1117" s="17"/>
      <c r="Z1117" s="17"/>
      <c r="AA1117" s="17"/>
      <c r="AB1117" s="17"/>
    </row>
    <row r="1118" spans="1:28">
      <c r="A1118" s="17" t="s">
        <v>10047</v>
      </c>
      <c r="B1118" s="17" t="s">
        <v>10047</v>
      </c>
      <c r="C1118" s="17" t="s">
        <v>10048</v>
      </c>
      <c r="D1118" s="17" t="s">
        <v>21</v>
      </c>
      <c r="E1118" s="24">
        <v>2010</v>
      </c>
      <c r="F1118" s="17" t="s">
        <v>167</v>
      </c>
      <c r="G1118" s="17" t="str">
        <f>Config!$B$3</f>
        <v>SCH/R_IEC.SchLib</v>
      </c>
      <c r="H1118" s="17" t="s">
        <v>419</v>
      </c>
      <c r="I1118" s="17" t="s">
        <v>461</v>
      </c>
      <c r="J1118" s="41"/>
      <c r="K1118" s="41"/>
      <c r="L1118" s="41"/>
      <c r="M1118" s="21">
        <v>1200</v>
      </c>
      <c r="N1118" s="17"/>
      <c r="O1118" s="17"/>
      <c r="P1118" s="17"/>
      <c r="Q1118" s="17"/>
      <c r="R1118" s="17"/>
      <c r="S1118" s="17"/>
      <c r="T1118" s="17"/>
      <c r="U1118" s="17"/>
      <c r="V1118" s="17"/>
      <c r="W1118" s="17"/>
      <c r="X1118" s="17"/>
      <c r="Y1118" s="17"/>
      <c r="Z1118" s="17"/>
      <c r="AA1118" s="17"/>
      <c r="AB1118" s="17"/>
    </row>
    <row r="1119" spans="1:28">
      <c r="A1119" s="17" t="s">
        <v>10049</v>
      </c>
      <c r="B1119" s="17" t="s">
        <v>10049</v>
      </c>
      <c r="C1119" s="17" t="s">
        <v>10050</v>
      </c>
      <c r="D1119" s="17" t="s">
        <v>21</v>
      </c>
      <c r="E1119" s="24">
        <v>2010</v>
      </c>
      <c r="F1119" s="17" t="s">
        <v>169</v>
      </c>
      <c r="G1119" s="17" t="str">
        <f>Config!$B$3</f>
        <v>SCH/R_IEC.SchLib</v>
      </c>
      <c r="H1119" s="17" t="s">
        <v>419</v>
      </c>
      <c r="I1119" s="17" t="s">
        <v>461</v>
      </c>
      <c r="J1119" s="41"/>
      <c r="K1119" s="41"/>
      <c r="L1119" s="41"/>
      <c r="M1119" s="21">
        <v>1300</v>
      </c>
      <c r="N1119" s="17"/>
      <c r="O1119" s="17"/>
      <c r="P1119" s="17"/>
      <c r="Q1119" s="17"/>
      <c r="R1119" s="17"/>
      <c r="S1119" s="17"/>
      <c r="T1119" s="17"/>
      <c r="U1119" s="17"/>
      <c r="V1119" s="17"/>
      <c r="W1119" s="17"/>
      <c r="X1119" s="17"/>
      <c r="Y1119" s="17"/>
      <c r="Z1119" s="17"/>
      <c r="AA1119" s="17"/>
      <c r="AB1119" s="17"/>
    </row>
    <row r="1120" spans="1:28">
      <c r="A1120" s="17" t="s">
        <v>10051</v>
      </c>
      <c r="B1120" s="17" t="s">
        <v>10051</v>
      </c>
      <c r="C1120" s="17" t="s">
        <v>10052</v>
      </c>
      <c r="D1120" s="17" t="s">
        <v>21</v>
      </c>
      <c r="E1120" s="24">
        <v>2010</v>
      </c>
      <c r="F1120" s="17" t="s">
        <v>171</v>
      </c>
      <c r="G1120" s="17" t="str">
        <f>Config!$B$3</f>
        <v>SCH/R_IEC.SchLib</v>
      </c>
      <c r="H1120" s="17" t="s">
        <v>419</v>
      </c>
      <c r="I1120" s="17" t="s">
        <v>461</v>
      </c>
      <c r="J1120" s="41"/>
      <c r="K1120" s="41"/>
      <c r="L1120" s="41"/>
      <c r="M1120" s="21">
        <v>1500</v>
      </c>
      <c r="N1120" s="17"/>
      <c r="O1120" s="17"/>
      <c r="P1120" s="17"/>
      <c r="Q1120" s="17"/>
      <c r="R1120" s="17"/>
      <c r="S1120" s="17"/>
      <c r="T1120" s="17"/>
      <c r="U1120" s="17"/>
      <c r="V1120" s="17"/>
      <c r="W1120" s="17"/>
      <c r="X1120" s="17"/>
      <c r="Y1120" s="17"/>
      <c r="Z1120" s="17"/>
      <c r="AA1120" s="17"/>
      <c r="AB1120" s="17"/>
    </row>
    <row r="1121" spans="1:28">
      <c r="A1121" s="17" t="s">
        <v>10053</v>
      </c>
      <c r="B1121" s="17" t="s">
        <v>10053</v>
      </c>
      <c r="C1121" s="17" t="s">
        <v>10054</v>
      </c>
      <c r="D1121" s="17" t="s">
        <v>21</v>
      </c>
      <c r="E1121" s="24">
        <v>2010</v>
      </c>
      <c r="F1121" s="17" t="s">
        <v>175</v>
      </c>
      <c r="G1121" s="17" t="str">
        <f>Config!$B$3</f>
        <v>SCH/R_IEC.SchLib</v>
      </c>
      <c r="H1121" s="17" t="s">
        <v>419</v>
      </c>
      <c r="I1121" s="17" t="s">
        <v>461</v>
      </c>
      <c r="J1121" s="41"/>
      <c r="K1121" s="41"/>
      <c r="L1121" s="41"/>
      <c r="M1121" s="21">
        <v>1600</v>
      </c>
      <c r="N1121" s="17"/>
      <c r="O1121" s="17"/>
      <c r="P1121" s="17"/>
      <c r="Q1121" s="17"/>
      <c r="R1121" s="17"/>
      <c r="S1121" s="17"/>
      <c r="T1121" s="17"/>
      <c r="U1121" s="17"/>
      <c r="V1121" s="17"/>
      <c r="W1121" s="17"/>
      <c r="X1121" s="17"/>
      <c r="Y1121" s="17"/>
      <c r="Z1121" s="17"/>
      <c r="AA1121" s="17"/>
      <c r="AB1121" s="17"/>
    </row>
    <row r="1122" spans="1:28">
      <c r="A1122" s="17" t="s">
        <v>10055</v>
      </c>
      <c r="B1122" s="17" t="s">
        <v>10055</v>
      </c>
      <c r="C1122" s="17" t="s">
        <v>10056</v>
      </c>
      <c r="D1122" s="17" t="s">
        <v>21</v>
      </c>
      <c r="E1122" s="24">
        <v>2010</v>
      </c>
      <c r="F1122" s="17" t="s">
        <v>181</v>
      </c>
      <c r="G1122" s="17" t="str">
        <f>Config!$B$3</f>
        <v>SCH/R_IEC.SchLib</v>
      </c>
      <c r="H1122" s="17" t="s">
        <v>419</v>
      </c>
      <c r="I1122" s="17" t="s">
        <v>461</v>
      </c>
      <c r="J1122" s="41"/>
      <c r="K1122" s="41"/>
      <c r="L1122" s="41"/>
      <c r="M1122" s="21">
        <v>1800</v>
      </c>
      <c r="N1122" s="17"/>
      <c r="O1122" s="17"/>
      <c r="P1122" s="17"/>
      <c r="Q1122" s="17"/>
      <c r="R1122" s="17"/>
      <c r="S1122" s="17"/>
      <c r="T1122" s="17"/>
      <c r="U1122" s="17"/>
      <c r="V1122" s="17"/>
      <c r="W1122" s="17"/>
      <c r="X1122" s="17"/>
      <c r="Y1122" s="17"/>
      <c r="Z1122" s="17"/>
      <c r="AA1122" s="17"/>
      <c r="AB1122" s="17"/>
    </row>
    <row r="1123" spans="1:28">
      <c r="A1123" s="17" t="s">
        <v>10057</v>
      </c>
      <c r="B1123" s="17" t="s">
        <v>10057</v>
      </c>
      <c r="C1123" s="17" t="s">
        <v>10058</v>
      </c>
      <c r="D1123" s="17" t="s">
        <v>21</v>
      </c>
      <c r="E1123" s="24">
        <v>2010</v>
      </c>
      <c r="F1123" s="17" t="s">
        <v>183</v>
      </c>
      <c r="G1123" s="17" t="str">
        <f>Config!$B$3</f>
        <v>SCH/R_IEC.SchLib</v>
      </c>
      <c r="H1123" s="17" t="s">
        <v>419</v>
      </c>
      <c r="I1123" s="17" t="s">
        <v>461</v>
      </c>
      <c r="J1123" s="41"/>
      <c r="K1123" s="41"/>
      <c r="L1123" s="41"/>
      <c r="M1123" s="21">
        <v>2000</v>
      </c>
      <c r="N1123" s="17"/>
      <c r="O1123" s="17"/>
      <c r="P1123" s="17"/>
      <c r="Q1123" s="17"/>
      <c r="R1123" s="17"/>
      <c r="S1123" s="17"/>
      <c r="T1123" s="17"/>
      <c r="U1123" s="17"/>
      <c r="V1123" s="17"/>
      <c r="W1123" s="17"/>
      <c r="X1123" s="17"/>
      <c r="Y1123" s="17"/>
      <c r="Z1123" s="17"/>
      <c r="AA1123" s="17"/>
      <c r="AB1123" s="17"/>
    </row>
    <row r="1124" spans="1:28">
      <c r="A1124" s="17" t="s">
        <v>10059</v>
      </c>
      <c r="B1124" s="17" t="s">
        <v>10059</v>
      </c>
      <c r="C1124" s="17" t="s">
        <v>10060</v>
      </c>
      <c r="D1124" s="17" t="s">
        <v>21</v>
      </c>
      <c r="E1124" s="24">
        <v>2010</v>
      </c>
      <c r="F1124" s="17" t="s">
        <v>187</v>
      </c>
      <c r="G1124" s="17" t="str">
        <f>Config!$B$3</f>
        <v>SCH/R_IEC.SchLib</v>
      </c>
      <c r="H1124" s="17" t="s">
        <v>419</v>
      </c>
      <c r="I1124" s="17" t="s">
        <v>461</v>
      </c>
      <c r="J1124" s="41"/>
      <c r="K1124" s="41"/>
      <c r="L1124" s="41"/>
      <c r="M1124" s="21">
        <v>2200</v>
      </c>
      <c r="N1124" s="17"/>
      <c r="O1124" s="17"/>
      <c r="P1124" s="17"/>
      <c r="Q1124" s="17"/>
      <c r="R1124" s="17"/>
      <c r="S1124" s="17"/>
      <c r="T1124" s="17"/>
      <c r="U1124" s="17"/>
      <c r="V1124" s="17"/>
      <c r="W1124" s="17"/>
      <c r="X1124" s="17"/>
      <c r="Y1124" s="17"/>
      <c r="Z1124" s="17"/>
      <c r="AA1124" s="17"/>
      <c r="AB1124" s="17"/>
    </row>
    <row r="1125" spans="1:28">
      <c r="A1125" s="17" t="s">
        <v>10061</v>
      </c>
      <c r="B1125" s="17" t="s">
        <v>10061</v>
      </c>
      <c r="C1125" s="17" t="s">
        <v>10062</v>
      </c>
      <c r="D1125" s="17" t="s">
        <v>21</v>
      </c>
      <c r="E1125" s="24">
        <v>2010</v>
      </c>
      <c r="F1125" s="17" t="s">
        <v>191</v>
      </c>
      <c r="G1125" s="17" t="str">
        <f>Config!$B$3</f>
        <v>SCH/R_IEC.SchLib</v>
      </c>
      <c r="H1125" s="17" t="s">
        <v>419</v>
      </c>
      <c r="I1125" s="17" t="s">
        <v>461</v>
      </c>
      <c r="J1125" s="41"/>
      <c r="K1125" s="41"/>
      <c r="L1125" s="41"/>
      <c r="M1125" s="21">
        <v>2400</v>
      </c>
      <c r="N1125" s="17"/>
      <c r="O1125" s="17"/>
      <c r="P1125" s="17"/>
      <c r="Q1125" s="17"/>
      <c r="R1125" s="17"/>
      <c r="S1125" s="17"/>
      <c r="T1125" s="17"/>
      <c r="U1125" s="17"/>
      <c r="V1125" s="17"/>
      <c r="W1125" s="17"/>
      <c r="X1125" s="17"/>
      <c r="Y1125" s="17"/>
      <c r="Z1125" s="17"/>
      <c r="AA1125" s="17"/>
      <c r="AB1125" s="17"/>
    </row>
    <row r="1126" spans="1:28">
      <c r="A1126" s="17" t="s">
        <v>10063</v>
      </c>
      <c r="B1126" s="17" t="s">
        <v>10063</v>
      </c>
      <c r="C1126" s="17" t="s">
        <v>10064</v>
      </c>
      <c r="D1126" s="17" t="s">
        <v>21</v>
      </c>
      <c r="E1126" s="24">
        <v>2010</v>
      </c>
      <c r="F1126" s="17" t="s">
        <v>193</v>
      </c>
      <c r="G1126" s="17" t="str">
        <f>Config!$B$3</f>
        <v>SCH/R_IEC.SchLib</v>
      </c>
      <c r="H1126" s="17" t="s">
        <v>419</v>
      </c>
      <c r="I1126" s="17" t="s">
        <v>461</v>
      </c>
      <c r="J1126" s="41"/>
      <c r="K1126" s="41"/>
      <c r="L1126" s="41"/>
      <c r="M1126" s="21">
        <v>2700</v>
      </c>
      <c r="N1126" s="17"/>
      <c r="O1126" s="17"/>
      <c r="P1126" s="17"/>
      <c r="Q1126" s="17"/>
      <c r="R1126" s="17"/>
      <c r="S1126" s="17"/>
      <c r="T1126" s="17"/>
      <c r="U1126" s="17"/>
      <c r="V1126" s="17"/>
      <c r="W1126" s="17"/>
      <c r="X1126" s="17"/>
      <c r="Y1126" s="17"/>
      <c r="Z1126" s="17"/>
      <c r="AA1126" s="17"/>
      <c r="AB1126" s="17"/>
    </row>
    <row r="1127" spans="1:28">
      <c r="A1127" s="17" t="s">
        <v>10065</v>
      </c>
      <c r="B1127" s="17" t="s">
        <v>10065</v>
      </c>
      <c r="C1127" s="17" t="s">
        <v>10066</v>
      </c>
      <c r="D1127" s="17" t="s">
        <v>21</v>
      </c>
      <c r="E1127" s="24">
        <v>2010</v>
      </c>
      <c r="F1127" s="17" t="s">
        <v>197</v>
      </c>
      <c r="G1127" s="17" t="str">
        <f>Config!$B$3</f>
        <v>SCH/R_IEC.SchLib</v>
      </c>
      <c r="H1127" s="17" t="s">
        <v>419</v>
      </c>
      <c r="I1127" s="17" t="s">
        <v>461</v>
      </c>
      <c r="J1127" s="41"/>
      <c r="K1127" s="41"/>
      <c r="L1127" s="41"/>
      <c r="M1127" s="21">
        <v>3000</v>
      </c>
      <c r="N1127" s="17"/>
      <c r="O1127" s="17"/>
      <c r="P1127" s="17"/>
      <c r="Q1127" s="17"/>
      <c r="R1127" s="17"/>
      <c r="S1127" s="17"/>
      <c r="T1127" s="17"/>
      <c r="U1127" s="17"/>
      <c r="V1127" s="17"/>
      <c r="W1127" s="17"/>
      <c r="X1127" s="17"/>
      <c r="Y1127" s="17"/>
      <c r="Z1127" s="17"/>
      <c r="AA1127" s="17"/>
      <c r="AB1127" s="17"/>
    </row>
    <row r="1128" spans="1:28">
      <c r="A1128" s="17" t="s">
        <v>10067</v>
      </c>
      <c r="B1128" s="17" t="s">
        <v>10067</v>
      </c>
      <c r="C1128" s="17" t="s">
        <v>10068</v>
      </c>
      <c r="D1128" s="17" t="s">
        <v>21</v>
      </c>
      <c r="E1128" s="24">
        <v>2010</v>
      </c>
      <c r="F1128" s="17" t="s">
        <v>201</v>
      </c>
      <c r="G1128" s="17" t="str">
        <f>Config!$B$3</f>
        <v>SCH/R_IEC.SchLib</v>
      </c>
      <c r="H1128" s="17" t="s">
        <v>419</v>
      </c>
      <c r="I1128" s="17" t="s">
        <v>461</v>
      </c>
      <c r="J1128" s="41"/>
      <c r="K1128" s="41"/>
      <c r="L1128" s="41"/>
      <c r="M1128" s="21">
        <v>3300</v>
      </c>
      <c r="N1128" s="17"/>
      <c r="O1128" s="17"/>
      <c r="P1128" s="17"/>
      <c r="Q1128" s="17"/>
      <c r="R1128" s="17"/>
      <c r="S1128" s="17"/>
      <c r="T1128" s="17"/>
      <c r="U1128" s="17"/>
      <c r="V1128" s="17"/>
      <c r="W1128" s="17"/>
      <c r="X1128" s="17"/>
      <c r="Y1128" s="17"/>
      <c r="Z1128" s="17"/>
      <c r="AA1128" s="17"/>
      <c r="AB1128" s="17"/>
    </row>
    <row r="1129" spans="1:28">
      <c r="A1129" s="17" t="s">
        <v>10069</v>
      </c>
      <c r="B1129" s="17" t="s">
        <v>10069</v>
      </c>
      <c r="C1129" s="17" t="s">
        <v>10070</v>
      </c>
      <c r="D1129" s="17" t="s">
        <v>21</v>
      </c>
      <c r="E1129" s="24">
        <v>2010</v>
      </c>
      <c r="F1129" s="17" t="s">
        <v>203</v>
      </c>
      <c r="G1129" s="17" t="str">
        <f>Config!$B$3</f>
        <v>SCH/R_IEC.SchLib</v>
      </c>
      <c r="H1129" s="17" t="s">
        <v>419</v>
      </c>
      <c r="I1129" s="17" t="s">
        <v>461</v>
      </c>
      <c r="J1129" s="41"/>
      <c r="K1129" s="41"/>
      <c r="L1129" s="41"/>
      <c r="M1129" s="21">
        <v>3600</v>
      </c>
      <c r="N1129" s="17"/>
      <c r="O1129" s="17"/>
      <c r="P1129" s="17"/>
      <c r="Q1129" s="17"/>
      <c r="R1129" s="17"/>
      <c r="S1129" s="17"/>
      <c r="T1129" s="17"/>
      <c r="U1129" s="17"/>
      <c r="V1129" s="17"/>
      <c r="W1129" s="17"/>
      <c r="X1129" s="17"/>
      <c r="Y1129" s="17"/>
      <c r="Z1129" s="17"/>
      <c r="AA1129" s="17"/>
      <c r="AB1129" s="17"/>
    </row>
    <row r="1130" spans="1:28">
      <c r="A1130" s="17" t="s">
        <v>10071</v>
      </c>
      <c r="B1130" s="17" t="s">
        <v>10071</v>
      </c>
      <c r="C1130" s="17" t="s">
        <v>10072</v>
      </c>
      <c r="D1130" s="17" t="s">
        <v>21</v>
      </c>
      <c r="E1130" s="24">
        <v>2010</v>
      </c>
      <c r="F1130" s="17" t="s">
        <v>205</v>
      </c>
      <c r="G1130" s="17" t="str">
        <f>Config!$B$3</f>
        <v>SCH/R_IEC.SchLib</v>
      </c>
      <c r="H1130" s="17" t="s">
        <v>419</v>
      </c>
      <c r="I1130" s="17" t="s">
        <v>461</v>
      </c>
      <c r="J1130" s="41"/>
      <c r="K1130" s="41"/>
      <c r="L1130" s="41"/>
      <c r="M1130" s="21">
        <v>3900</v>
      </c>
      <c r="N1130" s="17"/>
      <c r="O1130" s="17"/>
      <c r="P1130" s="17"/>
      <c r="Q1130" s="17"/>
      <c r="R1130" s="17"/>
      <c r="S1130" s="17"/>
      <c r="T1130" s="17"/>
      <c r="U1130" s="17"/>
      <c r="V1130" s="17"/>
      <c r="W1130" s="17"/>
      <c r="X1130" s="17"/>
      <c r="Y1130" s="17"/>
      <c r="Z1130" s="17"/>
      <c r="AA1130" s="17"/>
      <c r="AB1130" s="17"/>
    </row>
    <row r="1131" spans="1:28">
      <c r="A1131" s="17" t="s">
        <v>10073</v>
      </c>
      <c r="B1131" s="17" t="s">
        <v>10073</v>
      </c>
      <c r="C1131" s="17" t="s">
        <v>10074</v>
      </c>
      <c r="D1131" s="17" t="s">
        <v>21</v>
      </c>
      <c r="E1131" s="24">
        <v>2010</v>
      </c>
      <c r="F1131" s="17" t="s">
        <v>207</v>
      </c>
      <c r="G1131" s="17" t="str">
        <f>Config!$B$3</f>
        <v>SCH/R_IEC.SchLib</v>
      </c>
      <c r="H1131" s="17" t="s">
        <v>419</v>
      </c>
      <c r="I1131" s="17" t="s">
        <v>461</v>
      </c>
      <c r="J1131" s="41"/>
      <c r="K1131" s="41"/>
      <c r="L1131" s="41"/>
      <c r="M1131" s="21">
        <v>4300</v>
      </c>
      <c r="N1131" s="17"/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/>
      <c r="AA1131" s="17"/>
      <c r="AB1131" s="17"/>
    </row>
    <row r="1132" spans="1:28">
      <c r="A1132" s="17" t="s">
        <v>10075</v>
      </c>
      <c r="B1132" s="17" t="s">
        <v>10075</v>
      </c>
      <c r="C1132" s="17" t="s">
        <v>10076</v>
      </c>
      <c r="D1132" s="17" t="s">
        <v>21</v>
      </c>
      <c r="E1132" s="24">
        <v>2010</v>
      </c>
      <c r="F1132" s="17" t="s">
        <v>209</v>
      </c>
      <c r="G1132" s="17" t="str">
        <f>Config!$B$3</f>
        <v>SCH/R_IEC.SchLib</v>
      </c>
      <c r="H1132" s="17" t="s">
        <v>419</v>
      </c>
      <c r="I1132" s="17" t="s">
        <v>461</v>
      </c>
      <c r="J1132" s="41"/>
      <c r="K1132" s="41"/>
      <c r="L1132" s="41"/>
      <c r="M1132" s="21">
        <v>4700</v>
      </c>
      <c r="N1132" s="17"/>
      <c r="O1132" s="17"/>
      <c r="P1132" s="17"/>
      <c r="Q1132" s="17"/>
      <c r="R1132" s="17"/>
      <c r="S1132" s="17"/>
      <c r="T1132" s="17"/>
      <c r="U1132" s="17"/>
      <c r="V1132" s="17"/>
      <c r="W1132" s="17"/>
      <c r="X1132" s="17"/>
      <c r="Y1132" s="17"/>
      <c r="Z1132" s="17"/>
      <c r="AA1132" s="17"/>
      <c r="AB1132" s="17"/>
    </row>
    <row r="1133" spans="1:28">
      <c r="A1133" s="17" t="s">
        <v>10077</v>
      </c>
      <c r="B1133" s="17" t="s">
        <v>10077</v>
      </c>
      <c r="C1133" s="17" t="s">
        <v>10078</v>
      </c>
      <c r="D1133" s="17" t="s">
        <v>21</v>
      </c>
      <c r="E1133" s="24">
        <v>2010</v>
      </c>
      <c r="F1133" s="17" t="s">
        <v>213</v>
      </c>
      <c r="G1133" s="17" t="str">
        <f>Config!$B$3</f>
        <v>SCH/R_IEC.SchLib</v>
      </c>
      <c r="H1133" s="17" t="s">
        <v>419</v>
      </c>
      <c r="I1133" s="17" t="s">
        <v>461</v>
      </c>
      <c r="J1133" s="41"/>
      <c r="K1133" s="41"/>
      <c r="L1133" s="41"/>
      <c r="M1133" s="21">
        <v>5100</v>
      </c>
      <c r="N1133" s="17"/>
      <c r="O1133" s="17"/>
      <c r="P1133" s="17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  <c r="AA1133" s="17"/>
      <c r="AB1133" s="17"/>
    </row>
    <row r="1134" spans="1:28">
      <c r="A1134" s="17" t="s">
        <v>10079</v>
      </c>
      <c r="B1134" s="17" t="s">
        <v>10079</v>
      </c>
      <c r="C1134" s="17" t="s">
        <v>10080</v>
      </c>
      <c r="D1134" s="17" t="s">
        <v>21</v>
      </c>
      <c r="E1134" s="24">
        <v>2010</v>
      </c>
      <c r="F1134" s="17" t="s">
        <v>215</v>
      </c>
      <c r="G1134" s="17" t="str">
        <f>Config!$B$3</f>
        <v>SCH/R_IEC.SchLib</v>
      </c>
      <c r="H1134" s="17" t="s">
        <v>419</v>
      </c>
      <c r="I1134" s="17" t="s">
        <v>461</v>
      </c>
      <c r="J1134" s="41"/>
      <c r="K1134" s="41"/>
      <c r="L1134" s="41"/>
      <c r="M1134" s="21">
        <v>5600</v>
      </c>
      <c r="N1134" s="17"/>
      <c r="O1134" s="17"/>
      <c r="P1134" s="17"/>
      <c r="Q1134" s="17"/>
      <c r="R1134" s="17"/>
      <c r="S1134" s="17"/>
      <c r="T1134" s="17"/>
      <c r="U1134" s="17"/>
      <c r="V1134" s="17"/>
      <c r="W1134" s="17"/>
      <c r="X1134" s="17"/>
      <c r="Y1134" s="17"/>
      <c r="Z1134" s="17"/>
      <c r="AA1134" s="17"/>
      <c r="AB1134" s="17"/>
    </row>
    <row r="1135" spans="1:28">
      <c r="A1135" s="17" t="s">
        <v>10081</v>
      </c>
      <c r="B1135" s="17" t="s">
        <v>10081</v>
      </c>
      <c r="C1135" s="17" t="s">
        <v>10082</v>
      </c>
      <c r="D1135" s="17" t="s">
        <v>21</v>
      </c>
      <c r="E1135" s="24">
        <v>2010</v>
      </c>
      <c r="F1135" s="17" t="s">
        <v>217</v>
      </c>
      <c r="G1135" s="17" t="str">
        <f>Config!$B$3</f>
        <v>SCH/R_IEC.SchLib</v>
      </c>
      <c r="H1135" s="17" t="s">
        <v>419</v>
      </c>
      <c r="I1135" s="17" t="s">
        <v>461</v>
      </c>
      <c r="J1135" s="41"/>
      <c r="K1135" s="41"/>
      <c r="L1135" s="41"/>
      <c r="M1135" s="21">
        <v>6200</v>
      </c>
      <c r="N1135" s="17"/>
      <c r="O1135" s="17"/>
      <c r="P1135" s="17"/>
      <c r="Q1135" s="17"/>
      <c r="R1135" s="17"/>
      <c r="S1135" s="17"/>
      <c r="T1135" s="17"/>
      <c r="U1135" s="17"/>
      <c r="V1135" s="17"/>
      <c r="W1135" s="17"/>
      <c r="X1135" s="17"/>
      <c r="Y1135" s="17"/>
      <c r="Z1135" s="17"/>
      <c r="AA1135" s="17"/>
      <c r="AB1135" s="17"/>
    </row>
    <row r="1136" spans="1:28">
      <c r="A1136" s="17" t="s">
        <v>10083</v>
      </c>
      <c r="B1136" s="17" t="s">
        <v>10083</v>
      </c>
      <c r="C1136" s="17" t="s">
        <v>10084</v>
      </c>
      <c r="D1136" s="17" t="s">
        <v>21</v>
      </c>
      <c r="E1136" s="24">
        <v>2010</v>
      </c>
      <c r="F1136" s="17" t="s">
        <v>219</v>
      </c>
      <c r="G1136" s="17" t="str">
        <f>Config!$B$3</f>
        <v>SCH/R_IEC.SchLib</v>
      </c>
      <c r="H1136" s="17" t="s">
        <v>419</v>
      </c>
      <c r="I1136" s="17" t="s">
        <v>461</v>
      </c>
      <c r="J1136" s="41"/>
      <c r="K1136" s="41"/>
      <c r="L1136" s="41"/>
      <c r="M1136" s="21">
        <v>6800</v>
      </c>
      <c r="N1136" s="17"/>
      <c r="O1136" s="17"/>
      <c r="P1136" s="17"/>
      <c r="Q1136" s="17"/>
      <c r="R1136" s="17"/>
      <c r="S1136" s="17"/>
      <c r="T1136" s="17"/>
      <c r="U1136" s="17"/>
      <c r="V1136" s="17"/>
      <c r="W1136" s="17"/>
      <c r="X1136" s="17"/>
      <c r="Y1136" s="17"/>
      <c r="Z1136" s="17"/>
      <c r="AA1136" s="17"/>
      <c r="AB1136" s="17"/>
    </row>
    <row r="1137" spans="1:28">
      <c r="A1137" s="17" t="s">
        <v>10085</v>
      </c>
      <c r="B1137" s="17" t="s">
        <v>10085</v>
      </c>
      <c r="C1137" s="17" t="s">
        <v>10086</v>
      </c>
      <c r="D1137" s="17" t="s">
        <v>21</v>
      </c>
      <c r="E1137" s="24">
        <v>2010</v>
      </c>
      <c r="F1137" s="17" t="s">
        <v>221</v>
      </c>
      <c r="G1137" s="17" t="str">
        <f>Config!$B$3</f>
        <v>SCH/R_IEC.SchLib</v>
      </c>
      <c r="H1137" s="17" t="s">
        <v>419</v>
      </c>
      <c r="I1137" s="17" t="s">
        <v>461</v>
      </c>
      <c r="J1137" s="41"/>
      <c r="K1137" s="41"/>
      <c r="L1137" s="41"/>
      <c r="M1137" s="21">
        <v>7500</v>
      </c>
      <c r="N1137" s="17"/>
      <c r="O1137" s="17"/>
      <c r="P1137" s="17"/>
      <c r="Q1137" s="17"/>
      <c r="R1137" s="17"/>
      <c r="S1137" s="17"/>
      <c r="T1137" s="17"/>
      <c r="U1137" s="17"/>
      <c r="V1137" s="17"/>
      <c r="W1137" s="17"/>
      <c r="X1137" s="17"/>
      <c r="Y1137" s="17"/>
      <c r="Z1137" s="17"/>
      <c r="AA1137" s="17"/>
      <c r="AB1137" s="17"/>
    </row>
    <row r="1138" spans="1:28">
      <c r="A1138" s="17" t="s">
        <v>10087</v>
      </c>
      <c r="B1138" s="17" t="s">
        <v>10087</v>
      </c>
      <c r="C1138" s="17" t="s">
        <v>10088</v>
      </c>
      <c r="D1138" s="17" t="s">
        <v>21</v>
      </c>
      <c r="E1138" s="24">
        <v>2010</v>
      </c>
      <c r="F1138" s="17" t="s">
        <v>223</v>
      </c>
      <c r="G1138" s="17" t="str">
        <f>Config!$B$3</f>
        <v>SCH/R_IEC.SchLib</v>
      </c>
      <c r="H1138" s="17" t="s">
        <v>419</v>
      </c>
      <c r="I1138" s="17" t="s">
        <v>461</v>
      </c>
      <c r="J1138" s="41"/>
      <c r="K1138" s="41"/>
      <c r="L1138" s="41"/>
      <c r="M1138" s="21">
        <v>8200</v>
      </c>
      <c r="N1138" s="17"/>
      <c r="O1138" s="17"/>
      <c r="P1138" s="17"/>
      <c r="Q1138" s="17"/>
      <c r="R1138" s="17"/>
      <c r="S1138" s="17"/>
      <c r="T1138" s="17"/>
      <c r="U1138" s="17"/>
      <c r="V1138" s="17"/>
      <c r="W1138" s="17"/>
      <c r="X1138" s="17"/>
      <c r="Y1138" s="17"/>
      <c r="Z1138" s="17"/>
      <c r="AA1138" s="17"/>
      <c r="AB1138" s="17"/>
    </row>
    <row r="1139" spans="1:28">
      <c r="A1139" s="17" t="s">
        <v>10089</v>
      </c>
      <c r="B1139" s="17" t="s">
        <v>10089</v>
      </c>
      <c r="C1139" s="17" t="s">
        <v>10090</v>
      </c>
      <c r="D1139" s="17" t="s">
        <v>21</v>
      </c>
      <c r="E1139" s="24">
        <v>2010</v>
      </c>
      <c r="F1139" s="17" t="s">
        <v>225</v>
      </c>
      <c r="G1139" s="17" t="str">
        <f>Config!$B$3</f>
        <v>SCH/R_IEC.SchLib</v>
      </c>
      <c r="H1139" s="17" t="s">
        <v>419</v>
      </c>
      <c r="I1139" s="17" t="s">
        <v>461</v>
      </c>
      <c r="J1139" s="41"/>
      <c r="K1139" s="41"/>
      <c r="L1139" s="41"/>
      <c r="M1139" s="21">
        <v>9100</v>
      </c>
      <c r="N1139" s="17"/>
      <c r="O1139" s="17"/>
      <c r="P1139" s="17"/>
      <c r="Q1139" s="17"/>
      <c r="R1139" s="17"/>
      <c r="S1139" s="17"/>
      <c r="T1139" s="17"/>
      <c r="U1139" s="17"/>
      <c r="V1139" s="17"/>
      <c r="W1139" s="17"/>
      <c r="X1139" s="17"/>
      <c r="Y1139" s="17"/>
      <c r="Z1139" s="17"/>
      <c r="AA1139" s="17"/>
      <c r="AB1139" s="17"/>
    </row>
    <row r="1140" spans="1:28">
      <c r="A1140" s="17" t="s">
        <v>10091</v>
      </c>
      <c r="B1140" s="17" t="s">
        <v>10091</v>
      </c>
      <c r="C1140" s="17" t="s">
        <v>10092</v>
      </c>
      <c r="D1140" s="17" t="s">
        <v>21</v>
      </c>
      <c r="E1140" s="24">
        <v>2010</v>
      </c>
      <c r="F1140" s="17" t="s">
        <v>229</v>
      </c>
      <c r="G1140" s="17" t="str">
        <f>Config!$B$3</f>
        <v>SCH/R_IEC.SchLib</v>
      </c>
      <c r="H1140" s="17" t="s">
        <v>419</v>
      </c>
      <c r="I1140" s="17" t="s">
        <v>461</v>
      </c>
      <c r="J1140" s="41"/>
      <c r="K1140" s="41"/>
      <c r="L1140" s="41"/>
      <c r="M1140" s="21">
        <v>10000</v>
      </c>
      <c r="N1140" s="17"/>
      <c r="O1140" s="17"/>
      <c r="P1140" s="17"/>
      <c r="Q1140" s="17"/>
      <c r="R1140" s="17"/>
      <c r="S1140" s="17"/>
      <c r="T1140" s="17"/>
      <c r="U1140" s="17"/>
      <c r="V1140" s="17"/>
      <c r="W1140" s="17"/>
      <c r="X1140" s="17"/>
      <c r="Y1140" s="17"/>
      <c r="Z1140" s="17"/>
      <c r="AA1140" s="17"/>
      <c r="AB1140" s="17"/>
    </row>
    <row r="1141" spans="1:28">
      <c r="A1141" s="17" t="s">
        <v>10093</v>
      </c>
      <c r="B1141" s="17" t="s">
        <v>10093</v>
      </c>
      <c r="C1141" s="17" t="s">
        <v>10094</v>
      </c>
      <c r="D1141" s="17" t="s">
        <v>21</v>
      </c>
      <c r="E1141" s="24">
        <v>2010</v>
      </c>
      <c r="F1141" s="17" t="s">
        <v>233</v>
      </c>
      <c r="G1141" s="17" t="str">
        <f>Config!$B$3</f>
        <v>SCH/R_IEC.SchLib</v>
      </c>
      <c r="H1141" s="17" t="s">
        <v>419</v>
      </c>
      <c r="I1141" s="17" t="s">
        <v>461</v>
      </c>
      <c r="J1141" s="41"/>
      <c r="K1141" s="41"/>
      <c r="L1141" s="41"/>
      <c r="M1141" s="21">
        <v>11000</v>
      </c>
      <c r="N1141" s="17"/>
      <c r="O1141" s="17"/>
      <c r="P1141" s="17"/>
      <c r="Q1141" s="17"/>
      <c r="R1141" s="17"/>
      <c r="S1141" s="17"/>
      <c r="T1141" s="17"/>
      <c r="U1141" s="17"/>
      <c r="V1141" s="17"/>
      <c r="W1141" s="17"/>
      <c r="X1141" s="17"/>
      <c r="Y1141" s="17"/>
      <c r="Z1141" s="17"/>
      <c r="AA1141" s="17"/>
      <c r="AB1141" s="17"/>
    </row>
    <row r="1142" spans="1:28">
      <c r="A1142" s="17" t="s">
        <v>10095</v>
      </c>
      <c r="B1142" s="17" t="s">
        <v>10095</v>
      </c>
      <c r="C1142" s="17" t="s">
        <v>10096</v>
      </c>
      <c r="D1142" s="17" t="s">
        <v>21</v>
      </c>
      <c r="E1142" s="24">
        <v>2010</v>
      </c>
      <c r="F1142" s="17" t="s">
        <v>235</v>
      </c>
      <c r="G1142" s="17" t="str">
        <f>Config!$B$3</f>
        <v>SCH/R_IEC.SchLib</v>
      </c>
      <c r="H1142" s="17" t="s">
        <v>419</v>
      </c>
      <c r="I1142" s="17" t="s">
        <v>461</v>
      </c>
      <c r="J1142" s="41"/>
      <c r="K1142" s="41"/>
      <c r="L1142" s="41"/>
      <c r="M1142" s="21">
        <v>12000</v>
      </c>
      <c r="N1142" s="17"/>
      <c r="O1142" s="17"/>
      <c r="P1142" s="17"/>
      <c r="Q1142" s="17"/>
      <c r="R1142" s="17"/>
      <c r="S1142" s="17"/>
      <c r="T1142" s="17"/>
      <c r="U1142" s="17"/>
      <c r="V1142" s="17"/>
      <c r="W1142" s="17"/>
      <c r="X1142" s="17"/>
      <c r="Y1142" s="17"/>
      <c r="Z1142" s="17"/>
      <c r="AA1142" s="17"/>
      <c r="AB1142" s="17"/>
    </row>
    <row r="1143" spans="1:28">
      <c r="A1143" s="17" t="s">
        <v>10097</v>
      </c>
      <c r="B1143" s="17" t="s">
        <v>10097</v>
      </c>
      <c r="C1143" s="17" t="s">
        <v>10098</v>
      </c>
      <c r="D1143" s="17" t="s">
        <v>21</v>
      </c>
      <c r="E1143" s="24">
        <v>2010</v>
      </c>
      <c r="F1143" s="17" t="s">
        <v>239</v>
      </c>
      <c r="G1143" s="17" t="str">
        <f>Config!$B$3</f>
        <v>SCH/R_IEC.SchLib</v>
      </c>
      <c r="H1143" s="17" t="s">
        <v>419</v>
      </c>
      <c r="I1143" s="17" t="s">
        <v>461</v>
      </c>
      <c r="J1143" s="41"/>
      <c r="K1143" s="41"/>
      <c r="L1143" s="41"/>
      <c r="M1143" s="21">
        <v>13000</v>
      </c>
      <c r="N1143" s="17"/>
      <c r="O1143" s="17"/>
      <c r="P1143" s="17"/>
      <c r="Q1143" s="17"/>
      <c r="R1143" s="17"/>
      <c r="S1143" s="17"/>
      <c r="T1143" s="17"/>
      <c r="U1143" s="17"/>
      <c r="V1143" s="17"/>
      <c r="W1143" s="17"/>
      <c r="X1143" s="17"/>
      <c r="Y1143" s="17"/>
      <c r="Z1143" s="17"/>
      <c r="AA1143" s="17"/>
      <c r="AB1143" s="17"/>
    </row>
    <row r="1144" spans="1:28">
      <c r="A1144" s="17" t="s">
        <v>10099</v>
      </c>
      <c r="B1144" s="17" t="s">
        <v>10099</v>
      </c>
      <c r="C1144" s="17" t="s">
        <v>10100</v>
      </c>
      <c r="D1144" s="17" t="s">
        <v>21</v>
      </c>
      <c r="E1144" s="24">
        <v>2010</v>
      </c>
      <c r="F1144" s="17" t="s">
        <v>243</v>
      </c>
      <c r="G1144" s="17" t="str">
        <f>Config!$B$3</f>
        <v>SCH/R_IEC.SchLib</v>
      </c>
      <c r="H1144" s="17" t="s">
        <v>419</v>
      </c>
      <c r="I1144" s="17" t="s">
        <v>461</v>
      </c>
      <c r="J1144" s="41"/>
      <c r="K1144" s="41"/>
      <c r="L1144" s="41"/>
      <c r="M1144" s="21">
        <v>15000</v>
      </c>
      <c r="N1144" s="17"/>
      <c r="O1144" s="17"/>
      <c r="P1144" s="17"/>
      <c r="Q1144" s="17"/>
      <c r="R1144" s="17"/>
      <c r="S1144" s="17"/>
      <c r="T1144" s="17"/>
      <c r="U1144" s="17"/>
      <c r="V1144" s="17"/>
      <c r="W1144" s="17"/>
      <c r="X1144" s="17"/>
      <c r="Y1144" s="17"/>
      <c r="Z1144" s="17"/>
      <c r="AA1144" s="17"/>
      <c r="AB1144" s="17"/>
    </row>
    <row r="1145" spans="1:28">
      <c r="A1145" s="17" t="s">
        <v>10101</v>
      </c>
      <c r="B1145" s="17" t="s">
        <v>10101</v>
      </c>
      <c r="C1145" s="17" t="s">
        <v>10102</v>
      </c>
      <c r="D1145" s="17" t="s">
        <v>21</v>
      </c>
      <c r="E1145" s="24">
        <v>2010</v>
      </c>
      <c r="F1145" s="17" t="s">
        <v>247</v>
      </c>
      <c r="G1145" s="17" t="str">
        <f>Config!$B$3</f>
        <v>SCH/R_IEC.SchLib</v>
      </c>
      <c r="H1145" s="17" t="s">
        <v>419</v>
      </c>
      <c r="I1145" s="17" t="s">
        <v>461</v>
      </c>
      <c r="J1145" s="41"/>
      <c r="K1145" s="41"/>
      <c r="L1145" s="41"/>
      <c r="M1145" s="21">
        <v>16000</v>
      </c>
      <c r="N1145" s="17"/>
      <c r="O1145" s="17"/>
      <c r="P1145" s="17"/>
      <c r="Q1145" s="17"/>
      <c r="R1145" s="17"/>
      <c r="S1145" s="17"/>
      <c r="T1145" s="17"/>
      <c r="U1145" s="17"/>
      <c r="V1145" s="17"/>
      <c r="W1145" s="17"/>
      <c r="X1145" s="17"/>
      <c r="Y1145" s="17"/>
      <c r="Z1145" s="17"/>
      <c r="AA1145" s="17"/>
      <c r="AB1145" s="17"/>
    </row>
    <row r="1146" spans="1:28">
      <c r="A1146" s="17" t="s">
        <v>10103</v>
      </c>
      <c r="B1146" s="17" t="s">
        <v>10103</v>
      </c>
      <c r="C1146" s="17" t="s">
        <v>10104</v>
      </c>
      <c r="D1146" s="17" t="s">
        <v>21</v>
      </c>
      <c r="E1146" s="24">
        <v>2010</v>
      </c>
      <c r="F1146" s="17" t="s">
        <v>251</v>
      </c>
      <c r="G1146" s="17" t="str">
        <f>Config!$B$3</f>
        <v>SCH/R_IEC.SchLib</v>
      </c>
      <c r="H1146" s="17" t="s">
        <v>419</v>
      </c>
      <c r="I1146" s="17" t="s">
        <v>461</v>
      </c>
      <c r="J1146" s="41"/>
      <c r="K1146" s="41"/>
      <c r="L1146" s="41"/>
      <c r="M1146" s="21">
        <v>18000</v>
      </c>
      <c r="N1146" s="17"/>
      <c r="O1146" s="17"/>
      <c r="P1146" s="17"/>
      <c r="Q1146" s="17"/>
      <c r="R1146" s="17"/>
      <c r="S1146" s="17"/>
      <c r="T1146" s="17"/>
      <c r="U1146" s="17"/>
      <c r="V1146" s="17"/>
      <c r="W1146" s="17"/>
      <c r="X1146" s="17"/>
      <c r="Y1146" s="17"/>
      <c r="Z1146" s="17"/>
      <c r="AA1146" s="17"/>
      <c r="AB1146" s="17"/>
    </row>
    <row r="1147" spans="1:28">
      <c r="A1147" s="17" t="s">
        <v>10105</v>
      </c>
      <c r="B1147" s="17" t="s">
        <v>10105</v>
      </c>
      <c r="C1147" s="17" t="s">
        <v>10106</v>
      </c>
      <c r="D1147" s="17" t="s">
        <v>21</v>
      </c>
      <c r="E1147" s="24">
        <v>2010</v>
      </c>
      <c r="F1147" s="17" t="s">
        <v>255</v>
      </c>
      <c r="G1147" s="17" t="str">
        <f>Config!$B$3</f>
        <v>SCH/R_IEC.SchLib</v>
      </c>
      <c r="H1147" s="17" t="s">
        <v>419</v>
      </c>
      <c r="I1147" s="17" t="s">
        <v>461</v>
      </c>
      <c r="J1147" s="41"/>
      <c r="K1147" s="41"/>
      <c r="L1147" s="41"/>
      <c r="M1147" s="21">
        <v>20000</v>
      </c>
      <c r="N1147" s="17"/>
      <c r="O1147" s="17"/>
      <c r="P1147" s="17"/>
      <c r="Q1147" s="17"/>
      <c r="R1147" s="17"/>
      <c r="S1147" s="17"/>
      <c r="T1147" s="17"/>
      <c r="U1147" s="17"/>
      <c r="V1147" s="17"/>
      <c r="W1147" s="17"/>
      <c r="X1147" s="17"/>
      <c r="Y1147" s="17"/>
      <c r="Z1147" s="17"/>
      <c r="AA1147" s="17"/>
      <c r="AB1147" s="17"/>
    </row>
    <row r="1148" spans="1:28">
      <c r="A1148" s="17" t="s">
        <v>10107</v>
      </c>
      <c r="B1148" s="17" t="s">
        <v>10107</v>
      </c>
      <c r="C1148" s="17" t="s">
        <v>10108</v>
      </c>
      <c r="D1148" s="17" t="s">
        <v>21</v>
      </c>
      <c r="E1148" s="24">
        <v>2010</v>
      </c>
      <c r="F1148" s="17" t="s">
        <v>257</v>
      </c>
      <c r="G1148" s="17" t="str">
        <f>Config!$B$3</f>
        <v>SCH/R_IEC.SchLib</v>
      </c>
      <c r="H1148" s="17" t="s">
        <v>419</v>
      </c>
      <c r="I1148" s="17" t="s">
        <v>461</v>
      </c>
      <c r="J1148" s="41"/>
      <c r="K1148" s="41"/>
      <c r="L1148" s="41"/>
      <c r="M1148" s="21">
        <v>22000</v>
      </c>
      <c r="N1148" s="17"/>
      <c r="O1148" s="17"/>
      <c r="P1148" s="17"/>
      <c r="Q1148" s="17"/>
      <c r="R1148" s="17"/>
      <c r="S1148" s="17"/>
      <c r="T1148" s="17"/>
      <c r="U1148" s="17"/>
      <c r="V1148" s="17"/>
      <c r="W1148" s="17"/>
      <c r="X1148" s="17"/>
      <c r="Y1148" s="17"/>
      <c r="Z1148" s="17"/>
      <c r="AA1148" s="17"/>
      <c r="AB1148" s="17"/>
    </row>
    <row r="1149" spans="1:28">
      <c r="A1149" s="17" t="s">
        <v>10109</v>
      </c>
      <c r="B1149" s="17" t="s">
        <v>10109</v>
      </c>
      <c r="C1149" s="17" t="s">
        <v>10110</v>
      </c>
      <c r="D1149" s="17" t="s">
        <v>21</v>
      </c>
      <c r="E1149" s="24">
        <v>2010</v>
      </c>
      <c r="F1149" s="17" t="s">
        <v>259</v>
      </c>
      <c r="G1149" s="17" t="str">
        <f>Config!$B$3</f>
        <v>SCH/R_IEC.SchLib</v>
      </c>
      <c r="H1149" s="17" t="s">
        <v>419</v>
      </c>
      <c r="I1149" s="17" t="s">
        <v>461</v>
      </c>
      <c r="J1149" s="41"/>
      <c r="K1149" s="41"/>
      <c r="L1149" s="41"/>
      <c r="M1149" s="21">
        <v>24000</v>
      </c>
      <c r="N1149" s="17"/>
      <c r="O1149" s="17"/>
      <c r="P1149" s="17"/>
      <c r="Q1149" s="17"/>
      <c r="R1149" s="17"/>
      <c r="S1149" s="17"/>
      <c r="T1149" s="17"/>
      <c r="U1149" s="17"/>
      <c r="V1149" s="17"/>
      <c r="W1149" s="17"/>
      <c r="X1149" s="17"/>
      <c r="Y1149" s="17"/>
      <c r="Z1149" s="17"/>
      <c r="AA1149" s="17"/>
      <c r="AB1149" s="17"/>
    </row>
    <row r="1150" spans="1:28">
      <c r="A1150" s="17" t="s">
        <v>10111</v>
      </c>
      <c r="B1150" s="17" t="s">
        <v>10111</v>
      </c>
      <c r="C1150" s="17" t="s">
        <v>10112</v>
      </c>
      <c r="D1150" s="17" t="s">
        <v>21</v>
      </c>
      <c r="E1150" s="24">
        <v>2010</v>
      </c>
      <c r="F1150" s="17" t="s">
        <v>263</v>
      </c>
      <c r="G1150" s="17" t="str">
        <f>Config!$B$3</f>
        <v>SCH/R_IEC.SchLib</v>
      </c>
      <c r="H1150" s="17" t="s">
        <v>419</v>
      </c>
      <c r="I1150" s="17" t="s">
        <v>461</v>
      </c>
      <c r="J1150" s="41"/>
      <c r="K1150" s="41"/>
      <c r="L1150" s="41"/>
      <c r="M1150" s="21">
        <v>27000</v>
      </c>
      <c r="N1150" s="17"/>
      <c r="O1150" s="17"/>
      <c r="P1150" s="17"/>
      <c r="Q1150" s="17"/>
      <c r="R1150" s="17"/>
      <c r="S1150" s="17"/>
      <c r="T1150" s="17"/>
      <c r="U1150" s="17"/>
      <c r="V1150" s="17"/>
      <c r="W1150" s="17"/>
      <c r="X1150" s="17"/>
      <c r="Y1150" s="17"/>
      <c r="Z1150" s="17"/>
      <c r="AA1150" s="17"/>
      <c r="AB1150" s="17"/>
    </row>
    <row r="1151" spans="1:28">
      <c r="A1151" s="17" t="s">
        <v>10113</v>
      </c>
      <c r="B1151" s="17" t="s">
        <v>10113</v>
      </c>
      <c r="C1151" s="17" t="s">
        <v>10114</v>
      </c>
      <c r="D1151" s="17" t="s">
        <v>21</v>
      </c>
      <c r="E1151" s="24">
        <v>2010</v>
      </c>
      <c r="F1151" s="17" t="s">
        <v>265</v>
      </c>
      <c r="G1151" s="17" t="str">
        <f>Config!$B$3</f>
        <v>SCH/R_IEC.SchLib</v>
      </c>
      <c r="H1151" s="17" t="s">
        <v>419</v>
      </c>
      <c r="I1151" s="17" t="s">
        <v>461</v>
      </c>
      <c r="J1151" s="41"/>
      <c r="K1151" s="41"/>
      <c r="L1151" s="41"/>
      <c r="M1151" s="21">
        <v>30000</v>
      </c>
      <c r="N1151" s="17"/>
      <c r="O1151" s="17"/>
      <c r="P1151" s="17"/>
      <c r="Q1151" s="17"/>
      <c r="R1151" s="17"/>
      <c r="S1151" s="17"/>
      <c r="T1151" s="17"/>
      <c r="U1151" s="17"/>
      <c r="V1151" s="17"/>
      <c r="W1151" s="17"/>
      <c r="X1151" s="17"/>
      <c r="Y1151" s="17"/>
      <c r="Z1151" s="17"/>
      <c r="AA1151" s="17"/>
      <c r="AB1151" s="17"/>
    </row>
    <row r="1152" spans="1:28">
      <c r="A1152" s="17" t="s">
        <v>10115</v>
      </c>
      <c r="B1152" s="17" t="s">
        <v>10115</v>
      </c>
      <c r="C1152" s="17" t="s">
        <v>10116</v>
      </c>
      <c r="D1152" s="17" t="s">
        <v>21</v>
      </c>
      <c r="E1152" s="24">
        <v>2010</v>
      </c>
      <c r="F1152" s="17" t="s">
        <v>267</v>
      </c>
      <c r="G1152" s="17" t="str">
        <f>Config!$B$3</f>
        <v>SCH/R_IEC.SchLib</v>
      </c>
      <c r="H1152" s="17" t="s">
        <v>419</v>
      </c>
      <c r="I1152" s="17" t="s">
        <v>461</v>
      </c>
      <c r="J1152" s="41"/>
      <c r="K1152" s="41"/>
      <c r="L1152" s="41"/>
      <c r="M1152" s="21">
        <v>33000</v>
      </c>
      <c r="N1152" s="17"/>
      <c r="O1152" s="17"/>
      <c r="P1152" s="17"/>
      <c r="Q1152" s="17"/>
      <c r="R1152" s="17"/>
      <c r="S1152" s="17"/>
      <c r="T1152" s="17"/>
      <c r="U1152" s="17"/>
      <c r="V1152" s="17"/>
      <c r="W1152" s="17"/>
      <c r="X1152" s="17"/>
      <c r="Y1152" s="17"/>
      <c r="Z1152" s="17"/>
      <c r="AA1152" s="17"/>
      <c r="AB1152" s="17"/>
    </row>
    <row r="1153" spans="1:28">
      <c r="A1153" s="17" t="s">
        <v>10117</v>
      </c>
      <c r="B1153" s="17" t="s">
        <v>10117</v>
      </c>
      <c r="C1153" s="17" t="s">
        <v>10118</v>
      </c>
      <c r="D1153" s="17" t="s">
        <v>21</v>
      </c>
      <c r="E1153" s="24">
        <v>2010</v>
      </c>
      <c r="F1153" s="17" t="s">
        <v>269</v>
      </c>
      <c r="G1153" s="17" t="str">
        <f>Config!$B$3</f>
        <v>SCH/R_IEC.SchLib</v>
      </c>
      <c r="H1153" s="17" t="s">
        <v>419</v>
      </c>
      <c r="I1153" s="17" t="s">
        <v>461</v>
      </c>
      <c r="J1153" s="41"/>
      <c r="K1153" s="41"/>
      <c r="L1153" s="41"/>
      <c r="M1153" s="21">
        <v>36000</v>
      </c>
      <c r="N1153" s="17"/>
      <c r="O1153" s="17"/>
      <c r="P1153" s="17"/>
      <c r="Q1153" s="17"/>
      <c r="R1153" s="17"/>
      <c r="S1153" s="17"/>
      <c r="T1153" s="17"/>
      <c r="U1153" s="17"/>
      <c r="V1153" s="17"/>
      <c r="W1153" s="17"/>
      <c r="X1153" s="17"/>
      <c r="Y1153" s="17"/>
      <c r="Z1153" s="17"/>
      <c r="AA1153" s="17"/>
      <c r="AB1153" s="17"/>
    </row>
    <row r="1154" spans="1:28">
      <c r="A1154" s="17" t="s">
        <v>10119</v>
      </c>
      <c r="B1154" s="17" t="s">
        <v>10119</v>
      </c>
      <c r="C1154" s="17" t="s">
        <v>10120</v>
      </c>
      <c r="D1154" s="17" t="s">
        <v>21</v>
      </c>
      <c r="E1154" s="24">
        <v>2010</v>
      </c>
      <c r="F1154" s="17" t="s">
        <v>273</v>
      </c>
      <c r="G1154" s="17" t="str">
        <f>Config!$B$3</f>
        <v>SCH/R_IEC.SchLib</v>
      </c>
      <c r="H1154" s="17" t="s">
        <v>419</v>
      </c>
      <c r="I1154" s="17" t="s">
        <v>461</v>
      </c>
      <c r="J1154" s="41"/>
      <c r="K1154" s="41"/>
      <c r="L1154" s="41"/>
      <c r="M1154" s="21">
        <v>39000</v>
      </c>
      <c r="N1154" s="17"/>
      <c r="O1154" s="17"/>
      <c r="P1154" s="17"/>
      <c r="Q1154" s="17"/>
      <c r="R1154" s="17"/>
      <c r="S1154" s="17"/>
      <c r="T1154" s="17"/>
      <c r="U1154" s="17"/>
      <c r="V1154" s="17"/>
      <c r="W1154" s="17"/>
      <c r="X1154" s="17"/>
      <c r="Y1154" s="17"/>
      <c r="Z1154" s="17"/>
      <c r="AA1154" s="17"/>
      <c r="AB1154" s="17"/>
    </row>
    <row r="1155" spans="1:28">
      <c r="A1155" s="17" t="s">
        <v>10121</v>
      </c>
      <c r="B1155" s="17" t="s">
        <v>10121</v>
      </c>
      <c r="C1155" s="17" t="s">
        <v>10122</v>
      </c>
      <c r="D1155" s="17" t="s">
        <v>21</v>
      </c>
      <c r="E1155" s="24">
        <v>2010</v>
      </c>
      <c r="F1155" s="17" t="s">
        <v>277</v>
      </c>
      <c r="G1155" s="17" t="str">
        <f>Config!$B$3</f>
        <v>SCH/R_IEC.SchLib</v>
      </c>
      <c r="H1155" s="17" t="s">
        <v>419</v>
      </c>
      <c r="I1155" s="17" t="s">
        <v>461</v>
      </c>
      <c r="J1155" s="41"/>
      <c r="K1155" s="41"/>
      <c r="L1155" s="41"/>
      <c r="M1155" s="21">
        <v>43000</v>
      </c>
      <c r="N1155" s="17"/>
      <c r="O1155" s="17"/>
      <c r="P1155" s="17"/>
      <c r="Q1155" s="17"/>
      <c r="R1155" s="17"/>
      <c r="S1155" s="17"/>
      <c r="T1155" s="17"/>
      <c r="U1155" s="17"/>
      <c r="V1155" s="17"/>
      <c r="W1155" s="17"/>
      <c r="X1155" s="17"/>
      <c r="Y1155" s="17"/>
      <c r="Z1155" s="17"/>
      <c r="AA1155" s="17"/>
      <c r="AB1155" s="17"/>
    </row>
    <row r="1156" spans="1:28">
      <c r="A1156" s="17" t="s">
        <v>10123</v>
      </c>
      <c r="B1156" s="17" t="s">
        <v>10123</v>
      </c>
      <c r="C1156" s="17" t="s">
        <v>10124</v>
      </c>
      <c r="D1156" s="17" t="s">
        <v>21</v>
      </c>
      <c r="E1156" s="24">
        <v>2010</v>
      </c>
      <c r="F1156" s="17" t="s">
        <v>279</v>
      </c>
      <c r="G1156" s="17" t="str">
        <f>Config!$B$3</f>
        <v>SCH/R_IEC.SchLib</v>
      </c>
      <c r="H1156" s="17" t="s">
        <v>419</v>
      </c>
      <c r="I1156" s="17" t="s">
        <v>461</v>
      </c>
      <c r="J1156" s="41"/>
      <c r="K1156" s="41"/>
      <c r="L1156" s="41"/>
      <c r="M1156" s="21">
        <v>47000</v>
      </c>
      <c r="N1156" s="17"/>
      <c r="O1156" s="17"/>
      <c r="P1156" s="17"/>
      <c r="Q1156" s="17"/>
      <c r="R1156" s="17"/>
      <c r="S1156" s="17"/>
      <c r="T1156" s="17"/>
      <c r="U1156" s="17"/>
      <c r="V1156" s="17"/>
      <c r="W1156" s="17"/>
      <c r="X1156" s="17"/>
      <c r="Y1156" s="17"/>
      <c r="Z1156" s="17"/>
      <c r="AA1156" s="17"/>
      <c r="AB1156" s="17"/>
    </row>
    <row r="1157" spans="1:28">
      <c r="A1157" s="17" t="s">
        <v>10125</v>
      </c>
      <c r="B1157" s="17" t="s">
        <v>10125</v>
      </c>
      <c r="C1157" s="17" t="s">
        <v>10126</v>
      </c>
      <c r="D1157" s="17" t="s">
        <v>21</v>
      </c>
      <c r="E1157" s="24">
        <v>2010</v>
      </c>
      <c r="F1157" s="17" t="s">
        <v>283</v>
      </c>
      <c r="G1157" s="17" t="str">
        <f>Config!$B$3</f>
        <v>SCH/R_IEC.SchLib</v>
      </c>
      <c r="H1157" s="17" t="s">
        <v>419</v>
      </c>
      <c r="I1157" s="17" t="s">
        <v>461</v>
      </c>
      <c r="J1157" s="41"/>
      <c r="K1157" s="41"/>
      <c r="L1157" s="41"/>
      <c r="M1157" s="21">
        <v>51000</v>
      </c>
      <c r="N1157" s="17"/>
      <c r="O1157" s="17"/>
      <c r="P1157" s="17"/>
      <c r="Q1157" s="17"/>
      <c r="R1157" s="17"/>
      <c r="S1157" s="17"/>
      <c r="T1157" s="17"/>
      <c r="U1157" s="17"/>
      <c r="V1157" s="17"/>
      <c r="W1157" s="17"/>
      <c r="X1157" s="17"/>
      <c r="Y1157" s="17"/>
      <c r="Z1157" s="17"/>
      <c r="AA1157" s="17"/>
      <c r="AB1157" s="17"/>
    </row>
    <row r="1158" spans="1:28">
      <c r="A1158" s="17" t="s">
        <v>10127</v>
      </c>
      <c r="B1158" s="17" t="s">
        <v>10127</v>
      </c>
      <c r="C1158" s="17" t="s">
        <v>10128</v>
      </c>
      <c r="D1158" s="17" t="s">
        <v>21</v>
      </c>
      <c r="E1158" s="24">
        <v>2010</v>
      </c>
      <c r="F1158" s="17" t="s">
        <v>287</v>
      </c>
      <c r="G1158" s="17" t="str">
        <f>Config!$B$3</f>
        <v>SCH/R_IEC.SchLib</v>
      </c>
      <c r="H1158" s="17" t="s">
        <v>419</v>
      </c>
      <c r="I1158" s="17" t="s">
        <v>461</v>
      </c>
      <c r="J1158" s="41"/>
      <c r="K1158" s="41"/>
      <c r="L1158" s="41"/>
      <c r="M1158" s="21">
        <v>56000</v>
      </c>
      <c r="N1158" s="17"/>
      <c r="O1158" s="17"/>
      <c r="P1158" s="17"/>
      <c r="Q1158" s="17"/>
      <c r="R1158" s="17"/>
      <c r="S1158" s="17"/>
      <c r="T1158" s="17"/>
      <c r="U1158" s="17"/>
      <c r="V1158" s="17"/>
      <c r="W1158" s="17"/>
      <c r="X1158" s="17"/>
      <c r="Y1158" s="17"/>
      <c r="Z1158" s="17"/>
      <c r="AA1158" s="17"/>
      <c r="AB1158" s="17"/>
    </row>
    <row r="1159" spans="1:28">
      <c r="A1159" s="17" t="s">
        <v>10129</v>
      </c>
      <c r="B1159" s="17" t="s">
        <v>10129</v>
      </c>
      <c r="C1159" s="17" t="s">
        <v>10130</v>
      </c>
      <c r="D1159" s="17" t="s">
        <v>21</v>
      </c>
      <c r="E1159" s="24">
        <v>2010</v>
      </c>
      <c r="F1159" s="17" t="s">
        <v>291</v>
      </c>
      <c r="G1159" s="17" t="str">
        <f>Config!$B$3</f>
        <v>SCH/R_IEC.SchLib</v>
      </c>
      <c r="H1159" s="17" t="s">
        <v>419</v>
      </c>
      <c r="I1159" s="17" t="s">
        <v>461</v>
      </c>
      <c r="J1159" s="41"/>
      <c r="K1159" s="41"/>
      <c r="L1159" s="41"/>
      <c r="M1159" s="21">
        <v>62000</v>
      </c>
      <c r="N1159" s="17"/>
      <c r="O1159" s="17"/>
      <c r="P1159" s="17"/>
      <c r="Q1159" s="17"/>
      <c r="R1159" s="17"/>
      <c r="S1159" s="17"/>
      <c r="T1159" s="17"/>
      <c r="U1159" s="17"/>
      <c r="V1159" s="17"/>
      <c r="W1159" s="17"/>
      <c r="X1159" s="17"/>
      <c r="Y1159" s="17"/>
      <c r="Z1159" s="17"/>
      <c r="AA1159" s="17"/>
      <c r="AB1159" s="17"/>
    </row>
    <row r="1160" spans="1:28">
      <c r="A1160" s="17" t="s">
        <v>10131</v>
      </c>
      <c r="B1160" s="17" t="s">
        <v>10131</v>
      </c>
      <c r="C1160" s="17" t="s">
        <v>10132</v>
      </c>
      <c r="D1160" s="17" t="s">
        <v>21</v>
      </c>
      <c r="E1160" s="24">
        <v>2010</v>
      </c>
      <c r="F1160" s="17" t="s">
        <v>295</v>
      </c>
      <c r="G1160" s="17" t="str">
        <f>Config!$B$3</f>
        <v>SCH/R_IEC.SchLib</v>
      </c>
      <c r="H1160" s="17" t="s">
        <v>419</v>
      </c>
      <c r="I1160" s="17" t="s">
        <v>461</v>
      </c>
      <c r="J1160" s="41"/>
      <c r="K1160" s="41"/>
      <c r="L1160" s="41"/>
      <c r="M1160" s="21">
        <v>68000</v>
      </c>
      <c r="N1160" s="17"/>
      <c r="O1160" s="17"/>
      <c r="P1160" s="17"/>
      <c r="Q1160" s="17"/>
      <c r="R1160" s="17"/>
      <c r="S1160" s="17"/>
      <c r="T1160" s="17"/>
      <c r="U1160" s="17"/>
      <c r="V1160" s="17"/>
      <c r="W1160" s="17"/>
      <c r="X1160" s="17"/>
      <c r="Y1160" s="17"/>
      <c r="Z1160" s="17"/>
      <c r="AA1160" s="17"/>
      <c r="AB1160" s="17"/>
    </row>
    <row r="1161" spans="1:28">
      <c r="A1161" s="17" t="s">
        <v>10133</v>
      </c>
      <c r="B1161" s="17" t="s">
        <v>10133</v>
      </c>
      <c r="C1161" s="17" t="s">
        <v>10134</v>
      </c>
      <c r="D1161" s="17" t="s">
        <v>21</v>
      </c>
      <c r="E1161" s="24">
        <v>2010</v>
      </c>
      <c r="F1161" s="17" t="s">
        <v>299</v>
      </c>
      <c r="G1161" s="17" t="str">
        <f>Config!$B$3</f>
        <v>SCH/R_IEC.SchLib</v>
      </c>
      <c r="H1161" s="17" t="s">
        <v>419</v>
      </c>
      <c r="I1161" s="17" t="s">
        <v>461</v>
      </c>
      <c r="J1161" s="41"/>
      <c r="K1161" s="41"/>
      <c r="L1161" s="41"/>
      <c r="M1161" s="21">
        <v>75000</v>
      </c>
      <c r="N1161" s="17"/>
      <c r="O1161" s="17"/>
      <c r="P1161" s="17"/>
      <c r="Q1161" s="17"/>
      <c r="R1161" s="17"/>
      <c r="S1161" s="17"/>
      <c r="T1161" s="17"/>
      <c r="U1161" s="17"/>
      <c r="V1161" s="17"/>
      <c r="W1161" s="17"/>
      <c r="X1161" s="17"/>
      <c r="Y1161" s="17"/>
      <c r="Z1161" s="17"/>
      <c r="AA1161" s="17"/>
      <c r="AB1161" s="17"/>
    </row>
    <row r="1162" spans="1:28">
      <c r="A1162" s="17" t="s">
        <v>10135</v>
      </c>
      <c r="B1162" s="17" t="s">
        <v>10135</v>
      </c>
      <c r="C1162" s="17" t="s">
        <v>10136</v>
      </c>
      <c r="D1162" s="17" t="s">
        <v>21</v>
      </c>
      <c r="E1162" s="24">
        <v>2010</v>
      </c>
      <c r="F1162" s="17" t="s">
        <v>301</v>
      </c>
      <c r="G1162" s="17" t="str">
        <f>Config!$B$3</f>
        <v>SCH/R_IEC.SchLib</v>
      </c>
      <c r="H1162" s="17" t="s">
        <v>419</v>
      </c>
      <c r="I1162" s="17" t="s">
        <v>461</v>
      </c>
      <c r="J1162" s="41"/>
      <c r="K1162" s="41"/>
      <c r="L1162" s="41"/>
      <c r="M1162" s="21">
        <v>82000</v>
      </c>
      <c r="N1162" s="17"/>
      <c r="O1162" s="17"/>
      <c r="P1162" s="17"/>
      <c r="Q1162" s="17"/>
      <c r="R1162" s="17"/>
      <c r="S1162" s="17"/>
      <c r="T1162" s="17"/>
      <c r="U1162" s="17"/>
      <c r="V1162" s="17"/>
      <c r="W1162" s="17"/>
      <c r="X1162" s="17"/>
      <c r="Y1162" s="17"/>
      <c r="Z1162" s="17"/>
      <c r="AA1162" s="17"/>
      <c r="AB1162" s="17"/>
    </row>
    <row r="1163" spans="1:28">
      <c r="A1163" s="17" t="s">
        <v>10137</v>
      </c>
      <c r="B1163" s="17" t="s">
        <v>10137</v>
      </c>
      <c r="C1163" s="17" t="s">
        <v>10138</v>
      </c>
      <c r="D1163" s="17" t="s">
        <v>21</v>
      </c>
      <c r="E1163" s="24">
        <v>2010</v>
      </c>
      <c r="F1163" s="17" t="s">
        <v>303</v>
      </c>
      <c r="G1163" s="17" t="str">
        <f>Config!$B$3</f>
        <v>SCH/R_IEC.SchLib</v>
      </c>
      <c r="H1163" s="17" t="s">
        <v>419</v>
      </c>
      <c r="I1163" s="17" t="s">
        <v>461</v>
      </c>
      <c r="J1163" s="41"/>
      <c r="K1163" s="41"/>
      <c r="L1163" s="41"/>
      <c r="M1163" s="21">
        <v>91000</v>
      </c>
      <c r="N1163" s="17"/>
      <c r="O1163" s="17"/>
      <c r="P1163" s="17"/>
      <c r="Q1163" s="17"/>
      <c r="R1163" s="17"/>
      <c r="S1163" s="17"/>
      <c r="T1163" s="17"/>
      <c r="U1163" s="17"/>
      <c r="V1163" s="17"/>
      <c r="W1163" s="17"/>
      <c r="X1163" s="17"/>
      <c r="Y1163" s="17"/>
      <c r="Z1163" s="17"/>
      <c r="AA1163" s="17"/>
      <c r="AB1163" s="17"/>
    </row>
    <row r="1164" spans="1:28">
      <c r="A1164" s="17" t="s">
        <v>10139</v>
      </c>
      <c r="B1164" s="17" t="s">
        <v>10139</v>
      </c>
      <c r="C1164" s="17" t="s">
        <v>10140</v>
      </c>
      <c r="D1164" s="17" t="s">
        <v>21</v>
      </c>
      <c r="E1164" s="24">
        <v>2010</v>
      </c>
      <c r="F1164" s="17" t="s">
        <v>305</v>
      </c>
      <c r="G1164" s="17" t="str">
        <f>Config!$B$3</f>
        <v>SCH/R_IEC.SchLib</v>
      </c>
      <c r="H1164" s="17" t="s">
        <v>419</v>
      </c>
      <c r="I1164" s="17" t="s">
        <v>461</v>
      </c>
      <c r="J1164" s="41"/>
      <c r="K1164" s="41"/>
      <c r="L1164" s="41"/>
      <c r="M1164" s="21">
        <v>100000</v>
      </c>
      <c r="N1164" s="17"/>
      <c r="O1164" s="17"/>
      <c r="P1164" s="17"/>
      <c r="Q1164" s="17"/>
      <c r="R1164" s="17"/>
      <c r="S1164" s="17"/>
      <c r="T1164" s="17"/>
      <c r="U1164" s="17"/>
      <c r="V1164" s="17"/>
      <c r="W1164" s="17"/>
      <c r="X1164" s="17"/>
      <c r="Y1164" s="17"/>
      <c r="Z1164" s="17"/>
      <c r="AA1164" s="17"/>
      <c r="AB1164" s="17"/>
    </row>
    <row r="1165" spans="1:28">
      <c r="A1165" s="17" t="s">
        <v>10141</v>
      </c>
      <c r="B1165" s="17" t="s">
        <v>10141</v>
      </c>
      <c r="C1165" s="17" t="s">
        <v>10142</v>
      </c>
      <c r="D1165" s="17" t="s">
        <v>21</v>
      </c>
      <c r="E1165" s="24">
        <v>2010</v>
      </c>
      <c r="F1165" s="17" t="s">
        <v>309</v>
      </c>
      <c r="G1165" s="17" t="str">
        <f>Config!$B$3</f>
        <v>SCH/R_IEC.SchLib</v>
      </c>
      <c r="H1165" s="17" t="s">
        <v>419</v>
      </c>
      <c r="I1165" s="17" t="s">
        <v>461</v>
      </c>
      <c r="J1165" s="41"/>
      <c r="K1165" s="41"/>
      <c r="L1165" s="41"/>
      <c r="M1165" s="21">
        <v>110000</v>
      </c>
      <c r="N1165" s="17"/>
      <c r="O1165" s="17"/>
      <c r="P1165" s="17"/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  <c r="AA1165" s="17"/>
      <c r="AB1165" s="17"/>
    </row>
    <row r="1166" spans="1:28">
      <c r="A1166" s="17" t="s">
        <v>10143</v>
      </c>
      <c r="B1166" s="17" t="s">
        <v>10143</v>
      </c>
      <c r="C1166" s="17" t="s">
        <v>10144</v>
      </c>
      <c r="D1166" s="17" t="s">
        <v>21</v>
      </c>
      <c r="E1166" s="24">
        <v>2010</v>
      </c>
      <c r="F1166" s="17" t="s">
        <v>313</v>
      </c>
      <c r="G1166" s="17" t="str">
        <f>Config!$B$3</f>
        <v>SCH/R_IEC.SchLib</v>
      </c>
      <c r="H1166" s="17" t="s">
        <v>419</v>
      </c>
      <c r="I1166" s="17" t="s">
        <v>461</v>
      </c>
      <c r="J1166" s="41"/>
      <c r="K1166" s="41"/>
      <c r="L1166" s="41"/>
      <c r="M1166" s="21">
        <v>120000</v>
      </c>
      <c r="N1166" s="17"/>
      <c r="O1166" s="17"/>
      <c r="P1166" s="17"/>
      <c r="Q1166" s="17"/>
      <c r="R1166" s="17"/>
      <c r="S1166" s="17"/>
      <c r="T1166" s="17"/>
      <c r="U1166" s="17"/>
      <c r="V1166" s="17"/>
      <c r="W1166" s="17"/>
      <c r="X1166" s="17"/>
      <c r="Y1166" s="17"/>
      <c r="Z1166" s="17"/>
      <c r="AA1166" s="17"/>
      <c r="AB1166" s="17"/>
    </row>
    <row r="1167" spans="1:28">
      <c r="A1167" s="17" t="s">
        <v>10145</v>
      </c>
      <c r="B1167" s="17" t="s">
        <v>10145</v>
      </c>
      <c r="C1167" s="17" t="s">
        <v>10146</v>
      </c>
      <c r="D1167" s="17" t="s">
        <v>21</v>
      </c>
      <c r="E1167" s="24">
        <v>2010</v>
      </c>
      <c r="F1167" s="17" t="s">
        <v>317</v>
      </c>
      <c r="G1167" s="17" t="str">
        <f>Config!$B$3</f>
        <v>SCH/R_IEC.SchLib</v>
      </c>
      <c r="H1167" s="17" t="s">
        <v>419</v>
      </c>
      <c r="I1167" s="17" t="s">
        <v>461</v>
      </c>
      <c r="J1167" s="41"/>
      <c r="K1167" s="41"/>
      <c r="L1167" s="41"/>
      <c r="M1167" s="21">
        <v>130000</v>
      </c>
      <c r="N1167" s="17"/>
      <c r="O1167" s="17"/>
      <c r="P1167" s="17"/>
      <c r="Q1167" s="17"/>
      <c r="R1167" s="17"/>
      <c r="S1167" s="17"/>
      <c r="T1167" s="17"/>
      <c r="U1167" s="17"/>
      <c r="V1167" s="17"/>
      <c r="W1167" s="17"/>
      <c r="X1167" s="17"/>
      <c r="Y1167" s="17"/>
      <c r="Z1167" s="17"/>
      <c r="AA1167" s="17"/>
      <c r="AB1167" s="17"/>
    </row>
    <row r="1168" spans="1:28">
      <c r="A1168" s="17" t="s">
        <v>10147</v>
      </c>
      <c r="B1168" s="17" t="s">
        <v>10147</v>
      </c>
      <c r="C1168" s="17" t="s">
        <v>10148</v>
      </c>
      <c r="D1168" s="17" t="s">
        <v>21</v>
      </c>
      <c r="E1168" s="24">
        <v>2010</v>
      </c>
      <c r="F1168" s="17" t="s">
        <v>321</v>
      </c>
      <c r="G1168" s="17" t="str">
        <f>Config!$B$3</f>
        <v>SCH/R_IEC.SchLib</v>
      </c>
      <c r="H1168" s="17" t="s">
        <v>419</v>
      </c>
      <c r="I1168" s="17" t="s">
        <v>461</v>
      </c>
      <c r="J1168" s="41"/>
      <c r="K1168" s="41"/>
      <c r="L1168" s="41"/>
      <c r="M1168" s="21">
        <v>150000</v>
      </c>
      <c r="N1168" s="17"/>
      <c r="O1168" s="17"/>
      <c r="P1168" s="17"/>
      <c r="Q1168" s="17"/>
      <c r="R1168" s="17"/>
      <c r="S1168" s="17"/>
      <c r="T1168" s="17"/>
      <c r="U1168" s="17"/>
      <c r="V1168" s="17"/>
      <c r="W1168" s="17"/>
      <c r="X1168" s="17"/>
      <c r="Y1168" s="17"/>
      <c r="Z1168" s="17"/>
      <c r="AA1168" s="17"/>
      <c r="AB1168" s="17"/>
    </row>
    <row r="1169" spans="1:28">
      <c r="A1169" s="17" t="s">
        <v>10149</v>
      </c>
      <c r="B1169" s="17" t="s">
        <v>10149</v>
      </c>
      <c r="C1169" s="17" t="s">
        <v>10150</v>
      </c>
      <c r="D1169" s="17" t="s">
        <v>21</v>
      </c>
      <c r="E1169" s="24">
        <v>2010</v>
      </c>
      <c r="F1169" s="17" t="s">
        <v>323</v>
      </c>
      <c r="G1169" s="17" t="str">
        <f>Config!$B$3</f>
        <v>SCH/R_IEC.SchLib</v>
      </c>
      <c r="H1169" s="17" t="s">
        <v>419</v>
      </c>
      <c r="I1169" s="17" t="s">
        <v>461</v>
      </c>
      <c r="J1169" s="41"/>
      <c r="K1169" s="41"/>
      <c r="L1169" s="41"/>
      <c r="M1169" s="21">
        <v>160000</v>
      </c>
      <c r="N1169" s="17"/>
      <c r="O1169" s="17"/>
      <c r="P1169" s="17"/>
      <c r="Q1169" s="17"/>
      <c r="R1169" s="17"/>
      <c r="S1169" s="17"/>
      <c r="T1169" s="17"/>
      <c r="U1169" s="17"/>
      <c r="V1169" s="17"/>
      <c r="W1169" s="17"/>
      <c r="X1169" s="17"/>
      <c r="Y1169" s="17"/>
      <c r="Z1169" s="17"/>
      <c r="AA1169" s="17"/>
      <c r="AB1169" s="17"/>
    </row>
    <row r="1170" spans="1:28">
      <c r="A1170" s="17" t="s">
        <v>10151</v>
      </c>
      <c r="B1170" s="17" t="s">
        <v>10151</v>
      </c>
      <c r="C1170" s="17" t="s">
        <v>10152</v>
      </c>
      <c r="D1170" s="17" t="s">
        <v>21</v>
      </c>
      <c r="E1170" s="24">
        <v>2010</v>
      </c>
      <c r="F1170" s="17" t="s">
        <v>327</v>
      </c>
      <c r="G1170" s="17" t="str">
        <f>Config!$B$3</f>
        <v>SCH/R_IEC.SchLib</v>
      </c>
      <c r="H1170" s="17" t="s">
        <v>419</v>
      </c>
      <c r="I1170" s="17" t="s">
        <v>461</v>
      </c>
      <c r="J1170" s="41"/>
      <c r="K1170" s="41"/>
      <c r="L1170" s="41"/>
      <c r="M1170" s="21">
        <v>180000</v>
      </c>
      <c r="N1170" s="17"/>
      <c r="O1170" s="17"/>
      <c r="P1170" s="17"/>
      <c r="Q1170" s="17"/>
      <c r="R1170" s="17"/>
      <c r="S1170" s="17"/>
      <c r="T1170" s="17"/>
      <c r="U1170" s="17"/>
      <c r="V1170" s="17"/>
      <c r="W1170" s="17"/>
      <c r="X1170" s="17"/>
      <c r="Y1170" s="17"/>
      <c r="Z1170" s="17"/>
      <c r="AA1170" s="17"/>
      <c r="AB1170" s="17"/>
    </row>
    <row r="1171" spans="1:28">
      <c r="A1171" s="17" t="s">
        <v>10153</v>
      </c>
      <c r="B1171" s="17" t="s">
        <v>10153</v>
      </c>
      <c r="C1171" s="17" t="s">
        <v>10154</v>
      </c>
      <c r="D1171" s="17" t="s">
        <v>21</v>
      </c>
      <c r="E1171" s="24">
        <v>2010</v>
      </c>
      <c r="F1171" s="17" t="s">
        <v>331</v>
      </c>
      <c r="G1171" s="17" t="str">
        <f>Config!$B$3</f>
        <v>SCH/R_IEC.SchLib</v>
      </c>
      <c r="H1171" s="17" t="s">
        <v>419</v>
      </c>
      <c r="I1171" s="17" t="s">
        <v>461</v>
      </c>
      <c r="J1171" s="41"/>
      <c r="K1171" s="41"/>
      <c r="L1171" s="41"/>
      <c r="M1171" s="21">
        <v>200000</v>
      </c>
      <c r="N1171" s="17"/>
      <c r="O1171" s="17"/>
      <c r="P1171" s="17"/>
      <c r="Q1171" s="17"/>
      <c r="R1171" s="17"/>
      <c r="S1171" s="17"/>
      <c r="T1171" s="17"/>
      <c r="U1171" s="17"/>
      <c r="V1171" s="17"/>
      <c r="W1171" s="17"/>
      <c r="X1171" s="17"/>
      <c r="Y1171" s="17"/>
      <c r="Z1171" s="17"/>
      <c r="AA1171" s="17"/>
      <c r="AB1171" s="17"/>
    </row>
    <row r="1172" spans="1:28">
      <c r="A1172" s="17" t="s">
        <v>10155</v>
      </c>
      <c r="B1172" s="17" t="s">
        <v>10155</v>
      </c>
      <c r="C1172" s="17" t="s">
        <v>10156</v>
      </c>
      <c r="D1172" s="17" t="s">
        <v>21</v>
      </c>
      <c r="E1172" s="24">
        <v>2010</v>
      </c>
      <c r="F1172" s="17" t="s">
        <v>333</v>
      </c>
      <c r="G1172" s="17" t="str">
        <f>Config!$B$3</f>
        <v>SCH/R_IEC.SchLib</v>
      </c>
      <c r="H1172" s="17" t="s">
        <v>419</v>
      </c>
      <c r="I1172" s="17" t="s">
        <v>461</v>
      </c>
      <c r="J1172" s="41"/>
      <c r="K1172" s="41"/>
      <c r="L1172" s="41"/>
      <c r="M1172" s="21">
        <v>220000</v>
      </c>
      <c r="N1172" s="17"/>
      <c r="O1172" s="17"/>
      <c r="P1172" s="17"/>
      <c r="Q1172" s="17"/>
      <c r="R1172" s="17"/>
      <c r="S1172" s="17"/>
      <c r="T1172" s="17"/>
      <c r="U1172" s="17"/>
      <c r="V1172" s="17"/>
      <c r="W1172" s="17"/>
      <c r="X1172" s="17"/>
      <c r="Y1172" s="17"/>
      <c r="Z1172" s="17"/>
      <c r="AA1172" s="17"/>
      <c r="AB1172" s="17"/>
    </row>
    <row r="1173" spans="1:28">
      <c r="A1173" s="17" t="s">
        <v>10157</v>
      </c>
      <c r="B1173" s="17" t="s">
        <v>10157</v>
      </c>
      <c r="C1173" s="17" t="s">
        <v>10158</v>
      </c>
      <c r="D1173" s="17" t="s">
        <v>21</v>
      </c>
      <c r="E1173" s="24">
        <v>2010</v>
      </c>
      <c r="F1173" s="17" t="s">
        <v>335</v>
      </c>
      <c r="G1173" s="17" t="str">
        <f>Config!$B$3</f>
        <v>SCH/R_IEC.SchLib</v>
      </c>
      <c r="H1173" s="17" t="s">
        <v>419</v>
      </c>
      <c r="I1173" s="17" t="s">
        <v>461</v>
      </c>
      <c r="J1173" s="41"/>
      <c r="K1173" s="41"/>
      <c r="L1173" s="41"/>
      <c r="M1173" s="21">
        <v>240000</v>
      </c>
      <c r="N1173" s="17"/>
      <c r="O1173" s="17"/>
      <c r="P1173" s="17"/>
      <c r="Q1173" s="17"/>
      <c r="R1173" s="17"/>
      <c r="S1173" s="17"/>
      <c r="T1173" s="17"/>
      <c r="U1173" s="17"/>
      <c r="V1173" s="17"/>
      <c r="W1173" s="17"/>
      <c r="X1173" s="17"/>
      <c r="Y1173" s="17"/>
      <c r="Z1173" s="17"/>
      <c r="AA1173" s="17"/>
      <c r="AB1173" s="17"/>
    </row>
    <row r="1174" spans="1:28">
      <c r="A1174" s="17" t="s">
        <v>10159</v>
      </c>
      <c r="B1174" s="17" t="s">
        <v>10159</v>
      </c>
      <c r="C1174" s="17" t="s">
        <v>10160</v>
      </c>
      <c r="D1174" s="17" t="s">
        <v>21</v>
      </c>
      <c r="E1174" s="24">
        <v>2010</v>
      </c>
      <c r="F1174" s="17" t="s">
        <v>337</v>
      </c>
      <c r="G1174" s="17" t="str">
        <f>Config!$B$3</f>
        <v>SCH/R_IEC.SchLib</v>
      </c>
      <c r="H1174" s="17" t="s">
        <v>419</v>
      </c>
      <c r="I1174" s="17" t="s">
        <v>461</v>
      </c>
      <c r="J1174" s="41"/>
      <c r="K1174" s="41"/>
      <c r="L1174" s="41"/>
      <c r="M1174" s="21">
        <v>270000</v>
      </c>
      <c r="N1174" s="17"/>
      <c r="O1174" s="17"/>
      <c r="P1174" s="17"/>
      <c r="Q1174" s="17"/>
      <c r="R1174" s="17"/>
      <c r="S1174" s="17"/>
      <c r="T1174" s="17"/>
      <c r="U1174" s="17"/>
      <c r="V1174" s="17"/>
      <c r="W1174" s="17"/>
      <c r="X1174" s="17"/>
      <c r="Y1174" s="17"/>
      <c r="Z1174" s="17"/>
      <c r="AA1174" s="17"/>
      <c r="AB1174" s="17"/>
    </row>
    <row r="1175" spans="1:28">
      <c r="A1175" s="17" t="s">
        <v>10161</v>
      </c>
      <c r="B1175" s="17" t="s">
        <v>10161</v>
      </c>
      <c r="C1175" s="17" t="s">
        <v>10162</v>
      </c>
      <c r="D1175" s="17" t="s">
        <v>21</v>
      </c>
      <c r="E1175" s="24">
        <v>2010</v>
      </c>
      <c r="F1175" s="17" t="s">
        <v>339</v>
      </c>
      <c r="G1175" s="17" t="str">
        <f>Config!$B$3</f>
        <v>SCH/R_IEC.SchLib</v>
      </c>
      <c r="H1175" s="17" t="s">
        <v>419</v>
      </c>
      <c r="I1175" s="17" t="s">
        <v>461</v>
      </c>
      <c r="J1175" s="41"/>
      <c r="K1175" s="41"/>
      <c r="L1175" s="41"/>
      <c r="M1175" s="21">
        <v>300000</v>
      </c>
      <c r="N1175" s="17"/>
      <c r="O1175" s="17"/>
      <c r="P1175" s="17"/>
      <c r="Q1175" s="17"/>
      <c r="R1175" s="17"/>
      <c r="S1175" s="17"/>
      <c r="T1175" s="17"/>
      <c r="U1175" s="17"/>
      <c r="V1175" s="17"/>
      <c r="W1175" s="17"/>
      <c r="X1175" s="17"/>
      <c r="Y1175" s="17"/>
      <c r="Z1175" s="17"/>
      <c r="AA1175" s="17"/>
      <c r="AB1175" s="17"/>
    </row>
    <row r="1176" spans="1:28">
      <c r="A1176" s="17" t="s">
        <v>10163</v>
      </c>
      <c r="B1176" s="17" t="s">
        <v>10163</v>
      </c>
      <c r="C1176" s="16" t="s">
        <v>10164</v>
      </c>
      <c r="D1176" s="16" t="s">
        <v>21</v>
      </c>
      <c r="E1176" s="24">
        <v>2010</v>
      </c>
      <c r="F1176" s="17" t="s">
        <v>341</v>
      </c>
      <c r="G1176" s="17" t="str">
        <f>Config!$B$3</f>
        <v>SCH/R_IEC.SchLib</v>
      </c>
      <c r="H1176" s="16" t="s">
        <v>419</v>
      </c>
      <c r="I1176" s="18" t="s">
        <v>461</v>
      </c>
      <c r="J1176" s="40"/>
      <c r="K1176" s="40"/>
      <c r="L1176" s="40"/>
      <c r="M1176" s="21">
        <v>330000</v>
      </c>
      <c r="N1176" s="17"/>
      <c r="O1176" s="17"/>
      <c r="P1176" s="17"/>
      <c r="Q1176" s="17"/>
      <c r="R1176" s="17"/>
      <c r="S1176" s="17"/>
      <c r="T1176" s="17"/>
      <c r="U1176" s="17"/>
      <c r="V1176" s="17"/>
      <c r="W1176" s="17"/>
      <c r="X1176" s="17"/>
      <c r="Y1176" s="17"/>
      <c r="Z1176" s="17"/>
      <c r="AA1176" s="17"/>
      <c r="AB1176" s="17"/>
    </row>
    <row r="1177" spans="1:28">
      <c r="A1177" s="17" t="s">
        <v>10165</v>
      </c>
      <c r="B1177" s="17" t="s">
        <v>10165</v>
      </c>
      <c r="C1177" s="17" t="s">
        <v>10166</v>
      </c>
      <c r="D1177" s="17" t="s">
        <v>21</v>
      </c>
      <c r="E1177" s="24">
        <v>2010</v>
      </c>
      <c r="F1177" s="17" t="s">
        <v>345</v>
      </c>
      <c r="G1177" s="17" t="str">
        <f>Config!$B$3</f>
        <v>SCH/R_IEC.SchLib</v>
      </c>
      <c r="H1177" s="17" t="s">
        <v>419</v>
      </c>
      <c r="I1177" s="17" t="s">
        <v>461</v>
      </c>
      <c r="J1177" s="41"/>
      <c r="K1177" s="41"/>
      <c r="L1177" s="41"/>
      <c r="M1177" s="21">
        <v>360000</v>
      </c>
      <c r="N1177" s="17"/>
      <c r="O1177" s="17"/>
      <c r="P1177" s="17"/>
      <c r="Q1177" s="17"/>
      <c r="R1177" s="17"/>
      <c r="S1177" s="17"/>
      <c r="T1177" s="17"/>
      <c r="U1177" s="17"/>
      <c r="V1177" s="17"/>
      <c r="W1177" s="17"/>
      <c r="X1177" s="17"/>
      <c r="Y1177" s="17"/>
      <c r="Z1177" s="17"/>
      <c r="AA1177" s="17"/>
      <c r="AB1177" s="17"/>
    </row>
    <row r="1178" spans="1:28">
      <c r="A1178" s="17" t="s">
        <v>10167</v>
      </c>
      <c r="B1178" s="17" t="s">
        <v>10167</v>
      </c>
      <c r="C1178" s="17" t="s">
        <v>10168</v>
      </c>
      <c r="D1178" s="17" t="s">
        <v>21</v>
      </c>
      <c r="E1178" s="24">
        <v>2010</v>
      </c>
      <c r="F1178" s="17" t="s">
        <v>349</v>
      </c>
      <c r="G1178" s="17" t="str">
        <f>Config!$B$3</f>
        <v>SCH/R_IEC.SchLib</v>
      </c>
      <c r="H1178" s="17" t="s">
        <v>419</v>
      </c>
      <c r="I1178" s="17" t="s">
        <v>461</v>
      </c>
      <c r="J1178" s="41"/>
      <c r="K1178" s="41"/>
      <c r="L1178" s="41"/>
      <c r="M1178" s="21">
        <v>390000</v>
      </c>
      <c r="N1178" s="17"/>
      <c r="O1178" s="17"/>
      <c r="P1178" s="17"/>
      <c r="Q1178" s="17"/>
      <c r="R1178" s="17"/>
      <c r="S1178" s="17"/>
      <c r="T1178" s="17"/>
      <c r="U1178" s="17"/>
      <c r="V1178" s="17"/>
      <c r="W1178" s="17"/>
      <c r="X1178" s="17"/>
      <c r="Y1178" s="17"/>
      <c r="Z1178" s="17"/>
      <c r="AA1178" s="17"/>
      <c r="AB1178" s="17"/>
    </row>
    <row r="1179" spans="1:28">
      <c r="A1179" s="17" t="s">
        <v>10169</v>
      </c>
      <c r="B1179" s="17" t="s">
        <v>10169</v>
      </c>
      <c r="C1179" s="17" t="s">
        <v>10170</v>
      </c>
      <c r="D1179" s="17" t="s">
        <v>21</v>
      </c>
      <c r="E1179" s="24">
        <v>2010</v>
      </c>
      <c r="F1179" s="17" t="s">
        <v>351</v>
      </c>
      <c r="G1179" s="17" t="str">
        <f>Config!$B$3</f>
        <v>SCH/R_IEC.SchLib</v>
      </c>
      <c r="H1179" s="17" t="s">
        <v>419</v>
      </c>
      <c r="I1179" s="17" t="s">
        <v>461</v>
      </c>
      <c r="J1179" s="41"/>
      <c r="K1179" s="41"/>
      <c r="L1179" s="41"/>
      <c r="M1179" s="21">
        <v>430000</v>
      </c>
      <c r="N1179" s="17"/>
      <c r="O1179" s="17"/>
      <c r="P1179" s="17"/>
      <c r="Q1179" s="17"/>
      <c r="R1179" s="17"/>
      <c r="S1179" s="17"/>
      <c r="T1179" s="17"/>
      <c r="U1179" s="17"/>
      <c r="V1179" s="17"/>
      <c r="W1179" s="17"/>
      <c r="X1179" s="17"/>
      <c r="Y1179" s="17"/>
      <c r="Z1179" s="17"/>
      <c r="AA1179" s="17"/>
      <c r="AB1179" s="17"/>
    </row>
    <row r="1180" spans="1:28">
      <c r="A1180" s="17" t="s">
        <v>10171</v>
      </c>
      <c r="B1180" s="17" t="s">
        <v>10171</v>
      </c>
      <c r="C1180" s="17" t="s">
        <v>10172</v>
      </c>
      <c r="D1180" s="17" t="s">
        <v>21</v>
      </c>
      <c r="E1180" s="24">
        <v>2010</v>
      </c>
      <c r="F1180" s="17" t="s">
        <v>353</v>
      </c>
      <c r="G1180" s="17" t="str">
        <f>Config!$B$3</f>
        <v>SCH/R_IEC.SchLib</v>
      </c>
      <c r="H1180" s="17" t="s">
        <v>419</v>
      </c>
      <c r="I1180" s="17" t="s">
        <v>461</v>
      </c>
      <c r="J1180" s="41"/>
      <c r="K1180" s="41"/>
      <c r="L1180" s="41"/>
      <c r="M1180" s="21">
        <v>470000</v>
      </c>
      <c r="N1180" s="17"/>
      <c r="O1180" s="17"/>
      <c r="P1180" s="17"/>
      <c r="Q1180" s="17"/>
      <c r="R1180" s="17"/>
      <c r="S1180" s="17"/>
      <c r="T1180" s="17"/>
      <c r="U1180" s="17"/>
      <c r="V1180" s="17"/>
      <c r="W1180" s="17"/>
      <c r="X1180" s="17"/>
      <c r="Y1180" s="17"/>
      <c r="Z1180" s="17"/>
      <c r="AA1180" s="17"/>
      <c r="AB1180" s="17"/>
    </row>
    <row r="1181" spans="1:28">
      <c r="A1181" s="17" t="s">
        <v>10173</v>
      </c>
      <c r="B1181" s="17" t="s">
        <v>10173</v>
      </c>
      <c r="C1181" s="17" t="s">
        <v>10174</v>
      </c>
      <c r="D1181" s="17" t="s">
        <v>21</v>
      </c>
      <c r="E1181" s="24">
        <v>2010</v>
      </c>
      <c r="F1181" s="17" t="s">
        <v>355</v>
      </c>
      <c r="G1181" s="17" t="str">
        <f>Config!$B$3</f>
        <v>SCH/R_IEC.SchLib</v>
      </c>
      <c r="H1181" s="17" t="s">
        <v>419</v>
      </c>
      <c r="I1181" s="17" t="s">
        <v>461</v>
      </c>
      <c r="J1181" s="41"/>
      <c r="K1181" s="41"/>
      <c r="L1181" s="41"/>
      <c r="M1181" s="21">
        <v>510000</v>
      </c>
      <c r="N1181" s="17"/>
      <c r="O1181" s="17"/>
      <c r="P1181" s="17"/>
      <c r="Q1181" s="17"/>
      <c r="R1181" s="17"/>
      <c r="S1181" s="17"/>
      <c r="T1181" s="17"/>
      <c r="U1181" s="17"/>
      <c r="V1181" s="17"/>
      <c r="W1181" s="17"/>
      <c r="X1181" s="17"/>
      <c r="Y1181" s="17"/>
      <c r="Z1181" s="17"/>
      <c r="AA1181" s="17"/>
      <c r="AB1181" s="17"/>
    </row>
    <row r="1182" spans="1:28">
      <c r="A1182" s="17" t="s">
        <v>10175</v>
      </c>
      <c r="B1182" s="17" t="s">
        <v>10175</v>
      </c>
      <c r="C1182" s="17" t="s">
        <v>10176</v>
      </c>
      <c r="D1182" s="17" t="s">
        <v>21</v>
      </c>
      <c r="E1182" s="24">
        <v>2010</v>
      </c>
      <c r="F1182" s="17" t="s">
        <v>357</v>
      </c>
      <c r="G1182" s="17" t="str">
        <f>Config!$B$3</f>
        <v>SCH/R_IEC.SchLib</v>
      </c>
      <c r="H1182" s="17" t="s">
        <v>419</v>
      </c>
      <c r="I1182" s="17" t="s">
        <v>461</v>
      </c>
      <c r="J1182" s="41"/>
      <c r="K1182" s="41"/>
      <c r="L1182" s="41"/>
      <c r="M1182" s="21">
        <v>560000</v>
      </c>
      <c r="N1182" s="17"/>
      <c r="O1182" s="17"/>
      <c r="P1182" s="17"/>
      <c r="Q1182" s="17"/>
      <c r="R1182" s="17"/>
      <c r="S1182" s="17"/>
      <c r="T1182" s="17"/>
      <c r="U1182" s="17"/>
      <c r="V1182" s="17"/>
      <c r="W1182" s="17"/>
      <c r="X1182" s="17"/>
      <c r="Y1182" s="17"/>
      <c r="Z1182" s="17"/>
      <c r="AA1182" s="17"/>
      <c r="AB1182" s="17"/>
    </row>
    <row r="1183" spans="1:28">
      <c r="A1183" s="17" t="s">
        <v>10177</v>
      </c>
      <c r="B1183" s="17" t="s">
        <v>10177</v>
      </c>
      <c r="C1183" s="17" t="s">
        <v>10178</v>
      </c>
      <c r="D1183" s="17" t="s">
        <v>21</v>
      </c>
      <c r="E1183" s="24">
        <v>2010</v>
      </c>
      <c r="F1183" s="17" t="s">
        <v>359</v>
      </c>
      <c r="G1183" s="17" t="str">
        <f>Config!$B$3</f>
        <v>SCH/R_IEC.SchLib</v>
      </c>
      <c r="H1183" s="17" t="s">
        <v>419</v>
      </c>
      <c r="I1183" s="17" t="s">
        <v>461</v>
      </c>
      <c r="J1183" s="41"/>
      <c r="K1183" s="41"/>
      <c r="L1183" s="41"/>
      <c r="M1183" s="21">
        <v>620000</v>
      </c>
      <c r="N1183" s="17"/>
      <c r="O1183" s="17"/>
      <c r="P1183" s="17"/>
      <c r="Q1183" s="17"/>
      <c r="R1183" s="17"/>
      <c r="S1183" s="17"/>
      <c r="T1183" s="17"/>
      <c r="U1183" s="17"/>
      <c r="V1183" s="17"/>
      <c r="W1183" s="17"/>
      <c r="X1183" s="17"/>
      <c r="Y1183" s="17"/>
      <c r="Z1183" s="17"/>
      <c r="AA1183" s="17"/>
      <c r="AB1183" s="17"/>
    </row>
    <row r="1184" spans="1:28">
      <c r="A1184" s="17" t="s">
        <v>10179</v>
      </c>
      <c r="B1184" s="17" t="s">
        <v>10179</v>
      </c>
      <c r="C1184" s="17" t="s">
        <v>10180</v>
      </c>
      <c r="D1184" s="17" t="s">
        <v>21</v>
      </c>
      <c r="E1184" s="24">
        <v>2010</v>
      </c>
      <c r="F1184" s="17" t="s">
        <v>361</v>
      </c>
      <c r="G1184" s="17" t="str">
        <f>Config!$B$3</f>
        <v>SCH/R_IEC.SchLib</v>
      </c>
      <c r="H1184" s="17" t="s">
        <v>419</v>
      </c>
      <c r="I1184" s="17" t="s">
        <v>461</v>
      </c>
      <c r="J1184" s="41"/>
      <c r="K1184" s="41"/>
      <c r="L1184" s="41"/>
      <c r="M1184" s="21">
        <v>680000</v>
      </c>
      <c r="N1184" s="17"/>
      <c r="O1184" s="17"/>
      <c r="P1184" s="17"/>
      <c r="Q1184" s="17"/>
      <c r="R1184" s="17"/>
      <c r="S1184" s="17"/>
      <c r="T1184" s="17"/>
      <c r="U1184" s="17"/>
      <c r="V1184" s="17"/>
      <c r="W1184" s="17"/>
      <c r="X1184" s="17"/>
      <c r="Y1184" s="17"/>
      <c r="Z1184" s="17"/>
      <c r="AA1184" s="17"/>
      <c r="AB1184" s="17"/>
    </row>
    <row r="1185" spans="1:28">
      <c r="A1185" s="17" t="s">
        <v>10181</v>
      </c>
      <c r="B1185" s="17" t="s">
        <v>10181</v>
      </c>
      <c r="C1185" s="17" t="s">
        <v>10182</v>
      </c>
      <c r="D1185" s="17" t="s">
        <v>21</v>
      </c>
      <c r="E1185" s="24">
        <v>2010</v>
      </c>
      <c r="F1185" s="17" t="s">
        <v>363</v>
      </c>
      <c r="G1185" s="17" t="str">
        <f>Config!$B$3</f>
        <v>SCH/R_IEC.SchLib</v>
      </c>
      <c r="H1185" s="17" t="s">
        <v>419</v>
      </c>
      <c r="I1185" s="17" t="s">
        <v>461</v>
      </c>
      <c r="J1185" s="41"/>
      <c r="K1185" s="41"/>
      <c r="L1185" s="41"/>
      <c r="M1185" s="21">
        <v>750000</v>
      </c>
      <c r="N1185" s="17"/>
      <c r="O1185" s="17"/>
      <c r="P1185" s="17"/>
      <c r="Q1185" s="17"/>
      <c r="R1185" s="17"/>
      <c r="S1185" s="17"/>
      <c r="T1185" s="17"/>
      <c r="U1185" s="17"/>
      <c r="V1185" s="17"/>
      <c r="W1185" s="17"/>
      <c r="X1185" s="17"/>
      <c r="Y1185" s="17"/>
      <c r="Z1185" s="17"/>
      <c r="AA1185" s="17"/>
      <c r="AB1185" s="17"/>
    </row>
    <row r="1186" spans="1:28">
      <c r="A1186" s="17" t="s">
        <v>10183</v>
      </c>
      <c r="B1186" s="17" t="s">
        <v>10183</v>
      </c>
      <c r="C1186" s="17" t="s">
        <v>10184</v>
      </c>
      <c r="D1186" s="17" t="s">
        <v>21</v>
      </c>
      <c r="E1186" s="24">
        <v>2010</v>
      </c>
      <c r="F1186" s="17" t="s">
        <v>365</v>
      </c>
      <c r="G1186" s="17" t="str">
        <f>Config!$B$3</f>
        <v>SCH/R_IEC.SchLib</v>
      </c>
      <c r="H1186" s="17" t="s">
        <v>419</v>
      </c>
      <c r="I1186" s="17" t="s">
        <v>461</v>
      </c>
      <c r="J1186" s="41"/>
      <c r="K1186" s="41"/>
      <c r="L1186" s="41"/>
      <c r="M1186" s="21">
        <v>820000</v>
      </c>
      <c r="N1186" s="17"/>
      <c r="O1186" s="17"/>
      <c r="P1186" s="17"/>
      <c r="Q1186" s="17"/>
      <c r="R1186" s="17"/>
      <c r="S1186" s="17"/>
      <c r="T1186" s="17"/>
      <c r="U1186" s="17"/>
      <c r="V1186" s="17"/>
      <c r="W1186" s="17"/>
      <c r="X1186" s="17"/>
      <c r="Y1186" s="17"/>
      <c r="Z1186" s="17"/>
      <c r="AA1186" s="17"/>
      <c r="AB1186" s="17"/>
    </row>
    <row r="1187" spans="1:28">
      <c r="A1187" s="17" t="s">
        <v>10185</v>
      </c>
      <c r="B1187" s="17" t="s">
        <v>10185</v>
      </c>
      <c r="C1187" s="17" t="s">
        <v>10186</v>
      </c>
      <c r="D1187" s="17" t="s">
        <v>21</v>
      </c>
      <c r="E1187" s="24">
        <v>2010</v>
      </c>
      <c r="F1187" s="17" t="s">
        <v>367</v>
      </c>
      <c r="G1187" s="17" t="str">
        <f>Config!$B$3</f>
        <v>SCH/R_IEC.SchLib</v>
      </c>
      <c r="H1187" s="17" t="s">
        <v>419</v>
      </c>
      <c r="I1187" s="17" t="s">
        <v>461</v>
      </c>
      <c r="J1187" s="41"/>
      <c r="K1187" s="41"/>
      <c r="L1187" s="41"/>
      <c r="M1187" s="21">
        <v>910000</v>
      </c>
      <c r="N1187" s="17"/>
      <c r="O1187" s="17"/>
      <c r="P1187" s="17"/>
      <c r="Q1187" s="17"/>
      <c r="R1187" s="17"/>
      <c r="S1187" s="17"/>
      <c r="T1187" s="17"/>
      <c r="U1187" s="17"/>
      <c r="V1187" s="17"/>
      <c r="W1187" s="17"/>
      <c r="X1187" s="17"/>
      <c r="Y1187" s="17"/>
      <c r="Z1187" s="17"/>
      <c r="AA1187" s="17"/>
      <c r="AB1187" s="17"/>
    </row>
    <row r="1188" spans="1:28">
      <c r="A1188" s="17" t="s">
        <v>10187</v>
      </c>
      <c r="B1188" s="17" t="s">
        <v>10187</v>
      </c>
      <c r="C1188" s="17" t="s">
        <v>10188</v>
      </c>
      <c r="D1188" s="17" t="s">
        <v>21</v>
      </c>
      <c r="E1188" s="24">
        <v>2010</v>
      </c>
      <c r="F1188" s="17" t="s">
        <v>369</v>
      </c>
      <c r="G1188" s="17" t="str">
        <f>Config!$B$3</f>
        <v>SCH/R_IEC.SchLib</v>
      </c>
      <c r="H1188" s="17" t="s">
        <v>419</v>
      </c>
      <c r="I1188" s="17" t="s">
        <v>461</v>
      </c>
      <c r="J1188" s="41"/>
      <c r="K1188" s="41"/>
      <c r="L1188" s="41"/>
      <c r="M1188" s="21">
        <v>1000000</v>
      </c>
      <c r="N1188" s="17"/>
      <c r="O1188" s="17"/>
      <c r="P1188" s="17"/>
      <c r="Q1188" s="17"/>
      <c r="R1188" s="17"/>
      <c r="S1188" s="17"/>
      <c r="T1188" s="17"/>
      <c r="U1188" s="17"/>
      <c r="V1188" s="17"/>
      <c r="W1188" s="17"/>
      <c r="X1188" s="17"/>
      <c r="Y1188" s="17"/>
      <c r="Z1188" s="17"/>
      <c r="AA1188" s="17"/>
      <c r="AB1188" s="17"/>
    </row>
    <row r="1189" spans="1:28">
      <c r="A1189" s="17" t="s">
        <v>10189</v>
      </c>
      <c r="B1189" s="17" t="s">
        <v>10189</v>
      </c>
      <c r="C1189" s="17" t="s">
        <v>10190</v>
      </c>
      <c r="D1189" s="17" t="s">
        <v>21</v>
      </c>
      <c r="E1189" s="24">
        <v>2010</v>
      </c>
      <c r="F1189" s="17" t="s">
        <v>371</v>
      </c>
      <c r="G1189" s="17" t="str">
        <f>Config!$B$3</f>
        <v>SCH/R_IEC.SchLib</v>
      </c>
      <c r="H1189" s="17" t="s">
        <v>419</v>
      </c>
      <c r="I1189" s="17" t="s">
        <v>461</v>
      </c>
      <c r="J1189" s="41"/>
      <c r="K1189" s="41"/>
      <c r="L1189" s="41"/>
      <c r="M1189" s="21">
        <v>1100000</v>
      </c>
      <c r="N1189" s="17"/>
      <c r="O1189" s="17"/>
      <c r="P1189" s="17"/>
      <c r="Q1189" s="17"/>
      <c r="R1189" s="17"/>
      <c r="S1189" s="17"/>
      <c r="T1189" s="17"/>
      <c r="U1189" s="17"/>
      <c r="V1189" s="17"/>
      <c r="W1189" s="17"/>
      <c r="X1189" s="17"/>
      <c r="Y1189" s="17"/>
      <c r="Z1189" s="17"/>
      <c r="AA1189" s="17"/>
      <c r="AB1189" s="17"/>
    </row>
    <row r="1190" spans="1:28">
      <c r="A1190" s="17" t="s">
        <v>10191</v>
      </c>
      <c r="B1190" s="17" t="s">
        <v>10191</v>
      </c>
      <c r="C1190" s="17" t="s">
        <v>10192</v>
      </c>
      <c r="D1190" s="17" t="s">
        <v>21</v>
      </c>
      <c r="E1190" s="24">
        <v>2010</v>
      </c>
      <c r="F1190" s="17" t="s">
        <v>373</v>
      </c>
      <c r="G1190" s="17" t="str">
        <f>Config!$B$3</f>
        <v>SCH/R_IEC.SchLib</v>
      </c>
      <c r="H1190" s="17" t="s">
        <v>419</v>
      </c>
      <c r="I1190" s="17" t="s">
        <v>461</v>
      </c>
      <c r="J1190" s="41"/>
      <c r="K1190" s="41"/>
      <c r="L1190" s="41"/>
      <c r="M1190" s="21">
        <v>1200000</v>
      </c>
      <c r="N1190" s="17"/>
      <c r="O1190" s="17"/>
      <c r="P1190" s="17"/>
      <c r="Q1190" s="17"/>
      <c r="R1190" s="17"/>
      <c r="S1190" s="17"/>
      <c r="T1190" s="17"/>
      <c r="U1190" s="17"/>
      <c r="V1190" s="17"/>
      <c r="W1190" s="17"/>
      <c r="X1190" s="17"/>
      <c r="Y1190" s="17"/>
      <c r="Z1190" s="17"/>
      <c r="AA1190" s="17"/>
      <c r="AB1190" s="17"/>
    </row>
    <row r="1191" spans="1:28">
      <c r="A1191" s="17" t="s">
        <v>10193</v>
      </c>
      <c r="B1191" s="17" t="s">
        <v>10193</v>
      </c>
      <c r="C1191" s="17" t="s">
        <v>10194</v>
      </c>
      <c r="D1191" s="17" t="s">
        <v>21</v>
      </c>
      <c r="E1191" s="24">
        <v>2010</v>
      </c>
      <c r="F1191" s="17" t="s">
        <v>375</v>
      </c>
      <c r="G1191" s="17" t="str">
        <f>Config!$B$3</f>
        <v>SCH/R_IEC.SchLib</v>
      </c>
      <c r="H1191" s="17" t="s">
        <v>419</v>
      </c>
      <c r="I1191" s="17" t="s">
        <v>461</v>
      </c>
      <c r="J1191" s="41"/>
      <c r="K1191" s="41"/>
      <c r="L1191" s="41"/>
      <c r="M1191" s="21">
        <v>1300000</v>
      </c>
      <c r="N1191" s="17"/>
      <c r="O1191" s="17"/>
      <c r="P1191" s="17"/>
      <c r="Q1191" s="17"/>
      <c r="R1191" s="17"/>
      <c r="S1191" s="17"/>
      <c r="T1191" s="17"/>
      <c r="U1191" s="17"/>
      <c r="V1191" s="17"/>
      <c r="W1191" s="17"/>
      <c r="X1191" s="17"/>
      <c r="Y1191" s="17"/>
      <c r="Z1191" s="17"/>
      <c r="AA1191" s="17"/>
      <c r="AB1191" s="17"/>
    </row>
    <row r="1192" spans="1:28">
      <c r="A1192" s="17" t="s">
        <v>10195</v>
      </c>
      <c r="B1192" s="17" t="s">
        <v>10195</v>
      </c>
      <c r="C1192" s="17" t="s">
        <v>10196</v>
      </c>
      <c r="D1192" s="17" t="s">
        <v>21</v>
      </c>
      <c r="E1192" s="24">
        <v>2010</v>
      </c>
      <c r="F1192" s="17" t="s">
        <v>377</v>
      </c>
      <c r="G1192" s="17" t="str">
        <f>Config!$B$3</f>
        <v>SCH/R_IEC.SchLib</v>
      </c>
      <c r="H1192" s="17" t="s">
        <v>419</v>
      </c>
      <c r="I1192" s="17" t="s">
        <v>461</v>
      </c>
      <c r="J1192" s="41"/>
      <c r="K1192" s="41"/>
      <c r="L1192" s="41"/>
      <c r="M1192" s="21">
        <v>1500000</v>
      </c>
      <c r="N1192" s="17"/>
      <c r="O1192" s="17"/>
      <c r="P1192" s="17"/>
      <c r="Q1192" s="17"/>
      <c r="R1192" s="17"/>
      <c r="S1192" s="17"/>
      <c r="T1192" s="17"/>
      <c r="U1192" s="17"/>
      <c r="V1192" s="17"/>
      <c r="W1192" s="17"/>
      <c r="X1192" s="17"/>
      <c r="Y1192" s="17"/>
      <c r="Z1192" s="17"/>
      <c r="AA1192" s="17"/>
      <c r="AB1192" s="17"/>
    </row>
    <row r="1193" spans="1:28">
      <c r="A1193" s="17" t="s">
        <v>10197</v>
      </c>
      <c r="B1193" s="17" t="s">
        <v>10197</v>
      </c>
      <c r="C1193" s="17" t="s">
        <v>10198</v>
      </c>
      <c r="D1193" s="17" t="s">
        <v>21</v>
      </c>
      <c r="E1193" s="24">
        <v>2010</v>
      </c>
      <c r="F1193" s="17" t="s">
        <v>379</v>
      </c>
      <c r="G1193" s="17" t="str">
        <f>Config!$B$3</f>
        <v>SCH/R_IEC.SchLib</v>
      </c>
      <c r="H1193" s="17" t="s">
        <v>419</v>
      </c>
      <c r="I1193" s="17" t="s">
        <v>461</v>
      </c>
      <c r="J1193" s="41"/>
      <c r="K1193" s="41"/>
      <c r="L1193" s="41"/>
      <c r="M1193" s="21">
        <v>1600000</v>
      </c>
      <c r="N1193" s="17"/>
      <c r="O1193" s="17"/>
      <c r="P1193" s="17"/>
      <c r="Q1193" s="17"/>
      <c r="R1193" s="17"/>
      <c r="S1193" s="17"/>
      <c r="T1193" s="17"/>
      <c r="U1193" s="17"/>
      <c r="V1193" s="17"/>
      <c r="W1193" s="17"/>
      <c r="X1193" s="17"/>
      <c r="Y1193" s="17"/>
      <c r="Z1193" s="17"/>
      <c r="AA1193" s="17"/>
      <c r="AB1193" s="17"/>
    </row>
    <row r="1194" spans="1:28">
      <c r="A1194" s="17" t="s">
        <v>10199</v>
      </c>
      <c r="B1194" s="17" t="s">
        <v>10199</v>
      </c>
      <c r="C1194" s="17" t="s">
        <v>10200</v>
      </c>
      <c r="D1194" s="17" t="s">
        <v>21</v>
      </c>
      <c r="E1194" s="24">
        <v>2010</v>
      </c>
      <c r="F1194" s="17" t="s">
        <v>381</v>
      </c>
      <c r="G1194" s="17" t="str">
        <f>Config!$B$3</f>
        <v>SCH/R_IEC.SchLib</v>
      </c>
      <c r="H1194" s="17" t="s">
        <v>419</v>
      </c>
      <c r="I1194" s="17" t="s">
        <v>461</v>
      </c>
      <c r="J1194" s="41"/>
      <c r="K1194" s="41"/>
      <c r="L1194" s="41"/>
      <c r="M1194" s="21">
        <v>1800000</v>
      </c>
      <c r="N1194" s="17"/>
      <c r="O1194" s="17"/>
      <c r="P1194" s="17"/>
      <c r="Q1194" s="17"/>
      <c r="R1194" s="17"/>
      <c r="S1194" s="17"/>
      <c r="T1194" s="17"/>
      <c r="U1194" s="17"/>
      <c r="V1194" s="17"/>
      <c r="W1194" s="17"/>
      <c r="X1194" s="17"/>
      <c r="Y1194" s="17"/>
      <c r="Z1194" s="17"/>
      <c r="AA1194" s="17"/>
      <c r="AB1194" s="17"/>
    </row>
    <row r="1195" spans="1:28">
      <c r="A1195" s="17" t="s">
        <v>10201</v>
      </c>
      <c r="B1195" s="17" t="s">
        <v>10201</v>
      </c>
      <c r="C1195" s="17" t="s">
        <v>10202</v>
      </c>
      <c r="D1195" s="17" t="s">
        <v>21</v>
      </c>
      <c r="E1195" s="24">
        <v>2010</v>
      </c>
      <c r="F1195" s="17" t="s">
        <v>383</v>
      </c>
      <c r="G1195" s="17" t="str">
        <f>Config!$B$3</f>
        <v>SCH/R_IEC.SchLib</v>
      </c>
      <c r="H1195" s="17" t="s">
        <v>419</v>
      </c>
      <c r="I1195" s="17" t="s">
        <v>461</v>
      </c>
      <c r="J1195" s="41"/>
      <c r="K1195" s="41"/>
      <c r="L1195" s="41"/>
      <c r="M1195" s="21">
        <v>2000000</v>
      </c>
      <c r="N1195" s="17"/>
      <c r="O1195" s="17"/>
      <c r="P1195" s="17"/>
      <c r="Q1195" s="17"/>
      <c r="R1195" s="17"/>
      <c r="S1195" s="17"/>
      <c r="T1195" s="17"/>
      <c r="U1195" s="17"/>
      <c r="V1195" s="17"/>
      <c r="W1195" s="17"/>
      <c r="X1195" s="17"/>
      <c r="Y1195" s="17"/>
      <c r="Z1195" s="17"/>
      <c r="AA1195" s="17"/>
      <c r="AB1195" s="17"/>
    </row>
    <row r="1196" spans="1:28">
      <c r="A1196" s="17" t="s">
        <v>10203</v>
      </c>
      <c r="B1196" s="17" t="s">
        <v>10203</v>
      </c>
      <c r="C1196" s="17" t="s">
        <v>10204</v>
      </c>
      <c r="D1196" s="17" t="s">
        <v>21</v>
      </c>
      <c r="E1196" s="24">
        <v>2010</v>
      </c>
      <c r="F1196" s="17" t="s">
        <v>385</v>
      </c>
      <c r="G1196" s="17" t="str">
        <f>Config!$B$3</f>
        <v>SCH/R_IEC.SchLib</v>
      </c>
      <c r="H1196" s="17" t="s">
        <v>419</v>
      </c>
      <c r="I1196" s="17" t="s">
        <v>461</v>
      </c>
      <c r="J1196" s="41"/>
      <c r="K1196" s="41"/>
      <c r="L1196" s="41"/>
      <c r="M1196" s="21">
        <v>2200000</v>
      </c>
      <c r="N1196" s="17"/>
      <c r="O1196" s="17"/>
      <c r="P1196" s="17"/>
      <c r="Q1196" s="17"/>
      <c r="R1196" s="17"/>
      <c r="S1196" s="17"/>
      <c r="T1196" s="17"/>
      <c r="U1196" s="17"/>
      <c r="V1196" s="17"/>
      <c r="W1196" s="17"/>
      <c r="X1196" s="17"/>
      <c r="Y1196" s="17"/>
      <c r="Z1196" s="17"/>
      <c r="AA1196" s="17"/>
      <c r="AB1196" s="17"/>
    </row>
    <row r="1197" spans="1:28">
      <c r="A1197" s="17" t="s">
        <v>10205</v>
      </c>
      <c r="B1197" s="17" t="s">
        <v>10205</v>
      </c>
      <c r="C1197" s="17" t="s">
        <v>10206</v>
      </c>
      <c r="D1197" s="17" t="s">
        <v>21</v>
      </c>
      <c r="E1197" s="24">
        <v>2010</v>
      </c>
      <c r="F1197" s="17" t="s">
        <v>387</v>
      </c>
      <c r="G1197" s="17" t="str">
        <f>Config!$B$3</f>
        <v>SCH/R_IEC.SchLib</v>
      </c>
      <c r="H1197" s="17" t="s">
        <v>419</v>
      </c>
      <c r="I1197" s="17" t="s">
        <v>461</v>
      </c>
      <c r="J1197" s="41"/>
      <c r="K1197" s="41"/>
      <c r="L1197" s="41"/>
      <c r="M1197" s="21">
        <v>2400000</v>
      </c>
      <c r="N1197" s="17"/>
      <c r="O1197" s="17"/>
      <c r="P1197" s="17"/>
      <c r="Q1197" s="17"/>
      <c r="R1197" s="17"/>
      <c r="S1197" s="17"/>
      <c r="T1197" s="17"/>
      <c r="U1197" s="17"/>
      <c r="V1197" s="17"/>
      <c r="W1197" s="17"/>
      <c r="X1197" s="17"/>
      <c r="Y1197" s="17"/>
      <c r="Z1197" s="17"/>
      <c r="AA1197" s="17"/>
      <c r="AB1197" s="17"/>
    </row>
    <row r="1198" spans="1:28">
      <c r="A1198" s="17" t="s">
        <v>10207</v>
      </c>
      <c r="B1198" s="17" t="s">
        <v>10207</v>
      </c>
      <c r="C1198" s="17" t="s">
        <v>10208</v>
      </c>
      <c r="D1198" s="17" t="s">
        <v>21</v>
      </c>
      <c r="E1198" s="24">
        <v>2010</v>
      </c>
      <c r="F1198" s="17" t="s">
        <v>389</v>
      </c>
      <c r="G1198" s="17" t="str">
        <f>Config!$B$3</f>
        <v>SCH/R_IEC.SchLib</v>
      </c>
      <c r="H1198" s="17" t="s">
        <v>419</v>
      </c>
      <c r="I1198" s="17" t="s">
        <v>461</v>
      </c>
      <c r="J1198" s="41"/>
      <c r="K1198" s="41"/>
      <c r="L1198" s="41"/>
      <c r="M1198" s="21">
        <v>2700000</v>
      </c>
      <c r="N1198" s="17"/>
      <c r="O1198" s="17"/>
      <c r="P1198" s="17"/>
      <c r="Q1198" s="17"/>
      <c r="R1198" s="17"/>
      <c r="S1198" s="17"/>
      <c r="T1198" s="17"/>
      <c r="U1198" s="17"/>
      <c r="V1198" s="17"/>
      <c r="W1198" s="17"/>
      <c r="X1198" s="17"/>
      <c r="Y1198" s="17"/>
      <c r="Z1198" s="17"/>
      <c r="AA1198" s="17"/>
      <c r="AB1198" s="17"/>
    </row>
    <row r="1199" spans="1:28">
      <c r="A1199" s="17" t="s">
        <v>10209</v>
      </c>
      <c r="B1199" s="17" t="s">
        <v>10209</v>
      </c>
      <c r="C1199" s="17" t="s">
        <v>10210</v>
      </c>
      <c r="D1199" s="17" t="s">
        <v>21</v>
      </c>
      <c r="E1199" s="24">
        <v>2010</v>
      </c>
      <c r="F1199" s="17" t="s">
        <v>391</v>
      </c>
      <c r="G1199" s="17" t="str">
        <f>Config!$B$3</f>
        <v>SCH/R_IEC.SchLib</v>
      </c>
      <c r="H1199" s="17" t="s">
        <v>419</v>
      </c>
      <c r="I1199" s="17" t="s">
        <v>461</v>
      </c>
      <c r="J1199" s="41"/>
      <c r="K1199" s="41"/>
      <c r="L1199" s="41"/>
      <c r="M1199" s="21">
        <v>3000000</v>
      </c>
      <c r="N1199" s="17"/>
      <c r="O1199" s="17"/>
      <c r="P1199" s="17"/>
      <c r="Q1199" s="17"/>
      <c r="R1199" s="17"/>
      <c r="S1199" s="17"/>
      <c r="T1199" s="17"/>
      <c r="U1199" s="17"/>
      <c r="V1199" s="17"/>
      <c r="W1199" s="17"/>
      <c r="X1199" s="17"/>
      <c r="Y1199" s="17"/>
      <c r="Z1199" s="17"/>
      <c r="AA1199" s="17"/>
      <c r="AB1199" s="17"/>
    </row>
    <row r="1200" spans="1:28">
      <c r="A1200" s="17" t="s">
        <v>10211</v>
      </c>
      <c r="B1200" s="17" t="s">
        <v>10211</v>
      </c>
      <c r="C1200" s="17" t="s">
        <v>10212</v>
      </c>
      <c r="D1200" s="17" t="s">
        <v>21</v>
      </c>
      <c r="E1200" s="24">
        <v>2010</v>
      </c>
      <c r="F1200" s="17" t="s">
        <v>393</v>
      </c>
      <c r="G1200" s="17" t="str">
        <f>Config!$B$3</f>
        <v>SCH/R_IEC.SchLib</v>
      </c>
      <c r="H1200" s="17" t="s">
        <v>419</v>
      </c>
      <c r="I1200" s="17" t="s">
        <v>461</v>
      </c>
      <c r="J1200" s="41"/>
      <c r="K1200" s="41"/>
      <c r="L1200" s="41"/>
      <c r="M1200" s="21">
        <v>3300000</v>
      </c>
      <c r="N1200" s="17"/>
      <c r="O1200" s="17"/>
      <c r="P1200" s="17"/>
      <c r="Q1200" s="17"/>
      <c r="R1200" s="17"/>
      <c r="S1200" s="17"/>
      <c r="T1200" s="17"/>
      <c r="U1200" s="17"/>
      <c r="V1200" s="17"/>
      <c r="W1200" s="17"/>
      <c r="X1200" s="17"/>
      <c r="Y1200" s="17"/>
      <c r="Z1200" s="17"/>
      <c r="AA1200" s="17"/>
      <c r="AB1200" s="17"/>
    </row>
    <row r="1201" spans="1:28">
      <c r="A1201" s="17" t="s">
        <v>10213</v>
      </c>
      <c r="B1201" s="17" t="s">
        <v>10213</v>
      </c>
      <c r="C1201" s="17" t="s">
        <v>10214</v>
      </c>
      <c r="D1201" s="17" t="s">
        <v>21</v>
      </c>
      <c r="E1201" s="24">
        <v>2010</v>
      </c>
      <c r="F1201" s="17" t="s">
        <v>395</v>
      </c>
      <c r="G1201" s="17" t="str">
        <f>Config!$B$3</f>
        <v>SCH/R_IEC.SchLib</v>
      </c>
      <c r="H1201" s="17" t="s">
        <v>419</v>
      </c>
      <c r="I1201" s="17" t="s">
        <v>461</v>
      </c>
      <c r="J1201" s="41"/>
      <c r="K1201" s="41"/>
      <c r="L1201" s="41"/>
      <c r="M1201" s="21">
        <v>3600000</v>
      </c>
      <c r="N1201" s="17"/>
      <c r="O1201" s="17"/>
      <c r="P1201" s="17"/>
      <c r="Q1201" s="17"/>
      <c r="R1201" s="17"/>
      <c r="S1201" s="17"/>
      <c r="T1201" s="17"/>
      <c r="U1201" s="17"/>
      <c r="V1201" s="17"/>
      <c r="W1201" s="17"/>
      <c r="X1201" s="17"/>
      <c r="Y1201" s="17"/>
      <c r="Z1201" s="17"/>
      <c r="AA1201" s="17"/>
      <c r="AB1201" s="17"/>
    </row>
    <row r="1202" spans="1:28">
      <c r="A1202" s="17" t="s">
        <v>10215</v>
      </c>
      <c r="B1202" s="17" t="s">
        <v>10215</v>
      </c>
      <c r="C1202" s="17" t="s">
        <v>10216</v>
      </c>
      <c r="D1202" s="17" t="s">
        <v>21</v>
      </c>
      <c r="E1202" s="24">
        <v>2010</v>
      </c>
      <c r="F1202" s="17" t="s">
        <v>397</v>
      </c>
      <c r="G1202" s="17" t="str">
        <f>Config!$B$3</f>
        <v>SCH/R_IEC.SchLib</v>
      </c>
      <c r="H1202" s="17" t="s">
        <v>419</v>
      </c>
      <c r="I1202" s="17" t="s">
        <v>461</v>
      </c>
      <c r="J1202" s="41"/>
      <c r="K1202" s="41"/>
      <c r="L1202" s="41"/>
      <c r="M1202" s="21">
        <v>3900000</v>
      </c>
      <c r="N1202" s="17"/>
      <c r="O1202" s="17"/>
      <c r="P1202" s="17"/>
      <c r="Q1202" s="17"/>
      <c r="R1202" s="17"/>
      <c r="S1202" s="17"/>
      <c r="T1202" s="17"/>
      <c r="U1202" s="17"/>
      <c r="V1202" s="17"/>
      <c r="W1202" s="17"/>
      <c r="X1202" s="17"/>
      <c r="Y1202" s="17"/>
      <c r="Z1202" s="17"/>
      <c r="AA1202" s="17"/>
      <c r="AB1202" s="17"/>
    </row>
    <row r="1203" spans="1:28">
      <c r="A1203" s="17" t="s">
        <v>10217</v>
      </c>
      <c r="B1203" s="17" t="s">
        <v>10217</v>
      </c>
      <c r="C1203" s="17" t="s">
        <v>10218</v>
      </c>
      <c r="D1203" s="17" t="s">
        <v>21</v>
      </c>
      <c r="E1203" s="24">
        <v>2010</v>
      </c>
      <c r="F1203" s="17" t="s">
        <v>399</v>
      </c>
      <c r="G1203" s="17" t="str">
        <f>Config!$B$3</f>
        <v>SCH/R_IEC.SchLib</v>
      </c>
      <c r="H1203" s="17" t="s">
        <v>419</v>
      </c>
      <c r="I1203" s="17" t="s">
        <v>461</v>
      </c>
      <c r="J1203" s="41"/>
      <c r="K1203" s="41"/>
      <c r="L1203" s="41"/>
      <c r="M1203" s="21">
        <v>4300000</v>
      </c>
      <c r="N1203" s="17"/>
      <c r="O1203" s="17"/>
      <c r="P1203" s="17"/>
      <c r="Q1203" s="17"/>
      <c r="R1203" s="17"/>
      <c r="S1203" s="17"/>
      <c r="T1203" s="17"/>
      <c r="U1203" s="17"/>
      <c r="V1203" s="17"/>
      <c r="W1203" s="17"/>
      <c r="X1203" s="17"/>
      <c r="Y1203" s="17"/>
      <c r="Z1203" s="17"/>
      <c r="AA1203" s="17"/>
      <c r="AB1203" s="17"/>
    </row>
    <row r="1204" spans="1:28">
      <c r="A1204" s="17" t="s">
        <v>10219</v>
      </c>
      <c r="B1204" s="17" t="s">
        <v>10219</v>
      </c>
      <c r="C1204" s="17" t="s">
        <v>10220</v>
      </c>
      <c r="D1204" s="17" t="s">
        <v>21</v>
      </c>
      <c r="E1204" s="24">
        <v>2010</v>
      </c>
      <c r="F1204" s="17" t="s">
        <v>401</v>
      </c>
      <c r="G1204" s="17" t="str">
        <f>Config!$B$3</f>
        <v>SCH/R_IEC.SchLib</v>
      </c>
      <c r="H1204" s="17" t="s">
        <v>419</v>
      </c>
      <c r="I1204" s="17" t="s">
        <v>461</v>
      </c>
      <c r="J1204" s="41"/>
      <c r="K1204" s="41"/>
      <c r="L1204" s="41"/>
      <c r="M1204" s="21">
        <v>4700000</v>
      </c>
      <c r="N1204" s="17"/>
      <c r="O1204" s="17"/>
      <c r="P1204" s="17"/>
      <c r="Q1204" s="17"/>
      <c r="R1204" s="17"/>
      <c r="S1204" s="17"/>
      <c r="T1204" s="17"/>
      <c r="U1204" s="17"/>
      <c r="V1204" s="17"/>
      <c r="W1204" s="17"/>
      <c r="X1204" s="17"/>
      <c r="Y1204" s="17"/>
      <c r="Z1204" s="17"/>
      <c r="AA1204" s="17"/>
      <c r="AB1204" s="17"/>
    </row>
    <row r="1205" spans="1:28">
      <c r="A1205" s="17" t="s">
        <v>10221</v>
      </c>
      <c r="B1205" s="17" t="s">
        <v>10221</v>
      </c>
      <c r="C1205" s="17" t="s">
        <v>10222</v>
      </c>
      <c r="D1205" s="17" t="s">
        <v>21</v>
      </c>
      <c r="E1205" s="24">
        <v>2010</v>
      </c>
      <c r="F1205" s="17" t="s">
        <v>403</v>
      </c>
      <c r="G1205" s="17" t="str">
        <f>Config!$B$3</f>
        <v>SCH/R_IEC.SchLib</v>
      </c>
      <c r="H1205" s="17" t="s">
        <v>419</v>
      </c>
      <c r="I1205" s="17" t="s">
        <v>461</v>
      </c>
      <c r="J1205" s="41"/>
      <c r="K1205" s="41"/>
      <c r="L1205" s="41"/>
      <c r="M1205" s="21">
        <v>5100000</v>
      </c>
      <c r="N1205" s="17"/>
      <c r="O1205" s="17"/>
      <c r="P1205" s="17"/>
      <c r="Q1205" s="17"/>
      <c r="R1205" s="17"/>
      <c r="S1205" s="17"/>
      <c r="T1205" s="17"/>
      <c r="U1205" s="17"/>
      <c r="V1205" s="17"/>
      <c r="W1205" s="17"/>
      <c r="X1205" s="17"/>
      <c r="Y1205" s="17"/>
      <c r="Z1205" s="17"/>
      <c r="AA1205" s="17"/>
      <c r="AB1205" s="17"/>
    </row>
    <row r="1206" spans="1:28">
      <c r="A1206" s="17" t="s">
        <v>10223</v>
      </c>
      <c r="B1206" s="17" t="s">
        <v>10223</v>
      </c>
      <c r="C1206" s="17" t="s">
        <v>10224</v>
      </c>
      <c r="D1206" s="17" t="s">
        <v>21</v>
      </c>
      <c r="E1206" s="24">
        <v>2010</v>
      </c>
      <c r="F1206" s="17" t="s">
        <v>405</v>
      </c>
      <c r="G1206" s="17" t="str">
        <f>Config!$B$3</f>
        <v>SCH/R_IEC.SchLib</v>
      </c>
      <c r="H1206" s="17" t="s">
        <v>419</v>
      </c>
      <c r="I1206" s="17" t="s">
        <v>461</v>
      </c>
      <c r="J1206" s="41"/>
      <c r="K1206" s="41"/>
      <c r="L1206" s="41"/>
      <c r="M1206" s="21">
        <v>5600000</v>
      </c>
      <c r="N1206" s="17"/>
      <c r="O1206" s="17"/>
      <c r="P1206" s="17"/>
      <c r="Q1206" s="17"/>
      <c r="R1206" s="17"/>
      <c r="S1206" s="17"/>
      <c r="T1206" s="17"/>
      <c r="U1206" s="17"/>
      <c r="V1206" s="17"/>
      <c r="W1206" s="17"/>
      <c r="X1206" s="17"/>
      <c r="Y1206" s="17"/>
      <c r="Z1206" s="17"/>
      <c r="AA1206" s="17"/>
      <c r="AB1206" s="17"/>
    </row>
    <row r="1207" spans="1:28">
      <c r="A1207" s="17" t="s">
        <v>10225</v>
      </c>
      <c r="B1207" s="17" t="s">
        <v>10225</v>
      </c>
      <c r="C1207" s="17" t="s">
        <v>10226</v>
      </c>
      <c r="D1207" s="17" t="s">
        <v>21</v>
      </c>
      <c r="E1207" s="24">
        <v>2010</v>
      </c>
      <c r="F1207" s="17" t="s">
        <v>407</v>
      </c>
      <c r="G1207" s="17" t="str">
        <f>Config!$B$3</f>
        <v>SCH/R_IEC.SchLib</v>
      </c>
      <c r="H1207" s="17" t="s">
        <v>419</v>
      </c>
      <c r="I1207" s="17" t="s">
        <v>461</v>
      </c>
      <c r="J1207" s="41"/>
      <c r="K1207" s="41"/>
      <c r="L1207" s="41"/>
      <c r="M1207" s="21">
        <v>6200000</v>
      </c>
      <c r="N1207" s="17"/>
      <c r="O1207" s="17"/>
      <c r="P1207" s="17"/>
      <c r="Q1207" s="17"/>
      <c r="R1207" s="17"/>
      <c r="S1207" s="17"/>
      <c r="T1207" s="17"/>
      <c r="U1207" s="17"/>
      <c r="V1207" s="17"/>
      <c r="W1207" s="17"/>
      <c r="X1207" s="17"/>
      <c r="Y1207" s="17"/>
      <c r="Z1207" s="17"/>
      <c r="AA1207" s="17"/>
      <c r="AB1207" s="17"/>
    </row>
    <row r="1208" spans="1:28">
      <c r="A1208" s="17" t="s">
        <v>10227</v>
      </c>
      <c r="B1208" s="17" t="s">
        <v>10227</v>
      </c>
      <c r="C1208" s="17" t="s">
        <v>10228</v>
      </c>
      <c r="D1208" s="17" t="s">
        <v>21</v>
      </c>
      <c r="E1208" s="24">
        <v>2010</v>
      </c>
      <c r="F1208" s="17" t="s">
        <v>409</v>
      </c>
      <c r="G1208" s="17" t="str">
        <f>Config!$B$3</f>
        <v>SCH/R_IEC.SchLib</v>
      </c>
      <c r="H1208" s="17" t="s">
        <v>419</v>
      </c>
      <c r="I1208" s="17" t="s">
        <v>461</v>
      </c>
      <c r="J1208" s="41"/>
      <c r="K1208" s="41"/>
      <c r="L1208" s="41"/>
      <c r="M1208" s="21">
        <v>6800000</v>
      </c>
      <c r="N1208" s="17"/>
      <c r="O1208" s="17"/>
      <c r="P1208" s="17"/>
      <c r="Q1208" s="17"/>
      <c r="R1208" s="17"/>
      <c r="S1208" s="17"/>
      <c r="T1208" s="17"/>
      <c r="U1208" s="17"/>
      <c r="V1208" s="17"/>
      <c r="W1208" s="17"/>
      <c r="X1208" s="17"/>
      <c r="Y1208" s="17"/>
      <c r="Z1208" s="17"/>
      <c r="AA1208" s="17"/>
      <c r="AB1208" s="17"/>
    </row>
    <row r="1209" spans="1:28">
      <c r="A1209" s="17" t="s">
        <v>10229</v>
      </c>
      <c r="B1209" s="17" t="s">
        <v>10229</v>
      </c>
      <c r="C1209" s="17" t="s">
        <v>10230</v>
      </c>
      <c r="D1209" s="17" t="s">
        <v>21</v>
      </c>
      <c r="E1209" s="24">
        <v>2010</v>
      </c>
      <c r="F1209" s="17" t="s">
        <v>411</v>
      </c>
      <c r="G1209" s="17" t="str">
        <f>Config!$B$3</f>
        <v>SCH/R_IEC.SchLib</v>
      </c>
      <c r="H1209" s="17" t="s">
        <v>419</v>
      </c>
      <c r="I1209" s="17" t="s">
        <v>461</v>
      </c>
      <c r="J1209" s="41"/>
      <c r="K1209" s="41"/>
      <c r="L1209" s="41"/>
      <c r="M1209" s="21">
        <v>7500000</v>
      </c>
      <c r="N1209" s="17"/>
      <c r="O1209" s="17"/>
      <c r="P1209" s="17"/>
      <c r="Q1209" s="17"/>
      <c r="R1209" s="17"/>
      <c r="S1209" s="17"/>
      <c r="T1209" s="17"/>
      <c r="U1209" s="17"/>
      <c r="V1209" s="17"/>
      <c r="W1209" s="17"/>
      <c r="X1209" s="17"/>
      <c r="Y1209" s="17"/>
      <c r="Z1209" s="17"/>
      <c r="AA1209" s="17"/>
      <c r="AB1209" s="17"/>
    </row>
    <row r="1210" spans="1:28">
      <c r="A1210" s="17" t="s">
        <v>10231</v>
      </c>
      <c r="B1210" s="17" t="s">
        <v>10231</v>
      </c>
      <c r="C1210" s="17" t="s">
        <v>10232</v>
      </c>
      <c r="D1210" s="17" t="s">
        <v>21</v>
      </c>
      <c r="E1210" s="24">
        <v>2010</v>
      </c>
      <c r="F1210" s="17" t="s">
        <v>413</v>
      </c>
      <c r="G1210" s="17" t="str">
        <f>Config!$B$3</f>
        <v>SCH/R_IEC.SchLib</v>
      </c>
      <c r="H1210" s="17" t="s">
        <v>419</v>
      </c>
      <c r="I1210" s="17" t="s">
        <v>461</v>
      </c>
      <c r="J1210" s="41"/>
      <c r="K1210" s="41"/>
      <c r="L1210" s="41"/>
      <c r="M1210" s="21">
        <v>8200000</v>
      </c>
      <c r="N1210" s="17"/>
      <c r="O1210" s="17"/>
      <c r="P1210" s="17"/>
      <c r="Q1210" s="17"/>
      <c r="R1210" s="17"/>
      <c r="S1210" s="17"/>
      <c r="T1210" s="17"/>
      <c r="U1210" s="17"/>
      <c r="V1210" s="17"/>
      <c r="W1210" s="17"/>
      <c r="X1210" s="17"/>
      <c r="Y1210" s="17"/>
      <c r="Z1210" s="17"/>
      <c r="AA1210" s="17"/>
      <c r="AB1210" s="17"/>
    </row>
    <row r="1211" spans="1:28">
      <c r="A1211" s="17" t="s">
        <v>10233</v>
      </c>
      <c r="B1211" s="17" t="s">
        <v>10233</v>
      </c>
      <c r="C1211" s="17" t="s">
        <v>10234</v>
      </c>
      <c r="D1211" s="17" t="s">
        <v>21</v>
      </c>
      <c r="E1211" s="24">
        <v>2010</v>
      </c>
      <c r="F1211" s="17" t="s">
        <v>415</v>
      </c>
      <c r="G1211" s="17" t="str">
        <f>Config!$B$3</f>
        <v>SCH/R_IEC.SchLib</v>
      </c>
      <c r="H1211" s="17" t="s">
        <v>419</v>
      </c>
      <c r="I1211" s="17" t="s">
        <v>461</v>
      </c>
      <c r="J1211" s="41"/>
      <c r="K1211" s="41"/>
      <c r="L1211" s="41"/>
      <c r="M1211" s="21">
        <v>9100000</v>
      </c>
      <c r="N1211" s="17"/>
      <c r="O1211" s="17"/>
      <c r="P1211" s="17"/>
      <c r="Q1211" s="17"/>
      <c r="R1211" s="17"/>
      <c r="S1211" s="17"/>
      <c r="T1211" s="17"/>
      <c r="U1211" s="17"/>
      <c r="V1211" s="17"/>
      <c r="W1211" s="17"/>
      <c r="X1211" s="17"/>
      <c r="Y1211" s="17"/>
      <c r="Z1211" s="17"/>
      <c r="AA1211" s="17"/>
      <c r="AB1211" s="17"/>
    </row>
    <row r="1212" spans="1:28">
      <c r="A1212" s="17" t="s">
        <v>10235</v>
      </c>
      <c r="B1212" s="17" t="s">
        <v>10235</v>
      </c>
      <c r="C1212" s="17" t="s">
        <v>10236</v>
      </c>
      <c r="D1212" s="17" t="s">
        <v>21</v>
      </c>
      <c r="E1212" s="24">
        <v>2010</v>
      </c>
      <c r="F1212" s="17" t="s">
        <v>417</v>
      </c>
      <c r="G1212" s="17" t="str">
        <f>Config!$B$3</f>
        <v>SCH/R_IEC.SchLib</v>
      </c>
      <c r="H1212" s="17" t="s">
        <v>419</v>
      </c>
      <c r="I1212" s="17" t="s">
        <v>461</v>
      </c>
      <c r="J1212" s="41"/>
      <c r="K1212" s="41"/>
      <c r="L1212" s="41"/>
      <c r="M1212" s="21">
        <v>10000000</v>
      </c>
      <c r="N1212" s="17"/>
      <c r="O1212" s="17"/>
      <c r="P1212" s="17"/>
      <c r="Q1212" s="17"/>
      <c r="R1212" s="17"/>
      <c r="S1212" s="17"/>
      <c r="T1212" s="17"/>
      <c r="U1212" s="17"/>
      <c r="V1212" s="17"/>
      <c r="W1212" s="17"/>
      <c r="X1212" s="17"/>
      <c r="Y1212" s="17"/>
      <c r="Z1212" s="17"/>
      <c r="AA1212" s="17"/>
      <c r="AB1212" s="17"/>
    </row>
    <row r="1213" spans="1:28">
      <c r="A1213" s="16" t="s">
        <v>9559</v>
      </c>
      <c r="B1213" s="16" t="s">
        <v>9559</v>
      </c>
      <c r="C1213" s="16" t="s">
        <v>9560</v>
      </c>
      <c r="D1213" s="16" t="s">
        <v>21</v>
      </c>
      <c r="E1213" s="16">
        <v>2512</v>
      </c>
      <c r="F1213" s="16" t="s">
        <v>23</v>
      </c>
      <c r="G1213" s="17" t="str">
        <f>Config!$B$3</f>
        <v>SCH/R_IEC.SchLib</v>
      </c>
      <c r="H1213" s="16" t="s">
        <v>419</v>
      </c>
      <c r="I1213" s="18" t="s">
        <v>461</v>
      </c>
      <c r="J1213" s="17" t="s">
        <v>7467</v>
      </c>
      <c r="K1213" s="17"/>
      <c r="L1213" s="17"/>
      <c r="M1213" s="19">
        <v>0</v>
      </c>
      <c r="N1213" s="17"/>
      <c r="O1213" s="16"/>
      <c r="P1213" s="17"/>
      <c r="Q1213" s="16"/>
      <c r="R1213" s="17"/>
      <c r="S1213" s="16"/>
      <c r="T1213" s="17"/>
      <c r="U1213" s="16"/>
      <c r="V1213" s="16"/>
      <c r="W1213" s="17"/>
      <c r="X1213" s="17"/>
      <c r="Y1213" s="16"/>
      <c r="Z1213" s="17"/>
      <c r="AA1213" s="17"/>
      <c r="AB1213" s="17"/>
    </row>
    <row r="1214" spans="1:28">
      <c r="A1214" s="17" t="s">
        <v>9561</v>
      </c>
      <c r="B1214" s="17" t="s">
        <v>9561</v>
      </c>
      <c r="C1214" s="17" t="s">
        <v>9562</v>
      </c>
      <c r="D1214" s="17" t="s">
        <v>21</v>
      </c>
      <c r="E1214" s="24">
        <v>2512</v>
      </c>
      <c r="F1214" s="17" t="s">
        <v>29</v>
      </c>
      <c r="G1214" s="17" t="str">
        <f>Config!$B$3</f>
        <v>SCH/R_IEC.SchLib</v>
      </c>
      <c r="H1214" s="17" t="s">
        <v>419</v>
      </c>
      <c r="I1214" s="17" t="s">
        <v>461</v>
      </c>
      <c r="J1214" s="17" t="s">
        <v>7467</v>
      </c>
      <c r="K1214" s="17"/>
      <c r="L1214" s="17"/>
      <c r="M1214" s="17">
        <v>1</v>
      </c>
      <c r="N1214" s="17"/>
      <c r="O1214" s="17"/>
      <c r="P1214" s="17"/>
      <c r="Q1214" s="17"/>
      <c r="R1214" s="17"/>
      <c r="S1214" s="17"/>
      <c r="T1214" s="17"/>
      <c r="U1214" s="17"/>
      <c r="V1214" s="17"/>
      <c r="W1214" s="17"/>
      <c r="X1214" s="17"/>
      <c r="Y1214" s="17"/>
      <c r="Z1214" s="17"/>
      <c r="AA1214" s="17"/>
      <c r="AB1214" s="17"/>
    </row>
    <row r="1215" spans="1:28">
      <c r="A1215" s="17" t="s">
        <v>9563</v>
      </c>
      <c r="B1215" s="17" t="s">
        <v>9563</v>
      </c>
      <c r="C1215" s="17" t="s">
        <v>9564</v>
      </c>
      <c r="D1215" s="17" t="s">
        <v>21</v>
      </c>
      <c r="E1215" s="24">
        <v>2512</v>
      </c>
      <c r="F1215" s="17" t="s">
        <v>1042</v>
      </c>
      <c r="G1215" s="17" t="str">
        <f>Config!$B$3</f>
        <v>SCH/R_IEC.SchLib</v>
      </c>
      <c r="H1215" s="17" t="s">
        <v>419</v>
      </c>
      <c r="I1215" s="17" t="s">
        <v>461</v>
      </c>
      <c r="J1215" s="17" t="s">
        <v>7467</v>
      </c>
      <c r="K1215" s="17"/>
      <c r="L1215" s="17"/>
      <c r="M1215" s="17">
        <v>1.1000000000000001</v>
      </c>
      <c r="N1215" s="17"/>
      <c r="O1215" s="17"/>
      <c r="P1215" s="17"/>
      <c r="Q1215" s="17"/>
      <c r="R1215" s="17"/>
      <c r="S1215" s="17"/>
      <c r="T1215" s="17"/>
      <c r="U1215" s="17"/>
      <c r="V1215" s="17"/>
      <c r="W1215" s="17"/>
      <c r="X1215" s="17"/>
      <c r="Y1215" s="17"/>
      <c r="Z1215" s="17"/>
      <c r="AA1215" s="17"/>
      <c r="AB1215" s="17"/>
    </row>
    <row r="1216" spans="1:28">
      <c r="A1216" s="17" t="s">
        <v>9565</v>
      </c>
      <c r="B1216" s="17" t="s">
        <v>9565</v>
      </c>
      <c r="C1216" s="17" t="s">
        <v>9566</v>
      </c>
      <c r="D1216" s="17" t="s">
        <v>21</v>
      </c>
      <c r="E1216" s="24">
        <v>2512</v>
      </c>
      <c r="F1216" s="17" t="s">
        <v>31</v>
      </c>
      <c r="G1216" s="17" t="str">
        <f>Config!$B$3</f>
        <v>SCH/R_IEC.SchLib</v>
      </c>
      <c r="H1216" s="17" t="s">
        <v>419</v>
      </c>
      <c r="I1216" s="17" t="s">
        <v>461</v>
      </c>
      <c r="J1216" s="17" t="s">
        <v>7467</v>
      </c>
      <c r="K1216" s="17"/>
      <c r="L1216" s="17"/>
      <c r="M1216" s="17">
        <v>1.2</v>
      </c>
      <c r="N1216" s="17"/>
      <c r="O1216" s="17"/>
      <c r="P1216" s="17"/>
      <c r="Q1216" s="17"/>
      <c r="R1216" s="17"/>
      <c r="S1216" s="17"/>
      <c r="T1216" s="17"/>
      <c r="U1216" s="17"/>
      <c r="V1216" s="17"/>
      <c r="W1216" s="17"/>
      <c r="X1216" s="17"/>
      <c r="Y1216" s="17"/>
      <c r="Z1216" s="17"/>
      <c r="AA1216" s="17"/>
      <c r="AB1216" s="17"/>
    </row>
    <row r="1217" spans="1:28">
      <c r="A1217" s="17" t="s">
        <v>9567</v>
      </c>
      <c r="B1217" s="17" t="s">
        <v>9567</v>
      </c>
      <c r="C1217" s="17" t="s">
        <v>9568</v>
      </c>
      <c r="D1217" s="17" t="s">
        <v>21</v>
      </c>
      <c r="E1217" s="24">
        <v>2512</v>
      </c>
      <c r="F1217" s="17" t="s">
        <v>1052</v>
      </c>
      <c r="G1217" s="17" t="str">
        <f>Config!$B$3</f>
        <v>SCH/R_IEC.SchLib</v>
      </c>
      <c r="H1217" s="17" t="s">
        <v>419</v>
      </c>
      <c r="I1217" s="17" t="s">
        <v>461</v>
      </c>
      <c r="J1217" s="17" t="s">
        <v>7467</v>
      </c>
      <c r="K1217" s="17"/>
      <c r="L1217" s="17"/>
      <c r="M1217" s="17">
        <v>1.3</v>
      </c>
      <c r="N1217" s="17"/>
      <c r="O1217" s="17"/>
      <c r="P1217" s="17"/>
      <c r="Q1217" s="17"/>
      <c r="R1217" s="17"/>
      <c r="S1217" s="17"/>
      <c r="T1217" s="17"/>
      <c r="U1217" s="17"/>
      <c r="V1217" s="17"/>
      <c r="W1217" s="17"/>
      <c r="X1217" s="17"/>
      <c r="Y1217" s="17"/>
      <c r="Z1217" s="17"/>
      <c r="AA1217" s="17"/>
      <c r="AB1217" s="17"/>
    </row>
    <row r="1218" spans="1:28">
      <c r="A1218" s="17" t="s">
        <v>9569</v>
      </c>
      <c r="B1218" s="17" t="s">
        <v>9569</v>
      </c>
      <c r="C1218" s="17" t="s">
        <v>9570</v>
      </c>
      <c r="D1218" s="17" t="s">
        <v>21</v>
      </c>
      <c r="E1218" s="24">
        <v>2512</v>
      </c>
      <c r="F1218" s="17" t="s">
        <v>33</v>
      </c>
      <c r="G1218" s="17" t="str">
        <f>Config!$B$3</f>
        <v>SCH/R_IEC.SchLib</v>
      </c>
      <c r="H1218" s="17" t="s">
        <v>419</v>
      </c>
      <c r="I1218" s="17" t="s">
        <v>461</v>
      </c>
      <c r="J1218" s="17" t="s">
        <v>7467</v>
      </c>
      <c r="K1218" s="17"/>
      <c r="L1218" s="17"/>
      <c r="M1218" s="17">
        <v>1.5</v>
      </c>
      <c r="N1218" s="17"/>
      <c r="O1218" s="17"/>
      <c r="P1218" s="17"/>
      <c r="Q1218" s="17"/>
      <c r="R1218" s="17"/>
      <c r="S1218" s="17"/>
      <c r="T1218" s="17"/>
      <c r="U1218" s="17"/>
      <c r="V1218" s="17"/>
      <c r="W1218" s="17"/>
      <c r="X1218" s="17"/>
      <c r="Y1218" s="17"/>
      <c r="Z1218" s="17"/>
      <c r="AA1218" s="17"/>
      <c r="AB1218" s="17"/>
    </row>
    <row r="1219" spans="1:28">
      <c r="A1219" s="17" t="s">
        <v>9571</v>
      </c>
      <c r="B1219" s="17" t="s">
        <v>9571</v>
      </c>
      <c r="C1219" s="17" t="s">
        <v>9572</v>
      </c>
      <c r="D1219" s="17" t="s">
        <v>21</v>
      </c>
      <c r="E1219" s="24">
        <v>2512</v>
      </c>
      <c r="F1219" s="17" t="s">
        <v>1062</v>
      </c>
      <c r="G1219" s="17" t="str">
        <f>Config!$B$3</f>
        <v>SCH/R_IEC.SchLib</v>
      </c>
      <c r="H1219" s="17" t="s">
        <v>419</v>
      </c>
      <c r="I1219" s="17" t="s">
        <v>461</v>
      </c>
      <c r="J1219" s="17" t="s">
        <v>7467</v>
      </c>
      <c r="K1219" s="17"/>
      <c r="L1219" s="17"/>
      <c r="M1219" s="17">
        <v>1.6</v>
      </c>
      <c r="N1219" s="17"/>
      <c r="O1219" s="17"/>
      <c r="P1219" s="17"/>
      <c r="Q1219" s="17"/>
      <c r="R1219" s="17"/>
      <c r="S1219" s="17"/>
      <c r="T1219" s="17"/>
      <c r="U1219" s="17"/>
      <c r="V1219" s="17"/>
      <c r="W1219" s="17"/>
      <c r="X1219" s="17"/>
      <c r="Y1219" s="17"/>
      <c r="Z1219" s="17"/>
      <c r="AA1219" s="17"/>
      <c r="AB1219" s="17"/>
    </row>
    <row r="1220" spans="1:28">
      <c r="A1220" s="17" t="s">
        <v>9573</v>
      </c>
      <c r="B1220" s="17" t="s">
        <v>9573</v>
      </c>
      <c r="C1220" s="17" t="s">
        <v>9574</v>
      </c>
      <c r="D1220" s="17" t="s">
        <v>21</v>
      </c>
      <c r="E1220" s="24">
        <v>2512</v>
      </c>
      <c r="F1220" s="17" t="s">
        <v>35</v>
      </c>
      <c r="G1220" s="17" t="str">
        <f>Config!$B$3</f>
        <v>SCH/R_IEC.SchLib</v>
      </c>
      <c r="H1220" s="17" t="s">
        <v>419</v>
      </c>
      <c r="I1220" s="17" t="s">
        <v>461</v>
      </c>
      <c r="J1220" s="17" t="s">
        <v>7467</v>
      </c>
      <c r="K1220" s="17"/>
      <c r="L1220" s="17"/>
      <c r="M1220" s="17">
        <v>1.8</v>
      </c>
      <c r="N1220" s="17"/>
      <c r="O1220" s="17"/>
      <c r="P1220" s="17"/>
      <c r="Q1220" s="17"/>
      <c r="R1220" s="17"/>
      <c r="S1220" s="17"/>
      <c r="T1220" s="17"/>
      <c r="U1220" s="17"/>
      <c r="V1220" s="17"/>
      <c r="W1220" s="17"/>
      <c r="X1220" s="17"/>
      <c r="Y1220" s="17"/>
      <c r="Z1220" s="17"/>
      <c r="AA1220" s="17"/>
      <c r="AB1220" s="17"/>
    </row>
    <row r="1221" spans="1:28">
      <c r="A1221" s="17" t="s">
        <v>9575</v>
      </c>
      <c r="B1221" s="17" t="s">
        <v>9575</v>
      </c>
      <c r="C1221" s="17" t="s">
        <v>9576</v>
      </c>
      <c r="D1221" s="17" t="s">
        <v>21</v>
      </c>
      <c r="E1221" s="24">
        <v>2512</v>
      </c>
      <c r="F1221" s="17" t="s">
        <v>1070</v>
      </c>
      <c r="G1221" s="17" t="str">
        <f>Config!$B$3</f>
        <v>SCH/R_IEC.SchLib</v>
      </c>
      <c r="H1221" s="17" t="s">
        <v>419</v>
      </c>
      <c r="I1221" s="17" t="s">
        <v>461</v>
      </c>
      <c r="J1221" s="17" t="s">
        <v>7467</v>
      </c>
      <c r="K1221" s="17"/>
      <c r="L1221" s="17"/>
      <c r="M1221" s="17">
        <v>2</v>
      </c>
      <c r="N1221" s="17"/>
      <c r="O1221" s="17"/>
      <c r="P1221" s="17"/>
      <c r="Q1221" s="17"/>
      <c r="R1221" s="17"/>
      <c r="S1221" s="17"/>
      <c r="T1221" s="17"/>
      <c r="U1221" s="17"/>
      <c r="V1221" s="17"/>
      <c r="W1221" s="17"/>
      <c r="X1221" s="17"/>
      <c r="Y1221" s="17"/>
      <c r="Z1221" s="17"/>
      <c r="AA1221" s="17"/>
      <c r="AB1221" s="17"/>
    </row>
    <row r="1222" spans="1:28">
      <c r="A1222" s="17" t="s">
        <v>9577</v>
      </c>
      <c r="B1222" s="17" t="s">
        <v>9577</v>
      </c>
      <c r="C1222" s="17" t="s">
        <v>9578</v>
      </c>
      <c r="D1222" s="17" t="s">
        <v>21</v>
      </c>
      <c r="E1222" s="24">
        <v>2512</v>
      </c>
      <c r="F1222" s="17" t="s">
        <v>37</v>
      </c>
      <c r="G1222" s="17" t="str">
        <f>Config!$B$3</f>
        <v>SCH/R_IEC.SchLib</v>
      </c>
      <c r="H1222" s="17" t="s">
        <v>419</v>
      </c>
      <c r="I1222" s="17" t="s">
        <v>461</v>
      </c>
      <c r="J1222" s="17" t="s">
        <v>7467</v>
      </c>
      <c r="K1222" s="17"/>
      <c r="L1222" s="17"/>
      <c r="M1222" s="17">
        <v>2.2000000000000002</v>
      </c>
      <c r="N1222" s="17"/>
      <c r="O1222" s="17"/>
      <c r="P1222" s="17"/>
      <c r="Q1222" s="17"/>
      <c r="R1222" s="17"/>
      <c r="S1222" s="17"/>
      <c r="T1222" s="17"/>
      <c r="U1222" s="17"/>
      <c r="V1222" s="17"/>
      <c r="W1222" s="17"/>
      <c r="X1222" s="17"/>
      <c r="Y1222" s="17"/>
      <c r="Z1222" s="17"/>
      <c r="AA1222" s="17"/>
      <c r="AB1222" s="17"/>
    </row>
    <row r="1223" spans="1:28">
      <c r="A1223" s="17" t="s">
        <v>9579</v>
      </c>
      <c r="B1223" s="17" t="s">
        <v>9579</v>
      </c>
      <c r="C1223" s="17" t="s">
        <v>9580</v>
      </c>
      <c r="D1223" s="17" t="s">
        <v>21</v>
      </c>
      <c r="E1223" s="24">
        <v>2512</v>
      </c>
      <c r="F1223" s="17" t="s">
        <v>1080</v>
      </c>
      <c r="G1223" s="17" t="str">
        <f>Config!$B$3</f>
        <v>SCH/R_IEC.SchLib</v>
      </c>
      <c r="H1223" s="17" t="s">
        <v>419</v>
      </c>
      <c r="I1223" s="17" t="s">
        <v>461</v>
      </c>
      <c r="J1223" s="17" t="s">
        <v>7467</v>
      </c>
      <c r="K1223" s="17"/>
      <c r="L1223" s="17"/>
      <c r="M1223" s="17">
        <v>2.4</v>
      </c>
      <c r="N1223" s="17"/>
      <c r="O1223" s="17"/>
      <c r="P1223" s="17"/>
      <c r="Q1223" s="17"/>
      <c r="R1223" s="17"/>
      <c r="S1223" s="17"/>
      <c r="T1223" s="17"/>
      <c r="U1223" s="17"/>
      <c r="V1223" s="17"/>
      <c r="W1223" s="17"/>
      <c r="X1223" s="17"/>
      <c r="Y1223" s="17"/>
      <c r="Z1223" s="17"/>
      <c r="AA1223" s="17"/>
      <c r="AB1223" s="17"/>
    </row>
    <row r="1224" spans="1:28">
      <c r="A1224" s="17" t="s">
        <v>9581</v>
      </c>
      <c r="B1224" s="17" t="s">
        <v>9581</v>
      </c>
      <c r="C1224" s="17" t="s">
        <v>9582</v>
      </c>
      <c r="D1224" s="17" t="s">
        <v>21</v>
      </c>
      <c r="E1224" s="24">
        <v>2512</v>
      </c>
      <c r="F1224" s="17" t="s">
        <v>39</v>
      </c>
      <c r="G1224" s="17" t="str">
        <f>Config!$B$3</f>
        <v>SCH/R_IEC.SchLib</v>
      </c>
      <c r="H1224" s="17" t="s">
        <v>419</v>
      </c>
      <c r="I1224" s="17" t="s">
        <v>461</v>
      </c>
      <c r="J1224" s="17" t="s">
        <v>7467</v>
      </c>
      <c r="K1224" s="17"/>
      <c r="L1224" s="17"/>
      <c r="M1224" s="17">
        <v>2.7</v>
      </c>
      <c r="N1224" s="17"/>
      <c r="O1224" s="17"/>
      <c r="P1224" s="17"/>
      <c r="Q1224" s="17"/>
      <c r="R1224" s="17"/>
      <c r="S1224" s="17"/>
      <c r="T1224" s="17"/>
      <c r="U1224" s="17"/>
      <c r="V1224" s="17"/>
      <c r="W1224" s="17"/>
      <c r="X1224" s="17"/>
      <c r="Y1224" s="17"/>
      <c r="Z1224" s="17"/>
      <c r="AA1224" s="17"/>
      <c r="AB1224" s="17"/>
    </row>
    <row r="1225" spans="1:28">
      <c r="A1225" s="17" t="s">
        <v>9583</v>
      </c>
      <c r="B1225" s="17" t="s">
        <v>9583</v>
      </c>
      <c r="C1225" s="17" t="s">
        <v>9584</v>
      </c>
      <c r="D1225" s="17" t="s">
        <v>21</v>
      </c>
      <c r="E1225" s="24">
        <v>2512</v>
      </c>
      <c r="F1225" s="17" t="s">
        <v>1088</v>
      </c>
      <c r="G1225" s="17" t="str">
        <f>Config!$B$3</f>
        <v>SCH/R_IEC.SchLib</v>
      </c>
      <c r="H1225" s="17" t="s">
        <v>419</v>
      </c>
      <c r="I1225" s="17" t="s">
        <v>461</v>
      </c>
      <c r="J1225" s="17" t="s">
        <v>7467</v>
      </c>
      <c r="K1225" s="17"/>
      <c r="L1225" s="17"/>
      <c r="M1225" s="17">
        <v>3</v>
      </c>
      <c r="N1225" s="17"/>
      <c r="O1225" s="17"/>
      <c r="P1225" s="17"/>
      <c r="Q1225" s="17"/>
      <c r="R1225" s="17"/>
      <c r="S1225" s="17"/>
      <c r="T1225" s="17"/>
      <c r="U1225" s="17"/>
      <c r="V1225" s="17"/>
      <c r="W1225" s="17"/>
      <c r="X1225" s="17"/>
      <c r="Y1225" s="17"/>
      <c r="Z1225" s="17"/>
      <c r="AA1225" s="17"/>
      <c r="AB1225" s="17"/>
    </row>
    <row r="1226" spans="1:28">
      <c r="A1226" s="17" t="s">
        <v>9585</v>
      </c>
      <c r="B1226" s="17" t="s">
        <v>9585</v>
      </c>
      <c r="C1226" s="17" t="s">
        <v>9586</v>
      </c>
      <c r="D1226" s="17" t="s">
        <v>21</v>
      </c>
      <c r="E1226" s="24">
        <v>2512</v>
      </c>
      <c r="F1226" s="17" t="s">
        <v>41</v>
      </c>
      <c r="G1226" s="17" t="str">
        <f>Config!$B$3</f>
        <v>SCH/R_IEC.SchLib</v>
      </c>
      <c r="H1226" s="17" t="s">
        <v>419</v>
      </c>
      <c r="I1226" s="17" t="s">
        <v>461</v>
      </c>
      <c r="J1226" s="17" t="s">
        <v>7467</v>
      </c>
      <c r="K1226" s="17"/>
      <c r="L1226" s="17"/>
      <c r="M1226" s="17">
        <v>3.3</v>
      </c>
      <c r="N1226" s="17"/>
      <c r="O1226" s="17"/>
      <c r="P1226" s="17"/>
      <c r="Q1226" s="17"/>
      <c r="R1226" s="17"/>
      <c r="S1226" s="17"/>
      <c r="T1226" s="17"/>
      <c r="U1226" s="17"/>
      <c r="V1226" s="17"/>
      <c r="W1226" s="17"/>
      <c r="X1226" s="17"/>
      <c r="Y1226" s="17"/>
      <c r="Z1226" s="17"/>
      <c r="AA1226" s="17"/>
      <c r="AB1226" s="17"/>
    </row>
    <row r="1227" spans="1:28">
      <c r="A1227" s="17" t="s">
        <v>9587</v>
      </c>
      <c r="B1227" s="17" t="s">
        <v>9587</v>
      </c>
      <c r="C1227" s="17" t="s">
        <v>9588</v>
      </c>
      <c r="D1227" s="17" t="s">
        <v>21</v>
      </c>
      <c r="E1227" s="24">
        <v>2512</v>
      </c>
      <c r="F1227" s="17" t="s">
        <v>1098</v>
      </c>
      <c r="G1227" s="17" t="str">
        <f>Config!$B$3</f>
        <v>SCH/R_IEC.SchLib</v>
      </c>
      <c r="H1227" s="17" t="s">
        <v>419</v>
      </c>
      <c r="I1227" s="17" t="s">
        <v>461</v>
      </c>
      <c r="J1227" s="17" t="s">
        <v>7467</v>
      </c>
      <c r="K1227" s="17"/>
      <c r="L1227" s="17"/>
      <c r="M1227" s="17">
        <v>3.6</v>
      </c>
      <c r="N1227" s="17"/>
      <c r="O1227" s="17"/>
      <c r="P1227" s="17"/>
      <c r="Q1227" s="17"/>
      <c r="R1227" s="17"/>
      <c r="S1227" s="17"/>
      <c r="T1227" s="17"/>
      <c r="U1227" s="17"/>
      <c r="V1227" s="17"/>
      <c r="W1227" s="17"/>
      <c r="X1227" s="17"/>
      <c r="Y1227" s="17"/>
      <c r="Z1227" s="17"/>
      <c r="AA1227" s="17"/>
      <c r="AB1227" s="17"/>
    </row>
    <row r="1228" spans="1:28">
      <c r="A1228" s="17" t="s">
        <v>9589</v>
      </c>
      <c r="B1228" s="17" t="s">
        <v>9589</v>
      </c>
      <c r="C1228" s="17" t="s">
        <v>9590</v>
      </c>
      <c r="D1228" s="17" t="s">
        <v>21</v>
      </c>
      <c r="E1228" s="24">
        <v>2512</v>
      </c>
      <c r="F1228" s="17" t="s">
        <v>43</v>
      </c>
      <c r="G1228" s="17" t="str">
        <f>Config!$B$3</f>
        <v>SCH/R_IEC.SchLib</v>
      </c>
      <c r="H1228" s="17" t="s">
        <v>419</v>
      </c>
      <c r="I1228" s="17" t="s">
        <v>461</v>
      </c>
      <c r="J1228" s="17" t="s">
        <v>7467</v>
      </c>
      <c r="K1228" s="17"/>
      <c r="L1228" s="17"/>
      <c r="M1228" s="17">
        <v>3.9</v>
      </c>
      <c r="N1228" s="17"/>
      <c r="O1228" s="17"/>
      <c r="P1228" s="17"/>
      <c r="Q1228" s="17"/>
      <c r="R1228" s="17"/>
      <c r="S1228" s="17"/>
      <c r="T1228" s="17"/>
      <c r="U1228" s="17"/>
      <c r="V1228" s="17"/>
      <c r="W1228" s="17"/>
      <c r="X1228" s="17"/>
      <c r="Y1228" s="17"/>
      <c r="Z1228" s="17"/>
      <c r="AA1228" s="17"/>
      <c r="AB1228" s="17"/>
    </row>
    <row r="1229" spans="1:28">
      <c r="A1229" s="17" t="s">
        <v>9591</v>
      </c>
      <c r="B1229" s="17" t="s">
        <v>9591</v>
      </c>
      <c r="C1229" s="17" t="s">
        <v>9592</v>
      </c>
      <c r="D1229" s="17" t="s">
        <v>21</v>
      </c>
      <c r="E1229" s="24">
        <v>2512</v>
      </c>
      <c r="F1229" s="17" t="s">
        <v>1106</v>
      </c>
      <c r="G1229" s="17" t="str">
        <f>Config!$B$3</f>
        <v>SCH/R_IEC.SchLib</v>
      </c>
      <c r="H1229" s="17" t="s">
        <v>419</v>
      </c>
      <c r="I1229" s="17" t="s">
        <v>461</v>
      </c>
      <c r="J1229" s="17" t="s">
        <v>7467</v>
      </c>
      <c r="K1229" s="17"/>
      <c r="L1229" s="17"/>
      <c r="M1229" s="17">
        <v>4.3</v>
      </c>
      <c r="N1229" s="17"/>
      <c r="O1229" s="17"/>
      <c r="P1229" s="17"/>
      <c r="Q1229" s="17"/>
      <c r="R1229" s="17"/>
      <c r="S1229" s="17"/>
      <c r="T1229" s="17"/>
      <c r="U1229" s="17"/>
      <c r="V1229" s="17"/>
      <c r="W1229" s="17"/>
      <c r="X1229" s="17"/>
      <c r="Y1229" s="17"/>
      <c r="Z1229" s="17"/>
      <c r="AA1229" s="17"/>
      <c r="AB1229" s="17"/>
    </row>
    <row r="1230" spans="1:28">
      <c r="A1230" s="17" t="s">
        <v>9593</v>
      </c>
      <c r="B1230" s="17" t="s">
        <v>9593</v>
      </c>
      <c r="C1230" s="17" t="s">
        <v>9594</v>
      </c>
      <c r="D1230" s="17" t="s">
        <v>21</v>
      </c>
      <c r="E1230" s="24">
        <v>2512</v>
      </c>
      <c r="F1230" s="17" t="s">
        <v>45</v>
      </c>
      <c r="G1230" s="17" t="str">
        <f>Config!$B$3</f>
        <v>SCH/R_IEC.SchLib</v>
      </c>
      <c r="H1230" s="17" t="s">
        <v>419</v>
      </c>
      <c r="I1230" s="17" t="s">
        <v>461</v>
      </c>
      <c r="J1230" s="17" t="s">
        <v>7467</v>
      </c>
      <c r="K1230" s="17"/>
      <c r="L1230" s="17"/>
      <c r="M1230" s="17">
        <v>4.7</v>
      </c>
      <c r="N1230" s="17"/>
      <c r="O1230" s="17"/>
      <c r="P1230" s="17"/>
      <c r="Q1230" s="17"/>
      <c r="R1230" s="17"/>
      <c r="S1230" s="17"/>
      <c r="T1230" s="17"/>
      <c r="U1230" s="17"/>
      <c r="V1230" s="17"/>
      <c r="W1230" s="17"/>
      <c r="X1230" s="17"/>
      <c r="Y1230" s="17"/>
      <c r="Z1230" s="17"/>
      <c r="AA1230" s="17"/>
      <c r="AB1230" s="17"/>
    </row>
    <row r="1231" spans="1:28">
      <c r="A1231" s="17" t="s">
        <v>9595</v>
      </c>
      <c r="B1231" s="17" t="s">
        <v>9595</v>
      </c>
      <c r="C1231" s="17" t="s">
        <v>9596</v>
      </c>
      <c r="D1231" s="17" t="s">
        <v>21</v>
      </c>
      <c r="E1231" s="24">
        <v>2512</v>
      </c>
      <c r="F1231" s="17" t="s">
        <v>1116</v>
      </c>
      <c r="G1231" s="17" t="str">
        <f>Config!$B$3</f>
        <v>SCH/R_IEC.SchLib</v>
      </c>
      <c r="H1231" s="17" t="s">
        <v>419</v>
      </c>
      <c r="I1231" s="17" t="s">
        <v>461</v>
      </c>
      <c r="J1231" s="17" t="s">
        <v>7467</v>
      </c>
      <c r="K1231" s="17"/>
      <c r="L1231" s="17"/>
      <c r="M1231" s="17">
        <v>5.0999999999999996</v>
      </c>
      <c r="N1231" s="17"/>
      <c r="O1231" s="17"/>
      <c r="P1231" s="17"/>
      <c r="Q1231" s="17"/>
      <c r="R1231" s="17"/>
      <c r="S1231" s="17"/>
      <c r="T1231" s="17"/>
      <c r="U1231" s="17"/>
      <c r="V1231" s="17"/>
      <c r="W1231" s="17"/>
      <c r="X1231" s="17"/>
      <c r="Y1231" s="17"/>
      <c r="Z1231" s="17"/>
      <c r="AA1231" s="17"/>
      <c r="AB1231" s="17"/>
    </row>
    <row r="1232" spans="1:28">
      <c r="A1232" s="17" t="s">
        <v>9597</v>
      </c>
      <c r="B1232" s="17" t="s">
        <v>9597</v>
      </c>
      <c r="C1232" s="17" t="s">
        <v>9598</v>
      </c>
      <c r="D1232" s="17" t="s">
        <v>21</v>
      </c>
      <c r="E1232" s="24">
        <v>2512</v>
      </c>
      <c r="F1232" s="17" t="s">
        <v>47</v>
      </c>
      <c r="G1232" s="17" t="str">
        <f>Config!$B$3</f>
        <v>SCH/R_IEC.SchLib</v>
      </c>
      <c r="H1232" s="17" t="s">
        <v>419</v>
      </c>
      <c r="I1232" s="17" t="s">
        <v>461</v>
      </c>
      <c r="J1232" s="17" t="s">
        <v>7467</v>
      </c>
      <c r="K1232" s="17"/>
      <c r="L1232" s="17"/>
      <c r="M1232" s="17">
        <v>5.6</v>
      </c>
      <c r="N1232" s="17"/>
      <c r="O1232" s="17"/>
      <c r="P1232" s="17"/>
      <c r="Q1232" s="17"/>
      <c r="R1232" s="17"/>
      <c r="S1232" s="17"/>
      <c r="T1232" s="17"/>
      <c r="U1232" s="17"/>
      <c r="V1232" s="17"/>
      <c r="W1232" s="17"/>
      <c r="X1232" s="17"/>
      <c r="Y1232" s="17"/>
      <c r="Z1232" s="17"/>
      <c r="AA1232" s="17"/>
      <c r="AB1232" s="17"/>
    </row>
    <row r="1233" spans="1:28">
      <c r="A1233" s="17" t="s">
        <v>9599</v>
      </c>
      <c r="B1233" s="17" t="s">
        <v>9599</v>
      </c>
      <c r="C1233" s="17" t="s">
        <v>9600</v>
      </c>
      <c r="D1233" s="17" t="s">
        <v>21</v>
      </c>
      <c r="E1233" s="24">
        <v>2512</v>
      </c>
      <c r="F1233" s="17" t="s">
        <v>1128</v>
      </c>
      <c r="G1233" s="17" t="str">
        <f>Config!$B$3</f>
        <v>SCH/R_IEC.SchLib</v>
      </c>
      <c r="H1233" s="17" t="s">
        <v>419</v>
      </c>
      <c r="I1233" s="17" t="s">
        <v>461</v>
      </c>
      <c r="J1233" s="17" t="s">
        <v>7467</v>
      </c>
      <c r="K1233" s="17"/>
      <c r="L1233" s="17"/>
      <c r="M1233" s="17">
        <v>6.2</v>
      </c>
      <c r="N1233" s="17"/>
      <c r="O1233" s="17"/>
      <c r="P1233" s="17"/>
      <c r="Q1233" s="17"/>
      <c r="R1233" s="17"/>
      <c r="S1233" s="17"/>
      <c r="T1233" s="17"/>
      <c r="U1233" s="17"/>
      <c r="V1233" s="17"/>
      <c r="W1233" s="17"/>
      <c r="X1233" s="17"/>
      <c r="Y1233" s="17"/>
      <c r="Z1233" s="17"/>
      <c r="AA1233" s="17"/>
      <c r="AB1233" s="17"/>
    </row>
    <row r="1234" spans="1:28">
      <c r="A1234" s="17" t="s">
        <v>9601</v>
      </c>
      <c r="B1234" s="17" t="s">
        <v>9601</v>
      </c>
      <c r="C1234" s="17" t="s">
        <v>9602</v>
      </c>
      <c r="D1234" s="17" t="s">
        <v>21</v>
      </c>
      <c r="E1234" s="24">
        <v>2512</v>
      </c>
      <c r="F1234" s="17" t="s">
        <v>49</v>
      </c>
      <c r="G1234" s="17" t="str">
        <f>Config!$B$3</f>
        <v>SCH/R_IEC.SchLib</v>
      </c>
      <c r="H1234" s="17" t="s">
        <v>419</v>
      </c>
      <c r="I1234" s="17" t="s">
        <v>461</v>
      </c>
      <c r="J1234" s="17" t="s">
        <v>7467</v>
      </c>
      <c r="K1234" s="17"/>
      <c r="L1234" s="17"/>
      <c r="M1234" s="17">
        <v>6.8</v>
      </c>
      <c r="N1234" s="17"/>
      <c r="O1234" s="17"/>
      <c r="P1234" s="17"/>
      <c r="Q1234" s="17"/>
      <c r="R1234" s="17"/>
      <c r="S1234" s="17"/>
      <c r="T1234" s="17"/>
      <c r="U1234" s="17"/>
      <c r="V1234" s="17"/>
      <c r="W1234" s="17"/>
      <c r="X1234" s="17"/>
      <c r="Y1234" s="17"/>
      <c r="Z1234" s="17"/>
      <c r="AA1234" s="17"/>
      <c r="AB1234" s="17"/>
    </row>
    <row r="1235" spans="1:28">
      <c r="A1235" s="17" t="s">
        <v>9603</v>
      </c>
      <c r="B1235" s="17" t="s">
        <v>9603</v>
      </c>
      <c r="C1235" s="17" t="s">
        <v>9604</v>
      </c>
      <c r="D1235" s="17" t="s">
        <v>21</v>
      </c>
      <c r="E1235" s="24">
        <v>2512</v>
      </c>
      <c r="F1235" s="17" t="s">
        <v>1138</v>
      </c>
      <c r="G1235" s="17" t="str">
        <f>Config!$B$3</f>
        <v>SCH/R_IEC.SchLib</v>
      </c>
      <c r="H1235" s="17" t="s">
        <v>419</v>
      </c>
      <c r="I1235" s="17" t="s">
        <v>461</v>
      </c>
      <c r="J1235" s="17" t="s">
        <v>7467</v>
      </c>
      <c r="K1235" s="17"/>
      <c r="L1235" s="17"/>
      <c r="M1235" s="17">
        <v>7.5</v>
      </c>
      <c r="N1235" s="17"/>
      <c r="O1235" s="17"/>
      <c r="P1235" s="17"/>
      <c r="Q1235" s="17"/>
      <c r="R1235" s="17"/>
      <c r="S1235" s="17"/>
      <c r="T1235" s="17"/>
      <c r="U1235" s="17"/>
      <c r="V1235" s="17"/>
      <c r="W1235" s="17"/>
      <c r="X1235" s="17"/>
      <c r="Y1235" s="17"/>
      <c r="Z1235" s="17"/>
      <c r="AA1235" s="17"/>
      <c r="AB1235" s="17"/>
    </row>
    <row r="1236" spans="1:28">
      <c r="A1236" s="17" t="s">
        <v>9605</v>
      </c>
      <c r="B1236" s="17" t="s">
        <v>9605</v>
      </c>
      <c r="C1236" s="17" t="s">
        <v>9606</v>
      </c>
      <c r="D1236" s="17" t="s">
        <v>21</v>
      </c>
      <c r="E1236" s="24">
        <v>2512</v>
      </c>
      <c r="F1236" s="17" t="s">
        <v>51</v>
      </c>
      <c r="G1236" s="17" t="str">
        <f>Config!$B$3</f>
        <v>SCH/R_IEC.SchLib</v>
      </c>
      <c r="H1236" s="17" t="s">
        <v>419</v>
      </c>
      <c r="I1236" s="17" t="s">
        <v>461</v>
      </c>
      <c r="J1236" s="17" t="s">
        <v>7467</v>
      </c>
      <c r="K1236" s="17"/>
      <c r="L1236" s="17"/>
      <c r="M1236" s="17">
        <v>8.1999999999999993</v>
      </c>
      <c r="N1236" s="17"/>
      <c r="O1236" s="17"/>
      <c r="P1236" s="17"/>
      <c r="Q1236" s="17"/>
      <c r="R1236" s="17"/>
      <c r="S1236" s="17"/>
      <c r="T1236" s="17"/>
      <c r="U1236" s="17"/>
      <c r="V1236" s="17"/>
      <c r="W1236" s="17"/>
      <c r="X1236" s="17"/>
      <c r="Y1236" s="17"/>
      <c r="Z1236" s="17"/>
      <c r="AA1236" s="17"/>
      <c r="AB1236" s="17"/>
    </row>
    <row r="1237" spans="1:28">
      <c r="A1237" s="17" t="s">
        <v>9607</v>
      </c>
      <c r="B1237" s="17" t="s">
        <v>9607</v>
      </c>
      <c r="C1237" s="17" t="s">
        <v>9608</v>
      </c>
      <c r="D1237" s="17" t="s">
        <v>21</v>
      </c>
      <c r="E1237" s="24">
        <v>2512</v>
      </c>
      <c r="F1237" s="17" t="s">
        <v>1148</v>
      </c>
      <c r="G1237" s="17" t="str">
        <f>Config!$B$3</f>
        <v>SCH/R_IEC.SchLib</v>
      </c>
      <c r="H1237" s="17" t="s">
        <v>419</v>
      </c>
      <c r="I1237" s="17" t="s">
        <v>461</v>
      </c>
      <c r="J1237" s="17" t="s">
        <v>7467</v>
      </c>
      <c r="K1237" s="17"/>
      <c r="L1237" s="17"/>
      <c r="M1237" s="17">
        <v>9.1</v>
      </c>
      <c r="N1237" s="17"/>
      <c r="O1237" s="17"/>
      <c r="P1237" s="17"/>
      <c r="Q1237" s="17"/>
      <c r="R1237" s="17"/>
      <c r="S1237" s="17"/>
      <c r="T1237" s="17"/>
      <c r="U1237" s="17"/>
      <c r="V1237" s="17"/>
      <c r="W1237" s="17"/>
      <c r="X1237" s="17"/>
      <c r="Y1237" s="17"/>
      <c r="Z1237" s="17"/>
      <c r="AA1237" s="17"/>
      <c r="AB1237" s="17"/>
    </row>
    <row r="1238" spans="1:28">
      <c r="A1238" s="17" t="s">
        <v>9609</v>
      </c>
      <c r="B1238" s="17" t="s">
        <v>9609</v>
      </c>
      <c r="C1238" s="17" t="s">
        <v>9610</v>
      </c>
      <c r="D1238" s="17" t="s">
        <v>21</v>
      </c>
      <c r="E1238" s="24">
        <v>2512</v>
      </c>
      <c r="F1238" s="17" t="s">
        <v>53</v>
      </c>
      <c r="G1238" s="17" t="str">
        <f>Config!$B$3</f>
        <v>SCH/R_IEC.SchLib</v>
      </c>
      <c r="H1238" s="17" t="s">
        <v>419</v>
      </c>
      <c r="I1238" s="17" t="s">
        <v>461</v>
      </c>
      <c r="J1238" s="17" t="s">
        <v>7467</v>
      </c>
      <c r="K1238" s="17"/>
      <c r="L1238" s="17"/>
      <c r="M1238" s="21">
        <v>10</v>
      </c>
      <c r="N1238" s="17"/>
      <c r="O1238" s="17"/>
      <c r="P1238" s="17"/>
      <c r="Q1238" s="17"/>
      <c r="R1238" s="17"/>
      <c r="S1238" s="17"/>
      <c r="T1238" s="17"/>
      <c r="U1238" s="17"/>
      <c r="V1238" s="17"/>
      <c r="W1238" s="17"/>
      <c r="X1238" s="17"/>
      <c r="Y1238" s="17"/>
      <c r="Z1238" s="17"/>
      <c r="AA1238" s="17"/>
      <c r="AB1238" s="17"/>
    </row>
    <row r="1239" spans="1:28">
      <c r="A1239" s="17" t="s">
        <v>9611</v>
      </c>
      <c r="B1239" s="17" t="s">
        <v>9611</v>
      </c>
      <c r="C1239" s="17" t="s">
        <v>9612</v>
      </c>
      <c r="D1239" s="17" t="s">
        <v>21</v>
      </c>
      <c r="E1239" s="24">
        <v>2512</v>
      </c>
      <c r="F1239" s="17" t="s">
        <v>57</v>
      </c>
      <c r="G1239" s="17" t="str">
        <f>Config!$B$3</f>
        <v>SCH/R_IEC.SchLib</v>
      </c>
      <c r="H1239" s="17" t="s">
        <v>419</v>
      </c>
      <c r="I1239" s="17" t="s">
        <v>461</v>
      </c>
      <c r="J1239" s="17" t="s">
        <v>7467</v>
      </c>
      <c r="K1239" s="17"/>
      <c r="L1239" s="17"/>
      <c r="M1239" s="21">
        <v>11</v>
      </c>
      <c r="N1239" s="17"/>
      <c r="O1239" s="17"/>
      <c r="P1239" s="17"/>
      <c r="Q1239" s="17"/>
      <c r="R1239" s="17"/>
      <c r="S1239" s="17"/>
      <c r="T1239" s="17"/>
      <c r="U1239" s="17"/>
      <c r="V1239" s="17"/>
      <c r="W1239" s="17"/>
      <c r="X1239" s="17"/>
      <c r="Y1239" s="17"/>
      <c r="Z1239" s="17"/>
      <c r="AA1239" s="17"/>
      <c r="AB1239" s="17"/>
    </row>
    <row r="1240" spans="1:28">
      <c r="A1240" s="17" t="s">
        <v>9613</v>
      </c>
      <c r="B1240" s="17" t="s">
        <v>9613</v>
      </c>
      <c r="C1240" s="17" t="s">
        <v>9614</v>
      </c>
      <c r="D1240" s="17" t="s">
        <v>21</v>
      </c>
      <c r="E1240" s="24">
        <v>2512</v>
      </c>
      <c r="F1240" s="17" t="s">
        <v>59</v>
      </c>
      <c r="G1240" s="17" t="str">
        <f>Config!$B$3</f>
        <v>SCH/R_IEC.SchLib</v>
      </c>
      <c r="H1240" s="17" t="s">
        <v>419</v>
      </c>
      <c r="I1240" s="17" t="s">
        <v>461</v>
      </c>
      <c r="J1240" s="17" t="s">
        <v>7467</v>
      </c>
      <c r="K1240" s="17"/>
      <c r="L1240" s="17"/>
      <c r="M1240" s="21">
        <v>12</v>
      </c>
      <c r="N1240" s="17"/>
      <c r="O1240" s="17"/>
      <c r="P1240" s="17"/>
      <c r="Q1240" s="17"/>
      <c r="R1240" s="17"/>
      <c r="S1240" s="17"/>
      <c r="T1240" s="17"/>
      <c r="U1240" s="17"/>
      <c r="V1240" s="17"/>
      <c r="W1240" s="17"/>
      <c r="X1240" s="17"/>
      <c r="Y1240" s="17"/>
      <c r="Z1240" s="17"/>
      <c r="AA1240" s="17"/>
      <c r="AB1240" s="17"/>
    </row>
    <row r="1241" spans="1:28">
      <c r="A1241" s="17" t="s">
        <v>9615</v>
      </c>
      <c r="B1241" s="17" t="s">
        <v>9615</v>
      </c>
      <c r="C1241" s="17" t="s">
        <v>9616</v>
      </c>
      <c r="D1241" s="17" t="s">
        <v>21</v>
      </c>
      <c r="E1241" s="24">
        <v>2512</v>
      </c>
      <c r="F1241" s="17" t="s">
        <v>61</v>
      </c>
      <c r="G1241" s="17" t="str">
        <f>Config!$B$3</f>
        <v>SCH/R_IEC.SchLib</v>
      </c>
      <c r="H1241" s="17" t="s">
        <v>419</v>
      </c>
      <c r="I1241" s="17" t="s">
        <v>461</v>
      </c>
      <c r="J1241" s="17" t="s">
        <v>7467</v>
      </c>
      <c r="K1241" s="17"/>
      <c r="L1241" s="17"/>
      <c r="M1241" s="21">
        <v>13</v>
      </c>
      <c r="N1241" s="17"/>
      <c r="O1241" s="17"/>
      <c r="P1241" s="17"/>
      <c r="Q1241" s="17"/>
      <c r="R1241" s="17"/>
      <c r="S1241" s="17"/>
      <c r="T1241" s="17"/>
      <c r="U1241" s="17"/>
      <c r="V1241" s="17"/>
      <c r="W1241" s="17"/>
      <c r="X1241" s="17"/>
      <c r="Y1241" s="17"/>
      <c r="Z1241" s="17"/>
      <c r="AA1241" s="17"/>
      <c r="AB1241" s="17"/>
    </row>
    <row r="1242" spans="1:28">
      <c r="A1242" s="17" t="s">
        <v>9617</v>
      </c>
      <c r="B1242" s="17" t="s">
        <v>9617</v>
      </c>
      <c r="C1242" s="17" t="s">
        <v>9618</v>
      </c>
      <c r="D1242" s="17" t="s">
        <v>21</v>
      </c>
      <c r="E1242" s="24">
        <v>2512</v>
      </c>
      <c r="F1242" s="17" t="s">
        <v>63</v>
      </c>
      <c r="G1242" s="17" t="str">
        <f>Config!$B$3</f>
        <v>SCH/R_IEC.SchLib</v>
      </c>
      <c r="H1242" s="17" t="s">
        <v>419</v>
      </c>
      <c r="I1242" s="17" t="s">
        <v>461</v>
      </c>
      <c r="J1242" s="17" t="s">
        <v>7467</v>
      </c>
      <c r="K1242" s="17"/>
      <c r="L1242" s="17"/>
      <c r="M1242" s="21">
        <v>15</v>
      </c>
      <c r="N1242" s="17"/>
      <c r="O1242" s="17"/>
      <c r="P1242" s="17"/>
      <c r="Q1242" s="17"/>
      <c r="R1242" s="17"/>
      <c r="S1242" s="17"/>
      <c r="T1242" s="17"/>
      <c r="U1242" s="17"/>
      <c r="V1242" s="17"/>
      <c r="W1242" s="17"/>
      <c r="X1242" s="17"/>
      <c r="Y1242" s="17"/>
      <c r="Z1242" s="17"/>
      <c r="AA1242" s="17"/>
      <c r="AB1242" s="17"/>
    </row>
    <row r="1243" spans="1:28">
      <c r="A1243" s="17" t="s">
        <v>9619</v>
      </c>
      <c r="B1243" s="17" t="s">
        <v>9619</v>
      </c>
      <c r="C1243" s="17" t="s">
        <v>9620</v>
      </c>
      <c r="D1243" s="17" t="s">
        <v>21</v>
      </c>
      <c r="E1243" s="24">
        <v>2512</v>
      </c>
      <c r="F1243" s="17" t="s">
        <v>65</v>
      </c>
      <c r="G1243" s="17" t="str">
        <f>Config!$B$3</f>
        <v>SCH/R_IEC.SchLib</v>
      </c>
      <c r="H1243" s="17" t="s">
        <v>419</v>
      </c>
      <c r="I1243" s="17" t="s">
        <v>461</v>
      </c>
      <c r="J1243" s="17" t="s">
        <v>7467</v>
      </c>
      <c r="K1243" s="17"/>
      <c r="L1243" s="17"/>
      <c r="M1243" s="21">
        <v>16</v>
      </c>
      <c r="N1243" s="17"/>
      <c r="O1243" s="17"/>
      <c r="P1243" s="17"/>
      <c r="Q1243" s="17"/>
      <c r="R1243" s="17"/>
      <c r="S1243" s="17"/>
      <c r="T1243" s="17"/>
      <c r="U1243" s="17"/>
      <c r="V1243" s="17"/>
      <c r="W1243" s="17"/>
      <c r="X1243" s="17"/>
      <c r="Y1243" s="17"/>
      <c r="Z1243" s="17"/>
      <c r="AA1243" s="17"/>
      <c r="AB1243" s="17"/>
    </row>
    <row r="1244" spans="1:28">
      <c r="A1244" s="17" t="s">
        <v>9621</v>
      </c>
      <c r="B1244" s="17" t="s">
        <v>9621</v>
      </c>
      <c r="C1244" s="17" t="s">
        <v>9622</v>
      </c>
      <c r="D1244" s="17" t="s">
        <v>21</v>
      </c>
      <c r="E1244" s="24">
        <v>2512</v>
      </c>
      <c r="F1244" s="17" t="s">
        <v>67</v>
      </c>
      <c r="G1244" s="17" t="str">
        <f>Config!$B$3</f>
        <v>SCH/R_IEC.SchLib</v>
      </c>
      <c r="H1244" s="17" t="s">
        <v>419</v>
      </c>
      <c r="I1244" s="17" t="s">
        <v>461</v>
      </c>
      <c r="J1244" s="17" t="s">
        <v>7467</v>
      </c>
      <c r="K1244" s="17"/>
      <c r="L1244" s="17"/>
      <c r="M1244" s="21">
        <v>18</v>
      </c>
      <c r="N1244" s="17"/>
      <c r="O1244" s="17"/>
      <c r="P1244" s="17"/>
      <c r="Q1244" s="17"/>
      <c r="R1244" s="17"/>
      <c r="S1244" s="17"/>
      <c r="T1244" s="17"/>
      <c r="U1244" s="17"/>
      <c r="V1244" s="17"/>
      <c r="W1244" s="17"/>
      <c r="X1244" s="17"/>
      <c r="Y1244" s="17"/>
      <c r="Z1244" s="17"/>
      <c r="AA1244" s="17"/>
      <c r="AB1244" s="17"/>
    </row>
    <row r="1245" spans="1:28">
      <c r="A1245" s="17" t="s">
        <v>9623</v>
      </c>
      <c r="B1245" s="17" t="s">
        <v>9623</v>
      </c>
      <c r="C1245" s="17" t="s">
        <v>9624</v>
      </c>
      <c r="D1245" s="17" t="s">
        <v>21</v>
      </c>
      <c r="E1245" s="24">
        <v>2512</v>
      </c>
      <c r="F1245" s="17" t="s">
        <v>69</v>
      </c>
      <c r="G1245" s="17" t="str">
        <f>Config!$B$3</f>
        <v>SCH/R_IEC.SchLib</v>
      </c>
      <c r="H1245" s="17" t="s">
        <v>419</v>
      </c>
      <c r="I1245" s="17" t="s">
        <v>461</v>
      </c>
      <c r="J1245" s="17" t="s">
        <v>7467</v>
      </c>
      <c r="K1245" s="17"/>
      <c r="L1245" s="17"/>
      <c r="M1245" s="21">
        <v>20</v>
      </c>
      <c r="N1245" s="17"/>
      <c r="O1245" s="17"/>
      <c r="P1245" s="17"/>
      <c r="Q1245" s="17"/>
      <c r="R1245" s="17"/>
      <c r="S1245" s="17"/>
      <c r="T1245" s="17"/>
      <c r="U1245" s="17"/>
      <c r="V1245" s="17"/>
      <c r="W1245" s="17"/>
      <c r="X1245" s="17"/>
      <c r="Y1245" s="17"/>
      <c r="Z1245" s="17"/>
      <c r="AA1245" s="17"/>
      <c r="AB1245" s="17"/>
    </row>
    <row r="1246" spans="1:28">
      <c r="A1246" s="17" t="s">
        <v>9625</v>
      </c>
      <c r="B1246" s="17" t="s">
        <v>9625</v>
      </c>
      <c r="C1246" s="17" t="s">
        <v>9626</v>
      </c>
      <c r="D1246" s="17" t="s">
        <v>21</v>
      </c>
      <c r="E1246" s="24">
        <v>2512</v>
      </c>
      <c r="F1246" s="17" t="s">
        <v>71</v>
      </c>
      <c r="G1246" s="17" t="str">
        <f>Config!$B$3</f>
        <v>SCH/R_IEC.SchLib</v>
      </c>
      <c r="H1246" s="17" t="s">
        <v>419</v>
      </c>
      <c r="I1246" s="17" t="s">
        <v>461</v>
      </c>
      <c r="J1246" s="17" t="s">
        <v>7467</v>
      </c>
      <c r="K1246" s="17"/>
      <c r="L1246" s="17"/>
      <c r="M1246" s="21">
        <v>22</v>
      </c>
      <c r="N1246" s="17"/>
      <c r="O1246" s="17"/>
      <c r="P1246" s="17"/>
      <c r="Q1246" s="17"/>
      <c r="R1246" s="17"/>
      <c r="S1246" s="17"/>
      <c r="T1246" s="17"/>
      <c r="U1246" s="17"/>
      <c r="V1246" s="17"/>
      <c r="W1246" s="17"/>
      <c r="X1246" s="17"/>
      <c r="Y1246" s="17"/>
      <c r="Z1246" s="17"/>
      <c r="AA1246" s="17"/>
      <c r="AB1246" s="17"/>
    </row>
    <row r="1247" spans="1:28">
      <c r="A1247" s="17" t="s">
        <v>9627</v>
      </c>
      <c r="B1247" s="17" t="s">
        <v>9627</v>
      </c>
      <c r="C1247" s="17" t="s">
        <v>9628</v>
      </c>
      <c r="D1247" s="17" t="s">
        <v>21</v>
      </c>
      <c r="E1247" s="24">
        <v>2512</v>
      </c>
      <c r="F1247" s="17" t="s">
        <v>75</v>
      </c>
      <c r="G1247" s="17" t="str">
        <f>Config!$B$3</f>
        <v>SCH/R_IEC.SchLib</v>
      </c>
      <c r="H1247" s="17" t="s">
        <v>419</v>
      </c>
      <c r="I1247" s="17" t="s">
        <v>461</v>
      </c>
      <c r="J1247" s="17" t="s">
        <v>7467</v>
      </c>
      <c r="K1247" s="17"/>
      <c r="L1247" s="17"/>
      <c r="M1247" s="21">
        <v>24</v>
      </c>
      <c r="N1247" s="17"/>
      <c r="O1247" s="17"/>
      <c r="P1247" s="17"/>
      <c r="Q1247" s="17"/>
      <c r="R1247" s="17"/>
      <c r="S1247" s="17"/>
      <c r="T1247" s="17"/>
      <c r="U1247" s="17"/>
      <c r="V1247" s="17"/>
      <c r="W1247" s="17"/>
      <c r="X1247" s="17"/>
      <c r="Y1247" s="17"/>
      <c r="Z1247" s="17"/>
      <c r="AA1247" s="17"/>
      <c r="AB1247" s="17"/>
    </row>
    <row r="1248" spans="1:28">
      <c r="A1248" s="17" t="s">
        <v>9629</v>
      </c>
      <c r="B1248" s="17" t="s">
        <v>9629</v>
      </c>
      <c r="C1248" s="17" t="s">
        <v>9630</v>
      </c>
      <c r="D1248" s="17" t="s">
        <v>21</v>
      </c>
      <c r="E1248" s="24">
        <v>2512</v>
      </c>
      <c r="F1248" s="17" t="s">
        <v>77</v>
      </c>
      <c r="G1248" s="17" t="str">
        <f>Config!$B$3</f>
        <v>SCH/R_IEC.SchLib</v>
      </c>
      <c r="H1248" s="17" t="s">
        <v>419</v>
      </c>
      <c r="I1248" s="17" t="s">
        <v>461</v>
      </c>
      <c r="J1248" s="17" t="s">
        <v>7467</v>
      </c>
      <c r="K1248" s="17"/>
      <c r="L1248" s="17"/>
      <c r="M1248" s="21">
        <v>27</v>
      </c>
      <c r="N1248" s="17"/>
      <c r="O1248" s="17"/>
      <c r="P1248" s="17"/>
      <c r="Q1248" s="17"/>
      <c r="R1248" s="17"/>
      <c r="S1248" s="17"/>
      <c r="T1248" s="17"/>
      <c r="U1248" s="17"/>
      <c r="V1248" s="17"/>
      <c r="W1248" s="17"/>
      <c r="X1248" s="17"/>
      <c r="Y1248" s="17"/>
      <c r="Z1248" s="17"/>
      <c r="AA1248" s="17"/>
      <c r="AB1248" s="17"/>
    </row>
    <row r="1249" spans="1:28">
      <c r="A1249" s="17" t="s">
        <v>9631</v>
      </c>
      <c r="B1249" s="17" t="s">
        <v>9631</v>
      </c>
      <c r="C1249" s="17" t="s">
        <v>9632</v>
      </c>
      <c r="D1249" s="17" t="s">
        <v>21</v>
      </c>
      <c r="E1249" s="24">
        <v>2512</v>
      </c>
      <c r="F1249" s="17" t="s">
        <v>79</v>
      </c>
      <c r="G1249" s="17" t="str">
        <f>Config!$B$3</f>
        <v>SCH/R_IEC.SchLib</v>
      </c>
      <c r="H1249" s="17" t="s">
        <v>419</v>
      </c>
      <c r="I1249" s="17" t="s">
        <v>461</v>
      </c>
      <c r="J1249" s="17" t="s">
        <v>7467</v>
      </c>
      <c r="K1249" s="17"/>
      <c r="L1249" s="17"/>
      <c r="M1249" s="21">
        <v>30</v>
      </c>
      <c r="N1249" s="17"/>
      <c r="O1249" s="17"/>
      <c r="P1249" s="17"/>
      <c r="Q1249" s="17"/>
      <c r="R1249" s="17"/>
      <c r="S1249" s="17"/>
      <c r="T1249" s="17"/>
      <c r="U1249" s="17"/>
      <c r="V1249" s="17"/>
      <c r="W1249" s="17"/>
      <c r="X1249" s="17"/>
      <c r="Y1249" s="17"/>
      <c r="Z1249" s="17"/>
      <c r="AA1249" s="17"/>
      <c r="AB1249" s="17"/>
    </row>
    <row r="1250" spans="1:28">
      <c r="A1250" s="17" t="s">
        <v>9633</v>
      </c>
      <c r="B1250" s="17" t="s">
        <v>9633</v>
      </c>
      <c r="C1250" s="17" t="s">
        <v>9634</v>
      </c>
      <c r="D1250" s="17" t="s">
        <v>21</v>
      </c>
      <c r="E1250" s="24">
        <v>2512</v>
      </c>
      <c r="F1250" s="17" t="s">
        <v>81</v>
      </c>
      <c r="G1250" s="17" t="str">
        <f>Config!$B$3</f>
        <v>SCH/R_IEC.SchLib</v>
      </c>
      <c r="H1250" s="17" t="s">
        <v>419</v>
      </c>
      <c r="I1250" s="17" t="s">
        <v>461</v>
      </c>
      <c r="J1250" s="17" t="s">
        <v>7467</v>
      </c>
      <c r="K1250" s="17"/>
      <c r="L1250" s="17"/>
      <c r="M1250" s="21">
        <v>33</v>
      </c>
      <c r="N1250" s="17"/>
      <c r="O1250" s="17"/>
      <c r="P1250" s="17"/>
      <c r="Q1250" s="17"/>
      <c r="R1250" s="17"/>
      <c r="S1250" s="17"/>
      <c r="T1250" s="17"/>
      <c r="U1250" s="17"/>
      <c r="V1250" s="17"/>
      <c r="W1250" s="17"/>
      <c r="X1250" s="17"/>
      <c r="Y1250" s="17"/>
      <c r="Z1250" s="17"/>
      <c r="AA1250" s="17"/>
      <c r="AB1250" s="17"/>
    </row>
    <row r="1251" spans="1:28">
      <c r="A1251" s="17" t="s">
        <v>9635</v>
      </c>
      <c r="B1251" s="17" t="s">
        <v>9635</v>
      </c>
      <c r="C1251" s="17" t="s">
        <v>9636</v>
      </c>
      <c r="D1251" s="17" t="s">
        <v>21</v>
      </c>
      <c r="E1251" s="24">
        <v>2512</v>
      </c>
      <c r="F1251" s="17" t="s">
        <v>83</v>
      </c>
      <c r="G1251" s="17" t="str">
        <f>Config!$B$3</f>
        <v>SCH/R_IEC.SchLib</v>
      </c>
      <c r="H1251" s="17" t="s">
        <v>419</v>
      </c>
      <c r="I1251" s="17" t="s">
        <v>461</v>
      </c>
      <c r="J1251" s="17" t="s">
        <v>7467</v>
      </c>
      <c r="K1251" s="17"/>
      <c r="L1251" s="17"/>
      <c r="M1251" s="21">
        <v>36</v>
      </c>
      <c r="N1251" s="17"/>
      <c r="O1251" s="17"/>
      <c r="P1251" s="17"/>
      <c r="Q1251" s="17"/>
      <c r="R1251" s="17"/>
      <c r="S1251" s="17"/>
      <c r="T1251" s="17"/>
      <c r="U1251" s="17"/>
      <c r="V1251" s="17"/>
      <c r="W1251" s="17"/>
      <c r="X1251" s="17"/>
      <c r="Y1251" s="17"/>
      <c r="Z1251" s="17"/>
      <c r="AA1251" s="17"/>
      <c r="AB1251" s="17"/>
    </row>
    <row r="1252" spans="1:28">
      <c r="A1252" s="17" t="s">
        <v>9637</v>
      </c>
      <c r="B1252" s="17" t="s">
        <v>9637</v>
      </c>
      <c r="C1252" s="17" t="s">
        <v>9638</v>
      </c>
      <c r="D1252" s="17" t="s">
        <v>21</v>
      </c>
      <c r="E1252" s="24">
        <v>2512</v>
      </c>
      <c r="F1252" s="17" t="s">
        <v>85</v>
      </c>
      <c r="G1252" s="17" t="str">
        <f>Config!$B$3</f>
        <v>SCH/R_IEC.SchLib</v>
      </c>
      <c r="H1252" s="17" t="s">
        <v>419</v>
      </c>
      <c r="I1252" s="17" t="s">
        <v>461</v>
      </c>
      <c r="J1252" s="17" t="s">
        <v>7467</v>
      </c>
      <c r="K1252" s="17"/>
      <c r="L1252" s="17"/>
      <c r="M1252" s="21">
        <v>39</v>
      </c>
      <c r="N1252" s="17"/>
      <c r="O1252" s="17"/>
      <c r="P1252" s="17"/>
      <c r="Q1252" s="17"/>
      <c r="R1252" s="17"/>
      <c r="S1252" s="17"/>
      <c r="T1252" s="17"/>
      <c r="U1252" s="17"/>
      <c r="V1252" s="17"/>
      <c r="W1252" s="17"/>
      <c r="X1252" s="17"/>
      <c r="Y1252" s="17"/>
      <c r="Z1252" s="17"/>
      <c r="AA1252" s="17"/>
      <c r="AB1252" s="17"/>
    </row>
    <row r="1253" spans="1:28">
      <c r="A1253" s="17" t="s">
        <v>9639</v>
      </c>
      <c r="B1253" s="17" t="s">
        <v>9639</v>
      </c>
      <c r="C1253" s="17" t="s">
        <v>9640</v>
      </c>
      <c r="D1253" s="17" t="s">
        <v>21</v>
      </c>
      <c r="E1253" s="24">
        <v>2512</v>
      </c>
      <c r="F1253" s="17" t="s">
        <v>87</v>
      </c>
      <c r="G1253" s="17" t="str">
        <f>Config!$B$3</f>
        <v>SCH/R_IEC.SchLib</v>
      </c>
      <c r="H1253" s="17" t="s">
        <v>419</v>
      </c>
      <c r="I1253" s="17" t="s">
        <v>461</v>
      </c>
      <c r="J1253" s="17" t="s">
        <v>7467</v>
      </c>
      <c r="K1253" s="17"/>
      <c r="L1253" s="17"/>
      <c r="M1253" s="21">
        <v>43</v>
      </c>
      <c r="N1253" s="17"/>
      <c r="O1253" s="17"/>
      <c r="P1253" s="17"/>
      <c r="Q1253" s="17"/>
      <c r="R1253" s="17"/>
      <c r="S1253" s="17"/>
      <c r="T1253" s="17"/>
      <c r="U1253" s="17"/>
      <c r="V1253" s="17"/>
      <c r="W1253" s="17"/>
      <c r="X1253" s="17"/>
      <c r="Y1253" s="17"/>
      <c r="Z1253" s="17"/>
      <c r="AA1253" s="17"/>
      <c r="AB1253" s="17"/>
    </row>
    <row r="1254" spans="1:28">
      <c r="A1254" s="17" t="s">
        <v>9641</v>
      </c>
      <c r="B1254" s="17" t="s">
        <v>9641</v>
      </c>
      <c r="C1254" s="17" t="s">
        <v>9642</v>
      </c>
      <c r="D1254" s="17" t="s">
        <v>21</v>
      </c>
      <c r="E1254" s="24">
        <v>2512</v>
      </c>
      <c r="F1254" s="17" t="s">
        <v>89</v>
      </c>
      <c r="G1254" s="17" t="str">
        <f>Config!$B$3</f>
        <v>SCH/R_IEC.SchLib</v>
      </c>
      <c r="H1254" s="17" t="s">
        <v>419</v>
      </c>
      <c r="I1254" s="17" t="s">
        <v>461</v>
      </c>
      <c r="J1254" s="17" t="s">
        <v>7467</v>
      </c>
      <c r="K1254" s="17"/>
      <c r="L1254" s="17"/>
      <c r="M1254" s="21">
        <v>47</v>
      </c>
      <c r="N1254" s="17"/>
      <c r="O1254" s="17"/>
      <c r="P1254" s="17"/>
      <c r="Q1254" s="17"/>
      <c r="R1254" s="17"/>
      <c r="S1254" s="17"/>
      <c r="T1254" s="17"/>
      <c r="U1254" s="17"/>
      <c r="V1254" s="17"/>
      <c r="W1254" s="17"/>
      <c r="X1254" s="17"/>
      <c r="Y1254" s="17"/>
      <c r="Z1254" s="17"/>
      <c r="AA1254" s="17"/>
      <c r="AB1254" s="17"/>
    </row>
    <row r="1255" spans="1:28">
      <c r="A1255" s="17" t="s">
        <v>9643</v>
      </c>
      <c r="B1255" s="17" t="s">
        <v>9643</v>
      </c>
      <c r="C1255" s="17" t="s">
        <v>9644</v>
      </c>
      <c r="D1255" s="17" t="s">
        <v>21</v>
      </c>
      <c r="E1255" s="24">
        <v>2512</v>
      </c>
      <c r="F1255" s="17" t="s">
        <v>91</v>
      </c>
      <c r="G1255" s="17" t="str">
        <f>Config!$B$3</f>
        <v>SCH/R_IEC.SchLib</v>
      </c>
      <c r="H1255" s="17" t="s">
        <v>419</v>
      </c>
      <c r="I1255" s="17" t="s">
        <v>461</v>
      </c>
      <c r="J1255" s="17" t="s">
        <v>7467</v>
      </c>
      <c r="K1255" s="17"/>
      <c r="L1255" s="17"/>
      <c r="M1255" s="21">
        <v>51</v>
      </c>
      <c r="N1255" s="17"/>
      <c r="O1255" s="17"/>
      <c r="P1255" s="17"/>
      <c r="Q1255" s="17"/>
      <c r="R1255" s="17"/>
      <c r="S1255" s="17"/>
      <c r="T1255" s="17"/>
      <c r="U1255" s="17"/>
      <c r="V1255" s="17"/>
      <c r="W1255" s="17"/>
      <c r="X1255" s="17"/>
      <c r="Y1255" s="17"/>
      <c r="Z1255" s="17"/>
      <c r="AA1255" s="17"/>
      <c r="AB1255" s="17"/>
    </row>
    <row r="1256" spans="1:28">
      <c r="A1256" s="17" t="s">
        <v>9645</v>
      </c>
      <c r="B1256" s="17" t="s">
        <v>9645</v>
      </c>
      <c r="C1256" s="17" t="s">
        <v>9646</v>
      </c>
      <c r="D1256" s="17" t="s">
        <v>21</v>
      </c>
      <c r="E1256" s="24">
        <v>2512</v>
      </c>
      <c r="F1256" s="17" t="s">
        <v>93</v>
      </c>
      <c r="G1256" s="17" t="str">
        <f>Config!$B$3</f>
        <v>SCH/R_IEC.SchLib</v>
      </c>
      <c r="H1256" s="17" t="s">
        <v>419</v>
      </c>
      <c r="I1256" s="17" t="s">
        <v>461</v>
      </c>
      <c r="J1256" s="17" t="s">
        <v>7467</v>
      </c>
      <c r="K1256" s="17"/>
      <c r="L1256" s="17"/>
      <c r="M1256" s="21">
        <v>56</v>
      </c>
      <c r="N1256" s="17"/>
      <c r="O1256" s="17"/>
      <c r="P1256" s="17"/>
      <c r="Q1256" s="17"/>
      <c r="R1256" s="17"/>
      <c r="S1256" s="17"/>
      <c r="T1256" s="17"/>
      <c r="U1256" s="17"/>
      <c r="V1256" s="17"/>
      <c r="W1256" s="17"/>
      <c r="X1256" s="17"/>
      <c r="Y1256" s="17"/>
      <c r="Z1256" s="17"/>
      <c r="AA1256" s="17"/>
      <c r="AB1256" s="17"/>
    </row>
    <row r="1257" spans="1:28">
      <c r="A1257" s="17" t="s">
        <v>9647</v>
      </c>
      <c r="B1257" s="17" t="s">
        <v>9647</v>
      </c>
      <c r="C1257" s="17" t="s">
        <v>9648</v>
      </c>
      <c r="D1257" s="17" t="s">
        <v>21</v>
      </c>
      <c r="E1257" s="24">
        <v>2512</v>
      </c>
      <c r="F1257" s="17" t="s">
        <v>95</v>
      </c>
      <c r="G1257" s="17" t="str">
        <f>Config!$B$3</f>
        <v>SCH/R_IEC.SchLib</v>
      </c>
      <c r="H1257" s="17" t="s">
        <v>419</v>
      </c>
      <c r="I1257" s="17" t="s">
        <v>461</v>
      </c>
      <c r="J1257" s="17" t="s">
        <v>7467</v>
      </c>
      <c r="K1257" s="17"/>
      <c r="L1257" s="17"/>
      <c r="M1257" s="21">
        <v>62</v>
      </c>
      <c r="N1257" s="17"/>
      <c r="O1257" s="17"/>
      <c r="P1257" s="17"/>
      <c r="Q1257" s="17"/>
      <c r="R1257" s="17"/>
      <c r="S1257" s="17"/>
      <c r="T1257" s="17"/>
      <c r="U1257" s="17"/>
      <c r="V1257" s="17"/>
      <c r="W1257" s="17"/>
      <c r="X1257" s="17"/>
      <c r="Y1257" s="17"/>
      <c r="Z1257" s="17"/>
      <c r="AA1257" s="17"/>
      <c r="AB1257" s="17"/>
    </row>
    <row r="1258" spans="1:28">
      <c r="A1258" s="17" t="s">
        <v>9649</v>
      </c>
      <c r="B1258" s="17" t="s">
        <v>9649</v>
      </c>
      <c r="C1258" s="17" t="s">
        <v>9650</v>
      </c>
      <c r="D1258" s="17" t="s">
        <v>21</v>
      </c>
      <c r="E1258" s="24">
        <v>2512</v>
      </c>
      <c r="F1258" s="17" t="s">
        <v>97</v>
      </c>
      <c r="G1258" s="17" t="str">
        <f>Config!$B$3</f>
        <v>SCH/R_IEC.SchLib</v>
      </c>
      <c r="H1258" s="17" t="s">
        <v>419</v>
      </c>
      <c r="I1258" s="17" t="s">
        <v>461</v>
      </c>
      <c r="J1258" s="17" t="s">
        <v>7467</v>
      </c>
      <c r="K1258" s="17"/>
      <c r="L1258" s="17"/>
      <c r="M1258" s="21">
        <v>68</v>
      </c>
      <c r="N1258" s="17"/>
      <c r="O1258" s="17"/>
      <c r="P1258" s="17"/>
      <c r="Q1258" s="17"/>
      <c r="R1258" s="17"/>
      <c r="S1258" s="17"/>
      <c r="T1258" s="17"/>
      <c r="U1258" s="17"/>
      <c r="V1258" s="17"/>
      <c r="W1258" s="17"/>
      <c r="X1258" s="17"/>
      <c r="Y1258" s="17"/>
      <c r="Z1258" s="17"/>
      <c r="AA1258" s="17"/>
      <c r="AB1258" s="17"/>
    </row>
    <row r="1259" spans="1:28">
      <c r="A1259" s="17" t="s">
        <v>9651</v>
      </c>
      <c r="B1259" s="17" t="s">
        <v>9651</v>
      </c>
      <c r="C1259" s="17" t="s">
        <v>9652</v>
      </c>
      <c r="D1259" s="17" t="s">
        <v>21</v>
      </c>
      <c r="E1259" s="24">
        <v>2512</v>
      </c>
      <c r="F1259" s="17" t="s">
        <v>99</v>
      </c>
      <c r="G1259" s="17" t="str">
        <f>Config!$B$3</f>
        <v>SCH/R_IEC.SchLib</v>
      </c>
      <c r="H1259" s="17" t="s">
        <v>419</v>
      </c>
      <c r="I1259" s="17" t="s">
        <v>461</v>
      </c>
      <c r="J1259" s="17" t="s">
        <v>7467</v>
      </c>
      <c r="K1259" s="17"/>
      <c r="L1259" s="17"/>
      <c r="M1259" s="21">
        <v>75</v>
      </c>
      <c r="N1259" s="17"/>
      <c r="O1259" s="17"/>
      <c r="P1259" s="17"/>
      <c r="Q1259" s="17"/>
      <c r="R1259" s="17"/>
      <c r="S1259" s="17"/>
      <c r="T1259" s="17"/>
      <c r="U1259" s="17"/>
      <c r="V1259" s="17"/>
      <c r="W1259" s="17"/>
      <c r="X1259" s="17"/>
      <c r="Y1259" s="17"/>
      <c r="Z1259" s="17"/>
      <c r="AA1259" s="17"/>
      <c r="AB1259" s="17"/>
    </row>
    <row r="1260" spans="1:28">
      <c r="A1260" s="17" t="s">
        <v>9653</v>
      </c>
      <c r="B1260" s="17" t="s">
        <v>9653</v>
      </c>
      <c r="C1260" s="17" t="s">
        <v>9654</v>
      </c>
      <c r="D1260" s="17" t="s">
        <v>21</v>
      </c>
      <c r="E1260" s="24">
        <v>2512</v>
      </c>
      <c r="F1260" s="17" t="s">
        <v>101</v>
      </c>
      <c r="G1260" s="17" t="str">
        <f>Config!$B$3</f>
        <v>SCH/R_IEC.SchLib</v>
      </c>
      <c r="H1260" s="17" t="s">
        <v>419</v>
      </c>
      <c r="I1260" s="17" t="s">
        <v>461</v>
      </c>
      <c r="J1260" s="17" t="s">
        <v>7467</v>
      </c>
      <c r="K1260" s="17"/>
      <c r="L1260" s="17"/>
      <c r="M1260" s="21">
        <v>82</v>
      </c>
      <c r="N1260" s="17"/>
      <c r="O1260" s="17"/>
      <c r="P1260" s="17"/>
      <c r="Q1260" s="17"/>
      <c r="R1260" s="17"/>
      <c r="S1260" s="17"/>
      <c r="T1260" s="17"/>
      <c r="U1260" s="17"/>
      <c r="V1260" s="17"/>
      <c r="W1260" s="17"/>
      <c r="X1260" s="17"/>
      <c r="Y1260" s="17"/>
      <c r="Z1260" s="17"/>
      <c r="AA1260" s="17"/>
      <c r="AB1260" s="17"/>
    </row>
    <row r="1261" spans="1:28">
      <c r="A1261" s="17" t="s">
        <v>9655</v>
      </c>
      <c r="B1261" s="17" t="s">
        <v>9655</v>
      </c>
      <c r="C1261" s="17" t="s">
        <v>9656</v>
      </c>
      <c r="D1261" s="17" t="s">
        <v>21</v>
      </c>
      <c r="E1261" s="24">
        <v>2512</v>
      </c>
      <c r="F1261" s="17" t="s">
        <v>103</v>
      </c>
      <c r="G1261" s="17" t="str">
        <f>Config!$B$3</f>
        <v>SCH/R_IEC.SchLib</v>
      </c>
      <c r="H1261" s="17" t="s">
        <v>419</v>
      </c>
      <c r="I1261" s="17" t="s">
        <v>461</v>
      </c>
      <c r="J1261" s="17" t="s">
        <v>7467</v>
      </c>
      <c r="K1261" s="17"/>
      <c r="L1261" s="17"/>
      <c r="M1261" s="21">
        <v>91</v>
      </c>
      <c r="N1261" s="17"/>
      <c r="O1261" s="17"/>
      <c r="P1261" s="17"/>
      <c r="Q1261" s="17"/>
      <c r="R1261" s="17"/>
      <c r="S1261" s="17"/>
      <c r="T1261" s="17"/>
      <c r="U1261" s="17"/>
      <c r="V1261" s="17"/>
      <c r="W1261" s="17"/>
      <c r="X1261" s="17"/>
      <c r="Y1261" s="17"/>
      <c r="Z1261" s="17"/>
      <c r="AA1261" s="17"/>
      <c r="AB1261" s="17"/>
    </row>
    <row r="1262" spans="1:28">
      <c r="A1262" s="17" t="s">
        <v>9657</v>
      </c>
      <c r="B1262" s="17" t="s">
        <v>9657</v>
      </c>
      <c r="C1262" s="17" t="s">
        <v>9658</v>
      </c>
      <c r="D1262" s="17" t="s">
        <v>21</v>
      </c>
      <c r="E1262" s="24">
        <v>2512</v>
      </c>
      <c r="F1262" s="17" t="s">
        <v>105</v>
      </c>
      <c r="G1262" s="17" t="str">
        <f>Config!$B$3</f>
        <v>SCH/R_IEC.SchLib</v>
      </c>
      <c r="H1262" s="17" t="s">
        <v>419</v>
      </c>
      <c r="I1262" s="17" t="s">
        <v>461</v>
      </c>
      <c r="J1262" s="17" t="s">
        <v>7467</v>
      </c>
      <c r="K1262" s="17"/>
      <c r="L1262" s="17"/>
      <c r="M1262" s="21">
        <v>100</v>
      </c>
      <c r="N1262" s="17"/>
      <c r="O1262" s="17"/>
      <c r="P1262" s="17"/>
      <c r="Q1262" s="17"/>
      <c r="R1262" s="17"/>
      <c r="S1262" s="17"/>
      <c r="T1262" s="17"/>
      <c r="U1262" s="17"/>
      <c r="V1262" s="17"/>
      <c r="W1262" s="17"/>
      <c r="X1262" s="17"/>
      <c r="Y1262" s="17"/>
      <c r="Z1262" s="17"/>
      <c r="AA1262" s="17"/>
      <c r="AB1262" s="17"/>
    </row>
    <row r="1263" spans="1:28">
      <c r="A1263" s="17" t="s">
        <v>9659</v>
      </c>
      <c r="B1263" s="17" t="s">
        <v>9659</v>
      </c>
      <c r="C1263" s="17" t="s">
        <v>9660</v>
      </c>
      <c r="D1263" s="17" t="s">
        <v>21</v>
      </c>
      <c r="E1263" s="24">
        <v>2512</v>
      </c>
      <c r="F1263" s="17" t="s">
        <v>109</v>
      </c>
      <c r="G1263" s="17" t="str">
        <f>Config!$B$3</f>
        <v>SCH/R_IEC.SchLib</v>
      </c>
      <c r="H1263" s="17" t="s">
        <v>419</v>
      </c>
      <c r="I1263" s="17" t="s">
        <v>461</v>
      </c>
      <c r="J1263" s="17" t="s">
        <v>7467</v>
      </c>
      <c r="K1263" s="17"/>
      <c r="L1263" s="17"/>
      <c r="M1263" s="21">
        <v>110</v>
      </c>
      <c r="N1263" s="17"/>
      <c r="O1263" s="17"/>
      <c r="P1263" s="17"/>
      <c r="Q1263" s="17"/>
      <c r="R1263" s="17"/>
      <c r="S1263" s="17"/>
      <c r="T1263" s="17"/>
      <c r="U1263" s="17"/>
      <c r="V1263" s="17"/>
      <c r="W1263" s="17"/>
      <c r="X1263" s="17"/>
      <c r="Y1263" s="17"/>
      <c r="Z1263" s="17"/>
      <c r="AA1263" s="17"/>
      <c r="AB1263" s="17"/>
    </row>
    <row r="1264" spans="1:28">
      <c r="A1264" s="17" t="s">
        <v>9661</v>
      </c>
      <c r="B1264" s="17" t="s">
        <v>9661</v>
      </c>
      <c r="C1264" s="17" t="s">
        <v>9662</v>
      </c>
      <c r="D1264" s="17" t="s">
        <v>21</v>
      </c>
      <c r="E1264" s="24">
        <v>2512</v>
      </c>
      <c r="F1264" s="17" t="s">
        <v>111</v>
      </c>
      <c r="G1264" s="17" t="str">
        <f>Config!$B$3</f>
        <v>SCH/R_IEC.SchLib</v>
      </c>
      <c r="H1264" s="17" t="s">
        <v>419</v>
      </c>
      <c r="I1264" s="17" t="s">
        <v>461</v>
      </c>
      <c r="J1264" s="17" t="s">
        <v>7467</v>
      </c>
      <c r="K1264" s="17"/>
      <c r="L1264" s="17"/>
      <c r="M1264" s="21">
        <v>120</v>
      </c>
      <c r="N1264" s="17"/>
      <c r="O1264" s="17"/>
      <c r="P1264" s="17"/>
      <c r="Q1264" s="17"/>
      <c r="R1264" s="17"/>
      <c r="S1264" s="17"/>
      <c r="T1264" s="17"/>
      <c r="U1264" s="17"/>
      <c r="V1264" s="17"/>
      <c r="W1264" s="17"/>
      <c r="X1264" s="17"/>
      <c r="Y1264" s="17"/>
      <c r="Z1264" s="17"/>
      <c r="AA1264" s="17"/>
      <c r="AB1264" s="17"/>
    </row>
    <row r="1265" spans="1:28">
      <c r="A1265" s="17" t="s">
        <v>9663</v>
      </c>
      <c r="B1265" s="17" t="s">
        <v>9663</v>
      </c>
      <c r="C1265" s="17" t="s">
        <v>9664</v>
      </c>
      <c r="D1265" s="17" t="s">
        <v>21</v>
      </c>
      <c r="E1265" s="24">
        <v>2512</v>
      </c>
      <c r="F1265" s="17" t="s">
        <v>113</v>
      </c>
      <c r="G1265" s="17" t="str">
        <f>Config!$B$3</f>
        <v>SCH/R_IEC.SchLib</v>
      </c>
      <c r="H1265" s="17" t="s">
        <v>419</v>
      </c>
      <c r="I1265" s="17" t="s">
        <v>461</v>
      </c>
      <c r="J1265" s="17" t="s">
        <v>7467</v>
      </c>
      <c r="K1265" s="17"/>
      <c r="L1265" s="17"/>
      <c r="M1265" s="21">
        <v>130</v>
      </c>
      <c r="N1265" s="17"/>
      <c r="O1265" s="17"/>
      <c r="P1265" s="17"/>
      <c r="Q1265" s="17"/>
      <c r="R1265" s="17"/>
      <c r="S1265" s="17"/>
      <c r="T1265" s="17"/>
      <c r="U1265" s="17"/>
      <c r="V1265" s="17"/>
      <c r="W1265" s="17"/>
      <c r="X1265" s="17"/>
      <c r="Y1265" s="17"/>
      <c r="Z1265" s="17"/>
      <c r="AA1265" s="17"/>
      <c r="AB1265" s="17"/>
    </row>
    <row r="1266" spans="1:28">
      <c r="A1266" s="17" t="s">
        <v>9665</v>
      </c>
      <c r="B1266" s="17" t="s">
        <v>9665</v>
      </c>
      <c r="C1266" s="17" t="s">
        <v>9666</v>
      </c>
      <c r="D1266" s="17" t="s">
        <v>21</v>
      </c>
      <c r="E1266" s="24">
        <v>2512</v>
      </c>
      <c r="F1266" s="17" t="s">
        <v>115</v>
      </c>
      <c r="G1266" s="17" t="str">
        <f>Config!$B$3</f>
        <v>SCH/R_IEC.SchLib</v>
      </c>
      <c r="H1266" s="17" t="s">
        <v>419</v>
      </c>
      <c r="I1266" s="17" t="s">
        <v>461</v>
      </c>
      <c r="J1266" s="17" t="s">
        <v>7467</v>
      </c>
      <c r="K1266" s="17"/>
      <c r="L1266" s="17"/>
      <c r="M1266" s="21">
        <v>150</v>
      </c>
      <c r="N1266" s="17"/>
      <c r="O1266" s="17"/>
      <c r="P1266" s="17"/>
      <c r="Q1266" s="17"/>
      <c r="R1266" s="17"/>
      <c r="S1266" s="17"/>
      <c r="T1266" s="17"/>
      <c r="U1266" s="17"/>
      <c r="V1266" s="17"/>
      <c r="W1266" s="17"/>
      <c r="X1266" s="17"/>
      <c r="Y1266" s="17"/>
      <c r="Z1266" s="17"/>
      <c r="AA1266" s="17"/>
      <c r="AB1266" s="17"/>
    </row>
    <row r="1267" spans="1:28">
      <c r="A1267" s="17" t="s">
        <v>9667</v>
      </c>
      <c r="B1267" s="17" t="s">
        <v>9667</v>
      </c>
      <c r="C1267" s="17" t="s">
        <v>9668</v>
      </c>
      <c r="D1267" s="17" t="s">
        <v>21</v>
      </c>
      <c r="E1267" s="24">
        <v>2512</v>
      </c>
      <c r="F1267" s="17" t="s">
        <v>117</v>
      </c>
      <c r="G1267" s="17" t="str">
        <f>Config!$B$3</f>
        <v>SCH/R_IEC.SchLib</v>
      </c>
      <c r="H1267" s="17" t="s">
        <v>419</v>
      </c>
      <c r="I1267" s="17" t="s">
        <v>461</v>
      </c>
      <c r="J1267" s="17" t="s">
        <v>7467</v>
      </c>
      <c r="K1267" s="17"/>
      <c r="L1267" s="17"/>
      <c r="M1267" s="21">
        <v>160</v>
      </c>
      <c r="N1267" s="17"/>
      <c r="O1267" s="17"/>
      <c r="P1267" s="17"/>
      <c r="Q1267" s="17"/>
      <c r="R1267" s="17"/>
      <c r="S1267" s="17"/>
      <c r="T1267" s="17"/>
      <c r="U1267" s="17"/>
      <c r="V1267" s="17"/>
      <c r="W1267" s="17"/>
      <c r="X1267" s="17"/>
      <c r="Y1267" s="17"/>
      <c r="Z1267" s="17"/>
      <c r="AA1267" s="17"/>
      <c r="AB1267" s="17"/>
    </row>
    <row r="1268" spans="1:28">
      <c r="A1268" s="17" t="s">
        <v>9669</v>
      </c>
      <c r="B1268" s="17" t="s">
        <v>9669</v>
      </c>
      <c r="C1268" s="17" t="s">
        <v>9670</v>
      </c>
      <c r="D1268" s="17" t="s">
        <v>21</v>
      </c>
      <c r="E1268" s="24">
        <v>2512</v>
      </c>
      <c r="F1268" s="17" t="s">
        <v>119</v>
      </c>
      <c r="G1268" s="17" t="str">
        <f>Config!$B$3</f>
        <v>SCH/R_IEC.SchLib</v>
      </c>
      <c r="H1268" s="17" t="s">
        <v>419</v>
      </c>
      <c r="I1268" s="17" t="s">
        <v>461</v>
      </c>
      <c r="J1268" s="17" t="s">
        <v>7467</v>
      </c>
      <c r="K1268" s="17"/>
      <c r="L1268" s="17"/>
      <c r="M1268" s="21">
        <v>180</v>
      </c>
      <c r="N1268" s="17"/>
      <c r="O1268" s="17"/>
      <c r="P1268" s="17"/>
      <c r="Q1268" s="17"/>
      <c r="R1268" s="17"/>
      <c r="S1268" s="17"/>
      <c r="T1268" s="17"/>
      <c r="U1268" s="17"/>
      <c r="V1268" s="17"/>
      <c r="W1268" s="17"/>
      <c r="X1268" s="17"/>
      <c r="Y1268" s="17"/>
      <c r="Z1268" s="17"/>
      <c r="AA1268" s="17"/>
      <c r="AB1268" s="17"/>
    </row>
    <row r="1269" spans="1:28">
      <c r="A1269" s="17" t="s">
        <v>9671</v>
      </c>
      <c r="B1269" s="17" t="s">
        <v>9671</v>
      </c>
      <c r="C1269" s="17" t="s">
        <v>9672</v>
      </c>
      <c r="D1269" s="17" t="s">
        <v>21</v>
      </c>
      <c r="E1269" s="24">
        <v>2512</v>
      </c>
      <c r="F1269" s="17" t="s">
        <v>123</v>
      </c>
      <c r="G1269" s="17" t="str">
        <f>Config!$B$3</f>
        <v>SCH/R_IEC.SchLib</v>
      </c>
      <c r="H1269" s="17" t="s">
        <v>419</v>
      </c>
      <c r="I1269" s="17" t="s">
        <v>461</v>
      </c>
      <c r="J1269" s="17" t="s">
        <v>7467</v>
      </c>
      <c r="K1269" s="17"/>
      <c r="L1269" s="17"/>
      <c r="M1269" s="21">
        <v>200</v>
      </c>
      <c r="N1269" s="17"/>
      <c r="O1269" s="17"/>
      <c r="P1269" s="17"/>
      <c r="Q1269" s="17"/>
      <c r="R1269" s="17"/>
      <c r="S1269" s="17"/>
      <c r="T1269" s="17"/>
      <c r="U1269" s="17"/>
      <c r="V1269" s="17"/>
      <c r="W1269" s="17"/>
      <c r="X1269" s="17"/>
      <c r="Y1269" s="17"/>
      <c r="Z1269" s="17"/>
      <c r="AA1269" s="17"/>
      <c r="AB1269" s="17"/>
    </row>
    <row r="1270" spans="1:28">
      <c r="A1270" s="17" t="s">
        <v>9673</v>
      </c>
      <c r="B1270" s="17" t="s">
        <v>9673</v>
      </c>
      <c r="C1270" s="17" t="s">
        <v>9674</v>
      </c>
      <c r="D1270" s="17" t="s">
        <v>21</v>
      </c>
      <c r="E1270" s="24">
        <v>2512</v>
      </c>
      <c r="F1270" s="17" t="s">
        <v>125</v>
      </c>
      <c r="G1270" s="17" t="str">
        <f>Config!$B$3</f>
        <v>SCH/R_IEC.SchLib</v>
      </c>
      <c r="H1270" s="17" t="s">
        <v>419</v>
      </c>
      <c r="I1270" s="17" t="s">
        <v>461</v>
      </c>
      <c r="J1270" s="17" t="s">
        <v>7467</v>
      </c>
      <c r="K1270" s="17"/>
      <c r="L1270" s="17"/>
      <c r="M1270" s="21">
        <v>220</v>
      </c>
      <c r="N1270" s="17"/>
      <c r="O1270" s="17"/>
      <c r="P1270" s="17"/>
      <c r="Q1270" s="17"/>
      <c r="R1270" s="17"/>
      <c r="S1270" s="17"/>
      <c r="T1270" s="17"/>
      <c r="U1270" s="17"/>
      <c r="V1270" s="17"/>
      <c r="W1270" s="17"/>
      <c r="X1270" s="17"/>
      <c r="Y1270" s="17"/>
      <c r="Z1270" s="17"/>
      <c r="AA1270" s="17"/>
      <c r="AB1270" s="17"/>
    </row>
    <row r="1271" spans="1:28">
      <c r="A1271" s="17" t="s">
        <v>9675</v>
      </c>
      <c r="B1271" s="17" t="s">
        <v>9675</v>
      </c>
      <c r="C1271" s="17" t="s">
        <v>9676</v>
      </c>
      <c r="D1271" s="17" t="s">
        <v>21</v>
      </c>
      <c r="E1271" s="24">
        <v>2512</v>
      </c>
      <c r="F1271" s="17" t="s">
        <v>129</v>
      </c>
      <c r="G1271" s="17" t="str">
        <f>Config!$B$3</f>
        <v>SCH/R_IEC.SchLib</v>
      </c>
      <c r="H1271" s="17" t="s">
        <v>419</v>
      </c>
      <c r="I1271" s="17" t="s">
        <v>461</v>
      </c>
      <c r="J1271" s="17" t="s">
        <v>7467</v>
      </c>
      <c r="K1271" s="17"/>
      <c r="L1271" s="17"/>
      <c r="M1271" s="21">
        <v>240</v>
      </c>
      <c r="N1271" s="17"/>
      <c r="O1271" s="17"/>
      <c r="P1271" s="17"/>
      <c r="Q1271" s="17"/>
      <c r="R1271" s="17"/>
      <c r="S1271" s="17"/>
      <c r="T1271" s="17"/>
      <c r="U1271" s="17"/>
      <c r="V1271" s="17"/>
      <c r="W1271" s="17"/>
      <c r="X1271" s="17"/>
      <c r="Y1271" s="17"/>
      <c r="Z1271" s="17"/>
      <c r="AA1271" s="17"/>
      <c r="AB1271" s="17"/>
    </row>
    <row r="1272" spans="1:28">
      <c r="A1272" s="17" t="s">
        <v>9677</v>
      </c>
      <c r="B1272" s="17" t="s">
        <v>9677</v>
      </c>
      <c r="C1272" s="17" t="s">
        <v>9678</v>
      </c>
      <c r="D1272" s="17" t="s">
        <v>21</v>
      </c>
      <c r="E1272" s="24">
        <v>2512</v>
      </c>
      <c r="F1272" s="17" t="s">
        <v>131</v>
      </c>
      <c r="G1272" s="17" t="str">
        <f>Config!$B$3</f>
        <v>SCH/R_IEC.SchLib</v>
      </c>
      <c r="H1272" s="17" t="s">
        <v>419</v>
      </c>
      <c r="I1272" s="17" t="s">
        <v>461</v>
      </c>
      <c r="J1272" s="17" t="s">
        <v>7467</v>
      </c>
      <c r="K1272" s="17"/>
      <c r="L1272" s="17"/>
      <c r="M1272" s="21">
        <v>270</v>
      </c>
      <c r="N1272" s="17"/>
      <c r="O1272" s="17"/>
      <c r="P1272" s="17"/>
      <c r="Q1272" s="17"/>
      <c r="R1272" s="17"/>
      <c r="S1272" s="17"/>
      <c r="T1272" s="17"/>
      <c r="U1272" s="17"/>
      <c r="V1272" s="17"/>
      <c r="W1272" s="17"/>
      <c r="X1272" s="17"/>
      <c r="Y1272" s="17"/>
      <c r="Z1272" s="17"/>
      <c r="AA1272" s="17"/>
      <c r="AB1272" s="17"/>
    </row>
    <row r="1273" spans="1:28">
      <c r="A1273" s="17" t="s">
        <v>9679</v>
      </c>
      <c r="B1273" s="17" t="s">
        <v>9679</v>
      </c>
      <c r="C1273" s="17" t="s">
        <v>9680</v>
      </c>
      <c r="D1273" s="17" t="s">
        <v>21</v>
      </c>
      <c r="E1273" s="24">
        <v>2512</v>
      </c>
      <c r="F1273" s="17" t="s">
        <v>133</v>
      </c>
      <c r="G1273" s="17" t="str">
        <f>Config!$B$3</f>
        <v>SCH/R_IEC.SchLib</v>
      </c>
      <c r="H1273" s="17" t="s">
        <v>419</v>
      </c>
      <c r="I1273" s="17" t="s">
        <v>461</v>
      </c>
      <c r="J1273" s="17" t="s">
        <v>7467</v>
      </c>
      <c r="K1273" s="17"/>
      <c r="L1273" s="17"/>
      <c r="M1273" s="21">
        <v>300</v>
      </c>
      <c r="N1273" s="17"/>
      <c r="O1273" s="17"/>
      <c r="P1273" s="17"/>
      <c r="Q1273" s="17"/>
      <c r="R1273" s="17"/>
      <c r="S1273" s="17"/>
      <c r="T1273" s="17"/>
      <c r="U1273" s="17"/>
      <c r="V1273" s="17"/>
      <c r="W1273" s="17"/>
      <c r="X1273" s="17"/>
      <c r="Y1273" s="17"/>
      <c r="Z1273" s="17"/>
      <c r="AA1273" s="17"/>
      <c r="AB1273" s="17"/>
    </row>
    <row r="1274" spans="1:28">
      <c r="A1274" s="17" t="s">
        <v>9681</v>
      </c>
      <c r="B1274" s="17" t="s">
        <v>9681</v>
      </c>
      <c r="C1274" s="17" t="s">
        <v>9682</v>
      </c>
      <c r="D1274" s="17" t="s">
        <v>21</v>
      </c>
      <c r="E1274" s="24">
        <v>2512</v>
      </c>
      <c r="F1274" s="17" t="s">
        <v>137</v>
      </c>
      <c r="G1274" s="17" t="str">
        <f>Config!$B$3</f>
        <v>SCH/R_IEC.SchLib</v>
      </c>
      <c r="H1274" s="17" t="s">
        <v>419</v>
      </c>
      <c r="I1274" s="17" t="s">
        <v>461</v>
      </c>
      <c r="J1274" s="17" t="s">
        <v>7467</v>
      </c>
      <c r="K1274" s="17"/>
      <c r="L1274" s="17"/>
      <c r="M1274" s="21">
        <v>330</v>
      </c>
      <c r="N1274" s="17"/>
      <c r="O1274" s="17"/>
      <c r="P1274" s="17"/>
      <c r="Q1274" s="17"/>
      <c r="R1274" s="17"/>
      <c r="S1274" s="17"/>
      <c r="T1274" s="17"/>
      <c r="U1274" s="17"/>
      <c r="V1274" s="17"/>
      <c r="W1274" s="17"/>
      <c r="X1274" s="17"/>
      <c r="Y1274" s="17"/>
      <c r="Z1274" s="17"/>
      <c r="AA1274" s="17"/>
      <c r="AB1274" s="17"/>
    </row>
    <row r="1275" spans="1:28">
      <c r="A1275" s="17" t="s">
        <v>9683</v>
      </c>
      <c r="B1275" s="17" t="s">
        <v>9683</v>
      </c>
      <c r="C1275" s="17" t="s">
        <v>9684</v>
      </c>
      <c r="D1275" s="17" t="s">
        <v>21</v>
      </c>
      <c r="E1275" s="24">
        <v>2512</v>
      </c>
      <c r="F1275" s="17" t="s">
        <v>139</v>
      </c>
      <c r="G1275" s="17" t="str">
        <f>Config!$B$3</f>
        <v>SCH/R_IEC.SchLib</v>
      </c>
      <c r="H1275" s="17" t="s">
        <v>419</v>
      </c>
      <c r="I1275" s="17" t="s">
        <v>461</v>
      </c>
      <c r="J1275" s="17" t="s">
        <v>7467</v>
      </c>
      <c r="K1275" s="17"/>
      <c r="L1275" s="17"/>
      <c r="M1275" s="21">
        <v>360</v>
      </c>
      <c r="N1275" s="17"/>
      <c r="O1275" s="17"/>
      <c r="P1275" s="17"/>
      <c r="Q1275" s="17"/>
      <c r="R1275" s="17"/>
      <c r="S1275" s="17"/>
      <c r="T1275" s="17"/>
      <c r="U1275" s="17"/>
      <c r="V1275" s="17"/>
      <c r="W1275" s="17"/>
      <c r="X1275" s="17"/>
      <c r="Y1275" s="17"/>
      <c r="Z1275" s="17"/>
      <c r="AA1275" s="17"/>
      <c r="AB1275" s="17"/>
    </row>
    <row r="1276" spans="1:28">
      <c r="A1276" s="17" t="s">
        <v>9685</v>
      </c>
      <c r="B1276" s="17" t="s">
        <v>9685</v>
      </c>
      <c r="C1276" s="17" t="s">
        <v>9686</v>
      </c>
      <c r="D1276" s="17" t="s">
        <v>21</v>
      </c>
      <c r="E1276" s="24">
        <v>2512</v>
      </c>
      <c r="F1276" s="17" t="s">
        <v>141</v>
      </c>
      <c r="G1276" s="17" t="str">
        <f>Config!$B$3</f>
        <v>SCH/R_IEC.SchLib</v>
      </c>
      <c r="H1276" s="17" t="s">
        <v>419</v>
      </c>
      <c r="I1276" s="17" t="s">
        <v>461</v>
      </c>
      <c r="J1276" s="17" t="s">
        <v>7467</v>
      </c>
      <c r="K1276" s="17"/>
      <c r="L1276" s="17"/>
      <c r="M1276" s="21">
        <v>390</v>
      </c>
      <c r="N1276" s="17"/>
      <c r="O1276" s="17"/>
      <c r="P1276" s="17"/>
      <c r="Q1276" s="17"/>
      <c r="R1276" s="17"/>
      <c r="S1276" s="17"/>
      <c r="T1276" s="17"/>
      <c r="U1276" s="17"/>
      <c r="V1276" s="17"/>
      <c r="W1276" s="17"/>
      <c r="X1276" s="17"/>
      <c r="Y1276" s="17"/>
      <c r="Z1276" s="17"/>
      <c r="AA1276" s="17"/>
      <c r="AB1276" s="17"/>
    </row>
    <row r="1277" spans="1:28">
      <c r="A1277" s="17" t="s">
        <v>9687</v>
      </c>
      <c r="B1277" s="17" t="s">
        <v>9687</v>
      </c>
      <c r="C1277" s="17" t="s">
        <v>9688</v>
      </c>
      <c r="D1277" s="17" t="s">
        <v>21</v>
      </c>
      <c r="E1277" s="24">
        <v>2512</v>
      </c>
      <c r="F1277" s="17" t="s">
        <v>143</v>
      </c>
      <c r="G1277" s="17" t="str">
        <f>Config!$B$3</f>
        <v>SCH/R_IEC.SchLib</v>
      </c>
      <c r="H1277" s="17" t="s">
        <v>419</v>
      </c>
      <c r="I1277" s="17" t="s">
        <v>461</v>
      </c>
      <c r="J1277" s="17" t="s">
        <v>7467</v>
      </c>
      <c r="K1277" s="17"/>
      <c r="L1277" s="17"/>
      <c r="M1277" s="21">
        <v>430</v>
      </c>
      <c r="N1277" s="17"/>
      <c r="O1277" s="17"/>
      <c r="P1277" s="17"/>
      <c r="Q1277" s="17"/>
      <c r="R1277" s="17"/>
      <c r="S1277" s="17"/>
      <c r="T1277" s="17"/>
      <c r="U1277" s="17"/>
      <c r="V1277" s="17"/>
      <c r="W1277" s="17"/>
      <c r="X1277" s="17"/>
      <c r="Y1277" s="17"/>
      <c r="Z1277" s="17"/>
      <c r="AA1277" s="17"/>
      <c r="AB1277" s="17"/>
    </row>
    <row r="1278" spans="1:28">
      <c r="A1278" s="17" t="s">
        <v>9689</v>
      </c>
      <c r="B1278" s="17" t="s">
        <v>9689</v>
      </c>
      <c r="C1278" s="17" t="s">
        <v>9690</v>
      </c>
      <c r="D1278" s="17" t="s">
        <v>21</v>
      </c>
      <c r="E1278" s="24">
        <v>2512</v>
      </c>
      <c r="F1278" s="17" t="s">
        <v>145</v>
      </c>
      <c r="G1278" s="17" t="str">
        <f>Config!$B$3</f>
        <v>SCH/R_IEC.SchLib</v>
      </c>
      <c r="H1278" s="17" t="s">
        <v>419</v>
      </c>
      <c r="I1278" s="17" t="s">
        <v>461</v>
      </c>
      <c r="J1278" s="17" t="s">
        <v>7467</v>
      </c>
      <c r="K1278" s="17"/>
      <c r="L1278" s="17"/>
      <c r="M1278" s="21">
        <v>470</v>
      </c>
      <c r="N1278" s="17"/>
      <c r="O1278" s="17"/>
      <c r="P1278" s="17"/>
      <c r="Q1278" s="17"/>
      <c r="R1278" s="17"/>
      <c r="S1278" s="17"/>
      <c r="T1278" s="17"/>
      <c r="U1278" s="17"/>
      <c r="V1278" s="17"/>
      <c r="W1278" s="17"/>
      <c r="X1278" s="17"/>
      <c r="Y1278" s="17"/>
      <c r="Z1278" s="17"/>
      <c r="AA1278" s="17"/>
      <c r="AB1278" s="17"/>
    </row>
    <row r="1279" spans="1:28">
      <c r="A1279" s="17" t="s">
        <v>9691</v>
      </c>
      <c r="B1279" s="17" t="s">
        <v>9691</v>
      </c>
      <c r="C1279" s="17" t="s">
        <v>9692</v>
      </c>
      <c r="D1279" s="17" t="s">
        <v>21</v>
      </c>
      <c r="E1279" s="24">
        <v>2512</v>
      </c>
      <c r="F1279" s="17" t="s">
        <v>149</v>
      </c>
      <c r="G1279" s="17" t="str">
        <f>Config!$B$3</f>
        <v>SCH/R_IEC.SchLib</v>
      </c>
      <c r="H1279" s="17" t="s">
        <v>419</v>
      </c>
      <c r="I1279" s="17" t="s">
        <v>461</v>
      </c>
      <c r="J1279" s="17" t="s">
        <v>7467</v>
      </c>
      <c r="K1279" s="17"/>
      <c r="L1279" s="17"/>
      <c r="M1279" s="21">
        <v>510</v>
      </c>
      <c r="N1279" s="17"/>
      <c r="O1279" s="17"/>
      <c r="P1279" s="17"/>
      <c r="Q1279" s="17"/>
      <c r="R1279" s="17"/>
      <c r="S1279" s="17"/>
      <c r="T1279" s="17"/>
      <c r="U1279" s="17"/>
      <c r="V1279" s="17"/>
      <c r="W1279" s="17"/>
      <c r="X1279" s="17"/>
      <c r="Y1279" s="17"/>
      <c r="Z1279" s="17"/>
      <c r="AA1279" s="17"/>
      <c r="AB1279" s="17"/>
    </row>
    <row r="1280" spans="1:28">
      <c r="A1280" s="17" t="s">
        <v>9693</v>
      </c>
      <c r="B1280" s="17" t="s">
        <v>9693</v>
      </c>
      <c r="C1280" s="17" t="s">
        <v>9694</v>
      </c>
      <c r="D1280" s="17" t="s">
        <v>21</v>
      </c>
      <c r="E1280" s="24">
        <v>2512</v>
      </c>
      <c r="F1280" s="17" t="s">
        <v>151</v>
      </c>
      <c r="G1280" s="17" t="str">
        <f>Config!$B$3</f>
        <v>SCH/R_IEC.SchLib</v>
      </c>
      <c r="H1280" s="17" t="s">
        <v>419</v>
      </c>
      <c r="I1280" s="17" t="s">
        <v>461</v>
      </c>
      <c r="J1280" s="17" t="s">
        <v>7467</v>
      </c>
      <c r="K1280" s="17"/>
      <c r="L1280" s="17"/>
      <c r="M1280" s="21">
        <v>560</v>
      </c>
      <c r="N1280" s="17" t="s">
        <v>13979</v>
      </c>
      <c r="O1280" s="17" t="s">
        <v>477</v>
      </c>
      <c r="P1280" s="17" t="s">
        <v>13631</v>
      </c>
      <c r="Q1280" s="17" t="s">
        <v>25</v>
      </c>
      <c r="R1280" s="17" t="s">
        <v>13632</v>
      </c>
      <c r="S1280" t="s">
        <v>477</v>
      </c>
      <c r="T1280" s="17" t="s">
        <v>13633</v>
      </c>
      <c r="U1280" t="s">
        <v>25</v>
      </c>
      <c r="V1280" s="17" t="s">
        <v>13634</v>
      </c>
      <c r="W1280" s="17"/>
      <c r="X1280" s="17"/>
      <c r="Y1280" s="17"/>
      <c r="Z1280" s="17"/>
      <c r="AA1280" s="17"/>
      <c r="AB1280" s="17"/>
    </row>
    <row r="1281" spans="1:28">
      <c r="A1281" s="17" t="s">
        <v>9695</v>
      </c>
      <c r="B1281" s="17" t="s">
        <v>9695</v>
      </c>
      <c r="C1281" s="17" t="s">
        <v>9696</v>
      </c>
      <c r="D1281" s="17" t="s">
        <v>21</v>
      </c>
      <c r="E1281" s="24">
        <v>2512</v>
      </c>
      <c r="F1281" s="17" t="s">
        <v>153</v>
      </c>
      <c r="G1281" s="17" t="str">
        <f>Config!$B$3</f>
        <v>SCH/R_IEC.SchLib</v>
      </c>
      <c r="H1281" s="17" t="s">
        <v>419</v>
      </c>
      <c r="I1281" s="17" t="s">
        <v>461</v>
      </c>
      <c r="J1281" s="17" t="s">
        <v>7467</v>
      </c>
      <c r="K1281" s="17"/>
      <c r="L1281" s="17"/>
      <c r="M1281" s="21">
        <v>620</v>
      </c>
      <c r="N1281" s="17"/>
      <c r="O1281" s="17"/>
      <c r="P1281" s="17"/>
      <c r="Q1281" s="17"/>
      <c r="R1281" s="17"/>
      <c r="S1281" s="17"/>
      <c r="T1281" s="17"/>
      <c r="U1281" s="17"/>
      <c r="V1281" s="17"/>
      <c r="W1281" s="17"/>
      <c r="X1281" s="17"/>
      <c r="Y1281" s="17"/>
      <c r="Z1281" s="17"/>
      <c r="AA1281" s="17"/>
      <c r="AB1281" s="17"/>
    </row>
    <row r="1282" spans="1:28">
      <c r="A1282" s="17" t="s">
        <v>9697</v>
      </c>
      <c r="B1282" s="17" t="s">
        <v>9697</v>
      </c>
      <c r="C1282" s="17" t="s">
        <v>9698</v>
      </c>
      <c r="D1282" s="17" t="s">
        <v>21</v>
      </c>
      <c r="E1282" s="24">
        <v>2512</v>
      </c>
      <c r="F1282" s="17" t="s">
        <v>155</v>
      </c>
      <c r="G1282" s="17" t="str">
        <f>Config!$B$3</f>
        <v>SCH/R_IEC.SchLib</v>
      </c>
      <c r="H1282" s="17" t="s">
        <v>419</v>
      </c>
      <c r="I1282" s="17" t="s">
        <v>461</v>
      </c>
      <c r="J1282" s="17" t="s">
        <v>7467</v>
      </c>
      <c r="K1282" s="17"/>
      <c r="L1282" s="17"/>
      <c r="M1282" s="21">
        <v>680</v>
      </c>
      <c r="N1282" s="17"/>
      <c r="O1282" s="17"/>
      <c r="P1282" s="17"/>
      <c r="Q1282" s="17"/>
      <c r="R1282" s="17"/>
      <c r="S1282" s="17"/>
      <c r="T1282" s="17"/>
      <c r="U1282" s="17"/>
      <c r="V1282" s="17"/>
      <c r="W1282" s="17"/>
      <c r="X1282" s="17"/>
      <c r="Y1282" s="17"/>
      <c r="Z1282" s="17"/>
      <c r="AA1282" s="17"/>
      <c r="AB1282" s="17"/>
    </row>
    <row r="1283" spans="1:28">
      <c r="A1283" s="17" t="s">
        <v>9699</v>
      </c>
      <c r="B1283" s="17" t="s">
        <v>9699</v>
      </c>
      <c r="C1283" s="17" t="s">
        <v>9700</v>
      </c>
      <c r="D1283" s="17" t="s">
        <v>21</v>
      </c>
      <c r="E1283" s="24">
        <v>2512</v>
      </c>
      <c r="F1283" s="17" t="s">
        <v>157</v>
      </c>
      <c r="G1283" s="17" t="str">
        <f>Config!$B$3</f>
        <v>SCH/R_IEC.SchLib</v>
      </c>
      <c r="H1283" s="17" t="s">
        <v>419</v>
      </c>
      <c r="I1283" s="17" t="s">
        <v>461</v>
      </c>
      <c r="J1283" s="17" t="s">
        <v>7467</v>
      </c>
      <c r="K1283" s="17"/>
      <c r="L1283" s="17"/>
      <c r="M1283" s="21">
        <v>750</v>
      </c>
      <c r="N1283" s="17"/>
      <c r="O1283" s="17"/>
      <c r="P1283" s="17"/>
      <c r="Q1283" s="17"/>
      <c r="R1283" s="17"/>
      <c r="S1283" s="17"/>
      <c r="T1283" s="17"/>
      <c r="U1283" s="17"/>
      <c r="V1283" s="17"/>
      <c r="W1283" s="17"/>
      <c r="X1283" s="17"/>
      <c r="Y1283" s="17"/>
      <c r="Z1283" s="17"/>
      <c r="AA1283" s="17"/>
      <c r="AB1283" s="17"/>
    </row>
    <row r="1284" spans="1:28">
      <c r="A1284" s="17" t="s">
        <v>9701</v>
      </c>
      <c r="B1284" s="17" t="s">
        <v>9701</v>
      </c>
      <c r="C1284" s="17" t="s">
        <v>9702</v>
      </c>
      <c r="D1284" s="17" t="s">
        <v>21</v>
      </c>
      <c r="E1284" s="24">
        <v>2512</v>
      </c>
      <c r="F1284" s="17" t="s">
        <v>159</v>
      </c>
      <c r="G1284" s="17" t="str">
        <f>Config!$B$3</f>
        <v>SCH/R_IEC.SchLib</v>
      </c>
      <c r="H1284" s="17" t="s">
        <v>419</v>
      </c>
      <c r="I1284" s="17" t="s">
        <v>461</v>
      </c>
      <c r="J1284" s="17" t="s">
        <v>7467</v>
      </c>
      <c r="K1284" s="17"/>
      <c r="L1284" s="17"/>
      <c r="M1284" s="21">
        <v>820</v>
      </c>
      <c r="N1284" s="17"/>
      <c r="O1284" s="17"/>
      <c r="P1284" s="17"/>
      <c r="Q1284" s="17"/>
      <c r="R1284" s="17"/>
      <c r="S1284" s="17"/>
      <c r="T1284" s="17"/>
      <c r="U1284" s="17"/>
      <c r="V1284" s="17"/>
      <c r="W1284" s="17"/>
      <c r="X1284" s="17"/>
      <c r="Y1284" s="17"/>
      <c r="Z1284" s="17"/>
      <c r="AA1284" s="17"/>
      <c r="AB1284" s="17"/>
    </row>
    <row r="1285" spans="1:28">
      <c r="A1285" s="17" t="s">
        <v>9703</v>
      </c>
      <c r="B1285" s="17" t="s">
        <v>9703</v>
      </c>
      <c r="C1285" s="17" t="s">
        <v>9704</v>
      </c>
      <c r="D1285" s="17" t="s">
        <v>21</v>
      </c>
      <c r="E1285" s="24">
        <v>2512</v>
      </c>
      <c r="F1285" s="17" t="s">
        <v>161</v>
      </c>
      <c r="G1285" s="17" t="str">
        <f>Config!$B$3</f>
        <v>SCH/R_IEC.SchLib</v>
      </c>
      <c r="H1285" s="17" t="s">
        <v>419</v>
      </c>
      <c r="I1285" s="17" t="s">
        <v>461</v>
      </c>
      <c r="J1285" s="17" t="s">
        <v>7467</v>
      </c>
      <c r="K1285" s="17"/>
      <c r="L1285" s="17"/>
      <c r="M1285" s="21">
        <v>910</v>
      </c>
      <c r="N1285" s="17"/>
      <c r="O1285" s="17"/>
      <c r="P1285" s="17"/>
      <c r="Q1285" s="17"/>
      <c r="R1285" s="17"/>
      <c r="S1285" s="17"/>
      <c r="T1285" s="17"/>
      <c r="U1285" s="17"/>
      <c r="V1285" s="17"/>
      <c r="W1285" s="17"/>
      <c r="X1285" s="17"/>
      <c r="Y1285" s="17"/>
      <c r="Z1285" s="17"/>
      <c r="AA1285" s="17"/>
      <c r="AB1285" s="17"/>
    </row>
    <row r="1286" spans="1:28">
      <c r="A1286" s="17" t="s">
        <v>9705</v>
      </c>
      <c r="B1286" s="17" t="s">
        <v>9705</v>
      </c>
      <c r="C1286" s="17" t="s">
        <v>9706</v>
      </c>
      <c r="D1286" s="17" t="s">
        <v>21</v>
      </c>
      <c r="E1286" s="24">
        <v>2512</v>
      </c>
      <c r="F1286" s="17" t="s">
        <v>163</v>
      </c>
      <c r="G1286" s="17" t="str">
        <f>Config!$B$3</f>
        <v>SCH/R_IEC.SchLib</v>
      </c>
      <c r="H1286" s="17" t="s">
        <v>419</v>
      </c>
      <c r="I1286" s="17" t="s">
        <v>461</v>
      </c>
      <c r="J1286" s="17" t="s">
        <v>7467</v>
      </c>
      <c r="K1286" s="17"/>
      <c r="L1286" s="17"/>
      <c r="M1286" s="21">
        <v>1000</v>
      </c>
      <c r="N1286" s="17"/>
      <c r="O1286" s="17"/>
      <c r="P1286" s="17"/>
      <c r="Q1286" s="17"/>
      <c r="R1286" s="17"/>
      <c r="S1286" s="17"/>
      <c r="T1286" s="17"/>
      <c r="U1286" s="17"/>
      <c r="V1286" s="17"/>
      <c r="W1286" s="17"/>
      <c r="X1286" s="17"/>
      <c r="Y1286" s="17"/>
      <c r="Z1286" s="17"/>
      <c r="AA1286" s="17"/>
      <c r="AB1286" s="17"/>
    </row>
    <row r="1287" spans="1:28">
      <c r="A1287" s="17" t="s">
        <v>9707</v>
      </c>
      <c r="B1287" s="17" t="s">
        <v>9707</v>
      </c>
      <c r="C1287" s="17" t="s">
        <v>9708</v>
      </c>
      <c r="D1287" s="17" t="s">
        <v>21</v>
      </c>
      <c r="E1287" s="24">
        <v>2512</v>
      </c>
      <c r="F1287" s="17" t="s">
        <v>165</v>
      </c>
      <c r="G1287" s="17" t="str">
        <f>Config!$B$3</f>
        <v>SCH/R_IEC.SchLib</v>
      </c>
      <c r="H1287" s="17" t="s">
        <v>419</v>
      </c>
      <c r="I1287" s="17" t="s">
        <v>461</v>
      </c>
      <c r="J1287" s="17" t="s">
        <v>7467</v>
      </c>
      <c r="K1287" s="17"/>
      <c r="L1287" s="17"/>
      <c r="M1287" s="21">
        <v>1100</v>
      </c>
      <c r="N1287" s="17"/>
      <c r="O1287" s="17"/>
      <c r="P1287" s="17"/>
      <c r="Q1287" s="17"/>
      <c r="R1287" s="17"/>
      <c r="S1287" s="17"/>
      <c r="T1287" s="17"/>
      <c r="U1287" s="17"/>
      <c r="V1287" s="17"/>
      <c r="W1287" s="17"/>
      <c r="X1287" s="17"/>
      <c r="Y1287" s="17"/>
      <c r="Z1287" s="17"/>
      <c r="AA1287" s="17"/>
      <c r="AB1287" s="17"/>
    </row>
    <row r="1288" spans="1:28">
      <c r="A1288" s="16" t="s">
        <v>8068</v>
      </c>
      <c r="B1288" s="16" t="s">
        <v>8068</v>
      </c>
      <c r="C1288" s="16" t="s">
        <v>8069</v>
      </c>
      <c r="D1288" s="16" t="s">
        <v>21</v>
      </c>
      <c r="E1288" s="16" t="s">
        <v>7465</v>
      </c>
      <c r="F1288" s="16" t="s">
        <v>167</v>
      </c>
      <c r="G1288" s="17" t="str">
        <f>Config!$B$3</f>
        <v>SCH/R_IEC.SchLib</v>
      </c>
      <c r="H1288" s="16" t="s">
        <v>419</v>
      </c>
      <c r="I1288" s="18" t="s">
        <v>461</v>
      </c>
      <c r="J1288" s="16" t="s">
        <v>7467</v>
      </c>
      <c r="K1288" s="16"/>
      <c r="L1288" s="16"/>
      <c r="M1288" s="20">
        <v>1200</v>
      </c>
      <c r="N1288" s="17" t="s">
        <v>13979</v>
      </c>
      <c r="O1288" s="16" t="s">
        <v>477</v>
      </c>
      <c r="P1288" s="16" t="s">
        <v>8072</v>
      </c>
      <c r="Q1288" s="16" t="s">
        <v>25</v>
      </c>
      <c r="R1288" s="16" t="s">
        <v>8073</v>
      </c>
      <c r="S1288" s="16" t="s">
        <v>477</v>
      </c>
      <c r="T1288" s="16" t="s">
        <v>8070</v>
      </c>
      <c r="U1288" s="16" t="s">
        <v>25</v>
      </c>
      <c r="V1288" s="16" t="s">
        <v>8071</v>
      </c>
      <c r="W1288" s="17"/>
      <c r="X1288" s="17"/>
      <c r="Y1288" s="17"/>
      <c r="Z1288" s="17"/>
      <c r="AA1288" s="17"/>
      <c r="AB1288" s="17" t="str">
        <f t="shared" ref="AB1288" si="9">"GPR"&amp;E1288&amp;F1288</f>
        <v>GPR25121K2</v>
      </c>
    </row>
    <row r="1289" spans="1:28">
      <c r="A1289" s="17" t="s">
        <v>9709</v>
      </c>
      <c r="B1289" s="17" t="s">
        <v>9709</v>
      </c>
      <c r="C1289" s="17" t="s">
        <v>9710</v>
      </c>
      <c r="D1289" s="17" t="s">
        <v>21</v>
      </c>
      <c r="E1289" s="24">
        <v>2512</v>
      </c>
      <c r="F1289" s="17" t="s">
        <v>169</v>
      </c>
      <c r="G1289" s="17" t="str">
        <f>Config!$B$3</f>
        <v>SCH/R_IEC.SchLib</v>
      </c>
      <c r="H1289" s="17" t="s">
        <v>419</v>
      </c>
      <c r="I1289" s="17" t="s">
        <v>461</v>
      </c>
      <c r="J1289" s="17" t="s">
        <v>7467</v>
      </c>
      <c r="K1289" s="17"/>
      <c r="L1289" s="17"/>
      <c r="M1289" s="21">
        <v>1300</v>
      </c>
      <c r="N1289" s="17"/>
      <c r="O1289" s="17"/>
      <c r="P1289" s="17"/>
      <c r="Q1289" s="17"/>
      <c r="R1289" s="17"/>
      <c r="S1289" s="17"/>
      <c r="T1289" s="17"/>
      <c r="U1289" s="17"/>
      <c r="V1289" s="17"/>
      <c r="W1289" s="17"/>
      <c r="X1289" s="17"/>
      <c r="Y1289" s="17"/>
      <c r="Z1289" s="17"/>
      <c r="AA1289" s="17"/>
      <c r="AB1289" s="17"/>
    </row>
    <row r="1290" spans="1:28">
      <c r="A1290" s="17" t="s">
        <v>9711</v>
      </c>
      <c r="B1290" s="17" t="s">
        <v>9711</v>
      </c>
      <c r="C1290" s="17" t="s">
        <v>9712</v>
      </c>
      <c r="D1290" s="17" t="s">
        <v>21</v>
      </c>
      <c r="E1290" s="24">
        <v>2512</v>
      </c>
      <c r="F1290" s="17" t="s">
        <v>171</v>
      </c>
      <c r="G1290" s="17" t="str">
        <f>Config!$B$3</f>
        <v>SCH/R_IEC.SchLib</v>
      </c>
      <c r="H1290" s="17" t="s">
        <v>419</v>
      </c>
      <c r="I1290" s="17" t="s">
        <v>461</v>
      </c>
      <c r="J1290" s="17" t="s">
        <v>7467</v>
      </c>
      <c r="K1290" s="17"/>
      <c r="L1290" s="17"/>
      <c r="M1290" s="21">
        <v>1500</v>
      </c>
      <c r="N1290" s="17"/>
      <c r="O1290" s="17"/>
      <c r="P1290" s="17"/>
      <c r="Q1290" s="17"/>
      <c r="R1290" s="17"/>
      <c r="S1290" s="17"/>
      <c r="T1290" s="17"/>
      <c r="U1290" s="17"/>
      <c r="V1290" s="17"/>
      <c r="W1290" s="17"/>
      <c r="X1290" s="17"/>
      <c r="Y1290" s="17"/>
      <c r="Z1290" s="17"/>
      <c r="AA1290" s="17"/>
      <c r="AB1290" s="17"/>
    </row>
    <row r="1291" spans="1:28">
      <c r="A1291" s="17" t="s">
        <v>9713</v>
      </c>
      <c r="B1291" s="17" t="s">
        <v>9713</v>
      </c>
      <c r="C1291" s="17" t="s">
        <v>9714</v>
      </c>
      <c r="D1291" s="17" t="s">
        <v>21</v>
      </c>
      <c r="E1291" s="24">
        <v>2512</v>
      </c>
      <c r="F1291" s="17" t="s">
        <v>175</v>
      </c>
      <c r="G1291" s="17" t="str">
        <f>Config!$B$3</f>
        <v>SCH/R_IEC.SchLib</v>
      </c>
      <c r="H1291" s="17" t="s">
        <v>419</v>
      </c>
      <c r="I1291" s="17" t="s">
        <v>461</v>
      </c>
      <c r="J1291" s="17" t="s">
        <v>7467</v>
      </c>
      <c r="K1291" s="17"/>
      <c r="L1291" s="17"/>
      <c r="M1291" s="21">
        <v>1600</v>
      </c>
      <c r="N1291" s="17"/>
      <c r="O1291" s="17"/>
      <c r="P1291" s="17"/>
      <c r="Q1291" s="17"/>
      <c r="R1291" s="17"/>
      <c r="S1291" s="17"/>
      <c r="T1291" s="17"/>
      <c r="U1291" s="17"/>
      <c r="V1291" s="17"/>
      <c r="W1291" s="17"/>
      <c r="X1291" s="17"/>
      <c r="Y1291" s="17"/>
      <c r="Z1291" s="17"/>
      <c r="AA1291" s="17"/>
      <c r="AB1291" s="17"/>
    </row>
    <row r="1292" spans="1:28">
      <c r="A1292" s="17" t="s">
        <v>9715</v>
      </c>
      <c r="B1292" s="17" t="s">
        <v>9715</v>
      </c>
      <c r="C1292" s="17" t="s">
        <v>9716</v>
      </c>
      <c r="D1292" s="17" t="s">
        <v>21</v>
      </c>
      <c r="E1292" s="24">
        <v>2512</v>
      </c>
      <c r="F1292" s="17" t="s">
        <v>181</v>
      </c>
      <c r="G1292" s="17" t="str">
        <f>Config!$B$3</f>
        <v>SCH/R_IEC.SchLib</v>
      </c>
      <c r="H1292" s="17" t="s">
        <v>419</v>
      </c>
      <c r="I1292" s="17" t="s">
        <v>461</v>
      </c>
      <c r="J1292" s="17" t="s">
        <v>7467</v>
      </c>
      <c r="K1292" s="17"/>
      <c r="L1292" s="17"/>
      <c r="M1292" s="21">
        <v>1800</v>
      </c>
      <c r="N1292" s="17"/>
      <c r="O1292" s="17"/>
      <c r="P1292" s="17"/>
      <c r="Q1292" s="17"/>
      <c r="R1292" s="17"/>
      <c r="S1292" s="17"/>
      <c r="T1292" s="17"/>
      <c r="U1292" s="17"/>
      <c r="V1292" s="17"/>
      <c r="W1292" s="17"/>
      <c r="X1292" s="17"/>
      <c r="Y1292" s="17"/>
      <c r="Z1292" s="17"/>
      <c r="AA1292" s="17"/>
      <c r="AB1292" s="17"/>
    </row>
    <row r="1293" spans="1:28">
      <c r="A1293" s="17" t="s">
        <v>9717</v>
      </c>
      <c r="B1293" s="17" t="s">
        <v>9717</v>
      </c>
      <c r="C1293" s="17" t="s">
        <v>9718</v>
      </c>
      <c r="D1293" s="17" t="s">
        <v>21</v>
      </c>
      <c r="E1293" s="24">
        <v>2512</v>
      </c>
      <c r="F1293" s="17" t="s">
        <v>183</v>
      </c>
      <c r="G1293" s="17" t="str">
        <f>Config!$B$3</f>
        <v>SCH/R_IEC.SchLib</v>
      </c>
      <c r="H1293" s="17" t="s">
        <v>419</v>
      </c>
      <c r="I1293" s="17" t="s">
        <v>461</v>
      </c>
      <c r="J1293" s="17" t="s">
        <v>7467</v>
      </c>
      <c r="K1293" s="17"/>
      <c r="L1293" s="17"/>
      <c r="M1293" s="21">
        <v>2000</v>
      </c>
      <c r="N1293" s="17"/>
      <c r="O1293" s="17"/>
      <c r="P1293" s="17"/>
      <c r="Q1293" s="17"/>
      <c r="R1293" s="17"/>
      <c r="S1293" s="17"/>
      <c r="T1293" s="17"/>
      <c r="U1293" s="17"/>
      <c r="V1293" s="17"/>
      <c r="W1293" s="17"/>
      <c r="X1293" s="17"/>
      <c r="Y1293" s="17"/>
      <c r="Z1293" s="17"/>
      <c r="AA1293" s="17"/>
      <c r="AB1293" s="17"/>
    </row>
    <row r="1294" spans="1:28">
      <c r="A1294" s="17" t="s">
        <v>9719</v>
      </c>
      <c r="B1294" s="17" t="s">
        <v>9719</v>
      </c>
      <c r="C1294" s="17" t="s">
        <v>9720</v>
      </c>
      <c r="D1294" s="17" t="s">
        <v>21</v>
      </c>
      <c r="E1294" s="24">
        <v>2512</v>
      </c>
      <c r="F1294" s="17" t="s">
        <v>187</v>
      </c>
      <c r="G1294" s="17" t="str">
        <f>Config!$B$3</f>
        <v>SCH/R_IEC.SchLib</v>
      </c>
      <c r="H1294" s="17" t="s">
        <v>419</v>
      </c>
      <c r="I1294" s="17" t="s">
        <v>461</v>
      </c>
      <c r="J1294" s="17" t="s">
        <v>7467</v>
      </c>
      <c r="K1294" s="17"/>
      <c r="L1294" s="17"/>
      <c r="M1294" s="21">
        <v>2200</v>
      </c>
      <c r="N1294" s="17"/>
      <c r="O1294" s="17"/>
      <c r="P1294" s="17"/>
      <c r="Q1294" s="17"/>
      <c r="R1294" s="17"/>
      <c r="S1294" s="17"/>
      <c r="T1294" s="17"/>
      <c r="U1294" s="17"/>
      <c r="V1294" s="17"/>
      <c r="W1294" s="17"/>
      <c r="X1294" s="17"/>
      <c r="Y1294" s="17"/>
      <c r="Z1294" s="17"/>
      <c r="AA1294" s="17"/>
      <c r="AB1294" s="17"/>
    </row>
    <row r="1295" spans="1:28">
      <c r="A1295" s="17" t="s">
        <v>9721</v>
      </c>
      <c r="B1295" s="17" t="s">
        <v>9721</v>
      </c>
      <c r="C1295" s="17" t="s">
        <v>9722</v>
      </c>
      <c r="D1295" s="17" t="s">
        <v>21</v>
      </c>
      <c r="E1295" s="24">
        <v>2512</v>
      </c>
      <c r="F1295" s="17" t="s">
        <v>191</v>
      </c>
      <c r="G1295" s="17" t="str">
        <f>Config!$B$3</f>
        <v>SCH/R_IEC.SchLib</v>
      </c>
      <c r="H1295" s="17" t="s">
        <v>419</v>
      </c>
      <c r="I1295" s="17" t="s">
        <v>461</v>
      </c>
      <c r="J1295" s="17" t="s">
        <v>7467</v>
      </c>
      <c r="K1295" s="17"/>
      <c r="L1295" s="17"/>
      <c r="M1295" s="21">
        <v>2400</v>
      </c>
      <c r="N1295" s="17"/>
      <c r="O1295" s="17"/>
      <c r="P1295" s="17"/>
      <c r="Q1295" s="17"/>
      <c r="R1295" s="17"/>
      <c r="S1295" s="17"/>
      <c r="T1295" s="17"/>
      <c r="U1295" s="17"/>
      <c r="V1295" s="17"/>
      <c r="W1295" s="17"/>
      <c r="X1295" s="17"/>
      <c r="Y1295" s="17"/>
      <c r="Z1295" s="17"/>
      <c r="AA1295" s="17"/>
      <c r="AB1295" s="17"/>
    </row>
    <row r="1296" spans="1:28">
      <c r="A1296" s="17" t="s">
        <v>9723</v>
      </c>
      <c r="B1296" s="17" t="s">
        <v>9723</v>
      </c>
      <c r="C1296" s="17" t="s">
        <v>9724</v>
      </c>
      <c r="D1296" s="17" t="s">
        <v>21</v>
      </c>
      <c r="E1296" s="24">
        <v>2512</v>
      </c>
      <c r="F1296" s="17" t="s">
        <v>193</v>
      </c>
      <c r="G1296" s="17" t="str">
        <f>Config!$B$3</f>
        <v>SCH/R_IEC.SchLib</v>
      </c>
      <c r="H1296" s="17" t="s">
        <v>419</v>
      </c>
      <c r="I1296" s="17" t="s">
        <v>461</v>
      </c>
      <c r="J1296" s="17" t="s">
        <v>7467</v>
      </c>
      <c r="K1296" s="17"/>
      <c r="L1296" s="17"/>
      <c r="M1296" s="21">
        <v>2700</v>
      </c>
      <c r="N1296" s="17"/>
      <c r="O1296" s="17"/>
      <c r="P1296" s="17"/>
      <c r="Q1296" s="17"/>
      <c r="R1296" s="17"/>
      <c r="S1296" s="17"/>
      <c r="T1296" s="17"/>
      <c r="U1296" s="17"/>
      <c r="V1296" s="17"/>
      <c r="W1296" s="17"/>
      <c r="X1296" s="17"/>
      <c r="Y1296" s="17"/>
      <c r="Z1296" s="17"/>
      <c r="AA1296" s="17"/>
      <c r="AB1296" s="17"/>
    </row>
    <row r="1297" spans="1:28">
      <c r="A1297" s="17" t="s">
        <v>9725</v>
      </c>
      <c r="B1297" s="17" t="s">
        <v>9725</v>
      </c>
      <c r="C1297" s="17" t="s">
        <v>9726</v>
      </c>
      <c r="D1297" s="17" t="s">
        <v>21</v>
      </c>
      <c r="E1297" s="24">
        <v>2512</v>
      </c>
      <c r="F1297" s="17" t="s">
        <v>197</v>
      </c>
      <c r="G1297" s="17" t="str">
        <f>Config!$B$3</f>
        <v>SCH/R_IEC.SchLib</v>
      </c>
      <c r="H1297" s="17" t="s">
        <v>419</v>
      </c>
      <c r="I1297" s="17" t="s">
        <v>461</v>
      </c>
      <c r="J1297" s="17" t="s">
        <v>7467</v>
      </c>
      <c r="K1297" s="17"/>
      <c r="L1297" s="17"/>
      <c r="M1297" s="21">
        <v>3000</v>
      </c>
      <c r="N1297" s="17"/>
      <c r="O1297" s="17"/>
      <c r="P1297" s="17"/>
      <c r="Q1297" s="17"/>
      <c r="R1297" s="17"/>
      <c r="S1297" s="17"/>
      <c r="T1297" s="17"/>
      <c r="U1297" s="17"/>
      <c r="V1297" s="17"/>
      <c r="W1297" s="17"/>
      <c r="X1297" s="17"/>
      <c r="Y1297" s="17"/>
      <c r="Z1297" s="17"/>
      <c r="AA1297" s="17"/>
      <c r="AB1297" s="17"/>
    </row>
    <row r="1298" spans="1:28">
      <c r="A1298" s="17" t="s">
        <v>9727</v>
      </c>
      <c r="B1298" s="17" t="s">
        <v>9727</v>
      </c>
      <c r="C1298" s="17" t="s">
        <v>9728</v>
      </c>
      <c r="D1298" s="17" t="s">
        <v>21</v>
      </c>
      <c r="E1298" s="24">
        <v>2512</v>
      </c>
      <c r="F1298" s="17" t="s">
        <v>201</v>
      </c>
      <c r="G1298" s="17" t="str">
        <f>Config!$B$3</f>
        <v>SCH/R_IEC.SchLib</v>
      </c>
      <c r="H1298" s="17" t="s">
        <v>419</v>
      </c>
      <c r="I1298" s="17" t="s">
        <v>461</v>
      </c>
      <c r="J1298" s="17" t="s">
        <v>7467</v>
      </c>
      <c r="K1298" s="17"/>
      <c r="L1298" s="17"/>
      <c r="M1298" s="21">
        <v>3300</v>
      </c>
      <c r="N1298" s="17"/>
      <c r="O1298" s="17"/>
      <c r="P1298" s="17"/>
      <c r="Q1298" s="17"/>
      <c r="R1298" s="17"/>
      <c r="S1298" s="17"/>
      <c r="T1298" s="17"/>
      <c r="U1298" s="17"/>
      <c r="V1298" s="17"/>
      <c r="W1298" s="17"/>
      <c r="X1298" s="17"/>
      <c r="Y1298" s="17"/>
      <c r="Z1298" s="17"/>
      <c r="AA1298" s="17"/>
      <c r="AB1298" s="17"/>
    </row>
    <row r="1299" spans="1:28">
      <c r="A1299" s="17" t="s">
        <v>9729</v>
      </c>
      <c r="B1299" s="17" t="s">
        <v>9729</v>
      </c>
      <c r="C1299" s="17" t="s">
        <v>9730</v>
      </c>
      <c r="D1299" s="17" t="s">
        <v>21</v>
      </c>
      <c r="E1299" s="24">
        <v>2512</v>
      </c>
      <c r="F1299" s="17" t="s">
        <v>203</v>
      </c>
      <c r="G1299" s="17" t="str">
        <f>Config!$B$3</f>
        <v>SCH/R_IEC.SchLib</v>
      </c>
      <c r="H1299" s="17" t="s">
        <v>419</v>
      </c>
      <c r="I1299" s="17" t="s">
        <v>461</v>
      </c>
      <c r="J1299" s="17" t="s">
        <v>7467</v>
      </c>
      <c r="K1299" s="17"/>
      <c r="L1299" s="17"/>
      <c r="M1299" s="21">
        <v>3600</v>
      </c>
      <c r="N1299" s="17"/>
      <c r="O1299" s="17"/>
      <c r="P1299" s="17"/>
      <c r="Q1299" s="17"/>
      <c r="R1299" s="17"/>
      <c r="S1299" s="17"/>
      <c r="T1299" s="17"/>
      <c r="U1299" s="17"/>
      <c r="V1299" s="17"/>
      <c r="W1299" s="17"/>
      <c r="X1299" s="17"/>
      <c r="Y1299" s="17"/>
      <c r="Z1299" s="17"/>
      <c r="AA1299" s="17"/>
      <c r="AB1299" s="17"/>
    </row>
    <row r="1300" spans="1:28">
      <c r="A1300" s="17" t="s">
        <v>9731</v>
      </c>
      <c r="B1300" s="17" t="s">
        <v>9731</v>
      </c>
      <c r="C1300" s="17" t="s">
        <v>9732</v>
      </c>
      <c r="D1300" s="17" t="s">
        <v>21</v>
      </c>
      <c r="E1300" s="24">
        <v>2512</v>
      </c>
      <c r="F1300" s="17" t="s">
        <v>205</v>
      </c>
      <c r="G1300" s="17" t="str">
        <f>Config!$B$3</f>
        <v>SCH/R_IEC.SchLib</v>
      </c>
      <c r="H1300" s="17" t="s">
        <v>419</v>
      </c>
      <c r="I1300" s="17" t="s">
        <v>461</v>
      </c>
      <c r="J1300" s="17" t="s">
        <v>7467</v>
      </c>
      <c r="K1300" s="17"/>
      <c r="L1300" s="17"/>
      <c r="M1300" s="21">
        <v>3900</v>
      </c>
      <c r="N1300" s="17"/>
      <c r="O1300" s="17"/>
      <c r="P1300" s="17"/>
      <c r="Q1300" s="17"/>
      <c r="R1300" s="17"/>
      <c r="S1300" s="17"/>
      <c r="T1300" s="17"/>
      <c r="U1300" s="17"/>
      <c r="V1300" s="17"/>
      <c r="W1300" s="17"/>
      <c r="X1300" s="17"/>
      <c r="Y1300" s="17"/>
      <c r="Z1300" s="17"/>
      <c r="AA1300" s="17"/>
      <c r="AB1300" s="17"/>
    </row>
    <row r="1301" spans="1:28">
      <c r="A1301" s="17" t="s">
        <v>9733</v>
      </c>
      <c r="B1301" s="17" t="s">
        <v>9733</v>
      </c>
      <c r="C1301" s="17" t="s">
        <v>9734</v>
      </c>
      <c r="D1301" s="17" t="s">
        <v>21</v>
      </c>
      <c r="E1301" s="24">
        <v>2512</v>
      </c>
      <c r="F1301" s="17" t="s">
        <v>207</v>
      </c>
      <c r="G1301" s="17" t="str">
        <f>Config!$B$3</f>
        <v>SCH/R_IEC.SchLib</v>
      </c>
      <c r="H1301" s="17" t="s">
        <v>419</v>
      </c>
      <c r="I1301" s="17" t="s">
        <v>461</v>
      </c>
      <c r="J1301" s="17" t="s">
        <v>7467</v>
      </c>
      <c r="K1301" s="17"/>
      <c r="L1301" s="17"/>
      <c r="M1301" s="21">
        <v>4300</v>
      </c>
      <c r="N1301" s="17"/>
      <c r="O1301" s="17"/>
      <c r="P1301" s="17"/>
      <c r="Q1301" s="17"/>
      <c r="R1301" s="17"/>
      <c r="S1301" s="17"/>
      <c r="T1301" s="17"/>
      <c r="U1301" s="17"/>
      <c r="V1301" s="17"/>
      <c r="W1301" s="17"/>
      <c r="X1301" s="17"/>
      <c r="Y1301" s="17"/>
      <c r="Z1301" s="17"/>
      <c r="AA1301" s="17"/>
      <c r="AB1301" s="17"/>
    </row>
    <row r="1302" spans="1:28">
      <c r="A1302" s="17" t="s">
        <v>9735</v>
      </c>
      <c r="B1302" s="17" t="s">
        <v>9735</v>
      </c>
      <c r="C1302" s="17" t="s">
        <v>9736</v>
      </c>
      <c r="D1302" s="17" t="s">
        <v>21</v>
      </c>
      <c r="E1302" s="24">
        <v>2512</v>
      </c>
      <c r="F1302" s="17" t="s">
        <v>209</v>
      </c>
      <c r="G1302" s="17" t="str">
        <f>Config!$B$3</f>
        <v>SCH/R_IEC.SchLib</v>
      </c>
      <c r="H1302" s="17" t="s">
        <v>419</v>
      </c>
      <c r="I1302" s="17" t="s">
        <v>461</v>
      </c>
      <c r="J1302" s="17" t="s">
        <v>7467</v>
      </c>
      <c r="K1302" s="17"/>
      <c r="L1302" s="17"/>
      <c r="M1302" s="21">
        <v>4700</v>
      </c>
      <c r="N1302" s="17"/>
      <c r="O1302" s="17"/>
      <c r="P1302" s="17"/>
      <c r="Q1302" s="17"/>
      <c r="R1302" s="17"/>
      <c r="S1302" s="17"/>
      <c r="T1302" s="17"/>
      <c r="U1302" s="17"/>
      <c r="V1302" s="17"/>
      <c r="W1302" s="17"/>
      <c r="X1302" s="17"/>
      <c r="Y1302" s="17"/>
      <c r="Z1302" s="17"/>
      <c r="AA1302" s="17"/>
      <c r="AB1302" s="17"/>
    </row>
    <row r="1303" spans="1:28">
      <c r="A1303" s="17" t="s">
        <v>9737</v>
      </c>
      <c r="B1303" s="17" t="s">
        <v>9737</v>
      </c>
      <c r="C1303" s="17" t="s">
        <v>9738</v>
      </c>
      <c r="D1303" s="17" t="s">
        <v>21</v>
      </c>
      <c r="E1303" s="24">
        <v>2512</v>
      </c>
      <c r="F1303" s="17" t="s">
        <v>213</v>
      </c>
      <c r="G1303" s="17" t="str">
        <f>Config!$B$3</f>
        <v>SCH/R_IEC.SchLib</v>
      </c>
      <c r="H1303" s="17" t="s">
        <v>419</v>
      </c>
      <c r="I1303" s="17" t="s">
        <v>461</v>
      </c>
      <c r="J1303" s="17" t="s">
        <v>7467</v>
      </c>
      <c r="K1303" s="17"/>
      <c r="L1303" s="17"/>
      <c r="M1303" s="21">
        <v>5100</v>
      </c>
      <c r="N1303" s="17"/>
      <c r="O1303" s="17"/>
      <c r="P1303" s="17"/>
      <c r="Q1303" s="17"/>
      <c r="R1303" s="17"/>
      <c r="S1303" s="17"/>
      <c r="T1303" s="17"/>
      <c r="U1303" s="17"/>
      <c r="V1303" s="17"/>
      <c r="W1303" s="17"/>
      <c r="X1303" s="17"/>
      <c r="Y1303" s="17"/>
      <c r="Z1303" s="17"/>
      <c r="AA1303" s="17"/>
      <c r="AB1303" s="17"/>
    </row>
    <row r="1304" spans="1:28">
      <c r="A1304" s="17" t="s">
        <v>9739</v>
      </c>
      <c r="B1304" s="17" t="s">
        <v>9739</v>
      </c>
      <c r="C1304" s="17" t="s">
        <v>9740</v>
      </c>
      <c r="D1304" s="17" t="s">
        <v>21</v>
      </c>
      <c r="E1304" s="24">
        <v>2512</v>
      </c>
      <c r="F1304" s="17" t="s">
        <v>215</v>
      </c>
      <c r="G1304" s="17" t="str">
        <f>Config!$B$3</f>
        <v>SCH/R_IEC.SchLib</v>
      </c>
      <c r="H1304" s="17" t="s">
        <v>419</v>
      </c>
      <c r="I1304" s="17" t="s">
        <v>461</v>
      </c>
      <c r="J1304" s="17" t="s">
        <v>7467</v>
      </c>
      <c r="K1304" s="17"/>
      <c r="L1304" s="17"/>
      <c r="M1304" s="21">
        <v>5600</v>
      </c>
      <c r="N1304" s="17"/>
      <c r="O1304" s="17"/>
      <c r="P1304" s="17"/>
      <c r="Q1304" s="17"/>
      <c r="R1304" s="17"/>
      <c r="S1304" s="17"/>
      <c r="T1304" s="17"/>
      <c r="U1304" s="17"/>
      <c r="V1304" s="17"/>
      <c r="W1304" s="17"/>
      <c r="X1304" s="17"/>
      <c r="Y1304" s="17"/>
      <c r="Z1304" s="17"/>
      <c r="AA1304" s="17"/>
      <c r="AB1304" s="17"/>
    </row>
    <row r="1305" spans="1:28">
      <c r="A1305" s="17" t="s">
        <v>9741</v>
      </c>
      <c r="B1305" s="17" t="s">
        <v>9741</v>
      </c>
      <c r="C1305" s="17" t="s">
        <v>9742</v>
      </c>
      <c r="D1305" s="17" t="s">
        <v>21</v>
      </c>
      <c r="E1305" s="24">
        <v>2512</v>
      </c>
      <c r="F1305" s="17" t="s">
        <v>217</v>
      </c>
      <c r="G1305" s="17" t="str">
        <f>Config!$B$3</f>
        <v>SCH/R_IEC.SchLib</v>
      </c>
      <c r="H1305" s="17" t="s">
        <v>419</v>
      </c>
      <c r="I1305" s="17" t="s">
        <v>461</v>
      </c>
      <c r="J1305" s="17" t="s">
        <v>7467</v>
      </c>
      <c r="K1305" s="17"/>
      <c r="L1305" s="17"/>
      <c r="M1305" s="21">
        <v>6200</v>
      </c>
      <c r="N1305" s="17"/>
      <c r="O1305" s="17"/>
      <c r="P1305" s="17"/>
      <c r="Q1305" s="17"/>
      <c r="R1305" s="17"/>
      <c r="S1305" s="17"/>
      <c r="T1305" s="17"/>
      <c r="U1305" s="17"/>
      <c r="V1305" s="17"/>
      <c r="W1305" s="17"/>
      <c r="X1305" s="17"/>
      <c r="Y1305" s="17"/>
      <c r="Z1305" s="17"/>
      <c r="AA1305" s="17"/>
      <c r="AB1305" s="17"/>
    </row>
    <row r="1306" spans="1:28">
      <c r="A1306" s="17" t="s">
        <v>9743</v>
      </c>
      <c r="B1306" s="17" t="s">
        <v>9743</v>
      </c>
      <c r="C1306" s="17" t="s">
        <v>9744</v>
      </c>
      <c r="D1306" s="17" t="s">
        <v>21</v>
      </c>
      <c r="E1306" s="24">
        <v>2512</v>
      </c>
      <c r="F1306" s="17" t="s">
        <v>219</v>
      </c>
      <c r="G1306" s="17" t="str">
        <f>Config!$B$3</f>
        <v>SCH/R_IEC.SchLib</v>
      </c>
      <c r="H1306" s="17" t="s">
        <v>419</v>
      </c>
      <c r="I1306" s="17" t="s">
        <v>461</v>
      </c>
      <c r="J1306" s="17" t="s">
        <v>7467</v>
      </c>
      <c r="K1306" s="17"/>
      <c r="L1306" s="17"/>
      <c r="M1306" s="21">
        <v>6800</v>
      </c>
      <c r="N1306" s="17"/>
      <c r="O1306" s="17"/>
      <c r="P1306" s="17"/>
      <c r="Q1306" s="17"/>
      <c r="R1306" s="17"/>
      <c r="S1306" s="17"/>
      <c r="T1306" s="17"/>
      <c r="U1306" s="17"/>
      <c r="V1306" s="17"/>
      <c r="W1306" s="17"/>
      <c r="X1306" s="17"/>
      <c r="Y1306" s="17"/>
      <c r="Z1306" s="17"/>
      <c r="AA1306" s="17"/>
      <c r="AB1306" s="17"/>
    </row>
    <row r="1307" spans="1:28">
      <c r="A1307" s="17" t="s">
        <v>9745</v>
      </c>
      <c r="B1307" s="17" t="s">
        <v>9745</v>
      </c>
      <c r="C1307" s="17" t="s">
        <v>9746</v>
      </c>
      <c r="D1307" s="17" t="s">
        <v>21</v>
      </c>
      <c r="E1307" s="24">
        <v>2512</v>
      </c>
      <c r="F1307" s="17" t="s">
        <v>221</v>
      </c>
      <c r="G1307" s="17" t="str">
        <f>Config!$B$3</f>
        <v>SCH/R_IEC.SchLib</v>
      </c>
      <c r="H1307" s="17" t="s">
        <v>419</v>
      </c>
      <c r="I1307" s="17" t="s">
        <v>461</v>
      </c>
      <c r="J1307" s="17" t="s">
        <v>7467</v>
      </c>
      <c r="K1307" s="17"/>
      <c r="L1307" s="17"/>
      <c r="M1307" s="21">
        <v>7500</v>
      </c>
      <c r="N1307" s="17"/>
      <c r="O1307" s="17"/>
      <c r="P1307" s="17"/>
      <c r="Q1307" s="17"/>
      <c r="R1307" s="17"/>
      <c r="S1307" s="17"/>
      <c r="T1307" s="17"/>
      <c r="U1307" s="17"/>
      <c r="V1307" s="17"/>
      <c r="W1307" s="17"/>
      <c r="X1307" s="17"/>
      <c r="Y1307" s="17"/>
      <c r="Z1307" s="17"/>
      <c r="AA1307" s="17"/>
      <c r="AB1307" s="17"/>
    </row>
    <row r="1308" spans="1:28">
      <c r="A1308" s="17" t="s">
        <v>9747</v>
      </c>
      <c r="B1308" s="17" t="s">
        <v>9747</v>
      </c>
      <c r="C1308" s="17" t="s">
        <v>9748</v>
      </c>
      <c r="D1308" s="17" t="s">
        <v>21</v>
      </c>
      <c r="E1308" s="24">
        <v>2512</v>
      </c>
      <c r="F1308" s="17" t="s">
        <v>223</v>
      </c>
      <c r="G1308" s="17" t="str">
        <f>Config!$B$3</f>
        <v>SCH/R_IEC.SchLib</v>
      </c>
      <c r="H1308" s="17" t="s">
        <v>419</v>
      </c>
      <c r="I1308" s="17" t="s">
        <v>461</v>
      </c>
      <c r="J1308" s="17" t="s">
        <v>7467</v>
      </c>
      <c r="K1308" s="17"/>
      <c r="L1308" s="17"/>
      <c r="M1308" s="21">
        <v>8200</v>
      </c>
      <c r="N1308" s="17"/>
      <c r="O1308" s="17"/>
      <c r="P1308" s="17"/>
      <c r="Q1308" s="17"/>
      <c r="R1308" s="17"/>
      <c r="S1308" s="17"/>
      <c r="T1308" s="17"/>
      <c r="U1308" s="17"/>
      <c r="V1308" s="17"/>
      <c r="W1308" s="17"/>
      <c r="X1308" s="17"/>
      <c r="Y1308" s="17"/>
      <c r="Z1308" s="17"/>
      <c r="AA1308" s="17"/>
      <c r="AB1308" s="17"/>
    </row>
    <row r="1309" spans="1:28">
      <c r="A1309" s="17" t="s">
        <v>9749</v>
      </c>
      <c r="B1309" s="17" t="s">
        <v>9749</v>
      </c>
      <c r="C1309" s="17" t="s">
        <v>9750</v>
      </c>
      <c r="D1309" s="17" t="s">
        <v>21</v>
      </c>
      <c r="E1309" s="24">
        <v>2512</v>
      </c>
      <c r="F1309" s="17" t="s">
        <v>225</v>
      </c>
      <c r="G1309" s="17" t="str">
        <f>Config!$B$3</f>
        <v>SCH/R_IEC.SchLib</v>
      </c>
      <c r="H1309" s="17" t="s">
        <v>419</v>
      </c>
      <c r="I1309" s="17" t="s">
        <v>461</v>
      </c>
      <c r="J1309" s="17" t="s">
        <v>7467</v>
      </c>
      <c r="K1309" s="17"/>
      <c r="L1309" s="17"/>
      <c r="M1309" s="21">
        <v>9100</v>
      </c>
      <c r="N1309" s="17"/>
      <c r="O1309" s="17"/>
      <c r="P1309" s="17"/>
      <c r="Q1309" s="17"/>
      <c r="R1309" s="17"/>
      <c r="S1309" s="17"/>
      <c r="T1309" s="17"/>
      <c r="U1309" s="17"/>
      <c r="V1309" s="17"/>
      <c r="W1309" s="17"/>
      <c r="X1309" s="17"/>
      <c r="Y1309" s="17"/>
      <c r="Z1309" s="17"/>
      <c r="AA1309" s="17"/>
      <c r="AB1309" s="17"/>
    </row>
    <row r="1310" spans="1:28">
      <c r="A1310" s="17" t="s">
        <v>9751</v>
      </c>
      <c r="B1310" s="17" t="s">
        <v>9751</v>
      </c>
      <c r="C1310" s="17" t="s">
        <v>9752</v>
      </c>
      <c r="D1310" s="17" t="s">
        <v>21</v>
      </c>
      <c r="E1310" s="24">
        <v>2512</v>
      </c>
      <c r="F1310" s="17" t="s">
        <v>229</v>
      </c>
      <c r="G1310" s="17" t="str">
        <f>Config!$B$3</f>
        <v>SCH/R_IEC.SchLib</v>
      </c>
      <c r="H1310" s="17" t="s">
        <v>419</v>
      </c>
      <c r="I1310" s="17" t="s">
        <v>461</v>
      </c>
      <c r="J1310" s="17" t="s">
        <v>7467</v>
      </c>
      <c r="K1310" s="17"/>
      <c r="L1310" s="17"/>
      <c r="M1310" s="21">
        <v>10000</v>
      </c>
      <c r="N1310" s="17"/>
      <c r="O1310" s="17"/>
      <c r="P1310" s="17"/>
      <c r="Q1310" s="17"/>
      <c r="R1310" s="17"/>
      <c r="S1310" s="17"/>
      <c r="T1310" s="17"/>
      <c r="U1310" s="17"/>
      <c r="V1310" s="17"/>
      <c r="W1310" s="17"/>
      <c r="X1310" s="17"/>
      <c r="Y1310" s="17"/>
      <c r="Z1310" s="17"/>
      <c r="AA1310" s="17"/>
      <c r="AB1310" s="17"/>
    </row>
    <row r="1311" spans="1:28">
      <c r="A1311" s="17" t="s">
        <v>9753</v>
      </c>
      <c r="B1311" s="17" t="s">
        <v>9753</v>
      </c>
      <c r="C1311" s="17" t="s">
        <v>9754</v>
      </c>
      <c r="D1311" s="17" t="s">
        <v>21</v>
      </c>
      <c r="E1311" s="24">
        <v>2512</v>
      </c>
      <c r="F1311" s="17" t="s">
        <v>233</v>
      </c>
      <c r="G1311" s="17" t="str">
        <f>Config!$B$3</f>
        <v>SCH/R_IEC.SchLib</v>
      </c>
      <c r="H1311" s="17" t="s">
        <v>419</v>
      </c>
      <c r="I1311" s="17" t="s">
        <v>461</v>
      </c>
      <c r="J1311" s="17" t="s">
        <v>7467</v>
      </c>
      <c r="K1311" s="17"/>
      <c r="L1311" s="17"/>
      <c r="M1311" s="21">
        <v>11000</v>
      </c>
      <c r="N1311" s="17"/>
      <c r="O1311" s="17"/>
      <c r="P1311" s="17"/>
      <c r="Q1311" s="17"/>
      <c r="R1311" s="17"/>
      <c r="S1311" s="17"/>
      <c r="T1311" s="17"/>
      <c r="U1311" s="17"/>
      <c r="V1311" s="17"/>
      <c r="W1311" s="17"/>
      <c r="X1311" s="17"/>
      <c r="Y1311" s="17"/>
      <c r="Z1311" s="17"/>
      <c r="AA1311" s="17"/>
      <c r="AB1311" s="17"/>
    </row>
    <row r="1312" spans="1:28">
      <c r="A1312" s="17" t="s">
        <v>9755</v>
      </c>
      <c r="B1312" s="17" t="s">
        <v>9755</v>
      </c>
      <c r="C1312" s="17" t="s">
        <v>9756</v>
      </c>
      <c r="D1312" s="17" t="s">
        <v>21</v>
      </c>
      <c r="E1312" s="24">
        <v>2512</v>
      </c>
      <c r="F1312" s="17" t="s">
        <v>235</v>
      </c>
      <c r="G1312" s="17" t="str">
        <f>Config!$B$3</f>
        <v>SCH/R_IEC.SchLib</v>
      </c>
      <c r="H1312" s="17" t="s">
        <v>419</v>
      </c>
      <c r="I1312" s="17" t="s">
        <v>461</v>
      </c>
      <c r="J1312" s="17" t="s">
        <v>7467</v>
      </c>
      <c r="K1312" s="17"/>
      <c r="L1312" s="17"/>
      <c r="M1312" s="21">
        <v>12000</v>
      </c>
      <c r="N1312" s="17"/>
      <c r="O1312" s="17"/>
      <c r="P1312" s="17"/>
      <c r="Q1312" s="17"/>
      <c r="R1312" s="17"/>
      <c r="S1312" s="17"/>
      <c r="T1312" s="17"/>
      <c r="U1312" s="17"/>
      <c r="V1312" s="17"/>
      <c r="W1312" s="17"/>
      <c r="X1312" s="17"/>
      <c r="Y1312" s="17"/>
      <c r="Z1312" s="17"/>
      <c r="AA1312" s="17"/>
      <c r="AB1312" s="17"/>
    </row>
    <row r="1313" spans="1:28">
      <c r="A1313" s="17" t="s">
        <v>9757</v>
      </c>
      <c r="B1313" s="17" t="s">
        <v>9757</v>
      </c>
      <c r="C1313" s="17" t="s">
        <v>9758</v>
      </c>
      <c r="D1313" s="17" t="s">
        <v>21</v>
      </c>
      <c r="E1313" s="24">
        <v>2512</v>
      </c>
      <c r="F1313" s="17" t="s">
        <v>239</v>
      </c>
      <c r="G1313" s="17" t="str">
        <f>Config!$B$3</f>
        <v>SCH/R_IEC.SchLib</v>
      </c>
      <c r="H1313" s="17" t="s">
        <v>419</v>
      </c>
      <c r="I1313" s="17" t="s">
        <v>461</v>
      </c>
      <c r="J1313" s="17" t="s">
        <v>7467</v>
      </c>
      <c r="K1313" s="17"/>
      <c r="L1313" s="17"/>
      <c r="M1313" s="21">
        <v>13000</v>
      </c>
      <c r="N1313" s="17"/>
      <c r="O1313" s="17"/>
      <c r="P1313" s="17"/>
      <c r="Q1313" s="17"/>
      <c r="R1313" s="17"/>
      <c r="S1313" s="17"/>
      <c r="T1313" s="17"/>
      <c r="U1313" s="17"/>
      <c r="V1313" s="17"/>
      <c r="W1313" s="17"/>
      <c r="X1313" s="17"/>
      <c r="Y1313" s="17"/>
      <c r="Z1313" s="17"/>
      <c r="AA1313" s="17"/>
      <c r="AB1313" s="17"/>
    </row>
    <row r="1314" spans="1:28">
      <c r="A1314" s="17" t="s">
        <v>9759</v>
      </c>
      <c r="B1314" s="17" t="s">
        <v>9759</v>
      </c>
      <c r="C1314" s="17" t="s">
        <v>9760</v>
      </c>
      <c r="D1314" s="17" t="s">
        <v>21</v>
      </c>
      <c r="E1314" s="24">
        <v>2512</v>
      </c>
      <c r="F1314" s="17" t="s">
        <v>243</v>
      </c>
      <c r="G1314" s="17" t="str">
        <f>Config!$B$3</f>
        <v>SCH/R_IEC.SchLib</v>
      </c>
      <c r="H1314" s="17" t="s">
        <v>419</v>
      </c>
      <c r="I1314" s="17" t="s">
        <v>461</v>
      </c>
      <c r="J1314" s="17" t="s">
        <v>7467</v>
      </c>
      <c r="K1314" s="17"/>
      <c r="L1314" s="17"/>
      <c r="M1314" s="21">
        <v>15000</v>
      </c>
      <c r="N1314" s="17"/>
      <c r="O1314" s="17"/>
      <c r="P1314" s="17"/>
      <c r="Q1314" s="17"/>
      <c r="R1314" s="17"/>
      <c r="S1314" s="17"/>
      <c r="T1314" s="17"/>
      <c r="U1314" s="17"/>
      <c r="V1314" s="17"/>
      <c r="W1314" s="17"/>
      <c r="X1314" s="17"/>
      <c r="Y1314" s="17"/>
      <c r="Z1314" s="17"/>
      <c r="AA1314" s="17"/>
      <c r="AB1314" s="17"/>
    </row>
    <row r="1315" spans="1:28">
      <c r="A1315" s="17" t="s">
        <v>9761</v>
      </c>
      <c r="B1315" s="17" t="s">
        <v>9761</v>
      </c>
      <c r="C1315" s="17" t="s">
        <v>9762</v>
      </c>
      <c r="D1315" s="17" t="s">
        <v>21</v>
      </c>
      <c r="E1315" s="24">
        <v>2512</v>
      </c>
      <c r="F1315" s="17" t="s">
        <v>247</v>
      </c>
      <c r="G1315" s="17" t="str">
        <f>Config!$B$3</f>
        <v>SCH/R_IEC.SchLib</v>
      </c>
      <c r="H1315" s="17" t="s">
        <v>419</v>
      </c>
      <c r="I1315" s="17" t="s">
        <v>461</v>
      </c>
      <c r="J1315" s="17" t="s">
        <v>7467</v>
      </c>
      <c r="K1315" s="17"/>
      <c r="L1315" s="17"/>
      <c r="M1315" s="21">
        <v>16000</v>
      </c>
      <c r="N1315" s="17"/>
      <c r="O1315" s="17"/>
      <c r="P1315" s="17"/>
      <c r="Q1315" s="17"/>
      <c r="R1315" s="17"/>
      <c r="S1315" s="17"/>
      <c r="T1315" s="17"/>
      <c r="U1315" s="17"/>
      <c r="V1315" s="17"/>
      <c r="W1315" s="17"/>
      <c r="X1315" s="17"/>
      <c r="Y1315" s="17"/>
      <c r="Z1315" s="17"/>
      <c r="AA1315" s="17"/>
      <c r="AB1315" s="17"/>
    </row>
    <row r="1316" spans="1:28">
      <c r="A1316" s="17" t="s">
        <v>9763</v>
      </c>
      <c r="B1316" s="17" t="s">
        <v>9763</v>
      </c>
      <c r="C1316" s="17" t="s">
        <v>9764</v>
      </c>
      <c r="D1316" s="17" t="s">
        <v>21</v>
      </c>
      <c r="E1316" s="24">
        <v>2512</v>
      </c>
      <c r="F1316" s="17" t="s">
        <v>251</v>
      </c>
      <c r="G1316" s="17" t="str">
        <f>Config!$B$3</f>
        <v>SCH/R_IEC.SchLib</v>
      </c>
      <c r="H1316" s="17" t="s">
        <v>419</v>
      </c>
      <c r="I1316" s="17" t="s">
        <v>461</v>
      </c>
      <c r="J1316" s="17" t="s">
        <v>7467</v>
      </c>
      <c r="K1316" s="17"/>
      <c r="L1316" s="17"/>
      <c r="M1316" s="21">
        <v>18000</v>
      </c>
      <c r="N1316" s="17"/>
      <c r="O1316" s="17"/>
      <c r="P1316" s="17"/>
      <c r="Q1316" s="17"/>
      <c r="R1316" s="17"/>
      <c r="S1316" s="17"/>
      <c r="T1316" s="17"/>
      <c r="U1316" s="17"/>
      <c r="V1316" s="17"/>
      <c r="W1316" s="17"/>
      <c r="X1316" s="17"/>
      <c r="Y1316" s="17"/>
      <c r="Z1316" s="17"/>
      <c r="AA1316" s="17"/>
      <c r="AB1316" s="17"/>
    </row>
    <row r="1317" spans="1:28">
      <c r="A1317" s="17" t="s">
        <v>9765</v>
      </c>
      <c r="B1317" s="17" t="s">
        <v>9765</v>
      </c>
      <c r="C1317" s="17" t="s">
        <v>9766</v>
      </c>
      <c r="D1317" s="17" t="s">
        <v>21</v>
      </c>
      <c r="E1317" s="24">
        <v>2512</v>
      </c>
      <c r="F1317" s="17" t="s">
        <v>255</v>
      </c>
      <c r="G1317" s="17" t="str">
        <f>Config!$B$3</f>
        <v>SCH/R_IEC.SchLib</v>
      </c>
      <c r="H1317" s="17" t="s">
        <v>419</v>
      </c>
      <c r="I1317" s="17" t="s">
        <v>461</v>
      </c>
      <c r="J1317" s="17" t="s">
        <v>7467</v>
      </c>
      <c r="K1317" s="17"/>
      <c r="L1317" s="17"/>
      <c r="M1317" s="21">
        <v>20000</v>
      </c>
      <c r="N1317" s="17"/>
      <c r="O1317" s="17"/>
      <c r="P1317" s="17"/>
      <c r="Q1317" s="17"/>
      <c r="R1317" s="17"/>
      <c r="S1317" s="17"/>
      <c r="T1317" s="17"/>
      <c r="U1317" s="17"/>
      <c r="V1317" s="17"/>
      <c r="W1317" s="17"/>
      <c r="X1317" s="17"/>
      <c r="Y1317" s="17"/>
      <c r="Z1317" s="17"/>
      <c r="AA1317" s="17"/>
      <c r="AB1317" s="17"/>
    </row>
    <row r="1318" spans="1:28">
      <c r="A1318" s="17" t="s">
        <v>9767</v>
      </c>
      <c r="B1318" s="17" t="s">
        <v>9767</v>
      </c>
      <c r="C1318" s="17" t="s">
        <v>9768</v>
      </c>
      <c r="D1318" s="17" t="s">
        <v>21</v>
      </c>
      <c r="E1318" s="24">
        <v>2512</v>
      </c>
      <c r="F1318" s="17" t="s">
        <v>257</v>
      </c>
      <c r="G1318" s="17" t="str">
        <f>Config!$B$3</f>
        <v>SCH/R_IEC.SchLib</v>
      </c>
      <c r="H1318" s="17" t="s">
        <v>419</v>
      </c>
      <c r="I1318" s="17" t="s">
        <v>461</v>
      </c>
      <c r="J1318" s="17" t="s">
        <v>7467</v>
      </c>
      <c r="K1318" s="17"/>
      <c r="L1318" s="17"/>
      <c r="M1318" s="21">
        <v>22000</v>
      </c>
      <c r="N1318" s="17"/>
      <c r="O1318" s="17"/>
      <c r="P1318" s="17"/>
      <c r="Q1318" s="17"/>
      <c r="R1318" s="17"/>
      <c r="S1318" s="17"/>
      <c r="T1318" s="17"/>
      <c r="U1318" s="17"/>
      <c r="V1318" s="17"/>
      <c r="W1318" s="17"/>
      <c r="X1318" s="17"/>
      <c r="Y1318" s="17"/>
      <c r="Z1318" s="17"/>
      <c r="AA1318" s="17"/>
      <c r="AB1318" s="17"/>
    </row>
    <row r="1319" spans="1:28">
      <c r="A1319" s="17" t="s">
        <v>9769</v>
      </c>
      <c r="B1319" s="17" t="s">
        <v>9769</v>
      </c>
      <c r="C1319" s="17" t="s">
        <v>9770</v>
      </c>
      <c r="D1319" s="17" t="s">
        <v>21</v>
      </c>
      <c r="E1319" s="24">
        <v>2512</v>
      </c>
      <c r="F1319" s="17" t="s">
        <v>259</v>
      </c>
      <c r="G1319" s="17" t="str">
        <f>Config!$B$3</f>
        <v>SCH/R_IEC.SchLib</v>
      </c>
      <c r="H1319" s="17" t="s">
        <v>419</v>
      </c>
      <c r="I1319" s="17" t="s">
        <v>461</v>
      </c>
      <c r="J1319" s="17" t="s">
        <v>7467</v>
      </c>
      <c r="K1319" s="17"/>
      <c r="L1319" s="17"/>
      <c r="M1319" s="21">
        <v>24000</v>
      </c>
      <c r="N1319" s="17"/>
      <c r="O1319" s="17"/>
      <c r="P1319" s="17"/>
      <c r="Q1319" s="17"/>
      <c r="R1319" s="17"/>
      <c r="S1319" s="17"/>
      <c r="T1319" s="17"/>
      <c r="U1319" s="17"/>
      <c r="V1319" s="17"/>
      <c r="W1319" s="17"/>
      <c r="X1319" s="17"/>
      <c r="Y1319" s="17"/>
      <c r="Z1319" s="17"/>
      <c r="AA1319" s="17"/>
      <c r="AB1319" s="17"/>
    </row>
    <row r="1320" spans="1:28">
      <c r="A1320" s="17" t="s">
        <v>9771</v>
      </c>
      <c r="B1320" s="17" t="s">
        <v>9771</v>
      </c>
      <c r="C1320" s="17" t="s">
        <v>9772</v>
      </c>
      <c r="D1320" s="17" t="s">
        <v>21</v>
      </c>
      <c r="E1320" s="24">
        <v>2512</v>
      </c>
      <c r="F1320" s="17" t="s">
        <v>263</v>
      </c>
      <c r="G1320" s="17" t="str">
        <f>Config!$B$3</f>
        <v>SCH/R_IEC.SchLib</v>
      </c>
      <c r="H1320" s="17" t="s">
        <v>419</v>
      </c>
      <c r="I1320" s="17" t="s">
        <v>461</v>
      </c>
      <c r="J1320" s="17" t="s">
        <v>7467</v>
      </c>
      <c r="K1320" s="17"/>
      <c r="L1320" s="17"/>
      <c r="M1320" s="21">
        <v>27000</v>
      </c>
      <c r="N1320" s="17"/>
      <c r="O1320" s="17"/>
      <c r="P1320" s="17"/>
      <c r="Q1320" s="17"/>
      <c r="R1320" s="17"/>
      <c r="S1320" s="17"/>
      <c r="T1320" s="17"/>
      <c r="U1320" s="17"/>
      <c r="V1320" s="17"/>
      <c r="W1320" s="17"/>
      <c r="X1320" s="17"/>
      <c r="Y1320" s="17"/>
      <c r="Z1320" s="17"/>
      <c r="AA1320" s="17"/>
      <c r="AB1320" s="17"/>
    </row>
    <row r="1321" spans="1:28">
      <c r="A1321" s="17" t="s">
        <v>9773</v>
      </c>
      <c r="B1321" s="17" t="s">
        <v>9773</v>
      </c>
      <c r="C1321" s="17" t="s">
        <v>9774</v>
      </c>
      <c r="D1321" s="17" t="s">
        <v>21</v>
      </c>
      <c r="E1321" s="24">
        <v>2512</v>
      </c>
      <c r="F1321" s="17" t="s">
        <v>265</v>
      </c>
      <c r="G1321" s="17" t="str">
        <f>Config!$B$3</f>
        <v>SCH/R_IEC.SchLib</v>
      </c>
      <c r="H1321" s="17" t="s">
        <v>419</v>
      </c>
      <c r="I1321" s="17" t="s">
        <v>461</v>
      </c>
      <c r="J1321" s="17" t="s">
        <v>7467</v>
      </c>
      <c r="K1321" s="17"/>
      <c r="L1321" s="17"/>
      <c r="M1321" s="21">
        <v>30000</v>
      </c>
      <c r="N1321" s="17"/>
      <c r="O1321" s="17"/>
      <c r="P1321" s="17"/>
      <c r="Q1321" s="17"/>
      <c r="R1321" s="17"/>
      <c r="S1321" s="17"/>
      <c r="T1321" s="17"/>
      <c r="U1321" s="17"/>
      <c r="V1321" s="17"/>
      <c r="W1321" s="17"/>
      <c r="X1321" s="17"/>
      <c r="Y1321" s="17"/>
      <c r="Z1321" s="17"/>
      <c r="AA1321" s="17"/>
      <c r="AB1321" s="17"/>
    </row>
    <row r="1322" spans="1:28">
      <c r="A1322" s="17" t="s">
        <v>9775</v>
      </c>
      <c r="B1322" s="17" t="s">
        <v>9775</v>
      </c>
      <c r="C1322" s="17" t="s">
        <v>9776</v>
      </c>
      <c r="D1322" s="17" t="s">
        <v>21</v>
      </c>
      <c r="E1322" s="24">
        <v>2512</v>
      </c>
      <c r="F1322" s="17" t="s">
        <v>267</v>
      </c>
      <c r="G1322" s="17" t="str">
        <f>Config!$B$3</f>
        <v>SCH/R_IEC.SchLib</v>
      </c>
      <c r="H1322" s="17" t="s">
        <v>419</v>
      </c>
      <c r="I1322" s="17" t="s">
        <v>461</v>
      </c>
      <c r="J1322" s="17" t="s">
        <v>7467</v>
      </c>
      <c r="K1322" s="17"/>
      <c r="L1322" s="17"/>
      <c r="M1322" s="21">
        <v>33000</v>
      </c>
      <c r="N1322" s="17"/>
      <c r="O1322" s="17"/>
      <c r="P1322" s="17"/>
      <c r="Q1322" s="17"/>
      <c r="R1322" s="17"/>
      <c r="S1322" s="17"/>
      <c r="T1322" s="17"/>
      <c r="U1322" s="17"/>
      <c r="V1322" s="17"/>
      <c r="W1322" s="17"/>
      <c r="X1322" s="17"/>
      <c r="Y1322" s="17"/>
      <c r="Z1322" s="17"/>
      <c r="AA1322" s="17"/>
      <c r="AB1322" s="17"/>
    </row>
    <row r="1323" spans="1:28">
      <c r="A1323" s="17" t="s">
        <v>9777</v>
      </c>
      <c r="B1323" s="17" t="s">
        <v>9777</v>
      </c>
      <c r="C1323" s="17" t="s">
        <v>9778</v>
      </c>
      <c r="D1323" s="17" t="s">
        <v>21</v>
      </c>
      <c r="E1323" s="24">
        <v>2512</v>
      </c>
      <c r="F1323" s="17" t="s">
        <v>269</v>
      </c>
      <c r="G1323" s="17" t="str">
        <f>Config!$B$3</f>
        <v>SCH/R_IEC.SchLib</v>
      </c>
      <c r="H1323" s="17" t="s">
        <v>419</v>
      </c>
      <c r="I1323" s="17" t="s">
        <v>461</v>
      </c>
      <c r="J1323" s="17" t="s">
        <v>7467</v>
      </c>
      <c r="K1323" s="17"/>
      <c r="L1323" s="17"/>
      <c r="M1323" s="21">
        <v>36000</v>
      </c>
      <c r="N1323" s="17"/>
      <c r="O1323" s="17"/>
      <c r="P1323" s="17"/>
      <c r="Q1323" s="17"/>
      <c r="R1323" s="17"/>
      <c r="S1323" s="17"/>
      <c r="T1323" s="17"/>
      <c r="U1323" s="17"/>
      <c r="V1323" s="17"/>
      <c r="W1323" s="17"/>
      <c r="X1323" s="17"/>
      <c r="Y1323" s="17"/>
      <c r="Z1323" s="17"/>
      <c r="AA1323" s="17"/>
      <c r="AB1323" s="17"/>
    </row>
    <row r="1324" spans="1:28">
      <c r="A1324" s="17" t="s">
        <v>9779</v>
      </c>
      <c r="B1324" s="17" t="s">
        <v>9779</v>
      </c>
      <c r="C1324" s="17" t="s">
        <v>9780</v>
      </c>
      <c r="D1324" s="17" t="s">
        <v>21</v>
      </c>
      <c r="E1324" s="24">
        <v>2512</v>
      </c>
      <c r="F1324" s="17" t="s">
        <v>273</v>
      </c>
      <c r="G1324" s="17" t="str">
        <f>Config!$B$3</f>
        <v>SCH/R_IEC.SchLib</v>
      </c>
      <c r="H1324" s="17" t="s">
        <v>419</v>
      </c>
      <c r="I1324" s="17" t="s">
        <v>461</v>
      </c>
      <c r="J1324" s="17" t="s">
        <v>7467</v>
      </c>
      <c r="K1324" s="17"/>
      <c r="L1324" s="17"/>
      <c r="M1324" s="21">
        <v>39000</v>
      </c>
      <c r="N1324" s="17"/>
      <c r="O1324" s="17"/>
      <c r="P1324" s="17"/>
      <c r="Q1324" s="17"/>
      <c r="R1324" s="17"/>
      <c r="S1324" s="17"/>
      <c r="T1324" s="17"/>
      <c r="U1324" s="17"/>
      <c r="V1324" s="17"/>
      <c r="W1324" s="17"/>
      <c r="X1324" s="17"/>
      <c r="Y1324" s="17"/>
      <c r="Z1324" s="17"/>
      <c r="AA1324" s="17"/>
      <c r="AB1324" s="17"/>
    </row>
    <row r="1325" spans="1:28">
      <c r="A1325" s="17" t="s">
        <v>9781</v>
      </c>
      <c r="B1325" s="17" t="s">
        <v>9781</v>
      </c>
      <c r="C1325" s="17" t="s">
        <v>9782</v>
      </c>
      <c r="D1325" s="17" t="s">
        <v>21</v>
      </c>
      <c r="E1325" s="24">
        <v>2512</v>
      </c>
      <c r="F1325" s="17" t="s">
        <v>277</v>
      </c>
      <c r="G1325" s="17" t="str">
        <f>Config!$B$3</f>
        <v>SCH/R_IEC.SchLib</v>
      </c>
      <c r="H1325" s="17" t="s">
        <v>419</v>
      </c>
      <c r="I1325" s="17" t="s">
        <v>461</v>
      </c>
      <c r="J1325" s="17" t="s">
        <v>7467</v>
      </c>
      <c r="K1325" s="17"/>
      <c r="L1325" s="17"/>
      <c r="M1325" s="21">
        <v>43000</v>
      </c>
      <c r="N1325" s="17"/>
      <c r="O1325" s="17"/>
      <c r="P1325" s="17"/>
      <c r="Q1325" s="17"/>
      <c r="R1325" s="17"/>
      <c r="S1325" s="17"/>
      <c r="T1325" s="17"/>
      <c r="U1325" s="17"/>
      <c r="V1325" s="17"/>
      <c r="W1325" s="17"/>
      <c r="X1325" s="17"/>
      <c r="Y1325" s="17"/>
      <c r="Z1325" s="17"/>
      <c r="AA1325" s="17"/>
      <c r="AB1325" s="17"/>
    </row>
    <row r="1326" spans="1:28">
      <c r="A1326" s="17" t="s">
        <v>9783</v>
      </c>
      <c r="B1326" s="17" t="s">
        <v>9783</v>
      </c>
      <c r="C1326" s="17" t="s">
        <v>9784</v>
      </c>
      <c r="D1326" s="17" t="s">
        <v>21</v>
      </c>
      <c r="E1326" s="24">
        <v>2512</v>
      </c>
      <c r="F1326" s="17" t="s">
        <v>279</v>
      </c>
      <c r="G1326" s="17" t="str">
        <f>Config!$B$3</f>
        <v>SCH/R_IEC.SchLib</v>
      </c>
      <c r="H1326" s="17" t="s">
        <v>419</v>
      </c>
      <c r="I1326" s="17" t="s">
        <v>461</v>
      </c>
      <c r="J1326" s="17" t="s">
        <v>7467</v>
      </c>
      <c r="K1326" s="17"/>
      <c r="L1326" s="17"/>
      <c r="M1326" s="21">
        <v>47000</v>
      </c>
      <c r="N1326" s="17"/>
      <c r="O1326" s="17"/>
      <c r="P1326" s="17"/>
      <c r="Q1326" s="17"/>
      <c r="R1326" s="17"/>
      <c r="S1326" s="17"/>
      <c r="T1326" s="17"/>
      <c r="U1326" s="17"/>
      <c r="V1326" s="17"/>
      <c r="W1326" s="17"/>
      <c r="X1326" s="17"/>
      <c r="Y1326" s="17"/>
      <c r="Z1326" s="17"/>
      <c r="AA1326" s="17"/>
      <c r="AB1326" s="17"/>
    </row>
    <row r="1327" spans="1:28">
      <c r="A1327" s="17" t="s">
        <v>9785</v>
      </c>
      <c r="B1327" s="17" t="s">
        <v>9785</v>
      </c>
      <c r="C1327" s="17" t="s">
        <v>9786</v>
      </c>
      <c r="D1327" s="17" t="s">
        <v>21</v>
      </c>
      <c r="E1327" s="24">
        <v>2512</v>
      </c>
      <c r="F1327" s="17" t="s">
        <v>283</v>
      </c>
      <c r="G1327" s="17" t="str">
        <f>Config!$B$3</f>
        <v>SCH/R_IEC.SchLib</v>
      </c>
      <c r="H1327" s="17" t="s">
        <v>419</v>
      </c>
      <c r="I1327" s="17" t="s">
        <v>461</v>
      </c>
      <c r="J1327" s="17" t="s">
        <v>7467</v>
      </c>
      <c r="K1327" s="17"/>
      <c r="L1327" s="17"/>
      <c r="M1327" s="21">
        <v>51000</v>
      </c>
      <c r="N1327" s="17"/>
      <c r="O1327" s="17"/>
      <c r="P1327" s="17"/>
      <c r="Q1327" s="17"/>
      <c r="R1327" s="17"/>
      <c r="S1327" s="17"/>
      <c r="T1327" s="17"/>
      <c r="U1327" s="17"/>
      <c r="V1327" s="17"/>
      <c r="W1327" s="17"/>
      <c r="X1327" s="17"/>
      <c r="Y1327" s="17"/>
      <c r="Z1327" s="17"/>
      <c r="AA1327" s="17"/>
      <c r="AB1327" s="17"/>
    </row>
    <row r="1328" spans="1:28">
      <c r="A1328" s="17" t="s">
        <v>9787</v>
      </c>
      <c r="B1328" s="17" t="s">
        <v>9787</v>
      </c>
      <c r="C1328" s="17" t="s">
        <v>9788</v>
      </c>
      <c r="D1328" s="17" t="s">
        <v>21</v>
      </c>
      <c r="E1328" s="24">
        <v>2512</v>
      </c>
      <c r="F1328" s="17" t="s">
        <v>287</v>
      </c>
      <c r="G1328" s="17" t="str">
        <f>Config!$B$3</f>
        <v>SCH/R_IEC.SchLib</v>
      </c>
      <c r="H1328" s="17" t="s">
        <v>419</v>
      </c>
      <c r="I1328" s="17" t="s">
        <v>461</v>
      </c>
      <c r="J1328" s="17" t="s">
        <v>7467</v>
      </c>
      <c r="K1328" s="17"/>
      <c r="L1328" s="17"/>
      <c r="M1328" s="21">
        <v>56000</v>
      </c>
      <c r="N1328" s="17"/>
      <c r="O1328" s="17"/>
      <c r="P1328" s="17"/>
      <c r="Q1328" s="17"/>
      <c r="R1328" s="17"/>
      <c r="S1328" s="17"/>
      <c r="T1328" s="17"/>
      <c r="U1328" s="17"/>
      <c r="V1328" s="17"/>
      <c r="W1328" s="17"/>
      <c r="X1328" s="17"/>
      <c r="Y1328" s="17"/>
      <c r="Z1328" s="17"/>
      <c r="AA1328" s="17"/>
      <c r="AB1328" s="17"/>
    </row>
    <row r="1329" spans="1:28">
      <c r="A1329" s="17" t="s">
        <v>9789</v>
      </c>
      <c r="B1329" s="17" t="s">
        <v>9789</v>
      </c>
      <c r="C1329" s="17" t="s">
        <v>9790</v>
      </c>
      <c r="D1329" s="17" t="s">
        <v>21</v>
      </c>
      <c r="E1329" s="24">
        <v>2512</v>
      </c>
      <c r="F1329" s="17" t="s">
        <v>291</v>
      </c>
      <c r="G1329" s="17" t="str">
        <f>Config!$B$3</f>
        <v>SCH/R_IEC.SchLib</v>
      </c>
      <c r="H1329" s="17" t="s">
        <v>419</v>
      </c>
      <c r="I1329" s="17" t="s">
        <v>461</v>
      </c>
      <c r="J1329" s="17" t="s">
        <v>7467</v>
      </c>
      <c r="K1329" s="17"/>
      <c r="L1329" s="17"/>
      <c r="M1329" s="21">
        <v>62000</v>
      </c>
      <c r="N1329" s="17"/>
      <c r="O1329" s="17"/>
      <c r="P1329" s="17"/>
      <c r="Q1329" s="17"/>
      <c r="R1329" s="17"/>
      <c r="S1329" s="17"/>
      <c r="T1329" s="17"/>
      <c r="U1329" s="17"/>
      <c r="V1329" s="17"/>
      <c r="W1329" s="17"/>
      <c r="X1329" s="17"/>
      <c r="Y1329" s="17"/>
      <c r="Z1329" s="17"/>
      <c r="AA1329" s="17"/>
      <c r="AB1329" s="17"/>
    </row>
    <row r="1330" spans="1:28">
      <c r="A1330" s="17" t="s">
        <v>9791</v>
      </c>
      <c r="B1330" s="17" t="s">
        <v>9791</v>
      </c>
      <c r="C1330" s="17" t="s">
        <v>9792</v>
      </c>
      <c r="D1330" s="17" t="s">
        <v>21</v>
      </c>
      <c r="E1330" s="24">
        <v>2512</v>
      </c>
      <c r="F1330" s="17" t="s">
        <v>295</v>
      </c>
      <c r="G1330" s="17" t="str">
        <f>Config!$B$3</f>
        <v>SCH/R_IEC.SchLib</v>
      </c>
      <c r="H1330" s="17" t="s">
        <v>419</v>
      </c>
      <c r="I1330" s="17" t="s">
        <v>461</v>
      </c>
      <c r="J1330" s="17" t="s">
        <v>7467</v>
      </c>
      <c r="K1330" s="17"/>
      <c r="L1330" s="17"/>
      <c r="M1330" s="21">
        <v>68000</v>
      </c>
      <c r="N1330" s="17"/>
      <c r="O1330" s="17"/>
      <c r="P1330" s="17"/>
      <c r="Q1330" s="17"/>
      <c r="R1330" s="17"/>
      <c r="S1330" s="17"/>
      <c r="T1330" s="17"/>
      <c r="U1330" s="17"/>
      <c r="V1330" s="17"/>
      <c r="W1330" s="17"/>
      <c r="X1330" s="17"/>
      <c r="Y1330" s="17"/>
      <c r="Z1330" s="17"/>
      <c r="AA1330" s="17"/>
      <c r="AB1330" s="17"/>
    </row>
    <row r="1331" spans="1:28">
      <c r="A1331" s="17" t="s">
        <v>9793</v>
      </c>
      <c r="B1331" s="17" t="s">
        <v>9793</v>
      </c>
      <c r="C1331" s="17" t="s">
        <v>9794</v>
      </c>
      <c r="D1331" s="17" t="s">
        <v>21</v>
      </c>
      <c r="E1331" s="24">
        <v>2512</v>
      </c>
      <c r="F1331" s="17" t="s">
        <v>299</v>
      </c>
      <c r="G1331" s="17" t="str">
        <f>Config!$B$3</f>
        <v>SCH/R_IEC.SchLib</v>
      </c>
      <c r="H1331" s="17" t="s">
        <v>419</v>
      </c>
      <c r="I1331" s="17" t="s">
        <v>461</v>
      </c>
      <c r="J1331" s="17" t="s">
        <v>7467</v>
      </c>
      <c r="K1331" s="17"/>
      <c r="L1331" s="17"/>
      <c r="M1331" s="21">
        <v>75000</v>
      </c>
      <c r="N1331" s="17"/>
      <c r="O1331" s="17"/>
      <c r="P1331" s="17"/>
      <c r="Q1331" s="17"/>
      <c r="R1331" s="17"/>
      <c r="S1331" s="17"/>
      <c r="T1331" s="17"/>
      <c r="U1331" s="17"/>
      <c r="V1331" s="17"/>
      <c r="W1331" s="17"/>
      <c r="X1331" s="17"/>
      <c r="Y1331" s="17"/>
      <c r="Z1331" s="17"/>
      <c r="AA1331" s="17"/>
      <c r="AB1331" s="17"/>
    </row>
    <row r="1332" spans="1:28">
      <c r="A1332" s="17" t="s">
        <v>9795</v>
      </c>
      <c r="B1332" s="17" t="s">
        <v>9795</v>
      </c>
      <c r="C1332" s="17" t="s">
        <v>9796</v>
      </c>
      <c r="D1332" s="17" t="s">
        <v>21</v>
      </c>
      <c r="E1332" s="24">
        <v>2512</v>
      </c>
      <c r="F1332" s="17" t="s">
        <v>301</v>
      </c>
      <c r="G1332" s="17" t="str">
        <f>Config!$B$3</f>
        <v>SCH/R_IEC.SchLib</v>
      </c>
      <c r="H1332" s="17" t="s">
        <v>419</v>
      </c>
      <c r="I1332" s="17" t="s">
        <v>461</v>
      </c>
      <c r="J1332" s="17" t="s">
        <v>7467</v>
      </c>
      <c r="K1332" s="17"/>
      <c r="L1332" s="17"/>
      <c r="M1332" s="21">
        <v>82000</v>
      </c>
      <c r="N1332" s="17"/>
      <c r="O1332" s="17"/>
      <c r="P1332" s="17"/>
      <c r="Q1332" s="17"/>
      <c r="R1332" s="17"/>
      <c r="S1332" s="17"/>
      <c r="T1332" s="17"/>
      <c r="U1332" s="17"/>
      <c r="V1332" s="17"/>
      <c r="W1332" s="17"/>
      <c r="X1332" s="17"/>
      <c r="Y1332" s="17"/>
      <c r="Z1332" s="17"/>
      <c r="AA1332" s="17"/>
      <c r="AB1332" s="17"/>
    </row>
    <row r="1333" spans="1:28">
      <c r="A1333" s="17" t="s">
        <v>9797</v>
      </c>
      <c r="B1333" s="17" t="s">
        <v>9797</v>
      </c>
      <c r="C1333" s="17" t="s">
        <v>9798</v>
      </c>
      <c r="D1333" s="17" t="s">
        <v>21</v>
      </c>
      <c r="E1333" s="24">
        <v>2512</v>
      </c>
      <c r="F1333" s="17" t="s">
        <v>303</v>
      </c>
      <c r="G1333" s="17" t="str">
        <f>Config!$B$3</f>
        <v>SCH/R_IEC.SchLib</v>
      </c>
      <c r="H1333" s="17" t="s">
        <v>419</v>
      </c>
      <c r="I1333" s="17" t="s">
        <v>461</v>
      </c>
      <c r="J1333" s="17" t="s">
        <v>7467</v>
      </c>
      <c r="K1333" s="17"/>
      <c r="L1333" s="17"/>
      <c r="M1333" s="21">
        <v>91000</v>
      </c>
      <c r="N1333" s="17"/>
      <c r="O1333" s="17"/>
      <c r="P1333" s="17"/>
      <c r="Q1333" s="17"/>
      <c r="R1333" s="17"/>
      <c r="S1333" s="17"/>
      <c r="T1333" s="17"/>
      <c r="U1333" s="17"/>
      <c r="V1333" s="17"/>
      <c r="W1333" s="17"/>
      <c r="X1333" s="17"/>
      <c r="Y1333" s="17"/>
      <c r="Z1333" s="17"/>
      <c r="AA1333" s="17"/>
      <c r="AB1333" s="17"/>
    </row>
    <row r="1334" spans="1:28">
      <c r="A1334" s="17" t="s">
        <v>9799</v>
      </c>
      <c r="B1334" s="17" t="s">
        <v>9799</v>
      </c>
      <c r="C1334" s="17" t="s">
        <v>9800</v>
      </c>
      <c r="D1334" s="17" t="s">
        <v>21</v>
      </c>
      <c r="E1334" s="24">
        <v>2512</v>
      </c>
      <c r="F1334" s="17" t="s">
        <v>305</v>
      </c>
      <c r="G1334" s="17" t="str">
        <f>Config!$B$3</f>
        <v>SCH/R_IEC.SchLib</v>
      </c>
      <c r="H1334" s="17" t="s">
        <v>419</v>
      </c>
      <c r="I1334" s="17" t="s">
        <v>461</v>
      </c>
      <c r="J1334" s="17" t="s">
        <v>7467</v>
      </c>
      <c r="K1334" s="17"/>
      <c r="L1334" s="17"/>
      <c r="M1334" s="21">
        <v>100000</v>
      </c>
      <c r="N1334" s="17"/>
      <c r="O1334" s="17"/>
      <c r="P1334" s="17"/>
      <c r="Q1334" s="17"/>
      <c r="R1334" s="17"/>
      <c r="S1334" s="17"/>
      <c r="T1334" s="17"/>
      <c r="U1334" s="17"/>
      <c r="V1334" s="17"/>
      <c r="W1334" s="17"/>
      <c r="X1334" s="17"/>
      <c r="Y1334" s="17"/>
      <c r="Z1334" s="17"/>
      <c r="AA1334" s="17"/>
      <c r="AB1334" s="17"/>
    </row>
    <row r="1335" spans="1:28">
      <c r="A1335" s="17" t="s">
        <v>9801</v>
      </c>
      <c r="B1335" s="17" t="s">
        <v>9801</v>
      </c>
      <c r="C1335" s="17" t="s">
        <v>9802</v>
      </c>
      <c r="D1335" s="17" t="s">
        <v>21</v>
      </c>
      <c r="E1335" s="24">
        <v>2512</v>
      </c>
      <c r="F1335" s="17" t="s">
        <v>309</v>
      </c>
      <c r="G1335" s="17" t="str">
        <f>Config!$B$3</f>
        <v>SCH/R_IEC.SchLib</v>
      </c>
      <c r="H1335" s="17" t="s">
        <v>419</v>
      </c>
      <c r="I1335" s="17" t="s">
        <v>461</v>
      </c>
      <c r="J1335" s="17" t="s">
        <v>7467</v>
      </c>
      <c r="K1335" s="17"/>
      <c r="L1335" s="17"/>
      <c r="M1335" s="21">
        <v>110000</v>
      </c>
      <c r="N1335" s="17"/>
      <c r="O1335" s="17"/>
      <c r="P1335" s="17"/>
      <c r="Q1335" s="17"/>
      <c r="R1335" s="17"/>
      <c r="S1335" s="17"/>
      <c r="T1335" s="17"/>
      <c r="U1335" s="17"/>
      <c r="V1335" s="17"/>
      <c r="W1335" s="17"/>
      <c r="X1335" s="17"/>
      <c r="Y1335" s="17"/>
      <c r="Z1335" s="17"/>
      <c r="AA1335" s="17"/>
      <c r="AB1335" s="17"/>
    </row>
    <row r="1336" spans="1:28">
      <c r="A1336" s="17" t="s">
        <v>9803</v>
      </c>
      <c r="B1336" s="17" t="s">
        <v>9803</v>
      </c>
      <c r="C1336" s="17" t="s">
        <v>9804</v>
      </c>
      <c r="D1336" s="17" t="s">
        <v>21</v>
      </c>
      <c r="E1336" s="24">
        <v>2512</v>
      </c>
      <c r="F1336" s="17" t="s">
        <v>313</v>
      </c>
      <c r="G1336" s="17" t="str">
        <f>Config!$B$3</f>
        <v>SCH/R_IEC.SchLib</v>
      </c>
      <c r="H1336" s="17" t="s">
        <v>419</v>
      </c>
      <c r="I1336" s="17" t="s">
        <v>461</v>
      </c>
      <c r="J1336" s="17" t="s">
        <v>7467</v>
      </c>
      <c r="K1336" s="17"/>
      <c r="L1336" s="17"/>
      <c r="M1336" s="21">
        <v>120000</v>
      </c>
      <c r="N1336" s="17"/>
      <c r="O1336" s="17"/>
      <c r="P1336" s="17"/>
      <c r="Q1336" s="17"/>
      <c r="R1336" s="17"/>
      <c r="S1336" s="17"/>
      <c r="T1336" s="17"/>
      <c r="U1336" s="17"/>
      <c r="V1336" s="17"/>
      <c r="W1336" s="17"/>
      <c r="X1336" s="17"/>
      <c r="Y1336" s="17"/>
      <c r="Z1336" s="17"/>
      <c r="AA1336" s="17"/>
      <c r="AB1336" s="17"/>
    </row>
    <row r="1337" spans="1:28">
      <c r="A1337" s="17" t="s">
        <v>9805</v>
      </c>
      <c r="B1337" s="17" t="s">
        <v>9805</v>
      </c>
      <c r="C1337" s="17" t="s">
        <v>9806</v>
      </c>
      <c r="D1337" s="17" t="s">
        <v>21</v>
      </c>
      <c r="E1337" s="24">
        <v>2512</v>
      </c>
      <c r="F1337" s="17" t="s">
        <v>317</v>
      </c>
      <c r="G1337" s="17" t="str">
        <f>Config!$B$3</f>
        <v>SCH/R_IEC.SchLib</v>
      </c>
      <c r="H1337" s="17" t="s">
        <v>419</v>
      </c>
      <c r="I1337" s="17" t="s">
        <v>461</v>
      </c>
      <c r="J1337" s="17" t="s">
        <v>7467</v>
      </c>
      <c r="K1337" s="17"/>
      <c r="L1337" s="17"/>
      <c r="M1337" s="21">
        <v>130000</v>
      </c>
      <c r="N1337" s="17"/>
      <c r="O1337" s="17"/>
      <c r="P1337" s="17"/>
      <c r="Q1337" s="17"/>
      <c r="R1337" s="17"/>
      <c r="S1337" s="17"/>
      <c r="T1337" s="17"/>
      <c r="U1337" s="17"/>
      <c r="V1337" s="17"/>
      <c r="W1337" s="17"/>
      <c r="X1337" s="17"/>
      <c r="Y1337" s="17"/>
      <c r="Z1337" s="17"/>
      <c r="AA1337" s="17"/>
      <c r="AB1337" s="17"/>
    </row>
    <row r="1338" spans="1:28">
      <c r="A1338" s="17" t="s">
        <v>9807</v>
      </c>
      <c r="B1338" s="17" t="s">
        <v>9807</v>
      </c>
      <c r="C1338" s="17" t="s">
        <v>9808</v>
      </c>
      <c r="D1338" s="17" t="s">
        <v>21</v>
      </c>
      <c r="E1338" s="24">
        <v>2512</v>
      </c>
      <c r="F1338" s="17" t="s">
        <v>321</v>
      </c>
      <c r="G1338" s="17" t="str">
        <f>Config!$B$3</f>
        <v>SCH/R_IEC.SchLib</v>
      </c>
      <c r="H1338" s="17" t="s">
        <v>419</v>
      </c>
      <c r="I1338" s="17" t="s">
        <v>461</v>
      </c>
      <c r="J1338" s="17" t="s">
        <v>7467</v>
      </c>
      <c r="K1338" s="17"/>
      <c r="L1338" s="17"/>
      <c r="M1338" s="21">
        <v>150000</v>
      </c>
      <c r="N1338" s="17"/>
      <c r="O1338" s="17"/>
      <c r="P1338" s="17"/>
      <c r="Q1338" s="17"/>
      <c r="R1338" s="17"/>
      <c r="S1338" s="17"/>
      <c r="T1338" s="17"/>
      <c r="U1338" s="17"/>
      <c r="V1338" s="17"/>
      <c r="W1338" s="17"/>
      <c r="X1338" s="17"/>
      <c r="Y1338" s="17"/>
      <c r="Z1338" s="17"/>
      <c r="AA1338" s="17"/>
      <c r="AB1338" s="17"/>
    </row>
    <row r="1339" spans="1:28">
      <c r="A1339" s="17" t="s">
        <v>9809</v>
      </c>
      <c r="B1339" s="17" t="s">
        <v>9809</v>
      </c>
      <c r="C1339" s="17" t="s">
        <v>9810</v>
      </c>
      <c r="D1339" s="17" t="s">
        <v>21</v>
      </c>
      <c r="E1339" s="24">
        <v>2512</v>
      </c>
      <c r="F1339" s="17" t="s">
        <v>323</v>
      </c>
      <c r="G1339" s="17" t="str">
        <f>Config!$B$3</f>
        <v>SCH/R_IEC.SchLib</v>
      </c>
      <c r="H1339" s="17" t="s">
        <v>419</v>
      </c>
      <c r="I1339" s="17" t="s">
        <v>461</v>
      </c>
      <c r="J1339" s="17" t="s">
        <v>7467</v>
      </c>
      <c r="K1339" s="17"/>
      <c r="L1339" s="17"/>
      <c r="M1339" s="21">
        <v>160000</v>
      </c>
      <c r="N1339" s="17"/>
      <c r="O1339" s="17"/>
      <c r="P1339" s="17"/>
      <c r="Q1339" s="17"/>
      <c r="R1339" s="17"/>
      <c r="S1339" s="17"/>
      <c r="T1339" s="17"/>
      <c r="U1339" s="17"/>
      <c r="V1339" s="17"/>
      <c r="W1339" s="17"/>
      <c r="X1339" s="17"/>
      <c r="Y1339" s="17"/>
      <c r="Z1339" s="17"/>
      <c r="AA1339" s="17"/>
      <c r="AB1339" s="17"/>
    </row>
    <row r="1340" spans="1:28">
      <c r="A1340" s="17" t="s">
        <v>9811</v>
      </c>
      <c r="B1340" s="17" t="s">
        <v>9811</v>
      </c>
      <c r="C1340" s="17" t="s">
        <v>9812</v>
      </c>
      <c r="D1340" s="17" t="s">
        <v>21</v>
      </c>
      <c r="E1340" s="24">
        <v>2512</v>
      </c>
      <c r="F1340" s="17" t="s">
        <v>327</v>
      </c>
      <c r="G1340" s="17" t="str">
        <f>Config!$B$3</f>
        <v>SCH/R_IEC.SchLib</v>
      </c>
      <c r="H1340" s="17" t="s">
        <v>419</v>
      </c>
      <c r="I1340" s="17" t="s">
        <v>461</v>
      </c>
      <c r="J1340" s="17" t="s">
        <v>7467</v>
      </c>
      <c r="K1340" s="17"/>
      <c r="L1340" s="17"/>
      <c r="M1340" s="21">
        <v>180000</v>
      </c>
      <c r="N1340" s="17"/>
      <c r="O1340" s="17"/>
      <c r="P1340" s="17"/>
      <c r="Q1340" s="17"/>
      <c r="R1340" s="17"/>
      <c r="S1340" s="17"/>
      <c r="T1340" s="17"/>
      <c r="U1340" s="17"/>
      <c r="V1340" s="17"/>
      <c r="W1340" s="17"/>
      <c r="X1340" s="17"/>
      <c r="Y1340" s="17"/>
      <c r="Z1340" s="17"/>
      <c r="AA1340" s="17"/>
      <c r="AB1340" s="17"/>
    </row>
    <row r="1341" spans="1:28">
      <c r="A1341" s="17" t="s">
        <v>9813</v>
      </c>
      <c r="B1341" s="17" t="s">
        <v>9813</v>
      </c>
      <c r="C1341" s="17" t="s">
        <v>9814</v>
      </c>
      <c r="D1341" s="17" t="s">
        <v>21</v>
      </c>
      <c r="E1341" s="24">
        <v>2512</v>
      </c>
      <c r="F1341" s="17" t="s">
        <v>331</v>
      </c>
      <c r="G1341" s="17" t="str">
        <f>Config!$B$3</f>
        <v>SCH/R_IEC.SchLib</v>
      </c>
      <c r="H1341" s="17" t="s">
        <v>419</v>
      </c>
      <c r="I1341" s="17" t="s">
        <v>461</v>
      </c>
      <c r="J1341" s="17" t="s">
        <v>7467</v>
      </c>
      <c r="K1341" s="17"/>
      <c r="L1341" s="17"/>
      <c r="M1341" s="21">
        <v>200000</v>
      </c>
      <c r="N1341" s="17"/>
      <c r="O1341" s="17"/>
      <c r="P1341" s="17"/>
      <c r="Q1341" s="17"/>
      <c r="R1341" s="17"/>
      <c r="S1341" s="17"/>
      <c r="T1341" s="17"/>
      <c r="U1341" s="17"/>
      <c r="V1341" s="17"/>
      <c r="W1341" s="17"/>
      <c r="X1341" s="17"/>
      <c r="Y1341" s="17"/>
      <c r="Z1341" s="17"/>
      <c r="AA1341" s="17"/>
      <c r="AB1341" s="17"/>
    </row>
    <row r="1342" spans="1:28">
      <c r="A1342" s="17" t="s">
        <v>9815</v>
      </c>
      <c r="B1342" s="17" t="s">
        <v>9815</v>
      </c>
      <c r="C1342" s="17" t="s">
        <v>9816</v>
      </c>
      <c r="D1342" s="17" t="s">
        <v>21</v>
      </c>
      <c r="E1342" s="24">
        <v>2512</v>
      </c>
      <c r="F1342" s="17" t="s">
        <v>333</v>
      </c>
      <c r="G1342" s="17" t="str">
        <f>Config!$B$3</f>
        <v>SCH/R_IEC.SchLib</v>
      </c>
      <c r="H1342" s="17" t="s">
        <v>419</v>
      </c>
      <c r="I1342" s="17" t="s">
        <v>461</v>
      </c>
      <c r="J1342" s="17" t="s">
        <v>7467</v>
      </c>
      <c r="K1342" s="17"/>
      <c r="L1342" s="17"/>
      <c r="M1342" s="21">
        <v>220000</v>
      </c>
      <c r="N1342" s="17"/>
      <c r="O1342" s="17"/>
      <c r="P1342" s="17"/>
      <c r="Q1342" s="17"/>
      <c r="R1342" s="17"/>
      <c r="S1342" s="17"/>
      <c r="T1342" s="17"/>
      <c r="U1342" s="17"/>
      <c r="V1342" s="17"/>
      <c r="W1342" s="17"/>
      <c r="X1342" s="17"/>
      <c r="Y1342" s="17"/>
      <c r="Z1342" s="17"/>
      <c r="AA1342" s="17"/>
      <c r="AB1342" s="17"/>
    </row>
    <row r="1343" spans="1:28">
      <c r="A1343" s="17" t="s">
        <v>9817</v>
      </c>
      <c r="B1343" s="17" t="s">
        <v>9817</v>
      </c>
      <c r="C1343" s="17" t="s">
        <v>9818</v>
      </c>
      <c r="D1343" s="17" t="s">
        <v>21</v>
      </c>
      <c r="E1343" s="24">
        <v>2512</v>
      </c>
      <c r="F1343" s="17" t="s">
        <v>335</v>
      </c>
      <c r="G1343" s="17" t="str">
        <f>Config!$B$3</f>
        <v>SCH/R_IEC.SchLib</v>
      </c>
      <c r="H1343" s="17" t="s">
        <v>419</v>
      </c>
      <c r="I1343" s="17" t="s">
        <v>461</v>
      </c>
      <c r="J1343" s="17" t="s">
        <v>7467</v>
      </c>
      <c r="K1343" s="17"/>
      <c r="L1343" s="17"/>
      <c r="M1343" s="21">
        <v>240000</v>
      </c>
      <c r="N1343" s="17"/>
      <c r="O1343" s="17"/>
      <c r="P1343" s="17"/>
      <c r="Q1343" s="17"/>
      <c r="R1343" s="17"/>
      <c r="S1343" s="17"/>
      <c r="T1343" s="17"/>
      <c r="U1343" s="17"/>
      <c r="V1343" s="17"/>
      <c r="W1343" s="17"/>
      <c r="X1343" s="17"/>
      <c r="Y1343" s="17"/>
      <c r="Z1343" s="17"/>
      <c r="AA1343" s="17"/>
      <c r="AB1343" s="17"/>
    </row>
    <row r="1344" spans="1:28">
      <c r="A1344" s="17" t="s">
        <v>9819</v>
      </c>
      <c r="B1344" s="17" t="s">
        <v>9819</v>
      </c>
      <c r="C1344" s="17" t="s">
        <v>9820</v>
      </c>
      <c r="D1344" s="17" t="s">
        <v>21</v>
      </c>
      <c r="E1344" s="24">
        <v>2512</v>
      </c>
      <c r="F1344" s="17" t="s">
        <v>337</v>
      </c>
      <c r="G1344" s="17" t="str">
        <f>Config!$B$3</f>
        <v>SCH/R_IEC.SchLib</v>
      </c>
      <c r="H1344" s="17" t="s">
        <v>419</v>
      </c>
      <c r="I1344" s="17" t="s">
        <v>461</v>
      </c>
      <c r="J1344" s="17" t="s">
        <v>7467</v>
      </c>
      <c r="K1344" s="17"/>
      <c r="L1344" s="17"/>
      <c r="M1344" s="21">
        <v>270000</v>
      </c>
      <c r="N1344" s="17"/>
      <c r="O1344" s="17"/>
      <c r="P1344" s="17"/>
      <c r="Q1344" s="17"/>
      <c r="R1344" s="17"/>
      <c r="S1344" s="17"/>
      <c r="T1344" s="17"/>
      <c r="U1344" s="17"/>
      <c r="V1344" s="17"/>
      <c r="W1344" s="17"/>
      <c r="X1344" s="17"/>
      <c r="Y1344" s="17"/>
      <c r="Z1344" s="17"/>
      <c r="AA1344" s="17"/>
      <c r="AB1344" s="17"/>
    </row>
    <row r="1345" spans="1:28">
      <c r="A1345" s="17" t="s">
        <v>9821</v>
      </c>
      <c r="B1345" s="17" t="s">
        <v>9821</v>
      </c>
      <c r="C1345" s="17" t="s">
        <v>9822</v>
      </c>
      <c r="D1345" s="17" t="s">
        <v>21</v>
      </c>
      <c r="E1345" s="24">
        <v>2512</v>
      </c>
      <c r="F1345" s="17" t="s">
        <v>339</v>
      </c>
      <c r="G1345" s="17" t="str">
        <f>Config!$B$3</f>
        <v>SCH/R_IEC.SchLib</v>
      </c>
      <c r="H1345" s="17" t="s">
        <v>419</v>
      </c>
      <c r="I1345" s="17" t="s">
        <v>461</v>
      </c>
      <c r="J1345" s="17" t="s">
        <v>7467</v>
      </c>
      <c r="K1345" s="17"/>
      <c r="L1345" s="17"/>
      <c r="M1345" s="21">
        <v>300000</v>
      </c>
      <c r="N1345" s="17"/>
      <c r="O1345" s="17"/>
      <c r="P1345" s="17"/>
      <c r="Q1345" s="17"/>
      <c r="R1345" s="17"/>
      <c r="S1345" s="17"/>
      <c r="T1345" s="17"/>
      <c r="U1345" s="17"/>
      <c r="V1345" s="17"/>
      <c r="W1345" s="17"/>
      <c r="X1345" s="17"/>
      <c r="Y1345" s="17"/>
      <c r="Z1345" s="17"/>
      <c r="AA1345" s="17"/>
      <c r="AB1345" s="17"/>
    </row>
    <row r="1346" spans="1:28">
      <c r="A1346" s="17" t="s">
        <v>9823</v>
      </c>
      <c r="B1346" s="17" t="s">
        <v>9823</v>
      </c>
      <c r="C1346" s="16" t="s">
        <v>9824</v>
      </c>
      <c r="D1346" s="16" t="s">
        <v>21</v>
      </c>
      <c r="E1346" s="24">
        <v>2512</v>
      </c>
      <c r="F1346" s="17" t="s">
        <v>341</v>
      </c>
      <c r="G1346" s="17" t="str">
        <f>Config!$B$3</f>
        <v>SCH/R_IEC.SchLib</v>
      </c>
      <c r="H1346" s="16" t="s">
        <v>419</v>
      </c>
      <c r="I1346" s="18" t="s">
        <v>461</v>
      </c>
      <c r="J1346" s="17" t="s">
        <v>7467</v>
      </c>
      <c r="K1346" s="17"/>
      <c r="L1346" s="17"/>
      <c r="M1346" s="21">
        <v>330000</v>
      </c>
      <c r="N1346" s="17"/>
      <c r="O1346" s="16"/>
      <c r="P1346" s="17"/>
      <c r="Q1346" s="16"/>
      <c r="R1346" s="17"/>
      <c r="S1346" s="17"/>
      <c r="T1346" s="17"/>
      <c r="U1346" s="17"/>
      <c r="V1346" s="17"/>
      <c r="W1346" s="17"/>
      <c r="X1346" s="17"/>
      <c r="Y1346" s="17"/>
      <c r="Z1346" s="17"/>
      <c r="AA1346" s="17"/>
      <c r="AB1346" s="17"/>
    </row>
    <row r="1347" spans="1:28">
      <c r="A1347" s="17" t="s">
        <v>9825</v>
      </c>
      <c r="B1347" s="17" t="s">
        <v>9825</v>
      </c>
      <c r="C1347" s="17" t="s">
        <v>9826</v>
      </c>
      <c r="D1347" s="17" t="s">
        <v>21</v>
      </c>
      <c r="E1347" s="24">
        <v>2512</v>
      </c>
      <c r="F1347" s="17" t="s">
        <v>345</v>
      </c>
      <c r="G1347" s="17" t="str">
        <f>Config!$B$3</f>
        <v>SCH/R_IEC.SchLib</v>
      </c>
      <c r="H1347" s="17" t="s">
        <v>419</v>
      </c>
      <c r="I1347" s="17" t="s">
        <v>461</v>
      </c>
      <c r="J1347" s="17" t="s">
        <v>7467</v>
      </c>
      <c r="K1347" s="17"/>
      <c r="L1347" s="17"/>
      <c r="M1347" s="21">
        <v>360000</v>
      </c>
      <c r="N1347" s="17"/>
      <c r="O1347" s="17"/>
      <c r="P1347" s="17"/>
      <c r="Q1347" s="17"/>
      <c r="R1347" s="17"/>
      <c r="S1347" s="17"/>
      <c r="T1347" s="17"/>
      <c r="U1347" s="17"/>
      <c r="V1347" s="17"/>
      <c r="W1347" s="17"/>
      <c r="X1347" s="17"/>
      <c r="Y1347" s="17"/>
      <c r="Z1347" s="17"/>
      <c r="AA1347" s="17"/>
      <c r="AB1347" s="17"/>
    </row>
    <row r="1348" spans="1:28">
      <c r="A1348" s="17" t="s">
        <v>9827</v>
      </c>
      <c r="B1348" s="17" t="s">
        <v>9827</v>
      </c>
      <c r="C1348" s="17" t="s">
        <v>9828</v>
      </c>
      <c r="D1348" s="17" t="s">
        <v>21</v>
      </c>
      <c r="E1348" s="24">
        <v>2512</v>
      </c>
      <c r="F1348" s="17" t="s">
        <v>349</v>
      </c>
      <c r="G1348" s="17" t="str">
        <f>Config!$B$3</f>
        <v>SCH/R_IEC.SchLib</v>
      </c>
      <c r="H1348" s="17" t="s">
        <v>419</v>
      </c>
      <c r="I1348" s="17" t="s">
        <v>461</v>
      </c>
      <c r="J1348" s="17" t="s">
        <v>7467</v>
      </c>
      <c r="K1348" s="17"/>
      <c r="L1348" s="17"/>
      <c r="M1348" s="21">
        <v>390000</v>
      </c>
      <c r="N1348" s="17"/>
      <c r="O1348" s="17"/>
      <c r="P1348" s="17"/>
      <c r="Q1348" s="17"/>
      <c r="R1348" s="17"/>
      <c r="S1348" s="17"/>
      <c r="T1348" s="17"/>
      <c r="U1348" s="17"/>
      <c r="V1348" s="17"/>
      <c r="W1348" s="17"/>
      <c r="X1348" s="17"/>
      <c r="Y1348" s="17"/>
      <c r="Z1348" s="17"/>
      <c r="AA1348" s="17"/>
      <c r="AB1348" s="17"/>
    </row>
    <row r="1349" spans="1:28">
      <c r="A1349" s="17" t="s">
        <v>9829</v>
      </c>
      <c r="B1349" s="17" t="s">
        <v>9829</v>
      </c>
      <c r="C1349" s="17" t="s">
        <v>9830</v>
      </c>
      <c r="D1349" s="17" t="s">
        <v>21</v>
      </c>
      <c r="E1349" s="24">
        <v>2512</v>
      </c>
      <c r="F1349" s="17" t="s">
        <v>351</v>
      </c>
      <c r="G1349" s="17" t="str">
        <f>Config!$B$3</f>
        <v>SCH/R_IEC.SchLib</v>
      </c>
      <c r="H1349" s="17" t="s">
        <v>419</v>
      </c>
      <c r="I1349" s="17" t="s">
        <v>461</v>
      </c>
      <c r="J1349" s="17" t="s">
        <v>7467</v>
      </c>
      <c r="K1349" s="17"/>
      <c r="L1349" s="17"/>
      <c r="M1349" s="21">
        <v>430000</v>
      </c>
      <c r="N1349" s="17"/>
      <c r="O1349" s="17"/>
      <c r="P1349" s="17"/>
      <c r="Q1349" s="17"/>
      <c r="R1349" s="17"/>
      <c r="S1349" s="17"/>
      <c r="T1349" s="17"/>
      <c r="U1349" s="17"/>
      <c r="V1349" s="17"/>
      <c r="W1349" s="17"/>
      <c r="X1349" s="17"/>
      <c r="Y1349" s="17"/>
      <c r="Z1349" s="17"/>
      <c r="AA1349" s="17"/>
      <c r="AB1349" s="17"/>
    </row>
    <row r="1350" spans="1:28">
      <c r="A1350" s="17" t="s">
        <v>9831</v>
      </c>
      <c r="B1350" s="17" t="s">
        <v>9831</v>
      </c>
      <c r="C1350" s="17" t="s">
        <v>9832</v>
      </c>
      <c r="D1350" s="17" t="s">
        <v>21</v>
      </c>
      <c r="E1350" s="24">
        <v>2512</v>
      </c>
      <c r="F1350" s="17" t="s">
        <v>353</v>
      </c>
      <c r="G1350" s="17" t="str">
        <f>Config!$B$3</f>
        <v>SCH/R_IEC.SchLib</v>
      </c>
      <c r="H1350" s="17" t="s">
        <v>419</v>
      </c>
      <c r="I1350" s="17" t="s">
        <v>461</v>
      </c>
      <c r="J1350" s="17" t="s">
        <v>7467</v>
      </c>
      <c r="K1350" s="17"/>
      <c r="L1350" s="17"/>
      <c r="M1350" s="21">
        <v>470000</v>
      </c>
      <c r="N1350" s="17"/>
      <c r="O1350" s="17"/>
      <c r="P1350" s="17"/>
      <c r="Q1350" s="17"/>
      <c r="R1350" s="17"/>
      <c r="S1350" s="17"/>
      <c r="T1350" s="17"/>
      <c r="U1350" s="17"/>
      <c r="V1350" s="17"/>
      <c r="W1350" s="17"/>
      <c r="X1350" s="17"/>
      <c r="Y1350" s="17"/>
      <c r="Z1350" s="17"/>
      <c r="AA1350" s="17"/>
      <c r="AB1350" s="17"/>
    </row>
    <row r="1351" spans="1:28">
      <c r="A1351" s="17" t="s">
        <v>9833</v>
      </c>
      <c r="B1351" s="17" t="s">
        <v>9833</v>
      </c>
      <c r="C1351" s="17" t="s">
        <v>9834</v>
      </c>
      <c r="D1351" s="17" t="s">
        <v>21</v>
      </c>
      <c r="E1351" s="24">
        <v>2512</v>
      </c>
      <c r="F1351" s="17" t="s">
        <v>355</v>
      </c>
      <c r="G1351" s="17" t="str">
        <f>Config!$B$3</f>
        <v>SCH/R_IEC.SchLib</v>
      </c>
      <c r="H1351" s="17" t="s">
        <v>419</v>
      </c>
      <c r="I1351" s="17" t="s">
        <v>461</v>
      </c>
      <c r="J1351" s="17" t="s">
        <v>7467</v>
      </c>
      <c r="K1351" s="17"/>
      <c r="L1351" s="17"/>
      <c r="M1351" s="21">
        <v>510000</v>
      </c>
      <c r="N1351" s="17"/>
      <c r="O1351" s="17"/>
      <c r="P1351" s="17"/>
      <c r="Q1351" s="17"/>
      <c r="R1351" s="17"/>
      <c r="S1351" s="17"/>
      <c r="T1351" s="17"/>
      <c r="U1351" s="17"/>
      <c r="V1351" s="17"/>
      <c r="W1351" s="17"/>
      <c r="X1351" s="17"/>
      <c r="Y1351" s="17"/>
      <c r="Z1351" s="17"/>
      <c r="AA1351" s="17"/>
      <c r="AB1351" s="17"/>
    </row>
    <row r="1352" spans="1:28">
      <c r="A1352" s="17" t="s">
        <v>9835</v>
      </c>
      <c r="B1352" s="17" t="s">
        <v>9835</v>
      </c>
      <c r="C1352" s="17" t="s">
        <v>9836</v>
      </c>
      <c r="D1352" s="17" t="s">
        <v>21</v>
      </c>
      <c r="E1352" s="24">
        <v>2512</v>
      </c>
      <c r="F1352" s="17" t="s">
        <v>357</v>
      </c>
      <c r="G1352" s="17" t="str">
        <f>Config!$B$3</f>
        <v>SCH/R_IEC.SchLib</v>
      </c>
      <c r="H1352" s="17" t="s">
        <v>419</v>
      </c>
      <c r="I1352" s="17" t="s">
        <v>461</v>
      </c>
      <c r="J1352" s="17" t="s">
        <v>7467</v>
      </c>
      <c r="K1352" s="17"/>
      <c r="L1352" s="17"/>
      <c r="M1352" s="21">
        <v>560000</v>
      </c>
      <c r="N1352" s="17"/>
      <c r="O1352" s="17"/>
      <c r="P1352" s="17"/>
      <c r="Q1352" s="17"/>
      <c r="R1352" s="17"/>
      <c r="S1352" s="17"/>
      <c r="T1352" s="17"/>
      <c r="U1352" s="17"/>
      <c r="V1352" s="17"/>
      <c r="W1352" s="17"/>
      <c r="X1352" s="17"/>
      <c r="Y1352" s="17"/>
      <c r="Z1352" s="17"/>
      <c r="AA1352" s="17"/>
      <c r="AB1352" s="17"/>
    </row>
    <row r="1353" spans="1:28">
      <c r="A1353" s="17" t="s">
        <v>9837</v>
      </c>
      <c r="B1353" s="17" t="s">
        <v>9837</v>
      </c>
      <c r="C1353" s="17" t="s">
        <v>9838</v>
      </c>
      <c r="D1353" s="17" t="s">
        <v>21</v>
      </c>
      <c r="E1353" s="24">
        <v>2512</v>
      </c>
      <c r="F1353" s="17" t="s">
        <v>359</v>
      </c>
      <c r="G1353" s="17" t="str">
        <f>Config!$B$3</f>
        <v>SCH/R_IEC.SchLib</v>
      </c>
      <c r="H1353" s="17" t="s">
        <v>419</v>
      </c>
      <c r="I1353" s="17" t="s">
        <v>461</v>
      </c>
      <c r="J1353" s="17" t="s">
        <v>7467</v>
      </c>
      <c r="K1353" s="17"/>
      <c r="L1353" s="17"/>
      <c r="M1353" s="21">
        <v>620000</v>
      </c>
      <c r="N1353" s="17"/>
      <c r="O1353" s="17"/>
      <c r="P1353" s="17"/>
      <c r="Q1353" s="17"/>
      <c r="R1353" s="17"/>
      <c r="S1353" s="17"/>
      <c r="T1353" s="17"/>
      <c r="U1353" s="17"/>
      <c r="V1353" s="17"/>
      <c r="W1353" s="17"/>
      <c r="X1353" s="17"/>
      <c r="Y1353" s="17"/>
      <c r="Z1353" s="17"/>
      <c r="AA1353" s="17"/>
      <c r="AB1353" s="17"/>
    </row>
    <row r="1354" spans="1:28">
      <c r="A1354" s="17" t="s">
        <v>9839</v>
      </c>
      <c r="B1354" s="17" t="s">
        <v>9839</v>
      </c>
      <c r="C1354" s="17" t="s">
        <v>9840</v>
      </c>
      <c r="D1354" s="17" t="s">
        <v>21</v>
      </c>
      <c r="E1354" s="24">
        <v>2512</v>
      </c>
      <c r="F1354" s="17" t="s">
        <v>361</v>
      </c>
      <c r="G1354" s="17" t="str">
        <f>Config!$B$3</f>
        <v>SCH/R_IEC.SchLib</v>
      </c>
      <c r="H1354" s="17" t="s">
        <v>419</v>
      </c>
      <c r="I1354" s="17" t="s">
        <v>461</v>
      </c>
      <c r="J1354" s="17" t="s">
        <v>7467</v>
      </c>
      <c r="K1354" s="17"/>
      <c r="L1354" s="17"/>
      <c r="M1354" s="21">
        <v>680000</v>
      </c>
      <c r="N1354" s="17"/>
      <c r="O1354" s="17"/>
      <c r="P1354" s="17"/>
      <c r="Q1354" s="17"/>
      <c r="R1354" s="17"/>
      <c r="S1354" s="17"/>
      <c r="T1354" s="17"/>
      <c r="U1354" s="17"/>
      <c r="V1354" s="17"/>
      <c r="W1354" s="17"/>
      <c r="X1354" s="17"/>
      <c r="Y1354" s="17"/>
      <c r="Z1354" s="17"/>
      <c r="AA1354" s="17"/>
      <c r="AB1354" s="17"/>
    </row>
    <row r="1355" spans="1:28">
      <c r="A1355" s="17" t="s">
        <v>9841</v>
      </c>
      <c r="B1355" s="17" t="s">
        <v>9841</v>
      </c>
      <c r="C1355" s="17" t="s">
        <v>9842</v>
      </c>
      <c r="D1355" s="17" t="s">
        <v>21</v>
      </c>
      <c r="E1355" s="24">
        <v>2512</v>
      </c>
      <c r="F1355" s="17" t="s">
        <v>363</v>
      </c>
      <c r="G1355" s="17" t="str">
        <f>Config!$B$3</f>
        <v>SCH/R_IEC.SchLib</v>
      </c>
      <c r="H1355" s="17" t="s">
        <v>419</v>
      </c>
      <c r="I1355" s="17" t="s">
        <v>461</v>
      </c>
      <c r="J1355" s="17" t="s">
        <v>7467</v>
      </c>
      <c r="K1355" s="17"/>
      <c r="L1355" s="17"/>
      <c r="M1355" s="21">
        <v>750000</v>
      </c>
      <c r="N1355" s="17"/>
      <c r="O1355" s="17"/>
      <c r="P1355" s="17"/>
      <c r="Q1355" s="17"/>
      <c r="R1355" s="17"/>
      <c r="S1355" s="17"/>
      <c r="T1355" s="17"/>
      <c r="U1355" s="17"/>
      <c r="V1355" s="17"/>
      <c r="W1355" s="17"/>
      <c r="X1355" s="17"/>
      <c r="Y1355" s="17"/>
      <c r="Z1355" s="17"/>
      <c r="AA1355" s="17"/>
      <c r="AB1355" s="17"/>
    </row>
    <row r="1356" spans="1:28">
      <c r="A1356" s="17" t="s">
        <v>9843</v>
      </c>
      <c r="B1356" s="17" t="s">
        <v>9843</v>
      </c>
      <c r="C1356" s="17" t="s">
        <v>9844</v>
      </c>
      <c r="D1356" s="17" t="s">
        <v>21</v>
      </c>
      <c r="E1356" s="24">
        <v>2512</v>
      </c>
      <c r="F1356" s="17" t="s">
        <v>365</v>
      </c>
      <c r="G1356" s="17" t="str">
        <f>Config!$B$3</f>
        <v>SCH/R_IEC.SchLib</v>
      </c>
      <c r="H1356" s="17" t="s">
        <v>419</v>
      </c>
      <c r="I1356" s="17" t="s">
        <v>461</v>
      </c>
      <c r="J1356" s="17" t="s">
        <v>7467</v>
      </c>
      <c r="K1356" s="17"/>
      <c r="L1356" s="17"/>
      <c r="M1356" s="21">
        <v>820000</v>
      </c>
      <c r="N1356" s="17"/>
      <c r="O1356" s="17"/>
      <c r="P1356" s="17"/>
      <c r="Q1356" s="17"/>
      <c r="R1356" s="17"/>
      <c r="S1356" s="17"/>
      <c r="T1356" s="17"/>
      <c r="U1356" s="17"/>
      <c r="V1356" s="17"/>
      <c r="W1356" s="17"/>
      <c r="X1356" s="17"/>
      <c r="Y1356" s="17"/>
      <c r="Z1356" s="17"/>
      <c r="AA1356" s="17"/>
      <c r="AB1356" s="17"/>
    </row>
    <row r="1357" spans="1:28">
      <c r="A1357" s="17" t="s">
        <v>9845</v>
      </c>
      <c r="B1357" s="17" t="s">
        <v>9845</v>
      </c>
      <c r="C1357" s="17" t="s">
        <v>9846</v>
      </c>
      <c r="D1357" s="17" t="s">
        <v>21</v>
      </c>
      <c r="E1357" s="24">
        <v>2512</v>
      </c>
      <c r="F1357" s="17" t="s">
        <v>367</v>
      </c>
      <c r="G1357" s="17" t="str">
        <f>Config!$B$3</f>
        <v>SCH/R_IEC.SchLib</v>
      </c>
      <c r="H1357" s="17" t="s">
        <v>419</v>
      </c>
      <c r="I1357" s="17" t="s">
        <v>461</v>
      </c>
      <c r="J1357" s="17" t="s">
        <v>7467</v>
      </c>
      <c r="K1357" s="17"/>
      <c r="L1357" s="17"/>
      <c r="M1357" s="21">
        <v>910000</v>
      </c>
      <c r="N1357" s="17"/>
      <c r="O1357" s="17"/>
      <c r="P1357" s="17"/>
      <c r="Q1357" s="17"/>
      <c r="R1357" s="17"/>
      <c r="S1357" s="17"/>
      <c r="T1357" s="17"/>
      <c r="U1357" s="17"/>
      <c r="V1357" s="17"/>
      <c r="W1357" s="17"/>
      <c r="X1357" s="17"/>
      <c r="Y1357" s="17"/>
      <c r="Z1357" s="17"/>
      <c r="AA1357" s="17"/>
      <c r="AB1357" s="17"/>
    </row>
    <row r="1358" spans="1:28">
      <c r="A1358" s="17" t="s">
        <v>9847</v>
      </c>
      <c r="B1358" s="17" t="s">
        <v>9847</v>
      </c>
      <c r="C1358" s="17" t="s">
        <v>9848</v>
      </c>
      <c r="D1358" s="17" t="s">
        <v>21</v>
      </c>
      <c r="E1358" s="24">
        <v>2512</v>
      </c>
      <c r="F1358" s="17" t="s">
        <v>369</v>
      </c>
      <c r="G1358" s="17" t="str">
        <f>Config!$B$3</f>
        <v>SCH/R_IEC.SchLib</v>
      </c>
      <c r="H1358" s="17" t="s">
        <v>419</v>
      </c>
      <c r="I1358" s="17" t="s">
        <v>461</v>
      </c>
      <c r="J1358" s="17" t="s">
        <v>7467</v>
      </c>
      <c r="K1358" s="17"/>
      <c r="L1358" s="17"/>
      <c r="M1358" s="21">
        <v>1000000</v>
      </c>
      <c r="N1358" s="17"/>
      <c r="O1358" s="17"/>
      <c r="P1358" s="17"/>
      <c r="Q1358" s="17"/>
      <c r="R1358" s="17"/>
      <c r="S1358" s="17"/>
      <c r="T1358" s="17"/>
      <c r="U1358" s="17"/>
      <c r="V1358" s="17"/>
      <c r="W1358" s="17"/>
      <c r="X1358" s="17"/>
      <c r="Y1358" s="17"/>
      <c r="Z1358" s="17"/>
      <c r="AA1358" s="17"/>
      <c r="AB1358" s="17"/>
    </row>
    <row r="1359" spans="1:28">
      <c r="A1359" s="17" t="s">
        <v>9849</v>
      </c>
      <c r="B1359" s="17" t="s">
        <v>9849</v>
      </c>
      <c r="C1359" s="17" t="s">
        <v>9850</v>
      </c>
      <c r="D1359" s="17" t="s">
        <v>21</v>
      </c>
      <c r="E1359" s="24">
        <v>2512</v>
      </c>
      <c r="F1359" s="17" t="s">
        <v>371</v>
      </c>
      <c r="G1359" s="17" t="str">
        <f>Config!$B$3</f>
        <v>SCH/R_IEC.SchLib</v>
      </c>
      <c r="H1359" s="17" t="s">
        <v>419</v>
      </c>
      <c r="I1359" s="17" t="s">
        <v>461</v>
      </c>
      <c r="J1359" s="17" t="s">
        <v>7467</v>
      </c>
      <c r="K1359" s="17"/>
      <c r="L1359" s="17"/>
      <c r="M1359" s="21">
        <v>1100000</v>
      </c>
      <c r="N1359" s="17"/>
      <c r="O1359" s="17"/>
      <c r="P1359" s="17"/>
      <c r="Q1359" s="17"/>
      <c r="R1359" s="17"/>
      <c r="S1359" s="17"/>
      <c r="T1359" s="17"/>
      <c r="U1359" s="17"/>
      <c r="V1359" s="17"/>
      <c r="W1359" s="17"/>
      <c r="X1359" s="17"/>
      <c r="Y1359" s="17"/>
      <c r="Z1359" s="17"/>
      <c r="AA1359" s="17"/>
      <c r="AB1359" s="17"/>
    </row>
    <row r="1360" spans="1:28">
      <c r="A1360" s="17" t="s">
        <v>9851</v>
      </c>
      <c r="B1360" s="17" t="s">
        <v>9851</v>
      </c>
      <c r="C1360" s="17" t="s">
        <v>9852</v>
      </c>
      <c r="D1360" s="17" t="s">
        <v>21</v>
      </c>
      <c r="E1360" s="24">
        <v>2512</v>
      </c>
      <c r="F1360" s="17" t="s">
        <v>373</v>
      </c>
      <c r="G1360" s="17" t="str">
        <f>Config!$B$3</f>
        <v>SCH/R_IEC.SchLib</v>
      </c>
      <c r="H1360" s="17" t="s">
        <v>419</v>
      </c>
      <c r="I1360" s="17" t="s">
        <v>461</v>
      </c>
      <c r="J1360" s="17" t="s">
        <v>7467</v>
      </c>
      <c r="K1360" s="17"/>
      <c r="L1360" s="17"/>
      <c r="M1360" s="21">
        <v>1200000</v>
      </c>
      <c r="N1360" s="17"/>
      <c r="O1360" s="17"/>
      <c r="P1360" s="17"/>
      <c r="Q1360" s="17"/>
      <c r="R1360" s="17"/>
      <c r="S1360" s="17"/>
      <c r="T1360" s="17"/>
      <c r="U1360" s="17"/>
      <c r="V1360" s="17"/>
      <c r="W1360" s="17"/>
      <c r="X1360" s="17"/>
      <c r="Y1360" s="17"/>
      <c r="Z1360" s="17"/>
      <c r="AA1360" s="17"/>
      <c r="AB1360" s="17"/>
    </row>
    <row r="1361" spans="1:28">
      <c r="A1361" s="17" t="s">
        <v>9853</v>
      </c>
      <c r="B1361" s="17" t="s">
        <v>9853</v>
      </c>
      <c r="C1361" s="17" t="s">
        <v>9854</v>
      </c>
      <c r="D1361" s="17" t="s">
        <v>21</v>
      </c>
      <c r="E1361" s="24">
        <v>2512</v>
      </c>
      <c r="F1361" s="17" t="s">
        <v>375</v>
      </c>
      <c r="G1361" s="17" t="str">
        <f>Config!$B$3</f>
        <v>SCH/R_IEC.SchLib</v>
      </c>
      <c r="H1361" s="17" t="s">
        <v>419</v>
      </c>
      <c r="I1361" s="17" t="s">
        <v>461</v>
      </c>
      <c r="J1361" s="17" t="s">
        <v>7467</v>
      </c>
      <c r="K1361" s="17"/>
      <c r="L1361" s="17"/>
      <c r="M1361" s="21">
        <v>1300000</v>
      </c>
      <c r="N1361" s="17"/>
      <c r="O1361" s="17"/>
      <c r="P1361" s="17"/>
      <c r="Q1361" s="17"/>
      <c r="R1361" s="17"/>
      <c r="S1361" s="17"/>
      <c r="T1361" s="17"/>
      <c r="U1361" s="17"/>
      <c r="V1361" s="17"/>
      <c r="W1361" s="17"/>
      <c r="X1361" s="17"/>
      <c r="Y1361" s="17"/>
      <c r="Z1361" s="17"/>
      <c r="AA1361" s="17"/>
      <c r="AB1361" s="17"/>
    </row>
    <row r="1362" spans="1:28">
      <c r="A1362" s="17" t="s">
        <v>9855</v>
      </c>
      <c r="B1362" s="17" t="s">
        <v>9855</v>
      </c>
      <c r="C1362" s="17" t="s">
        <v>9856</v>
      </c>
      <c r="D1362" s="17" t="s">
        <v>21</v>
      </c>
      <c r="E1362" s="24">
        <v>2512</v>
      </c>
      <c r="F1362" s="17" t="s">
        <v>377</v>
      </c>
      <c r="G1362" s="17" t="str">
        <f>Config!$B$3</f>
        <v>SCH/R_IEC.SchLib</v>
      </c>
      <c r="H1362" s="17" t="s">
        <v>419</v>
      </c>
      <c r="I1362" s="17" t="s">
        <v>461</v>
      </c>
      <c r="J1362" s="17" t="s">
        <v>7467</v>
      </c>
      <c r="K1362" s="17"/>
      <c r="L1362" s="17"/>
      <c r="M1362" s="21">
        <v>1500000</v>
      </c>
      <c r="N1362" s="17"/>
      <c r="O1362" s="17"/>
      <c r="P1362" s="17"/>
      <c r="Q1362" s="17"/>
      <c r="R1362" s="17"/>
      <c r="S1362" s="17"/>
      <c r="T1362" s="17"/>
      <c r="U1362" s="17"/>
      <c r="V1362" s="17"/>
      <c r="W1362" s="17"/>
      <c r="X1362" s="17"/>
      <c r="Y1362" s="17"/>
      <c r="Z1362" s="17"/>
      <c r="AA1362" s="17"/>
      <c r="AB1362" s="17"/>
    </row>
    <row r="1363" spans="1:28">
      <c r="A1363" s="17" t="s">
        <v>9857</v>
      </c>
      <c r="B1363" s="17" t="s">
        <v>9857</v>
      </c>
      <c r="C1363" s="17" t="s">
        <v>9858</v>
      </c>
      <c r="D1363" s="17" t="s">
        <v>21</v>
      </c>
      <c r="E1363" s="24">
        <v>2512</v>
      </c>
      <c r="F1363" s="17" t="s">
        <v>379</v>
      </c>
      <c r="G1363" s="17" t="str">
        <f>Config!$B$3</f>
        <v>SCH/R_IEC.SchLib</v>
      </c>
      <c r="H1363" s="17" t="s">
        <v>419</v>
      </c>
      <c r="I1363" s="17" t="s">
        <v>461</v>
      </c>
      <c r="J1363" s="17" t="s">
        <v>7467</v>
      </c>
      <c r="K1363" s="17"/>
      <c r="L1363" s="17"/>
      <c r="M1363" s="21">
        <v>1600000</v>
      </c>
      <c r="N1363" s="17"/>
      <c r="O1363" s="17"/>
      <c r="P1363" s="17"/>
      <c r="Q1363" s="17"/>
      <c r="R1363" s="17"/>
      <c r="S1363" s="17"/>
      <c r="T1363" s="17"/>
      <c r="U1363" s="17"/>
      <c r="V1363" s="17"/>
      <c r="W1363" s="17"/>
      <c r="X1363" s="17"/>
      <c r="Y1363" s="17"/>
      <c r="Z1363" s="17"/>
      <c r="AA1363" s="17"/>
      <c r="AB1363" s="17"/>
    </row>
    <row r="1364" spans="1:28">
      <c r="A1364" s="17" t="s">
        <v>9859</v>
      </c>
      <c r="B1364" s="17" t="s">
        <v>9859</v>
      </c>
      <c r="C1364" s="17" t="s">
        <v>9860</v>
      </c>
      <c r="D1364" s="17" t="s">
        <v>21</v>
      </c>
      <c r="E1364" s="24">
        <v>2512</v>
      </c>
      <c r="F1364" s="17" t="s">
        <v>381</v>
      </c>
      <c r="G1364" s="17" t="str">
        <f>Config!$B$3</f>
        <v>SCH/R_IEC.SchLib</v>
      </c>
      <c r="H1364" s="17" t="s">
        <v>419</v>
      </c>
      <c r="I1364" s="17" t="s">
        <v>461</v>
      </c>
      <c r="J1364" s="17" t="s">
        <v>7467</v>
      </c>
      <c r="K1364" s="17"/>
      <c r="L1364" s="17"/>
      <c r="M1364" s="21">
        <v>1800000</v>
      </c>
      <c r="N1364" s="17"/>
      <c r="O1364" s="17"/>
      <c r="P1364" s="17"/>
      <c r="Q1364" s="17"/>
      <c r="R1364" s="17"/>
      <c r="S1364" s="17"/>
      <c r="T1364" s="17"/>
      <c r="U1364" s="17"/>
      <c r="V1364" s="17"/>
      <c r="W1364" s="17"/>
      <c r="X1364" s="17"/>
      <c r="Y1364" s="17"/>
      <c r="Z1364" s="17"/>
      <c r="AA1364" s="17"/>
      <c r="AB1364" s="17"/>
    </row>
    <row r="1365" spans="1:28">
      <c r="A1365" s="17" t="s">
        <v>9861</v>
      </c>
      <c r="B1365" s="17" t="s">
        <v>9861</v>
      </c>
      <c r="C1365" s="17" t="s">
        <v>9862</v>
      </c>
      <c r="D1365" s="17" t="s">
        <v>21</v>
      </c>
      <c r="E1365" s="24">
        <v>2512</v>
      </c>
      <c r="F1365" s="17" t="s">
        <v>383</v>
      </c>
      <c r="G1365" s="17" t="str">
        <f>Config!$B$3</f>
        <v>SCH/R_IEC.SchLib</v>
      </c>
      <c r="H1365" s="17" t="s">
        <v>419</v>
      </c>
      <c r="I1365" s="17" t="s">
        <v>461</v>
      </c>
      <c r="J1365" s="17" t="s">
        <v>7467</v>
      </c>
      <c r="K1365" s="17"/>
      <c r="L1365" s="17"/>
      <c r="M1365" s="21">
        <v>2000000</v>
      </c>
      <c r="N1365" s="17"/>
      <c r="O1365" s="17"/>
      <c r="P1365" s="17"/>
      <c r="Q1365" s="17"/>
      <c r="R1365" s="17"/>
      <c r="S1365" s="17"/>
      <c r="T1365" s="17"/>
      <c r="U1365" s="17"/>
      <c r="V1365" s="17"/>
      <c r="W1365" s="17"/>
      <c r="X1365" s="17"/>
      <c r="Y1365" s="17"/>
      <c r="Z1365" s="17"/>
      <c r="AA1365" s="17"/>
      <c r="AB1365" s="17"/>
    </row>
    <row r="1366" spans="1:28">
      <c r="A1366" s="17" t="s">
        <v>9863</v>
      </c>
      <c r="B1366" s="17" t="s">
        <v>9863</v>
      </c>
      <c r="C1366" s="17" t="s">
        <v>9864</v>
      </c>
      <c r="D1366" s="17" t="s">
        <v>21</v>
      </c>
      <c r="E1366" s="24">
        <v>2512</v>
      </c>
      <c r="F1366" s="17" t="s">
        <v>385</v>
      </c>
      <c r="G1366" s="17" t="str">
        <f>Config!$B$3</f>
        <v>SCH/R_IEC.SchLib</v>
      </c>
      <c r="H1366" s="17" t="s">
        <v>419</v>
      </c>
      <c r="I1366" s="17" t="s">
        <v>461</v>
      </c>
      <c r="J1366" s="17" t="s">
        <v>7467</v>
      </c>
      <c r="K1366" s="17"/>
      <c r="L1366" s="17"/>
      <c r="M1366" s="21">
        <v>2200000</v>
      </c>
      <c r="N1366" s="17"/>
      <c r="O1366" s="17"/>
      <c r="P1366" s="17"/>
      <c r="Q1366" s="17"/>
      <c r="R1366" s="17"/>
      <c r="S1366" s="17"/>
      <c r="T1366" s="17"/>
      <c r="U1366" s="17"/>
      <c r="V1366" s="17"/>
      <c r="W1366" s="17"/>
      <c r="X1366" s="17"/>
      <c r="Y1366" s="17"/>
      <c r="Z1366" s="17"/>
      <c r="AA1366" s="17"/>
      <c r="AB1366" s="17"/>
    </row>
    <row r="1367" spans="1:28">
      <c r="A1367" s="17" t="s">
        <v>9865</v>
      </c>
      <c r="B1367" s="17" t="s">
        <v>9865</v>
      </c>
      <c r="C1367" s="17" t="s">
        <v>9866</v>
      </c>
      <c r="D1367" s="17" t="s">
        <v>21</v>
      </c>
      <c r="E1367" s="24">
        <v>2512</v>
      </c>
      <c r="F1367" s="17" t="s">
        <v>387</v>
      </c>
      <c r="G1367" s="17" t="str">
        <f>Config!$B$3</f>
        <v>SCH/R_IEC.SchLib</v>
      </c>
      <c r="H1367" s="17" t="s">
        <v>419</v>
      </c>
      <c r="I1367" s="17" t="s">
        <v>461</v>
      </c>
      <c r="J1367" s="17" t="s">
        <v>7467</v>
      </c>
      <c r="K1367" s="17"/>
      <c r="L1367" s="17"/>
      <c r="M1367" s="21">
        <v>2400000</v>
      </c>
      <c r="N1367" s="17"/>
      <c r="O1367" s="17"/>
      <c r="P1367" s="17"/>
      <c r="Q1367" s="17"/>
      <c r="R1367" s="17"/>
      <c r="S1367" s="17"/>
      <c r="T1367" s="17"/>
      <c r="U1367" s="17"/>
      <c r="V1367" s="17"/>
      <c r="W1367" s="17"/>
      <c r="X1367" s="17"/>
      <c r="Y1367" s="17"/>
      <c r="Z1367" s="17"/>
      <c r="AA1367" s="17"/>
      <c r="AB1367" s="17"/>
    </row>
    <row r="1368" spans="1:28">
      <c r="A1368" s="17" t="s">
        <v>9867</v>
      </c>
      <c r="B1368" s="17" t="s">
        <v>9867</v>
      </c>
      <c r="C1368" s="17" t="s">
        <v>9868</v>
      </c>
      <c r="D1368" s="17" t="s">
        <v>21</v>
      </c>
      <c r="E1368" s="24">
        <v>2512</v>
      </c>
      <c r="F1368" s="17" t="s">
        <v>389</v>
      </c>
      <c r="G1368" s="17" t="str">
        <f>Config!$B$3</f>
        <v>SCH/R_IEC.SchLib</v>
      </c>
      <c r="H1368" s="17" t="s">
        <v>419</v>
      </c>
      <c r="I1368" s="17" t="s">
        <v>461</v>
      </c>
      <c r="J1368" s="17" t="s">
        <v>7467</v>
      </c>
      <c r="K1368" s="17"/>
      <c r="L1368" s="17"/>
      <c r="M1368" s="21">
        <v>2700000</v>
      </c>
      <c r="N1368" s="17"/>
      <c r="O1368" s="17"/>
      <c r="P1368" s="17"/>
      <c r="Q1368" s="17"/>
      <c r="R1368" s="17"/>
      <c r="S1368" s="17"/>
      <c r="T1368" s="17"/>
      <c r="U1368" s="17"/>
      <c r="V1368" s="17"/>
      <c r="W1368" s="17"/>
      <c r="X1368" s="17"/>
      <c r="Y1368" s="17"/>
      <c r="Z1368" s="17"/>
      <c r="AA1368" s="17"/>
      <c r="AB1368" s="17"/>
    </row>
    <row r="1369" spans="1:28">
      <c r="A1369" s="17" t="s">
        <v>9869</v>
      </c>
      <c r="B1369" s="17" t="s">
        <v>9869</v>
      </c>
      <c r="C1369" s="17" t="s">
        <v>9870</v>
      </c>
      <c r="D1369" s="17" t="s">
        <v>21</v>
      </c>
      <c r="E1369" s="24">
        <v>2512</v>
      </c>
      <c r="F1369" s="17" t="s">
        <v>391</v>
      </c>
      <c r="G1369" s="17" t="str">
        <f>Config!$B$3</f>
        <v>SCH/R_IEC.SchLib</v>
      </c>
      <c r="H1369" s="17" t="s">
        <v>419</v>
      </c>
      <c r="I1369" s="17" t="s">
        <v>461</v>
      </c>
      <c r="J1369" s="17" t="s">
        <v>7467</v>
      </c>
      <c r="K1369" s="17"/>
      <c r="L1369" s="17"/>
      <c r="M1369" s="21">
        <v>3000000</v>
      </c>
      <c r="N1369" s="17"/>
      <c r="O1369" s="17"/>
      <c r="P1369" s="17"/>
      <c r="Q1369" s="17"/>
      <c r="R1369" s="17"/>
      <c r="S1369" s="17"/>
      <c r="T1369" s="17"/>
      <c r="U1369" s="17"/>
      <c r="V1369" s="17"/>
      <c r="W1369" s="17"/>
      <c r="X1369" s="17"/>
      <c r="Y1369" s="17"/>
      <c r="Z1369" s="17"/>
      <c r="AA1369" s="17"/>
      <c r="AB1369" s="17"/>
    </row>
    <row r="1370" spans="1:28">
      <c r="A1370" s="17" t="s">
        <v>9871</v>
      </c>
      <c r="B1370" s="17" t="s">
        <v>9871</v>
      </c>
      <c r="C1370" s="17" t="s">
        <v>9872</v>
      </c>
      <c r="D1370" s="17" t="s">
        <v>21</v>
      </c>
      <c r="E1370" s="24">
        <v>2512</v>
      </c>
      <c r="F1370" s="17" t="s">
        <v>393</v>
      </c>
      <c r="G1370" s="17" t="str">
        <f>Config!$B$3</f>
        <v>SCH/R_IEC.SchLib</v>
      </c>
      <c r="H1370" s="17" t="s">
        <v>419</v>
      </c>
      <c r="I1370" s="17" t="s">
        <v>461</v>
      </c>
      <c r="J1370" s="17" t="s">
        <v>7467</v>
      </c>
      <c r="K1370" s="17"/>
      <c r="L1370" s="17"/>
      <c r="M1370" s="21">
        <v>3300000</v>
      </c>
      <c r="N1370" s="17"/>
      <c r="O1370" s="17"/>
      <c r="P1370" s="17"/>
      <c r="Q1370" s="17"/>
      <c r="R1370" s="17"/>
      <c r="S1370" s="17"/>
      <c r="T1370" s="17"/>
      <c r="U1370" s="17"/>
      <c r="V1370" s="17"/>
      <c r="W1370" s="17"/>
      <c r="X1370" s="17"/>
      <c r="Y1370" s="17"/>
      <c r="Z1370" s="17"/>
      <c r="AA1370" s="17"/>
      <c r="AB1370" s="17"/>
    </row>
    <row r="1371" spans="1:28">
      <c r="A1371" s="17" t="s">
        <v>9873</v>
      </c>
      <c r="B1371" s="17" t="s">
        <v>9873</v>
      </c>
      <c r="C1371" s="17" t="s">
        <v>9874</v>
      </c>
      <c r="D1371" s="17" t="s">
        <v>21</v>
      </c>
      <c r="E1371" s="24">
        <v>2512</v>
      </c>
      <c r="F1371" s="17" t="s">
        <v>395</v>
      </c>
      <c r="G1371" s="17" t="str">
        <f>Config!$B$3</f>
        <v>SCH/R_IEC.SchLib</v>
      </c>
      <c r="H1371" s="17" t="s">
        <v>419</v>
      </c>
      <c r="I1371" s="17" t="s">
        <v>461</v>
      </c>
      <c r="J1371" s="17" t="s">
        <v>7467</v>
      </c>
      <c r="K1371" s="17"/>
      <c r="L1371" s="17"/>
      <c r="M1371" s="21">
        <v>3600000</v>
      </c>
      <c r="N1371" s="17"/>
      <c r="O1371" s="17"/>
      <c r="P1371" s="17"/>
      <c r="Q1371" s="17"/>
      <c r="R1371" s="17"/>
      <c r="S1371" s="17"/>
      <c r="T1371" s="17"/>
      <c r="U1371" s="17"/>
      <c r="V1371" s="17"/>
      <c r="W1371" s="17"/>
      <c r="X1371" s="17"/>
      <c r="Y1371" s="17"/>
      <c r="Z1371" s="17"/>
      <c r="AA1371" s="17"/>
      <c r="AB1371" s="17"/>
    </row>
    <row r="1372" spans="1:28">
      <c r="A1372" s="17" t="s">
        <v>9875</v>
      </c>
      <c r="B1372" s="17" t="s">
        <v>9875</v>
      </c>
      <c r="C1372" s="17" t="s">
        <v>9876</v>
      </c>
      <c r="D1372" s="17" t="s">
        <v>21</v>
      </c>
      <c r="E1372" s="24">
        <v>2512</v>
      </c>
      <c r="F1372" s="17" t="s">
        <v>397</v>
      </c>
      <c r="G1372" s="17" t="str">
        <f>Config!$B$3</f>
        <v>SCH/R_IEC.SchLib</v>
      </c>
      <c r="H1372" s="17" t="s">
        <v>419</v>
      </c>
      <c r="I1372" s="17" t="s">
        <v>461</v>
      </c>
      <c r="J1372" s="17" t="s">
        <v>7467</v>
      </c>
      <c r="K1372" s="17"/>
      <c r="L1372" s="17"/>
      <c r="M1372" s="21">
        <v>3900000</v>
      </c>
      <c r="N1372" s="17" t="s">
        <v>13979</v>
      </c>
      <c r="O1372" s="17" t="s">
        <v>477</v>
      </c>
      <c r="P1372" s="17" t="s">
        <v>12644</v>
      </c>
      <c r="Q1372" t="s">
        <v>25</v>
      </c>
      <c r="R1372" s="17" t="s">
        <v>12645</v>
      </c>
      <c r="S1372" s="17"/>
      <c r="T1372" s="17"/>
      <c r="U1372" s="17"/>
      <c r="V1372" s="17"/>
      <c r="W1372" s="17"/>
      <c r="X1372" s="17"/>
      <c r="Y1372" s="17"/>
      <c r="Z1372" s="17"/>
      <c r="AA1372" s="17"/>
      <c r="AB1372" s="17"/>
    </row>
    <row r="1373" spans="1:28">
      <c r="A1373" s="17" t="s">
        <v>9877</v>
      </c>
      <c r="B1373" s="17" t="s">
        <v>9877</v>
      </c>
      <c r="C1373" s="17" t="s">
        <v>9878</v>
      </c>
      <c r="D1373" s="17" t="s">
        <v>21</v>
      </c>
      <c r="E1373" s="24">
        <v>2512</v>
      </c>
      <c r="F1373" s="17" t="s">
        <v>399</v>
      </c>
      <c r="G1373" s="17" t="str">
        <f>Config!$B$3</f>
        <v>SCH/R_IEC.SchLib</v>
      </c>
      <c r="H1373" s="17" t="s">
        <v>419</v>
      </c>
      <c r="I1373" s="17" t="s">
        <v>461</v>
      </c>
      <c r="J1373" s="17" t="s">
        <v>7467</v>
      </c>
      <c r="K1373" s="17"/>
      <c r="L1373" s="17"/>
      <c r="M1373" s="21">
        <v>4300000</v>
      </c>
      <c r="N1373" s="17"/>
      <c r="O1373" s="17"/>
      <c r="P1373" s="17"/>
      <c r="Q1373" s="17"/>
      <c r="R1373" s="17"/>
      <c r="S1373" s="17"/>
      <c r="T1373" s="17"/>
      <c r="U1373" s="17"/>
      <c r="V1373" s="17"/>
      <c r="W1373" s="17"/>
      <c r="X1373" s="17"/>
      <c r="Y1373" s="17"/>
      <c r="Z1373" s="17"/>
      <c r="AA1373" s="17"/>
      <c r="AB1373" s="17"/>
    </row>
    <row r="1374" spans="1:28">
      <c r="A1374" s="17" t="s">
        <v>9879</v>
      </c>
      <c r="B1374" s="17" t="s">
        <v>9879</v>
      </c>
      <c r="C1374" s="17" t="s">
        <v>9880</v>
      </c>
      <c r="D1374" s="17" t="s">
        <v>21</v>
      </c>
      <c r="E1374" s="24">
        <v>2512</v>
      </c>
      <c r="F1374" s="17" t="s">
        <v>401</v>
      </c>
      <c r="G1374" s="17" t="str">
        <f>Config!$B$3</f>
        <v>SCH/R_IEC.SchLib</v>
      </c>
      <c r="H1374" s="17" t="s">
        <v>419</v>
      </c>
      <c r="I1374" s="17" t="s">
        <v>461</v>
      </c>
      <c r="J1374" s="17" t="s">
        <v>7467</v>
      </c>
      <c r="K1374" s="17"/>
      <c r="L1374" s="17"/>
      <c r="M1374" s="21">
        <v>4700000</v>
      </c>
      <c r="N1374" s="17" t="s">
        <v>13979</v>
      </c>
      <c r="O1374" t="s">
        <v>477</v>
      </c>
      <c r="P1374" t="s">
        <v>12646</v>
      </c>
      <c r="Q1374" t="s">
        <v>25</v>
      </c>
      <c r="R1374" t="s">
        <v>12647</v>
      </c>
      <c r="S1374" s="17" t="s">
        <v>477</v>
      </c>
      <c r="T1374" s="17" t="s">
        <v>12642</v>
      </c>
      <c r="U1374" t="s">
        <v>25</v>
      </c>
      <c r="V1374" s="17" t="s">
        <v>12643</v>
      </c>
      <c r="W1374" s="17"/>
      <c r="X1374" s="17"/>
      <c r="Y1374" s="17"/>
      <c r="Z1374" s="17"/>
      <c r="AA1374" s="17"/>
      <c r="AB1374" s="17"/>
    </row>
    <row r="1375" spans="1:28">
      <c r="A1375" s="17" t="s">
        <v>9881</v>
      </c>
      <c r="B1375" s="17" t="s">
        <v>9881</v>
      </c>
      <c r="C1375" s="17" t="s">
        <v>9882</v>
      </c>
      <c r="D1375" s="17" t="s">
        <v>21</v>
      </c>
      <c r="E1375" s="24">
        <v>2512</v>
      </c>
      <c r="F1375" s="17" t="s">
        <v>403</v>
      </c>
      <c r="G1375" s="17" t="str">
        <f>Config!$B$3</f>
        <v>SCH/R_IEC.SchLib</v>
      </c>
      <c r="H1375" s="17" t="s">
        <v>419</v>
      </c>
      <c r="I1375" s="17" t="s">
        <v>461</v>
      </c>
      <c r="J1375" s="17" t="s">
        <v>7467</v>
      </c>
      <c r="K1375" s="17"/>
      <c r="L1375" s="17"/>
      <c r="M1375" s="21">
        <v>5100000</v>
      </c>
      <c r="S1375" s="17"/>
      <c r="T1375" s="17"/>
      <c r="U1375" s="17"/>
      <c r="V1375" s="17"/>
      <c r="W1375" s="17"/>
      <c r="X1375" s="17"/>
      <c r="Y1375" s="17"/>
      <c r="Z1375" s="17"/>
      <c r="AA1375" s="17"/>
      <c r="AB1375" s="17"/>
    </row>
    <row r="1376" spans="1:28">
      <c r="A1376" s="17" t="s">
        <v>9883</v>
      </c>
      <c r="B1376" s="17" t="s">
        <v>9883</v>
      </c>
      <c r="C1376" s="17" t="s">
        <v>9884</v>
      </c>
      <c r="D1376" s="17" t="s">
        <v>21</v>
      </c>
      <c r="E1376" s="24">
        <v>2512</v>
      </c>
      <c r="F1376" s="17" t="s">
        <v>405</v>
      </c>
      <c r="G1376" s="17" t="str">
        <f>Config!$B$3</f>
        <v>SCH/R_IEC.SchLib</v>
      </c>
      <c r="H1376" s="17" t="s">
        <v>419</v>
      </c>
      <c r="I1376" s="17" t="s">
        <v>461</v>
      </c>
      <c r="J1376" s="17" t="s">
        <v>7467</v>
      </c>
      <c r="K1376" s="17"/>
      <c r="L1376" s="17"/>
      <c r="M1376" s="21">
        <v>5600000</v>
      </c>
      <c r="N1376" s="17"/>
      <c r="O1376" s="17"/>
      <c r="P1376" s="17"/>
      <c r="Q1376" s="17"/>
      <c r="R1376" s="17"/>
      <c r="S1376" s="17"/>
      <c r="T1376" s="17"/>
      <c r="U1376" s="17"/>
      <c r="V1376" s="17"/>
      <c r="W1376" s="17"/>
      <c r="X1376" s="17"/>
      <c r="Y1376" s="17"/>
      <c r="Z1376" s="17"/>
      <c r="AA1376" s="17"/>
      <c r="AB1376" s="17"/>
    </row>
    <row r="1377" spans="1:28">
      <c r="A1377" s="17" t="s">
        <v>9885</v>
      </c>
      <c r="B1377" s="17" t="s">
        <v>9885</v>
      </c>
      <c r="C1377" s="17" t="s">
        <v>9886</v>
      </c>
      <c r="D1377" s="17" t="s">
        <v>21</v>
      </c>
      <c r="E1377" s="24">
        <v>2512</v>
      </c>
      <c r="F1377" s="17" t="s">
        <v>407</v>
      </c>
      <c r="G1377" s="17" t="str">
        <f>Config!$B$3</f>
        <v>SCH/R_IEC.SchLib</v>
      </c>
      <c r="H1377" s="17" t="s">
        <v>419</v>
      </c>
      <c r="I1377" s="17" t="s">
        <v>461</v>
      </c>
      <c r="J1377" s="17" t="s">
        <v>7467</v>
      </c>
      <c r="K1377" s="17"/>
      <c r="L1377" s="17"/>
      <c r="M1377" s="21">
        <v>6200000</v>
      </c>
      <c r="N1377" s="17"/>
      <c r="O1377" s="17"/>
      <c r="P1377" s="17"/>
      <c r="Q1377" s="17"/>
      <c r="R1377" s="17"/>
      <c r="S1377" s="17"/>
      <c r="T1377" s="17"/>
      <c r="U1377" s="17"/>
      <c r="V1377" s="17"/>
      <c r="W1377" s="17"/>
      <c r="X1377" s="17"/>
      <c r="Y1377" s="17"/>
      <c r="Z1377" s="17"/>
      <c r="AA1377" s="17"/>
      <c r="AB1377" s="17"/>
    </row>
    <row r="1378" spans="1:28">
      <c r="A1378" s="17" t="s">
        <v>9887</v>
      </c>
      <c r="B1378" s="17" t="s">
        <v>9887</v>
      </c>
      <c r="C1378" s="17" t="s">
        <v>9888</v>
      </c>
      <c r="D1378" s="17" t="s">
        <v>21</v>
      </c>
      <c r="E1378" s="24">
        <v>2512</v>
      </c>
      <c r="F1378" s="17" t="s">
        <v>409</v>
      </c>
      <c r="G1378" s="17" t="str">
        <f>Config!$B$3</f>
        <v>SCH/R_IEC.SchLib</v>
      </c>
      <c r="H1378" s="17" t="s">
        <v>419</v>
      </c>
      <c r="I1378" s="17" t="s">
        <v>461</v>
      </c>
      <c r="J1378" s="17" t="s">
        <v>7467</v>
      </c>
      <c r="K1378" s="17"/>
      <c r="L1378" s="17"/>
      <c r="M1378" s="21">
        <v>6800000</v>
      </c>
      <c r="N1378" s="17"/>
      <c r="O1378" s="17"/>
      <c r="P1378" s="17"/>
      <c r="Q1378" s="17"/>
      <c r="R1378" s="17"/>
      <c r="S1378" s="17"/>
      <c r="T1378" s="17"/>
      <c r="U1378" s="17"/>
      <c r="V1378" s="17"/>
      <c r="W1378" s="17"/>
      <c r="X1378" s="17"/>
      <c r="Y1378" s="17"/>
      <c r="Z1378" s="17"/>
      <c r="AA1378" s="17"/>
      <c r="AB1378" s="17"/>
    </row>
    <row r="1379" spans="1:28">
      <c r="A1379" s="17" t="s">
        <v>9889</v>
      </c>
      <c r="B1379" s="17" t="s">
        <v>9889</v>
      </c>
      <c r="C1379" s="17" t="s">
        <v>9890</v>
      </c>
      <c r="D1379" s="17" t="s">
        <v>21</v>
      </c>
      <c r="E1379" s="24">
        <v>2512</v>
      </c>
      <c r="F1379" s="17" t="s">
        <v>411</v>
      </c>
      <c r="G1379" s="17" t="str">
        <f>Config!$B$3</f>
        <v>SCH/R_IEC.SchLib</v>
      </c>
      <c r="H1379" s="17" t="s">
        <v>419</v>
      </c>
      <c r="I1379" s="17" t="s">
        <v>461</v>
      </c>
      <c r="J1379" s="17" t="s">
        <v>7467</v>
      </c>
      <c r="K1379" s="17"/>
      <c r="L1379" s="17"/>
      <c r="M1379" s="21">
        <v>7500000</v>
      </c>
      <c r="N1379" s="17"/>
      <c r="O1379" s="17"/>
      <c r="P1379" s="17"/>
      <c r="Q1379" s="17"/>
      <c r="R1379" s="17"/>
      <c r="S1379" s="17"/>
      <c r="T1379" s="17"/>
      <c r="U1379" s="17"/>
      <c r="V1379" s="17"/>
      <c r="W1379" s="17"/>
      <c r="X1379" s="17"/>
      <c r="Y1379" s="17"/>
      <c r="Z1379" s="17"/>
      <c r="AA1379" s="17"/>
      <c r="AB1379" s="17"/>
    </row>
    <row r="1380" spans="1:28">
      <c r="A1380" s="17" t="s">
        <v>9891</v>
      </c>
      <c r="B1380" s="17" t="s">
        <v>9891</v>
      </c>
      <c r="C1380" s="17" t="s">
        <v>9892</v>
      </c>
      <c r="D1380" s="17" t="s">
        <v>21</v>
      </c>
      <c r="E1380" s="24">
        <v>2512</v>
      </c>
      <c r="F1380" s="17" t="s">
        <v>413</v>
      </c>
      <c r="G1380" s="17" t="str">
        <f>Config!$B$3</f>
        <v>SCH/R_IEC.SchLib</v>
      </c>
      <c r="H1380" s="17" t="s">
        <v>419</v>
      </c>
      <c r="I1380" s="17" t="s">
        <v>461</v>
      </c>
      <c r="J1380" s="17" t="s">
        <v>7467</v>
      </c>
      <c r="K1380" s="17"/>
      <c r="L1380" s="17"/>
      <c r="M1380" s="21">
        <v>8200000</v>
      </c>
      <c r="N1380" s="17"/>
      <c r="O1380" s="17"/>
      <c r="P1380" s="17"/>
      <c r="Q1380" s="17"/>
      <c r="R1380" s="17"/>
      <c r="S1380" s="17"/>
      <c r="T1380" s="17"/>
      <c r="U1380" s="17"/>
      <c r="V1380" s="17"/>
      <c r="W1380" s="17"/>
      <c r="X1380" s="17"/>
      <c r="Y1380" s="17"/>
      <c r="Z1380" s="17"/>
      <c r="AA1380" s="17"/>
      <c r="AB1380" s="17"/>
    </row>
    <row r="1381" spans="1:28">
      <c r="A1381" s="17" t="s">
        <v>9893</v>
      </c>
      <c r="B1381" s="17" t="s">
        <v>9893</v>
      </c>
      <c r="C1381" s="17" t="s">
        <v>9894</v>
      </c>
      <c r="D1381" s="17" t="s">
        <v>21</v>
      </c>
      <c r="E1381" s="24">
        <v>2512</v>
      </c>
      <c r="F1381" s="17" t="s">
        <v>415</v>
      </c>
      <c r="G1381" s="17" t="str">
        <f>Config!$B$3</f>
        <v>SCH/R_IEC.SchLib</v>
      </c>
      <c r="H1381" s="17" t="s">
        <v>419</v>
      </c>
      <c r="I1381" s="17" t="s">
        <v>461</v>
      </c>
      <c r="J1381" s="17" t="s">
        <v>7467</v>
      </c>
      <c r="K1381" s="17"/>
      <c r="L1381" s="17"/>
      <c r="M1381" s="21">
        <v>9100000</v>
      </c>
      <c r="N1381" s="17"/>
      <c r="O1381" s="17"/>
      <c r="P1381" s="17"/>
      <c r="Q1381" s="17"/>
      <c r="R1381" s="17"/>
      <c r="S1381" s="17"/>
      <c r="T1381" s="17"/>
      <c r="U1381" s="17"/>
      <c r="V1381" s="17"/>
      <c r="W1381" s="17"/>
      <c r="X1381" s="17"/>
      <c r="Y1381" s="17"/>
      <c r="Z1381" s="17"/>
      <c r="AA1381" s="17"/>
      <c r="AB1381" s="17"/>
    </row>
    <row r="1382" spans="1:28">
      <c r="A1382" s="17" t="s">
        <v>9895</v>
      </c>
      <c r="B1382" s="17" t="s">
        <v>9895</v>
      </c>
      <c r="C1382" s="17" t="s">
        <v>9896</v>
      </c>
      <c r="D1382" s="17" t="s">
        <v>21</v>
      </c>
      <c r="E1382" s="24">
        <v>2512</v>
      </c>
      <c r="F1382" s="17" t="s">
        <v>417</v>
      </c>
      <c r="G1382" s="17" t="str">
        <f>Config!$B$3</f>
        <v>SCH/R_IEC.SchLib</v>
      </c>
      <c r="H1382" s="17" t="s">
        <v>419</v>
      </c>
      <c r="I1382" s="17" t="s">
        <v>461</v>
      </c>
      <c r="J1382" s="17" t="s">
        <v>7467</v>
      </c>
      <c r="K1382" s="17"/>
      <c r="L1382" s="17"/>
      <c r="M1382" s="21">
        <v>10000000</v>
      </c>
      <c r="N1382" s="17"/>
      <c r="O1382" s="17"/>
      <c r="P1382" s="17"/>
      <c r="Q1382" s="17"/>
      <c r="R1382" s="17"/>
      <c r="S1382" s="17"/>
      <c r="T1382" s="17"/>
      <c r="U1382" s="17"/>
      <c r="V1382" s="17"/>
      <c r="W1382" s="17"/>
      <c r="X1382" s="17"/>
      <c r="Y1382" s="17"/>
      <c r="Z1382" s="17"/>
      <c r="AA1382" s="17"/>
      <c r="AB1382" s="17"/>
    </row>
    <row r="1383" spans="1:28" ht="14.65" customHeight="1">
      <c r="A1383" s="17" t="s">
        <v>4301</v>
      </c>
      <c r="B1383" s="17" t="s">
        <v>4301</v>
      </c>
      <c r="C1383" s="17" t="s">
        <v>4295</v>
      </c>
      <c r="D1383" s="17" t="s">
        <v>21</v>
      </c>
      <c r="E1383" s="24" t="s">
        <v>22</v>
      </c>
      <c r="F1383" s="17" t="s">
        <v>229</v>
      </c>
      <c r="G1383" s="17" t="str">
        <f>Config!$B$3</f>
        <v>SCH/R_IEC.SchLib</v>
      </c>
      <c r="H1383" s="17" t="s">
        <v>4296</v>
      </c>
      <c r="I1383" s="17" t="s">
        <v>461</v>
      </c>
      <c r="J1383" s="17" t="s">
        <v>462</v>
      </c>
      <c r="K1383" s="17"/>
      <c r="L1383" s="17"/>
      <c r="M1383" s="21">
        <v>10000</v>
      </c>
      <c r="N1383" s="17" t="s">
        <v>4297</v>
      </c>
      <c r="O1383" s="17" t="s">
        <v>4298</v>
      </c>
      <c r="P1383" s="17" t="s">
        <v>4299</v>
      </c>
      <c r="Q1383" s="17" t="s">
        <v>25</v>
      </c>
      <c r="R1383" s="22" t="s">
        <v>4300</v>
      </c>
      <c r="S1383" s="17"/>
      <c r="T1383" s="17"/>
      <c r="U1383" s="17"/>
      <c r="V1383" s="17"/>
      <c r="W1383" s="17" t="s">
        <v>4303</v>
      </c>
      <c r="X1383" s="17" t="s">
        <v>4302</v>
      </c>
      <c r="Y1383" s="17" t="s">
        <v>4559</v>
      </c>
      <c r="Z1383" s="17" t="s">
        <v>4304</v>
      </c>
      <c r="AA1383" s="17" t="s">
        <v>4727</v>
      </c>
      <c r="AB1383" s="17" t="str">
        <f t="shared" ref="AB1383:AB1387" si="10">"GPR"&amp;E1383&amp;F1383</f>
        <v>GPR060310K</v>
      </c>
    </row>
    <row r="1384" spans="1:28" ht="14.65" customHeight="1">
      <c r="A1384" t="s">
        <v>14821</v>
      </c>
      <c r="B1384" t="s">
        <v>14821</v>
      </c>
      <c r="C1384" t="s">
        <v>14822</v>
      </c>
      <c r="D1384" t="s">
        <v>21</v>
      </c>
      <c r="E1384" s="24"/>
      <c r="F1384" t="s">
        <v>229</v>
      </c>
      <c r="G1384" s="17" t="str">
        <f>Config!$B$3</f>
        <v>SCH/R_IEC.SchLib</v>
      </c>
      <c r="H1384" s="17" t="s">
        <v>4296</v>
      </c>
      <c r="I1384" s="18" t="s">
        <v>7493</v>
      </c>
      <c r="J1384" s="17" t="s">
        <v>14826</v>
      </c>
      <c r="K1384" s="17"/>
      <c r="L1384" s="17"/>
      <c r="M1384" s="21">
        <v>10000</v>
      </c>
      <c r="N1384" s="17" t="s">
        <v>14823</v>
      </c>
      <c r="O1384" s="17" t="s">
        <v>11340</v>
      </c>
      <c r="P1384" s="17" t="s">
        <v>14824</v>
      </c>
      <c r="Q1384" t="s">
        <v>25</v>
      </c>
      <c r="R1384" s="22" t="s">
        <v>14825</v>
      </c>
      <c r="S1384" s="17"/>
      <c r="T1384" s="17"/>
      <c r="U1384" s="17"/>
      <c r="V1384" s="17"/>
      <c r="W1384" s="17"/>
      <c r="X1384" s="17"/>
      <c r="Y1384" s="17"/>
      <c r="Z1384" s="17"/>
      <c r="AA1384" s="17"/>
      <c r="AB1384" s="17"/>
    </row>
    <row r="1385" spans="1:28">
      <c r="A1385" s="17" t="s">
        <v>4360</v>
      </c>
      <c r="B1385" s="17" t="s">
        <v>4360</v>
      </c>
      <c r="C1385" s="17" t="s">
        <v>4361</v>
      </c>
      <c r="D1385" s="17" t="s">
        <v>21</v>
      </c>
      <c r="E1385" s="24">
        <v>1206</v>
      </c>
      <c r="F1385" s="17" t="s">
        <v>4362</v>
      </c>
      <c r="G1385" s="17" t="str">
        <f>Config!$B$3</f>
        <v>SCH/R_IEC.SchLib</v>
      </c>
      <c r="H1385" s="17" t="s">
        <v>4363</v>
      </c>
      <c r="I1385" s="17" t="s">
        <v>461</v>
      </c>
      <c r="J1385" s="17" t="s">
        <v>4364</v>
      </c>
      <c r="K1385" s="17"/>
      <c r="L1385" s="17"/>
      <c r="M1385" s="21">
        <v>1.5</v>
      </c>
      <c r="N1385" s="17" t="s">
        <v>4367</v>
      </c>
      <c r="O1385" s="17" t="s">
        <v>4368</v>
      </c>
      <c r="P1385" s="17" t="s">
        <v>4366</v>
      </c>
      <c r="Q1385" s="17" t="s">
        <v>25</v>
      </c>
      <c r="R1385" s="17" t="s">
        <v>4365</v>
      </c>
      <c r="S1385" s="17"/>
      <c r="T1385" s="17"/>
      <c r="U1385" s="17"/>
      <c r="V1385" s="17"/>
      <c r="W1385" s="17" t="s">
        <v>4368</v>
      </c>
      <c r="X1385" s="17" t="s">
        <v>4366</v>
      </c>
      <c r="Y1385" s="17" t="s">
        <v>4559</v>
      </c>
      <c r="Z1385" s="23" t="s">
        <v>4369</v>
      </c>
      <c r="AA1385" s="17" t="s">
        <v>4727</v>
      </c>
      <c r="AB1385" s="17" t="str">
        <f t="shared" si="10"/>
        <v>GPR12061.5A</v>
      </c>
    </row>
    <row r="1386" spans="1:28">
      <c r="A1386" s="16" t="s">
        <v>4538</v>
      </c>
      <c r="B1386" s="16" t="s">
        <v>4538</v>
      </c>
      <c r="C1386" s="16" t="s">
        <v>4539</v>
      </c>
      <c r="D1386" s="16" t="s">
        <v>21</v>
      </c>
      <c r="E1386" s="16" t="s">
        <v>22</v>
      </c>
      <c r="F1386" s="16" t="s">
        <v>4540</v>
      </c>
      <c r="G1386" s="17" t="str">
        <f>Config!$B$3</f>
        <v>SCH/R_IEC.SchLib</v>
      </c>
      <c r="H1386" s="16" t="s">
        <v>419</v>
      </c>
      <c r="I1386" s="18" t="s">
        <v>461</v>
      </c>
      <c r="J1386" s="16" t="s">
        <v>462</v>
      </c>
      <c r="K1386" s="16"/>
      <c r="L1386" s="16"/>
      <c r="M1386" s="20">
        <v>732000</v>
      </c>
      <c r="N1386" s="17" t="s">
        <v>13979</v>
      </c>
      <c r="O1386" s="16" t="s">
        <v>477</v>
      </c>
      <c r="P1386" s="16" t="s">
        <v>4542</v>
      </c>
      <c r="Q1386" s="16" t="s">
        <v>25</v>
      </c>
      <c r="R1386" s="16" t="s">
        <v>4541</v>
      </c>
      <c r="S1386" s="17"/>
      <c r="T1386" s="17"/>
      <c r="U1386" s="17"/>
      <c r="V1386" s="17"/>
      <c r="W1386" s="17"/>
      <c r="X1386" s="17"/>
      <c r="Y1386" s="17"/>
      <c r="Z1386" s="17"/>
      <c r="AA1386" s="17"/>
      <c r="AB1386" s="17" t="str">
        <f t="shared" si="10"/>
        <v>GPR0603732K</v>
      </c>
    </row>
    <row r="1387" spans="1:28">
      <c r="A1387" s="16" t="s">
        <v>4548</v>
      </c>
      <c r="B1387" s="16" t="s">
        <v>4548</v>
      </c>
      <c r="C1387" s="16" t="s">
        <v>4543</v>
      </c>
      <c r="D1387" s="16" t="s">
        <v>21</v>
      </c>
      <c r="E1387" s="16" t="s">
        <v>22</v>
      </c>
      <c r="F1387" s="16" t="s">
        <v>4549</v>
      </c>
      <c r="G1387" s="17" t="str">
        <f>Config!$B$3</f>
        <v>SCH/R_IEC.SchLib</v>
      </c>
      <c r="H1387" s="16" t="s">
        <v>419</v>
      </c>
      <c r="I1387" s="18" t="s">
        <v>461</v>
      </c>
      <c r="J1387" s="16" t="s">
        <v>462</v>
      </c>
      <c r="K1387" s="16"/>
      <c r="L1387" s="16"/>
      <c r="M1387" s="20">
        <v>499000</v>
      </c>
      <c r="N1387" s="19" t="s">
        <v>4547</v>
      </c>
      <c r="O1387" s="16" t="s">
        <v>4546</v>
      </c>
      <c r="P1387" s="16" t="s">
        <v>4545</v>
      </c>
      <c r="Q1387" s="16" t="s">
        <v>25</v>
      </c>
      <c r="R1387" s="16" t="s">
        <v>4544</v>
      </c>
      <c r="S1387" s="17"/>
      <c r="T1387" s="17"/>
      <c r="U1387" s="17"/>
      <c r="V1387" s="17"/>
      <c r="W1387" s="17"/>
      <c r="X1387" s="17"/>
      <c r="Y1387" s="17"/>
      <c r="Z1387" s="17"/>
      <c r="AA1387" s="17"/>
      <c r="AB1387" s="17" t="str">
        <f t="shared" si="10"/>
        <v>GPR0603499K</v>
      </c>
    </row>
    <row r="1388" spans="1:28">
      <c r="A1388" s="17" t="s">
        <v>8100</v>
      </c>
      <c r="B1388" s="17" t="s">
        <v>8100</v>
      </c>
      <c r="C1388" s="16" t="s">
        <v>8101</v>
      </c>
      <c r="D1388" s="16" t="s">
        <v>21</v>
      </c>
      <c r="E1388" s="24" t="s">
        <v>22</v>
      </c>
      <c r="F1388" s="17" t="s">
        <v>6445</v>
      </c>
      <c r="G1388" s="17" t="str">
        <f>Config!$B$3</f>
        <v>SCH/R_IEC.SchLib</v>
      </c>
      <c r="H1388" s="16" t="s">
        <v>419</v>
      </c>
      <c r="I1388" s="18" t="s">
        <v>461</v>
      </c>
      <c r="J1388" s="16" t="s">
        <v>462</v>
      </c>
      <c r="K1388" s="16"/>
      <c r="L1388" s="16"/>
      <c r="M1388" s="21">
        <v>51.1</v>
      </c>
      <c r="N1388" s="17" t="s">
        <v>13979</v>
      </c>
      <c r="O1388" s="16" t="s">
        <v>477</v>
      </c>
      <c r="P1388" s="17" t="s">
        <v>8097</v>
      </c>
      <c r="Q1388" s="16" t="s">
        <v>25</v>
      </c>
      <c r="R1388" s="17" t="s">
        <v>8098</v>
      </c>
      <c r="S1388" s="17"/>
      <c r="T1388" s="17"/>
      <c r="U1388" s="17"/>
      <c r="V1388" s="17"/>
      <c r="W1388" s="17"/>
      <c r="X1388" s="17"/>
      <c r="Y1388" s="17"/>
      <c r="Z1388" s="17"/>
      <c r="AA1388" s="17"/>
      <c r="AB1388" s="17" t="str">
        <f t="shared" ref="AB1388" si="11">"GPR"&amp;E1388&amp;F1388</f>
        <v>GPR060351R1</v>
      </c>
    </row>
    <row r="1389" spans="1:28">
      <c r="A1389" s="17" t="s">
        <v>8099</v>
      </c>
      <c r="B1389" s="17" t="s">
        <v>8099</v>
      </c>
      <c r="C1389" s="16" t="s">
        <v>8102</v>
      </c>
      <c r="D1389" s="16" t="s">
        <v>21</v>
      </c>
      <c r="E1389" s="24" t="s">
        <v>22</v>
      </c>
      <c r="F1389" s="17" t="s">
        <v>8096</v>
      </c>
      <c r="G1389" s="17" t="str">
        <f>Config!$B$3</f>
        <v>SCH/R_IEC.SchLib</v>
      </c>
      <c r="H1389" s="16" t="s">
        <v>419</v>
      </c>
      <c r="I1389" s="18" t="s">
        <v>461</v>
      </c>
      <c r="J1389" s="16" t="s">
        <v>462</v>
      </c>
      <c r="K1389" s="16"/>
      <c r="L1389" s="16"/>
      <c r="M1389" s="21">
        <v>51100</v>
      </c>
      <c r="N1389" s="17" t="s">
        <v>13979</v>
      </c>
      <c r="O1389" s="16" t="s">
        <v>477</v>
      </c>
      <c r="P1389" s="17" t="s">
        <v>6376</v>
      </c>
      <c r="Q1389" s="16" t="s">
        <v>25</v>
      </c>
      <c r="R1389" s="17" t="s">
        <v>6377</v>
      </c>
      <c r="S1389" s="17"/>
      <c r="T1389" s="17"/>
      <c r="U1389" s="17"/>
      <c r="V1389" s="17"/>
      <c r="W1389" s="17" t="s">
        <v>6379</v>
      </c>
      <c r="X1389" s="17" t="s">
        <v>6378</v>
      </c>
      <c r="Y1389" s="17" t="s">
        <v>4559</v>
      </c>
      <c r="Z1389" s="17" t="s">
        <v>6380</v>
      </c>
      <c r="AA1389" s="17"/>
      <c r="AB1389" s="17" t="str">
        <f t="shared" ref="AB1389:AB1393" si="12">"GPR"&amp;E1389&amp;F1389</f>
        <v>GPR060351K1</v>
      </c>
    </row>
    <row r="1390" spans="1:28">
      <c r="A1390" s="17" t="s">
        <v>6412</v>
      </c>
      <c r="B1390" s="17" t="s">
        <v>6412</v>
      </c>
      <c r="C1390" s="16" t="s">
        <v>6411</v>
      </c>
      <c r="D1390" s="16" t="s">
        <v>21</v>
      </c>
      <c r="E1390" s="24">
        <v>1206</v>
      </c>
      <c r="F1390" s="17" t="s">
        <v>6444</v>
      </c>
      <c r="G1390" s="17" t="str">
        <f>Config!$B$3</f>
        <v>SCH/R_IEC.SchLib</v>
      </c>
      <c r="H1390" s="16" t="s">
        <v>419</v>
      </c>
      <c r="I1390" s="18" t="s">
        <v>461</v>
      </c>
      <c r="J1390" s="16" t="s">
        <v>6410</v>
      </c>
      <c r="K1390" s="16"/>
      <c r="L1390" s="16"/>
      <c r="M1390" s="21">
        <v>60.4</v>
      </c>
      <c r="N1390" s="17" t="s">
        <v>13979</v>
      </c>
      <c r="O1390" s="16" t="s">
        <v>477</v>
      </c>
      <c r="P1390" s="17" t="s">
        <v>6416</v>
      </c>
      <c r="Q1390" s="16" t="s">
        <v>25</v>
      </c>
      <c r="R1390" s="17" t="s">
        <v>6415</v>
      </c>
      <c r="S1390" s="17"/>
      <c r="T1390" s="17"/>
      <c r="U1390" s="17"/>
      <c r="V1390" s="17"/>
      <c r="W1390" s="17" t="s">
        <v>6379</v>
      </c>
      <c r="X1390" s="17" t="s">
        <v>6413</v>
      </c>
      <c r="Y1390" s="17" t="s">
        <v>4559</v>
      </c>
      <c r="Z1390" s="17" t="s">
        <v>6414</v>
      </c>
      <c r="AA1390" s="17"/>
      <c r="AB1390" s="17" t="str">
        <f t="shared" si="12"/>
        <v>GPR120660R4</v>
      </c>
    </row>
    <row r="1391" spans="1:28">
      <c r="A1391" s="17" t="s">
        <v>6431</v>
      </c>
      <c r="B1391" s="17" t="s">
        <v>6431</v>
      </c>
      <c r="C1391" s="16" t="s">
        <v>6432</v>
      </c>
      <c r="D1391" s="16" t="s">
        <v>21</v>
      </c>
      <c r="E1391" s="24">
        <v>1206</v>
      </c>
      <c r="F1391" s="17" t="s">
        <v>63</v>
      </c>
      <c r="G1391" s="17" t="str">
        <f>Config!$B$3</f>
        <v>SCH/R_IEC.SchLib</v>
      </c>
      <c r="H1391" s="16" t="s">
        <v>419</v>
      </c>
      <c r="I1391" s="18" t="s">
        <v>461</v>
      </c>
      <c r="J1391" s="16" t="s">
        <v>6410</v>
      </c>
      <c r="K1391" s="16"/>
      <c r="L1391" s="16"/>
      <c r="M1391" s="21">
        <v>15</v>
      </c>
      <c r="N1391" s="17" t="s">
        <v>13979</v>
      </c>
      <c r="O1391" s="16" t="s">
        <v>477</v>
      </c>
      <c r="P1391" s="17" t="s">
        <v>6434</v>
      </c>
      <c r="Q1391" s="16" t="s">
        <v>25</v>
      </c>
      <c r="R1391" s="17" t="s">
        <v>6433</v>
      </c>
      <c r="S1391" s="17"/>
      <c r="T1391" s="17"/>
      <c r="U1391" s="17"/>
      <c r="V1391" s="17"/>
      <c r="W1391" s="17" t="s">
        <v>6379</v>
      </c>
      <c r="X1391" s="17" t="s">
        <v>6435</v>
      </c>
      <c r="Y1391" s="17" t="s">
        <v>4559</v>
      </c>
      <c r="Z1391" s="17" t="s">
        <v>6436</v>
      </c>
      <c r="AA1391" s="17"/>
      <c r="AB1391" s="17" t="str">
        <f t="shared" si="12"/>
        <v>GPR120615R</v>
      </c>
    </row>
    <row r="1392" spans="1:28">
      <c r="A1392" t="s">
        <v>6760</v>
      </c>
      <c r="B1392" t="s">
        <v>6760</v>
      </c>
      <c r="C1392" s="16" t="s">
        <v>6761</v>
      </c>
      <c r="D1392" s="16" t="s">
        <v>21</v>
      </c>
      <c r="E1392" s="14" t="s">
        <v>6762</v>
      </c>
      <c r="F1392" t="s">
        <v>6759</v>
      </c>
      <c r="G1392" s="17" t="str">
        <f>Config!$B$3</f>
        <v>SCH/R_IEC.SchLib</v>
      </c>
      <c r="H1392" s="16" t="s">
        <v>419</v>
      </c>
      <c r="I1392" s="18" t="s">
        <v>461</v>
      </c>
      <c r="J1392" s="16" t="s">
        <v>6410</v>
      </c>
      <c r="K1392" s="16"/>
      <c r="L1392" s="16"/>
      <c r="M1392" s="3">
        <v>0.25</v>
      </c>
      <c r="N1392" s="17" t="s">
        <v>13979</v>
      </c>
      <c r="O1392" s="16" t="s">
        <v>477</v>
      </c>
      <c r="P1392" s="17" t="s">
        <v>7804</v>
      </c>
      <c r="Q1392" s="16" t="s">
        <v>25</v>
      </c>
      <c r="R1392" s="16" t="s">
        <v>6797</v>
      </c>
      <c r="W1392" s="29" t="s">
        <v>6800</v>
      </c>
      <c r="X1392" s="5" t="s">
        <v>6799</v>
      </c>
      <c r="Y1392" s="17" t="s">
        <v>4559</v>
      </c>
      <c r="Z1392" s="5" t="s">
        <v>6798</v>
      </c>
      <c r="AB1392" s="17" t="str">
        <f t="shared" si="12"/>
        <v>GPR12060R25</v>
      </c>
    </row>
    <row r="1393" spans="1:28">
      <c r="A1393" t="s">
        <v>6765</v>
      </c>
      <c r="B1393" t="s">
        <v>6765</v>
      </c>
      <c r="C1393" s="16" t="s">
        <v>6766</v>
      </c>
      <c r="D1393" s="16" t="s">
        <v>21</v>
      </c>
      <c r="E1393" s="14" t="s">
        <v>22</v>
      </c>
      <c r="F1393" t="s">
        <v>6767</v>
      </c>
      <c r="G1393" s="17" t="str">
        <f>Config!$B$3</f>
        <v>SCH/R_IEC.SchLib</v>
      </c>
      <c r="H1393" s="16" t="s">
        <v>419</v>
      </c>
      <c r="I1393" s="18" t="s">
        <v>461</v>
      </c>
      <c r="J1393" s="16" t="s">
        <v>462</v>
      </c>
      <c r="K1393" s="16"/>
      <c r="L1393" s="16"/>
      <c r="M1393" s="3">
        <v>191000</v>
      </c>
      <c r="N1393" s="17" t="s">
        <v>13979</v>
      </c>
      <c r="O1393" s="16" t="s">
        <v>477</v>
      </c>
      <c r="P1393" t="s">
        <v>6802</v>
      </c>
      <c r="Q1393" s="16" t="s">
        <v>25</v>
      </c>
      <c r="R1393" t="s">
        <v>6801</v>
      </c>
      <c r="W1393" s="17" t="s">
        <v>6379</v>
      </c>
      <c r="X1393" s="5" t="s">
        <v>6803</v>
      </c>
      <c r="Y1393" s="17" t="s">
        <v>4559</v>
      </c>
      <c r="Z1393" s="5" t="s">
        <v>6804</v>
      </c>
      <c r="AB1393" s="17" t="str">
        <f t="shared" si="12"/>
        <v>GPR0603191K</v>
      </c>
    </row>
    <row r="1394" spans="1:28">
      <c r="A1394" t="s">
        <v>6982</v>
      </c>
      <c r="B1394" t="s">
        <v>6983</v>
      </c>
      <c r="C1394" s="30" t="s">
        <v>6984</v>
      </c>
      <c r="D1394" s="16" t="s">
        <v>6969</v>
      </c>
      <c r="E1394" s="14" t="s">
        <v>6985</v>
      </c>
      <c r="G1394" s="17" t="str">
        <f>Config!$B$3</f>
        <v>SCH/R_IEC.SchLib</v>
      </c>
      <c r="H1394" s="17" t="s">
        <v>4363</v>
      </c>
      <c r="I1394" s="38" t="str">
        <f>_xlfn.CONCAT(PrivateLibraryPath,"PCB/Schurter.PcbLib")</f>
        <v>../altium_lib_private/PCB/Schurter.PcbLib</v>
      </c>
      <c r="J1394" s="16" t="s">
        <v>6986</v>
      </c>
      <c r="K1394" s="16"/>
      <c r="L1394" s="16"/>
      <c r="N1394" s="28" t="s">
        <v>6987</v>
      </c>
      <c r="O1394" s="16" t="s">
        <v>6969</v>
      </c>
      <c r="P1394" t="s">
        <v>6988</v>
      </c>
      <c r="Q1394" s="16" t="s">
        <v>25</v>
      </c>
      <c r="R1394" t="s">
        <v>6989</v>
      </c>
    </row>
    <row r="1395" spans="1:28" ht="16.5">
      <c r="A1395" t="s">
        <v>7006</v>
      </c>
      <c r="B1395" t="s">
        <v>7006</v>
      </c>
      <c r="C1395" s="16" t="s">
        <v>7007</v>
      </c>
      <c r="D1395" s="16" t="s">
        <v>21</v>
      </c>
      <c r="E1395" s="14" t="s">
        <v>22</v>
      </c>
      <c r="F1395" t="s">
        <v>7008</v>
      </c>
      <c r="G1395" s="17" t="str">
        <f>Config!$B$3</f>
        <v>SCH/R_IEC.SchLib</v>
      </c>
      <c r="H1395" s="16" t="s">
        <v>419</v>
      </c>
      <c r="I1395" s="18" t="s">
        <v>461</v>
      </c>
      <c r="J1395" s="16" t="s">
        <v>462</v>
      </c>
      <c r="K1395" s="16"/>
      <c r="L1395" s="16"/>
      <c r="M1395" s="3">
        <v>4420</v>
      </c>
      <c r="N1395" s="17" t="s">
        <v>13979</v>
      </c>
      <c r="O1395" s="16" t="s">
        <v>477</v>
      </c>
      <c r="P1395" t="s">
        <v>7009</v>
      </c>
      <c r="Q1395" s="16" t="s">
        <v>25</v>
      </c>
      <c r="R1395" t="s">
        <v>7010</v>
      </c>
      <c r="S1395" s="17" t="s">
        <v>477</v>
      </c>
      <c r="T1395" t="s">
        <v>7012</v>
      </c>
      <c r="U1395" t="s">
        <v>25</v>
      </c>
      <c r="V1395" t="s">
        <v>7011</v>
      </c>
      <c r="W1395" s="9" t="s">
        <v>477</v>
      </c>
      <c r="X1395" s="9" t="s">
        <v>7009</v>
      </c>
      <c r="Y1395" s="17" t="s">
        <v>4559</v>
      </c>
      <c r="Z1395" s="9" t="s">
        <v>7014</v>
      </c>
    </row>
    <row r="1396" spans="1:28" ht="16.5">
      <c r="A1396" t="s">
        <v>7021</v>
      </c>
      <c r="B1396" t="s">
        <v>7021</v>
      </c>
      <c r="C1396" s="16" t="s">
        <v>7023</v>
      </c>
      <c r="D1396" s="16" t="s">
        <v>21</v>
      </c>
      <c r="E1396" s="14" t="s">
        <v>22</v>
      </c>
      <c r="F1396" t="s">
        <v>7017</v>
      </c>
      <c r="G1396" s="17" t="str">
        <f>Config!$B$3</f>
        <v>SCH/R_IEC.SchLib</v>
      </c>
      <c r="H1396" s="16" t="s">
        <v>419</v>
      </c>
      <c r="I1396" s="18" t="s">
        <v>461</v>
      </c>
      <c r="J1396" s="16" t="s">
        <v>462</v>
      </c>
      <c r="K1396" s="16"/>
      <c r="L1396" s="16"/>
      <c r="M1396" s="3">
        <v>24300</v>
      </c>
      <c r="N1396" s="17" t="s">
        <v>13979</v>
      </c>
      <c r="O1396" s="16" t="s">
        <v>477</v>
      </c>
      <c r="P1396" t="s">
        <v>7026</v>
      </c>
      <c r="Q1396" s="16" t="s">
        <v>25</v>
      </c>
      <c r="R1396" t="s">
        <v>7025</v>
      </c>
      <c r="S1396" s="17" t="s">
        <v>477</v>
      </c>
      <c r="T1396" t="s">
        <v>7028</v>
      </c>
      <c r="U1396" t="s">
        <v>25</v>
      </c>
      <c r="V1396" t="s">
        <v>7027</v>
      </c>
      <c r="W1396" s="9" t="s">
        <v>477</v>
      </c>
      <c r="X1396" s="9" t="s">
        <v>7020</v>
      </c>
      <c r="Y1396" t="s">
        <v>4559</v>
      </c>
      <c r="Z1396" s="9" t="s">
        <v>7019</v>
      </c>
      <c r="AA1396" s="17" t="s">
        <v>4727</v>
      </c>
    </row>
    <row r="1397" spans="1:28" ht="16.5">
      <c r="A1397" t="s">
        <v>7022</v>
      </c>
      <c r="B1397" t="s">
        <v>7022</v>
      </c>
      <c r="C1397" s="16" t="s">
        <v>7024</v>
      </c>
      <c r="D1397" s="16" t="s">
        <v>21</v>
      </c>
      <c r="E1397" s="14" t="s">
        <v>22</v>
      </c>
      <c r="F1397" t="s">
        <v>7016</v>
      </c>
      <c r="G1397" s="17" t="str">
        <f>Config!$B$3</f>
        <v>SCH/R_IEC.SchLib</v>
      </c>
      <c r="H1397" s="16" t="s">
        <v>419</v>
      </c>
      <c r="I1397" s="18" t="s">
        <v>461</v>
      </c>
      <c r="J1397" s="16" t="s">
        <v>462</v>
      </c>
      <c r="K1397" s="16"/>
      <c r="L1397" s="16"/>
      <c r="M1397" s="3">
        <v>14300</v>
      </c>
      <c r="N1397" s="17" t="s">
        <v>13979</v>
      </c>
      <c r="O1397" s="16" t="s">
        <v>477</v>
      </c>
      <c r="P1397" t="s">
        <v>7018</v>
      </c>
      <c r="Q1397" s="16" t="s">
        <v>25</v>
      </c>
      <c r="R1397" t="s">
        <v>7029</v>
      </c>
      <c r="W1397" s="9" t="s">
        <v>477</v>
      </c>
      <c r="X1397" t="s">
        <v>7018</v>
      </c>
      <c r="Y1397" t="s">
        <v>4559</v>
      </c>
      <c r="Z1397" t="s">
        <v>7015</v>
      </c>
      <c r="AA1397" s="17" t="s">
        <v>4727</v>
      </c>
    </row>
    <row r="1398" spans="1:28" ht="15.75">
      <c r="A1398" t="s">
        <v>7463</v>
      </c>
      <c r="B1398" t="s">
        <v>7463</v>
      </c>
      <c r="C1398" s="16" t="s">
        <v>7464</v>
      </c>
      <c r="D1398" s="16" t="s">
        <v>21</v>
      </c>
      <c r="E1398" s="14" t="s">
        <v>7465</v>
      </c>
      <c r="F1398" t="s">
        <v>7466</v>
      </c>
      <c r="G1398" s="17" t="str">
        <f>Config!$B$3</f>
        <v>SCH/R_IEC.SchLib</v>
      </c>
      <c r="H1398" s="16" t="s">
        <v>419</v>
      </c>
      <c r="I1398" s="18" t="s">
        <v>461</v>
      </c>
      <c r="J1398" s="16" t="s">
        <v>7467</v>
      </c>
      <c r="K1398" s="16"/>
      <c r="L1398" s="16"/>
      <c r="M1398" s="3">
        <v>5.0000000000000001E-3</v>
      </c>
      <c r="N1398" t="s">
        <v>7471</v>
      </c>
      <c r="O1398" t="s">
        <v>7469</v>
      </c>
      <c r="P1398" t="s">
        <v>7470</v>
      </c>
      <c r="Q1398" s="16" t="s">
        <v>25</v>
      </c>
      <c r="R1398" t="s">
        <v>7468</v>
      </c>
      <c r="W1398" s="8" t="s">
        <v>13467</v>
      </c>
      <c r="X1398" s="8" t="s">
        <v>13466</v>
      </c>
      <c r="Y1398" t="s">
        <v>4559</v>
      </c>
      <c r="Z1398" t="s">
        <v>13465</v>
      </c>
    </row>
    <row r="1399" spans="1:28" ht="15.75">
      <c r="A1399" t="s">
        <v>12477</v>
      </c>
      <c r="B1399" t="s">
        <v>12477</v>
      </c>
      <c r="C1399" s="16" t="s">
        <v>12478</v>
      </c>
      <c r="D1399" s="16" t="s">
        <v>21</v>
      </c>
      <c r="E1399" s="14" t="s">
        <v>7465</v>
      </c>
      <c r="F1399" t="s">
        <v>12479</v>
      </c>
      <c r="G1399" s="17" t="str">
        <f>Config!$B$3</f>
        <v>SCH/R_IEC.SchLib</v>
      </c>
      <c r="H1399" s="16" t="s">
        <v>419</v>
      </c>
      <c r="I1399" s="18" t="s">
        <v>461</v>
      </c>
      <c r="J1399" s="16" t="s">
        <v>7467</v>
      </c>
      <c r="K1399" s="16"/>
      <c r="L1399" s="16"/>
      <c r="M1399" s="3">
        <v>0.01</v>
      </c>
      <c r="N1399" t="s">
        <v>14466</v>
      </c>
      <c r="O1399" s="16" t="s">
        <v>477</v>
      </c>
      <c r="P1399" t="s">
        <v>12480</v>
      </c>
      <c r="Q1399" s="16" t="s">
        <v>25</v>
      </c>
      <c r="R1399" t="s">
        <v>12481</v>
      </c>
      <c r="W1399" s="8" t="s">
        <v>13467</v>
      </c>
      <c r="X1399" s="8" t="s">
        <v>13469</v>
      </c>
      <c r="Y1399" t="s">
        <v>4559</v>
      </c>
      <c r="Z1399" s="8" t="s">
        <v>13468</v>
      </c>
    </row>
    <row r="1400" spans="1:28">
      <c r="A1400" t="s">
        <v>7475</v>
      </c>
      <c r="B1400" t="s">
        <v>7475</v>
      </c>
      <c r="C1400" s="16" t="s">
        <v>7476</v>
      </c>
      <c r="D1400" s="16" t="s">
        <v>21</v>
      </c>
      <c r="E1400" s="14" t="s">
        <v>7465</v>
      </c>
      <c r="F1400" t="s">
        <v>7474</v>
      </c>
      <c r="G1400" s="17" t="str">
        <f>Config!$B$3</f>
        <v>SCH/R_IEC.SchLib</v>
      </c>
      <c r="H1400" s="16" t="s">
        <v>419</v>
      </c>
      <c r="I1400" s="18" t="s">
        <v>461</v>
      </c>
      <c r="J1400" s="16" t="s">
        <v>7467</v>
      </c>
      <c r="K1400" s="16"/>
      <c r="L1400" s="16"/>
      <c r="M1400" s="3">
        <v>2.5000000000000001E-2</v>
      </c>
      <c r="N1400" t="s">
        <v>7471</v>
      </c>
      <c r="O1400" t="s">
        <v>7469</v>
      </c>
      <c r="P1400" t="s">
        <v>7472</v>
      </c>
      <c r="Q1400" s="16" t="s">
        <v>25</v>
      </c>
      <c r="R1400" t="s">
        <v>7473</v>
      </c>
    </row>
    <row r="1401" spans="1:28">
      <c r="A1401" s="17" t="s">
        <v>7477</v>
      </c>
      <c r="B1401" s="17" t="s">
        <v>7477</v>
      </c>
      <c r="C1401" s="17" t="s">
        <v>7478</v>
      </c>
      <c r="D1401" s="16" t="s">
        <v>21</v>
      </c>
      <c r="E1401" s="14" t="s">
        <v>22</v>
      </c>
      <c r="F1401" t="s">
        <v>305</v>
      </c>
      <c r="G1401" s="17" t="str">
        <f>Config!$B$3</f>
        <v>SCH/R_IEC.SchLib</v>
      </c>
      <c r="H1401" s="17" t="s">
        <v>4296</v>
      </c>
      <c r="I1401" s="17" t="s">
        <v>461</v>
      </c>
      <c r="J1401" s="17" t="s">
        <v>462</v>
      </c>
      <c r="K1401" s="17"/>
      <c r="L1401" s="17"/>
      <c r="M1401" s="3">
        <v>100000</v>
      </c>
      <c r="N1401" t="s">
        <v>7479</v>
      </c>
      <c r="O1401" t="s">
        <v>6406</v>
      </c>
      <c r="P1401" t="s">
        <v>7481</v>
      </c>
      <c r="Q1401" s="16" t="s">
        <v>25</v>
      </c>
      <c r="R1401" t="s">
        <v>7480</v>
      </c>
    </row>
    <row r="1402" spans="1:28">
      <c r="A1402" t="s">
        <v>7489</v>
      </c>
      <c r="B1402" t="s">
        <v>7489</v>
      </c>
      <c r="C1402" s="16" t="s">
        <v>7490</v>
      </c>
      <c r="D1402" s="16" t="s">
        <v>21</v>
      </c>
      <c r="E1402" s="14" t="s">
        <v>7491</v>
      </c>
      <c r="F1402" t="s">
        <v>7492</v>
      </c>
      <c r="G1402" s="17" t="str">
        <f>Config!$B$3</f>
        <v>SCH/R_IEC.SchLib</v>
      </c>
      <c r="H1402" s="16" t="s">
        <v>4296</v>
      </c>
      <c r="I1402" s="18" t="s">
        <v>7493</v>
      </c>
      <c r="J1402" s="16" t="s">
        <v>7494</v>
      </c>
      <c r="K1402" s="16"/>
      <c r="L1402" s="16"/>
      <c r="M1402" s="3">
        <v>25</v>
      </c>
      <c r="N1402" s="26" t="s">
        <v>7495</v>
      </c>
      <c r="O1402" t="s">
        <v>7496</v>
      </c>
      <c r="P1402" t="s">
        <v>7498</v>
      </c>
      <c r="Q1402" s="16" t="s">
        <v>25</v>
      </c>
      <c r="R1402" t="s">
        <v>7497</v>
      </c>
    </row>
    <row r="1403" spans="1:28">
      <c r="A1403" t="s">
        <v>7499</v>
      </c>
      <c r="B1403" t="s">
        <v>7499</v>
      </c>
      <c r="C1403" s="16" t="s">
        <v>7500</v>
      </c>
      <c r="D1403" s="16" t="s">
        <v>21</v>
      </c>
      <c r="E1403" s="14" t="s">
        <v>7504</v>
      </c>
      <c r="F1403" t="s">
        <v>7501</v>
      </c>
      <c r="G1403" s="17" t="str">
        <f>Config!$B$3</f>
        <v>SCH/R_IEC.SchLib</v>
      </c>
      <c r="H1403" s="16" t="s">
        <v>7502</v>
      </c>
      <c r="I1403" s="18" t="s">
        <v>7493</v>
      </c>
      <c r="J1403" s="16" t="s">
        <v>7503</v>
      </c>
      <c r="K1403" s="16"/>
      <c r="L1403" s="16"/>
      <c r="M1403" s="3">
        <v>391</v>
      </c>
      <c r="N1403" s="26" t="s">
        <v>7505</v>
      </c>
      <c r="O1403" t="s">
        <v>6406</v>
      </c>
      <c r="P1403" t="s">
        <v>7499</v>
      </c>
      <c r="Q1403" s="16" t="s">
        <v>25</v>
      </c>
      <c r="R1403" t="s">
        <v>7506</v>
      </c>
    </row>
    <row r="1404" spans="1:28">
      <c r="A1404" t="s">
        <v>7523</v>
      </c>
      <c r="B1404" t="s">
        <v>7523</v>
      </c>
      <c r="C1404" s="16" t="s">
        <v>7544</v>
      </c>
      <c r="D1404" s="16" t="s">
        <v>6969</v>
      </c>
      <c r="E1404" s="14" t="s">
        <v>7565</v>
      </c>
      <c r="F1404" t="s">
        <v>7566</v>
      </c>
      <c r="G1404" s="17" t="str">
        <f>Config!$B$3</f>
        <v>SCH/R_IEC.SchLib</v>
      </c>
      <c r="H1404" s="17" t="s">
        <v>4363</v>
      </c>
      <c r="I1404" s="38" t="str">
        <f t="shared" ref="I1404:I1425" si="13">_xlfn.CONCAT(PrivateLibraryPath,"PCB/Schurter.PcbLib")</f>
        <v>../altium_lib_private/PCB/Schurter.PcbLib</v>
      </c>
      <c r="J1404" s="16" t="s">
        <v>7565</v>
      </c>
      <c r="K1404" s="16"/>
      <c r="L1404" s="16"/>
      <c r="M1404">
        <v>0.08</v>
      </c>
      <c r="N1404" t="s">
        <v>7612</v>
      </c>
      <c r="O1404" s="16" t="s">
        <v>6969</v>
      </c>
      <c r="P1404" t="s">
        <v>7587</v>
      </c>
      <c r="Q1404" s="16" t="s">
        <v>25</v>
      </c>
      <c r="R1404" t="s">
        <v>7613</v>
      </c>
    </row>
    <row r="1405" spans="1:28">
      <c r="A1405" t="s">
        <v>7524</v>
      </c>
      <c r="B1405" t="s">
        <v>7524</v>
      </c>
      <c r="C1405" t="s">
        <v>7545</v>
      </c>
      <c r="D1405" s="16" t="s">
        <v>6969</v>
      </c>
      <c r="E1405" s="14" t="s">
        <v>7565</v>
      </c>
      <c r="F1405" t="s">
        <v>7567</v>
      </c>
      <c r="G1405" s="17" t="str">
        <f>Config!$B$3</f>
        <v>SCH/R_IEC.SchLib</v>
      </c>
      <c r="H1405" s="17" t="s">
        <v>4363</v>
      </c>
      <c r="I1405" s="38" t="str">
        <f t="shared" si="13"/>
        <v>../altium_lib_private/PCB/Schurter.PcbLib</v>
      </c>
      <c r="J1405" s="16" t="s">
        <v>7565</v>
      </c>
      <c r="K1405" s="16"/>
      <c r="L1405" s="16"/>
      <c r="M1405">
        <v>0.1</v>
      </c>
      <c r="N1405" t="s">
        <v>7612</v>
      </c>
      <c r="O1405" s="16" t="s">
        <v>6969</v>
      </c>
      <c r="P1405" t="s">
        <v>7588</v>
      </c>
      <c r="Q1405" s="16" t="s">
        <v>25</v>
      </c>
      <c r="R1405" t="s">
        <v>7614</v>
      </c>
    </row>
    <row r="1406" spans="1:28">
      <c r="A1406" t="s">
        <v>7525</v>
      </c>
      <c r="B1406" t="s">
        <v>7525</v>
      </c>
      <c r="C1406" t="s">
        <v>7546</v>
      </c>
      <c r="D1406" s="16" t="s">
        <v>6969</v>
      </c>
      <c r="E1406" s="14" t="s">
        <v>7565</v>
      </c>
      <c r="F1406" t="s">
        <v>7568</v>
      </c>
      <c r="G1406" s="17" t="str">
        <f>Config!$B$3</f>
        <v>SCH/R_IEC.SchLib</v>
      </c>
      <c r="H1406" s="17" t="s">
        <v>4363</v>
      </c>
      <c r="I1406" s="38" t="str">
        <f t="shared" si="13"/>
        <v>../altium_lib_private/PCB/Schurter.PcbLib</v>
      </c>
      <c r="J1406" s="16" t="s">
        <v>7565</v>
      </c>
      <c r="K1406" s="16"/>
      <c r="L1406" s="16"/>
      <c r="M1406">
        <v>0.125</v>
      </c>
      <c r="N1406" t="s">
        <v>7612</v>
      </c>
      <c r="O1406" s="16" t="s">
        <v>6969</v>
      </c>
      <c r="P1406" t="s">
        <v>7589</v>
      </c>
      <c r="Q1406" s="16" t="s">
        <v>25</v>
      </c>
      <c r="R1406" t="s">
        <v>7615</v>
      </c>
    </row>
    <row r="1407" spans="1:28">
      <c r="A1407" t="s">
        <v>7526</v>
      </c>
      <c r="B1407" t="s">
        <v>7526</v>
      </c>
      <c r="C1407" t="s">
        <v>7547</v>
      </c>
      <c r="D1407" s="16" t="s">
        <v>6969</v>
      </c>
      <c r="E1407" s="14" t="s">
        <v>7565</v>
      </c>
      <c r="F1407" t="s">
        <v>7569</v>
      </c>
      <c r="G1407" s="17" t="str">
        <f>Config!$B$3</f>
        <v>SCH/R_IEC.SchLib</v>
      </c>
      <c r="H1407" s="17" t="s">
        <v>4363</v>
      </c>
      <c r="I1407" s="38" t="str">
        <f t="shared" si="13"/>
        <v>../altium_lib_private/PCB/Schurter.PcbLib</v>
      </c>
      <c r="J1407" s="16" t="s">
        <v>7565</v>
      </c>
      <c r="K1407" s="16"/>
      <c r="L1407" s="16"/>
      <c r="M1407">
        <v>0.16</v>
      </c>
      <c r="N1407" t="s">
        <v>7612</v>
      </c>
      <c r="O1407" s="16" t="s">
        <v>6969</v>
      </c>
      <c r="P1407" t="s">
        <v>7590</v>
      </c>
      <c r="Q1407" s="16" t="s">
        <v>25</v>
      </c>
      <c r="R1407" t="s">
        <v>7616</v>
      </c>
    </row>
    <row r="1408" spans="1:28">
      <c r="A1408" t="s">
        <v>7527</v>
      </c>
      <c r="B1408" t="s">
        <v>7527</v>
      </c>
      <c r="C1408" t="s">
        <v>7548</v>
      </c>
      <c r="D1408" s="16" t="s">
        <v>6969</v>
      </c>
      <c r="E1408" s="14" t="s">
        <v>7565</v>
      </c>
      <c r="F1408" t="s">
        <v>7570</v>
      </c>
      <c r="G1408" s="17" t="str">
        <f>Config!$B$3</f>
        <v>SCH/R_IEC.SchLib</v>
      </c>
      <c r="H1408" s="17" t="s">
        <v>4363</v>
      </c>
      <c r="I1408" s="38" t="str">
        <f t="shared" si="13"/>
        <v>../altium_lib_private/PCB/Schurter.PcbLib</v>
      </c>
      <c r="J1408" s="16" t="s">
        <v>7565</v>
      </c>
      <c r="K1408" s="16"/>
      <c r="L1408" s="16"/>
      <c r="M1408">
        <v>0.2</v>
      </c>
      <c r="N1408" t="s">
        <v>7612</v>
      </c>
      <c r="O1408" s="16" t="s">
        <v>6969</v>
      </c>
      <c r="P1408" t="s">
        <v>7591</v>
      </c>
      <c r="Q1408" s="16" t="s">
        <v>25</v>
      </c>
      <c r="R1408" t="s">
        <v>7617</v>
      </c>
    </row>
    <row r="1409" spans="1:18">
      <c r="A1409" t="s">
        <v>7528</v>
      </c>
      <c r="B1409" t="s">
        <v>7528</v>
      </c>
      <c r="C1409" t="s">
        <v>7549</v>
      </c>
      <c r="D1409" s="16" t="s">
        <v>6969</v>
      </c>
      <c r="E1409" s="14" t="s">
        <v>7565</v>
      </c>
      <c r="F1409" t="s">
        <v>7571</v>
      </c>
      <c r="G1409" s="17" t="str">
        <f>Config!$B$3</f>
        <v>SCH/R_IEC.SchLib</v>
      </c>
      <c r="H1409" s="17" t="s">
        <v>4363</v>
      </c>
      <c r="I1409" s="38" t="str">
        <f t="shared" si="13"/>
        <v>../altium_lib_private/PCB/Schurter.PcbLib</v>
      </c>
      <c r="J1409" s="16" t="s">
        <v>7565</v>
      </c>
      <c r="K1409" s="16"/>
      <c r="L1409" s="16"/>
      <c r="M1409">
        <v>0.25</v>
      </c>
      <c r="N1409" t="s">
        <v>7612</v>
      </c>
      <c r="O1409" s="16" t="s">
        <v>6969</v>
      </c>
      <c r="P1409" t="s">
        <v>7592</v>
      </c>
      <c r="Q1409" s="16" t="s">
        <v>25</v>
      </c>
      <c r="R1409" t="s">
        <v>7618</v>
      </c>
    </row>
    <row r="1410" spans="1:18">
      <c r="A1410" t="s">
        <v>7529</v>
      </c>
      <c r="B1410" t="s">
        <v>7529</v>
      </c>
      <c r="C1410" t="s">
        <v>7550</v>
      </c>
      <c r="D1410" s="16" t="s">
        <v>6969</v>
      </c>
      <c r="E1410" s="14" t="s">
        <v>7565</v>
      </c>
      <c r="F1410" t="s">
        <v>7572</v>
      </c>
      <c r="G1410" s="17" t="str">
        <f>Config!$B$3</f>
        <v>SCH/R_IEC.SchLib</v>
      </c>
      <c r="H1410" s="17" t="s">
        <v>4363</v>
      </c>
      <c r="I1410" s="38" t="str">
        <f t="shared" si="13"/>
        <v>../altium_lib_private/PCB/Schurter.PcbLib</v>
      </c>
      <c r="J1410" s="16" t="s">
        <v>7565</v>
      </c>
      <c r="K1410" s="16"/>
      <c r="L1410" s="16"/>
      <c r="M1410">
        <v>0.315</v>
      </c>
      <c r="N1410" t="s">
        <v>7612</v>
      </c>
      <c r="O1410" s="16" t="s">
        <v>6969</v>
      </c>
      <c r="P1410" t="s">
        <v>7593</v>
      </c>
      <c r="Q1410" s="16" t="s">
        <v>25</v>
      </c>
      <c r="R1410" t="s">
        <v>7619</v>
      </c>
    </row>
    <row r="1411" spans="1:18">
      <c r="A1411" t="s">
        <v>7530</v>
      </c>
      <c r="B1411" t="s">
        <v>7530</v>
      </c>
      <c r="C1411" t="s">
        <v>7551</v>
      </c>
      <c r="D1411" s="16" t="s">
        <v>6969</v>
      </c>
      <c r="E1411" s="14" t="s">
        <v>7565</v>
      </c>
      <c r="F1411" t="s">
        <v>7573</v>
      </c>
      <c r="G1411" s="17" t="str">
        <f>Config!$B$3</f>
        <v>SCH/R_IEC.SchLib</v>
      </c>
      <c r="H1411" s="17" t="s">
        <v>4363</v>
      </c>
      <c r="I1411" s="38" t="str">
        <f t="shared" si="13"/>
        <v>../altium_lib_private/PCB/Schurter.PcbLib</v>
      </c>
      <c r="J1411" s="16" t="s">
        <v>7565</v>
      </c>
      <c r="K1411" s="16"/>
      <c r="L1411" s="16"/>
      <c r="M1411">
        <v>0.4</v>
      </c>
      <c r="N1411" t="s">
        <v>7612</v>
      </c>
      <c r="O1411" s="16" t="s">
        <v>6969</v>
      </c>
      <c r="P1411" t="s">
        <v>7594</v>
      </c>
      <c r="Q1411" s="16" t="s">
        <v>25</v>
      </c>
      <c r="R1411" t="s">
        <v>7620</v>
      </c>
    </row>
    <row r="1412" spans="1:18">
      <c r="A1412" t="s">
        <v>7531</v>
      </c>
      <c r="B1412" t="s">
        <v>7531</v>
      </c>
      <c r="C1412" t="s">
        <v>7552</v>
      </c>
      <c r="D1412" s="16" t="s">
        <v>6969</v>
      </c>
      <c r="E1412" s="14" t="s">
        <v>7565</v>
      </c>
      <c r="F1412" t="s">
        <v>7574</v>
      </c>
      <c r="G1412" s="17" t="str">
        <f>Config!$B$3</f>
        <v>SCH/R_IEC.SchLib</v>
      </c>
      <c r="H1412" s="17" t="s">
        <v>4363</v>
      </c>
      <c r="I1412" s="38" t="str">
        <f t="shared" si="13"/>
        <v>../altium_lib_private/PCB/Schurter.PcbLib</v>
      </c>
      <c r="J1412" s="16" t="s">
        <v>7565</v>
      </c>
      <c r="K1412" s="16"/>
      <c r="L1412" s="16"/>
      <c r="M1412">
        <v>0.5</v>
      </c>
      <c r="N1412" t="s">
        <v>7612</v>
      </c>
      <c r="O1412" s="16" t="s">
        <v>6969</v>
      </c>
      <c r="P1412" t="s">
        <v>7595</v>
      </c>
      <c r="Q1412" s="16" t="s">
        <v>25</v>
      </c>
      <c r="R1412" t="s">
        <v>7621</v>
      </c>
    </row>
    <row r="1413" spans="1:18">
      <c r="A1413" t="s">
        <v>7532</v>
      </c>
      <c r="B1413" t="s">
        <v>7532</v>
      </c>
      <c r="C1413" t="s">
        <v>7553</v>
      </c>
      <c r="D1413" s="16" t="s">
        <v>6969</v>
      </c>
      <c r="E1413" s="14" t="s">
        <v>7565</v>
      </c>
      <c r="F1413" t="s">
        <v>7575</v>
      </c>
      <c r="G1413" s="17" t="str">
        <f>Config!$B$3</f>
        <v>SCH/R_IEC.SchLib</v>
      </c>
      <c r="H1413" s="17" t="s">
        <v>4363</v>
      </c>
      <c r="I1413" s="38" t="str">
        <f t="shared" si="13"/>
        <v>../altium_lib_private/PCB/Schurter.PcbLib</v>
      </c>
      <c r="J1413" s="16" t="s">
        <v>7565</v>
      </c>
      <c r="K1413" s="16"/>
      <c r="L1413" s="16"/>
      <c r="M1413">
        <v>0.63</v>
      </c>
      <c r="N1413" t="s">
        <v>7612</v>
      </c>
      <c r="O1413" s="16" t="s">
        <v>6969</v>
      </c>
      <c r="P1413" t="s">
        <v>7596</v>
      </c>
      <c r="Q1413" s="16" t="s">
        <v>25</v>
      </c>
      <c r="R1413" t="s">
        <v>7622</v>
      </c>
    </row>
    <row r="1414" spans="1:18">
      <c r="A1414" t="s">
        <v>7609</v>
      </c>
      <c r="B1414" t="s">
        <v>7609</v>
      </c>
      <c r="C1414" t="s">
        <v>7610</v>
      </c>
      <c r="D1414" s="16" t="s">
        <v>6969</v>
      </c>
      <c r="E1414" s="14" t="s">
        <v>7565</v>
      </c>
      <c r="F1414" t="s">
        <v>7611</v>
      </c>
      <c r="G1414" s="17" t="str">
        <f>Config!$B$3</f>
        <v>SCH/R_IEC.SchLib</v>
      </c>
      <c r="H1414" s="17" t="s">
        <v>4363</v>
      </c>
      <c r="I1414" s="38" t="str">
        <f t="shared" si="13"/>
        <v>../altium_lib_private/PCB/Schurter.PcbLib</v>
      </c>
      <c r="J1414" s="16" t="s">
        <v>7565</v>
      </c>
      <c r="K1414" s="16"/>
      <c r="L1414" s="16"/>
      <c r="M1414">
        <v>0.8</v>
      </c>
      <c r="N1414" t="s">
        <v>7612</v>
      </c>
      <c r="O1414" s="16" t="s">
        <v>6969</v>
      </c>
      <c r="P1414" t="s">
        <v>7597</v>
      </c>
      <c r="Q1414" s="16" t="s">
        <v>25</v>
      </c>
      <c r="R1414" t="s">
        <v>7623</v>
      </c>
    </row>
    <row r="1415" spans="1:18">
      <c r="A1415" t="s">
        <v>7533</v>
      </c>
      <c r="B1415" t="s">
        <v>7533</v>
      </c>
      <c r="C1415" t="s">
        <v>7554</v>
      </c>
      <c r="D1415" s="16" t="s">
        <v>6969</v>
      </c>
      <c r="E1415" s="14" t="s">
        <v>7565</v>
      </c>
      <c r="F1415" t="s">
        <v>7576</v>
      </c>
      <c r="G1415" s="17" t="str">
        <f>Config!$B$3</f>
        <v>SCH/R_IEC.SchLib</v>
      </c>
      <c r="H1415" s="17" t="s">
        <v>4363</v>
      </c>
      <c r="I1415" s="38" t="str">
        <f t="shared" si="13"/>
        <v>../altium_lib_private/PCB/Schurter.PcbLib</v>
      </c>
      <c r="J1415" s="16" t="s">
        <v>7565</v>
      </c>
      <c r="K1415" s="16"/>
      <c r="L1415" s="16"/>
      <c r="M1415">
        <v>1</v>
      </c>
      <c r="N1415" t="s">
        <v>7612</v>
      </c>
      <c r="O1415" s="16" t="s">
        <v>6969</v>
      </c>
      <c r="P1415" t="s">
        <v>7598</v>
      </c>
      <c r="Q1415" s="16" t="s">
        <v>25</v>
      </c>
      <c r="R1415" t="s">
        <v>7624</v>
      </c>
    </row>
    <row r="1416" spans="1:18">
      <c r="A1416" t="s">
        <v>7534</v>
      </c>
      <c r="B1416" t="s">
        <v>7534</v>
      </c>
      <c r="C1416" t="s">
        <v>7555</v>
      </c>
      <c r="D1416" s="16" t="s">
        <v>6969</v>
      </c>
      <c r="E1416" s="14" t="s">
        <v>7565</v>
      </c>
      <c r="F1416" t="s">
        <v>7577</v>
      </c>
      <c r="G1416" s="17" t="str">
        <f>Config!$B$3</f>
        <v>SCH/R_IEC.SchLib</v>
      </c>
      <c r="H1416" s="17" t="s">
        <v>4363</v>
      </c>
      <c r="I1416" s="38" t="str">
        <f t="shared" si="13"/>
        <v>../altium_lib_private/PCB/Schurter.PcbLib</v>
      </c>
      <c r="J1416" s="16" t="s">
        <v>7565</v>
      </c>
      <c r="K1416" s="16"/>
      <c r="L1416" s="16"/>
      <c r="M1416">
        <v>1.25</v>
      </c>
      <c r="N1416" t="s">
        <v>7612</v>
      </c>
      <c r="O1416" s="16" t="s">
        <v>6969</v>
      </c>
      <c r="P1416" t="s">
        <v>7599</v>
      </c>
      <c r="Q1416" s="16" t="s">
        <v>25</v>
      </c>
      <c r="R1416" t="s">
        <v>7625</v>
      </c>
    </row>
    <row r="1417" spans="1:18">
      <c r="A1417" t="s">
        <v>7535</v>
      </c>
      <c r="B1417" t="s">
        <v>7535</v>
      </c>
      <c r="C1417" t="s">
        <v>7556</v>
      </c>
      <c r="D1417" s="16" t="s">
        <v>6969</v>
      </c>
      <c r="E1417" s="14" t="s">
        <v>7565</v>
      </c>
      <c r="F1417" t="s">
        <v>7578</v>
      </c>
      <c r="G1417" s="17" t="str">
        <f>Config!$B$3</f>
        <v>SCH/R_IEC.SchLib</v>
      </c>
      <c r="H1417" s="17" t="s">
        <v>4363</v>
      </c>
      <c r="I1417" s="38" t="str">
        <f t="shared" si="13"/>
        <v>../altium_lib_private/PCB/Schurter.PcbLib</v>
      </c>
      <c r="J1417" s="16" t="s">
        <v>7565</v>
      </c>
      <c r="K1417" s="16"/>
      <c r="L1417" s="16"/>
      <c r="M1417">
        <v>1.6</v>
      </c>
      <c r="N1417" t="s">
        <v>7612</v>
      </c>
      <c r="O1417" s="16" t="s">
        <v>6969</v>
      </c>
      <c r="P1417" t="s">
        <v>7600</v>
      </c>
      <c r="Q1417" s="16" t="s">
        <v>25</v>
      </c>
      <c r="R1417" t="s">
        <v>7626</v>
      </c>
    </row>
    <row r="1418" spans="1:18">
      <c r="A1418" t="s">
        <v>7536</v>
      </c>
      <c r="B1418" t="s">
        <v>7536</v>
      </c>
      <c r="C1418" t="s">
        <v>7557</v>
      </c>
      <c r="D1418" s="16" t="s">
        <v>6969</v>
      </c>
      <c r="E1418" s="14" t="s">
        <v>7565</v>
      </c>
      <c r="F1418" t="s">
        <v>7579</v>
      </c>
      <c r="G1418" s="17" t="str">
        <f>Config!$B$3</f>
        <v>SCH/R_IEC.SchLib</v>
      </c>
      <c r="H1418" s="17" t="s">
        <v>4363</v>
      </c>
      <c r="I1418" s="38" t="str">
        <f t="shared" si="13"/>
        <v>../altium_lib_private/PCB/Schurter.PcbLib</v>
      </c>
      <c r="J1418" s="16" t="s">
        <v>7565</v>
      </c>
      <c r="K1418" s="16"/>
      <c r="L1418" s="16"/>
      <c r="M1418">
        <v>2</v>
      </c>
      <c r="N1418" t="s">
        <v>7612</v>
      </c>
      <c r="O1418" s="16" t="s">
        <v>6969</v>
      </c>
      <c r="P1418" t="s">
        <v>7601</v>
      </c>
      <c r="Q1418" s="16" t="s">
        <v>25</v>
      </c>
      <c r="R1418" t="s">
        <v>7627</v>
      </c>
    </row>
    <row r="1419" spans="1:18">
      <c r="A1419" t="s">
        <v>7537</v>
      </c>
      <c r="B1419" t="s">
        <v>7537</v>
      </c>
      <c r="C1419" t="s">
        <v>7558</v>
      </c>
      <c r="D1419" s="16" t="s">
        <v>6969</v>
      </c>
      <c r="E1419" s="14" t="s">
        <v>7565</v>
      </c>
      <c r="F1419" t="s">
        <v>7580</v>
      </c>
      <c r="G1419" s="17" t="str">
        <f>Config!$B$3</f>
        <v>SCH/R_IEC.SchLib</v>
      </c>
      <c r="H1419" s="17" t="s">
        <v>4363</v>
      </c>
      <c r="I1419" s="38" t="str">
        <f t="shared" si="13"/>
        <v>../altium_lib_private/PCB/Schurter.PcbLib</v>
      </c>
      <c r="J1419" s="16" t="s">
        <v>7565</v>
      </c>
      <c r="K1419" s="16"/>
      <c r="L1419" s="16"/>
      <c r="M1419">
        <v>2.5</v>
      </c>
      <c r="N1419" t="s">
        <v>7612</v>
      </c>
      <c r="O1419" s="16" t="s">
        <v>6969</v>
      </c>
      <c r="P1419" t="s">
        <v>7602</v>
      </c>
      <c r="Q1419" s="16" t="s">
        <v>25</v>
      </c>
      <c r="R1419" t="s">
        <v>7628</v>
      </c>
    </row>
    <row r="1420" spans="1:18">
      <c r="A1420" t="s">
        <v>7538</v>
      </c>
      <c r="B1420" t="s">
        <v>7538</v>
      </c>
      <c r="C1420" t="s">
        <v>7559</v>
      </c>
      <c r="D1420" s="16" t="s">
        <v>6969</v>
      </c>
      <c r="E1420" s="14" t="s">
        <v>7565</v>
      </c>
      <c r="F1420" t="s">
        <v>7581</v>
      </c>
      <c r="G1420" s="17" t="str">
        <f>Config!$B$3</f>
        <v>SCH/R_IEC.SchLib</v>
      </c>
      <c r="H1420" s="17" t="s">
        <v>4363</v>
      </c>
      <c r="I1420" s="38" t="str">
        <f t="shared" si="13"/>
        <v>../altium_lib_private/PCB/Schurter.PcbLib</v>
      </c>
      <c r="J1420" s="16" t="s">
        <v>7565</v>
      </c>
      <c r="K1420" s="16"/>
      <c r="L1420" s="16"/>
      <c r="M1420">
        <v>3.15</v>
      </c>
      <c r="N1420" t="s">
        <v>7612</v>
      </c>
      <c r="O1420" s="16" t="s">
        <v>6969</v>
      </c>
      <c r="P1420" t="s">
        <v>7603</v>
      </c>
      <c r="Q1420" s="16" t="s">
        <v>25</v>
      </c>
      <c r="R1420" t="s">
        <v>7629</v>
      </c>
    </row>
    <row r="1421" spans="1:18">
      <c r="A1421" t="s">
        <v>7539</v>
      </c>
      <c r="B1421" t="s">
        <v>7539</v>
      </c>
      <c r="C1421" t="s">
        <v>7560</v>
      </c>
      <c r="D1421" s="16" t="s">
        <v>6969</v>
      </c>
      <c r="E1421" s="14" t="s">
        <v>7565</v>
      </c>
      <c r="F1421" t="s">
        <v>7582</v>
      </c>
      <c r="G1421" s="17" t="str">
        <f>Config!$B$3</f>
        <v>SCH/R_IEC.SchLib</v>
      </c>
      <c r="H1421" s="17" t="s">
        <v>4363</v>
      </c>
      <c r="I1421" s="38" t="str">
        <f t="shared" si="13"/>
        <v>../altium_lib_private/PCB/Schurter.PcbLib</v>
      </c>
      <c r="J1421" s="16" t="s">
        <v>7565</v>
      </c>
      <c r="K1421" s="16"/>
      <c r="L1421" s="16"/>
      <c r="M1421">
        <v>4</v>
      </c>
      <c r="N1421" t="s">
        <v>7612</v>
      </c>
      <c r="O1421" s="16" t="s">
        <v>6969</v>
      </c>
      <c r="P1421" t="s">
        <v>7604</v>
      </c>
      <c r="Q1421" s="16" t="s">
        <v>25</v>
      </c>
      <c r="R1421" t="s">
        <v>7630</v>
      </c>
    </row>
    <row r="1422" spans="1:18">
      <c r="A1422" t="s">
        <v>7540</v>
      </c>
      <c r="B1422" t="s">
        <v>7540</v>
      </c>
      <c r="C1422" t="s">
        <v>7561</v>
      </c>
      <c r="D1422" s="16" t="s">
        <v>6969</v>
      </c>
      <c r="E1422" s="14" t="s">
        <v>7565</v>
      </c>
      <c r="F1422" t="s">
        <v>7583</v>
      </c>
      <c r="G1422" s="17" t="str">
        <f>Config!$B$3</f>
        <v>SCH/R_IEC.SchLib</v>
      </c>
      <c r="H1422" s="17" t="s">
        <v>4363</v>
      </c>
      <c r="I1422" s="38" t="str">
        <f t="shared" si="13"/>
        <v>../altium_lib_private/PCB/Schurter.PcbLib</v>
      </c>
      <c r="J1422" s="16" t="s">
        <v>7565</v>
      </c>
      <c r="K1422" s="16"/>
      <c r="L1422" s="16"/>
      <c r="M1422">
        <v>5</v>
      </c>
      <c r="N1422" t="s">
        <v>7612</v>
      </c>
      <c r="O1422" s="16" t="s">
        <v>6969</v>
      </c>
      <c r="P1422" t="s">
        <v>7605</v>
      </c>
      <c r="Q1422" s="16" t="s">
        <v>25</v>
      </c>
      <c r="R1422" t="s">
        <v>7631</v>
      </c>
    </row>
    <row r="1423" spans="1:18">
      <c r="A1423" t="s">
        <v>7541</v>
      </c>
      <c r="B1423" t="s">
        <v>7541</v>
      </c>
      <c r="C1423" t="s">
        <v>7562</v>
      </c>
      <c r="D1423" s="16" t="s">
        <v>6969</v>
      </c>
      <c r="E1423" s="14" t="s">
        <v>7565</v>
      </c>
      <c r="F1423" t="s">
        <v>7584</v>
      </c>
      <c r="G1423" s="17" t="str">
        <f>Config!$B$3</f>
        <v>SCH/R_IEC.SchLib</v>
      </c>
      <c r="H1423" s="17" t="s">
        <v>4363</v>
      </c>
      <c r="I1423" s="38" t="str">
        <f t="shared" si="13"/>
        <v>../altium_lib_private/PCB/Schurter.PcbLib</v>
      </c>
      <c r="J1423" s="16" t="s">
        <v>7565</v>
      </c>
      <c r="K1423" s="16"/>
      <c r="L1423" s="16"/>
      <c r="M1423">
        <v>6.3</v>
      </c>
      <c r="N1423" t="s">
        <v>7612</v>
      </c>
      <c r="O1423" s="16" t="s">
        <v>6969</v>
      </c>
      <c r="P1423" t="s">
        <v>7606</v>
      </c>
      <c r="Q1423" s="16" t="s">
        <v>25</v>
      </c>
      <c r="R1423" t="s">
        <v>7632</v>
      </c>
    </row>
    <row r="1424" spans="1:18">
      <c r="A1424" t="s">
        <v>7542</v>
      </c>
      <c r="B1424" t="s">
        <v>7542</v>
      </c>
      <c r="C1424" t="s">
        <v>7563</v>
      </c>
      <c r="D1424" s="16" t="s">
        <v>6969</v>
      </c>
      <c r="E1424" s="14" t="s">
        <v>7565</v>
      </c>
      <c r="F1424" t="s">
        <v>7585</v>
      </c>
      <c r="G1424" s="17" t="str">
        <f>Config!$B$3</f>
        <v>SCH/R_IEC.SchLib</v>
      </c>
      <c r="H1424" s="17" t="s">
        <v>4363</v>
      </c>
      <c r="I1424" s="38" t="str">
        <f t="shared" si="13"/>
        <v>../altium_lib_private/PCB/Schurter.PcbLib</v>
      </c>
      <c r="J1424" s="16" t="s">
        <v>7565</v>
      </c>
      <c r="K1424" s="16"/>
      <c r="L1424" s="16"/>
      <c r="M1424">
        <v>8</v>
      </c>
      <c r="N1424" t="s">
        <v>7612</v>
      </c>
      <c r="O1424" s="16" t="s">
        <v>6969</v>
      </c>
      <c r="P1424" t="s">
        <v>7607</v>
      </c>
      <c r="Q1424" s="16" t="s">
        <v>25</v>
      </c>
      <c r="R1424" t="s">
        <v>7633</v>
      </c>
    </row>
    <row r="1425" spans="1:22">
      <c r="A1425" t="s">
        <v>7543</v>
      </c>
      <c r="B1425" t="s">
        <v>7543</v>
      </c>
      <c r="C1425" t="s">
        <v>7564</v>
      </c>
      <c r="D1425" s="16" t="s">
        <v>6969</v>
      </c>
      <c r="E1425" s="14" t="s">
        <v>7565</v>
      </c>
      <c r="F1425" t="s">
        <v>7586</v>
      </c>
      <c r="G1425" s="17" t="str">
        <f>Config!$B$3</f>
        <v>SCH/R_IEC.SchLib</v>
      </c>
      <c r="H1425" s="17" t="s">
        <v>4363</v>
      </c>
      <c r="I1425" s="38" t="str">
        <f t="shared" si="13"/>
        <v>../altium_lib_private/PCB/Schurter.PcbLib</v>
      </c>
      <c r="J1425" s="16" t="s">
        <v>7565</v>
      </c>
      <c r="K1425" s="16"/>
      <c r="L1425" s="16"/>
      <c r="M1425">
        <v>10</v>
      </c>
      <c r="N1425" t="s">
        <v>7612</v>
      </c>
      <c r="O1425" s="16" t="s">
        <v>6969</v>
      </c>
      <c r="P1425" t="s">
        <v>7608</v>
      </c>
      <c r="Q1425" s="16" t="s">
        <v>25</v>
      </c>
      <c r="R1425" t="s">
        <v>7634</v>
      </c>
    </row>
    <row r="1426" spans="1:22">
      <c r="A1426" t="s">
        <v>10755</v>
      </c>
      <c r="B1426" t="s">
        <v>10755</v>
      </c>
      <c r="C1426" t="s">
        <v>10756</v>
      </c>
      <c r="D1426" s="16" t="s">
        <v>10757</v>
      </c>
      <c r="E1426" s="14" t="s">
        <v>10758</v>
      </c>
      <c r="F1426" t="s">
        <v>7586</v>
      </c>
      <c r="G1426" s="17" t="str">
        <f>Config!$B$3</f>
        <v>SCH/R_IEC.SchLib</v>
      </c>
      <c r="H1426" s="17" t="s">
        <v>10770</v>
      </c>
      <c r="I1426" s="38"/>
      <c r="J1426" s="40"/>
      <c r="K1426" s="40"/>
      <c r="L1426" s="40"/>
      <c r="N1426" t="s">
        <v>12052</v>
      </c>
      <c r="O1426" s="16" t="s">
        <v>12053</v>
      </c>
      <c r="P1426" t="s">
        <v>12054</v>
      </c>
      <c r="Q1426" s="16" t="s">
        <v>25</v>
      </c>
      <c r="R1426" t="s">
        <v>12055</v>
      </c>
    </row>
    <row r="1427" spans="1:22">
      <c r="A1427" t="s">
        <v>10759</v>
      </c>
      <c r="B1427" t="s">
        <v>10759</v>
      </c>
      <c r="C1427" t="s">
        <v>12475</v>
      </c>
      <c r="D1427" s="16" t="s">
        <v>12476</v>
      </c>
      <c r="E1427" s="14" t="s">
        <v>10758</v>
      </c>
      <c r="G1427" s="17" t="str">
        <f>Config!$B$3</f>
        <v>SCH/R_IEC.SchLib</v>
      </c>
      <c r="H1427" t="s">
        <v>10761</v>
      </c>
      <c r="I1427" s="38" t="str">
        <f>_xlfn.CONCAT(PrivateLibraryPath,"PCB/Littelfuse.PcbLib")</f>
        <v>../altium_lib_private/PCB/Littelfuse.PcbLib</v>
      </c>
      <c r="J1427" s="16" t="s">
        <v>12056</v>
      </c>
      <c r="K1427" s="16"/>
      <c r="L1427" s="16"/>
      <c r="N1427" t="s">
        <v>12474</v>
      </c>
      <c r="O1427" s="16" t="s">
        <v>2669</v>
      </c>
      <c r="P1427" t="s">
        <v>12056</v>
      </c>
      <c r="Q1427" s="16" t="s">
        <v>25</v>
      </c>
      <c r="R1427" t="s">
        <v>12057</v>
      </c>
    </row>
    <row r="1428" spans="1:22">
      <c r="A1428" t="s">
        <v>10760</v>
      </c>
      <c r="B1428" t="s">
        <v>10760</v>
      </c>
      <c r="D1428" s="16"/>
      <c r="E1428" s="14" t="s">
        <v>10758</v>
      </c>
      <c r="G1428" s="17" t="str">
        <f>Config!$B$3</f>
        <v>SCH/R_IEC.SchLib</v>
      </c>
      <c r="H1428" t="s">
        <v>10762</v>
      </c>
      <c r="I1428" s="18"/>
      <c r="J1428" s="16"/>
      <c r="K1428" s="16"/>
      <c r="L1428" s="16"/>
      <c r="O1428" s="16"/>
      <c r="Q1428" s="16"/>
    </row>
    <row r="1429" spans="1:22">
      <c r="A1429" t="s">
        <v>13882</v>
      </c>
      <c r="B1429" t="s">
        <v>13882</v>
      </c>
      <c r="C1429" t="s">
        <v>13915</v>
      </c>
      <c r="D1429" s="16" t="s">
        <v>13896</v>
      </c>
      <c r="E1429" s="14" t="s">
        <v>13890</v>
      </c>
      <c r="F1429" t="s">
        <v>7579</v>
      </c>
      <c r="G1429" s="17" t="str">
        <f>Config!$B$3</f>
        <v>SCH/R_IEC.SchLib</v>
      </c>
      <c r="H1429" s="17" t="s">
        <v>10770</v>
      </c>
      <c r="I1429" s="18" t="s">
        <v>14654</v>
      </c>
      <c r="J1429" s="16" t="s">
        <v>13968</v>
      </c>
      <c r="K1429" s="18" t="s">
        <v>14654</v>
      </c>
      <c r="L1429" s="16" t="s">
        <v>14657</v>
      </c>
      <c r="N1429" t="s">
        <v>13897</v>
      </c>
      <c r="O1429" s="16" t="s">
        <v>13896</v>
      </c>
      <c r="P1429">
        <v>3061295</v>
      </c>
      <c r="Q1429" s="16" t="s">
        <v>25</v>
      </c>
      <c r="R1429" t="s">
        <v>13898</v>
      </c>
    </row>
    <row r="1430" spans="1:22">
      <c r="A1430" t="s">
        <v>13883</v>
      </c>
      <c r="B1430" t="s">
        <v>13883</v>
      </c>
      <c r="C1430" t="s">
        <v>13916</v>
      </c>
      <c r="D1430" s="16" t="s">
        <v>13896</v>
      </c>
      <c r="E1430" s="14" t="s">
        <v>13890</v>
      </c>
      <c r="F1430" t="s">
        <v>7582</v>
      </c>
      <c r="G1430" s="17" t="str">
        <f>Config!$B$3</f>
        <v>SCH/R_IEC.SchLib</v>
      </c>
      <c r="H1430" s="17" t="s">
        <v>10770</v>
      </c>
      <c r="I1430" s="18" t="s">
        <v>14654</v>
      </c>
      <c r="J1430" s="16" t="s">
        <v>13968</v>
      </c>
      <c r="K1430" s="18" t="s">
        <v>14654</v>
      </c>
      <c r="L1430" s="16" t="s">
        <v>14657</v>
      </c>
      <c r="N1430" t="s">
        <v>13899</v>
      </c>
      <c r="O1430" s="16" t="s">
        <v>13896</v>
      </c>
      <c r="P1430">
        <v>3061305</v>
      </c>
      <c r="Q1430" s="16" t="s">
        <v>25</v>
      </c>
      <c r="R1430" t="s">
        <v>13900</v>
      </c>
    </row>
    <row r="1431" spans="1:22">
      <c r="A1431" t="s">
        <v>13884</v>
      </c>
      <c r="B1431" t="s">
        <v>13884</v>
      </c>
      <c r="C1431" t="s">
        <v>13917</v>
      </c>
      <c r="D1431" s="16" t="s">
        <v>13896</v>
      </c>
      <c r="E1431" s="14" t="s">
        <v>13890</v>
      </c>
      <c r="F1431" t="s">
        <v>13891</v>
      </c>
      <c r="G1431" s="17" t="str">
        <f>Config!$B$3</f>
        <v>SCH/R_IEC.SchLib</v>
      </c>
      <c r="H1431" s="17" t="s">
        <v>10770</v>
      </c>
      <c r="I1431" s="18" t="s">
        <v>14654</v>
      </c>
      <c r="J1431" s="16" t="s">
        <v>13968</v>
      </c>
      <c r="K1431" s="18" t="s">
        <v>14654</v>
      </c>
      <c r="L1431" s="16" t="s">
        <v>14657</v>
      </c>
      <c r="N1431" t="s">
        <v>13901</v>
      </c>
      <c r="O1431" s="16" t="s">
        <v>13896</v>
      </c>
      <c r="P1431">
        <v>3061318</v>
      </c>
      <c r="Q1431" s="16" t="s">
        <v>25</v>
      </c>
      <c r="R1431" t="s">
        <v>13902</v>
      </c>
    </row>
    <row r="1432" spans="1:22">
      <c r="A1432" t="s">
        <v>13885</v>
      </c>
      <c r="B1432" t="s">
        <v>13885</v>
      </c>
      <c r="C1432" t="s">
        <v>13918</v>
      </c>
      <c r="D1432" s="16" t="s">
        <v>13896</v>
      </c>
      <c r="E1432" s="14" t="s">
        <v>13890</v>
      </c>
      <c r="F1432" t="s">
        <v>7585</v>
      </c>
      <c r="G1432" s="17" t="str">
        <f>Config!$B$3</f>
        <v>SCH/R_IEC.SchLib</v>
      </c>
      <c r="H1432" s="17" t="s">
        <v>10770</v>
      </c>
      <c r="I1432" s="18" t="s">
        <v>14654</v>
      </c>
      <c r="J1432" s="16" t="s">
        <v>13968</v>
      </c>
      <c r="K1432" s="18" t="s">
        <v>14654</v>
      </c>
      <c r="L1432" s="16" t="s">
        <v>14657</v>
      </c>
      <c r="N1432" t="s">
        <v>13903</v>
      </c>
      <c r="O1432" s="16" t="s">
        <v>13896</v>
      </c>
      <c r="P1432">
        <v>3061321</v>
      </c>
      <c r="Q1432" s="16" t="s">
        <v>25</v>
      </c>
      <c r="R1432" t="s">
        <v>13904</v>
      </c>
    </row>
    <row r="1433" spans="1:22">
      <c r="A1433" t="s">
        <v>13879</v>
      </c>
      <c r="B1433" t="s">
        <v>13879</v>
      </c>
      <c r="C1433" t="s">
        <v>13919</v>
      </c>
      <c r="D1433" s="16" t="s">
        <v>13896</v>
      </c>
      <c r="E1433" s="14" t="s">
        <v>13890</v>
      </c>
      <c r="F1433" t="s">
        <v>7586</v>
      </c>
      <c r="G1433" s="17" t="str">
        <f>Config!$B$3</f>
        <v>SCH/R_IEC.SchLib</v>
      </c>
      <c r="H1433" s="17" t="s">
        <v>10770</v>
      </c>
      <c r="I1433" s="18" t="s">
        <v>14654</v>
      </c>
      <c r="J1433" s="16" t="s">
        <v>13968</v>
      </c>
      <c r="K1433" s="18" t="s">
        <v>14654</v>
      </c>
      <c r="L1433" s="16" t="s">
        <v>14657</v>
      </c>
      <c r="N1433" t="s">
        <v>13905</v>
      </c>
      <c r="O1433" s="16" t="s">
        <v>13896</v>
      </c>
      <c r="P1433">
        <v>3061334</v>
      </c>
      <c r="Q1433" s="16" t="s">
        <v>25</v>
      </c>
      <c r="R1433" t="s">
        <v>13906</v>
      </c>
    </row>
    <row r="1434" spans="1:22">
      <c r="A1434" t="s">
        <v>13881</v>
      </c>
      <c r="B1434" t="s">
        <v>13881</v>
      </c>
      <c r="C1434" t="s">
        <v>13920</v>
      </c>
      <c r="D1434" s="16" t="s">
        <v>13896</v>
      </c>
      <c r="E1434" s="14" t="s">
        <v>13890</v>
      </c>
      <c r="F1434" t="s">
        <v>13892</v>
      </c>
      <c r="G1434" s="17" t="str">
        <f>Config!$B$3</f>
        <v>SCH/R_IEC.SchLib</v>
      </c>
      <c r="H1434" s="17" t="s">
        <v>10770</v>
      </c>
      <c r="I1434" s="18" t="s">
        <v>14654</v>
      </c>
      <c r="J1434" s="16" t="s">
        <v>13968</v>
      </c>
      <c r="K1434" s="18" t="s">
        <v>14654</v>
      </c>
      <c r="L1434" s="16" t="s">
        <v>14657</v>
      </c>
      <c r="N1434" t="s">
        <v>13907</v>
      </c>
      <c r="O1434" s="16" t="s">
        <v>13896</v>
      </c>
      <c r="P1434">
        <v>3061347</v>
      </c>
      <c r="Q1434" s="16" t="s">
        <v>25</v>
      </c>
      <c r="R1434" t="s">
        <v>13908</v>
      </c>
    </row>
    <row r="1435" spans="1:22">
      <c r="A1435" t="s">
        <v>13886</v>
      </c>
      <c r="B1435" t="s">
        <v>13886</v>
      </c>
      <c r="C1435" t="s">
        <v>13921</v>
      </c>
      <c r="D1435" s="16" t="s">
        <v>13896</v>
      </c>
      <c r="E1435" s="14" t="s">
        <v>13890</v>
      </c>
      <c r="F1435" t="s">
        <v>13893</v>
      </c>
      <c r="G1435" s="17" t="str">
        <f>Config!$B$3</f>
        <v>SCH/R_IEC.SchLib</v>
      </c>
      <c r="H1435" s="17" t="s">
        <v>10770</v>
      </c>
      <c r="I1435" s="18" t="s">
        <v>14654</v>
      </c>
      <c r="J1435" s="16" t="s">
        <v>13968</v>
      </c>
      <c r="K1435" s="18" t="s">
        <v>14654</v>
      </c>
      <c r="L1435" s="16" t="s">
        <v>14657</v>
      </c>
      <c r="N1435" t="s">
        <v>13909</v>
      </c>
      <c r="O1435" s="16" t="s">
        <v>13896</v>
      </c>
      <c r="P1435">
        <v>3062784</v>
      </c>
      <c r="Q1435" s="16" t="s">
        <v>25</v>
      </c>
      <c r="R1435" t="s">
        <v>13910</v>
      </c>
    </row>
    <row r="1436" spans="1:22">
      <c r="A1436" t="s">
        <v>13887</v>
      </c>
      <c r="B1436" t="s">
        <v>13887</v>
      </c>
      <c r="C1436" t="s">
        <v>13922</v>
      </c>
      <c r="D1436" s="16" t="s">
        <v>13896</v>
      </c>
      <c r="E1436" s="14" t="s">
        <v>13890</v>
      </c>
      <c r="F1436" t="s">
        <v>13894</v>
      </c>
      <c r="G1436" s="17" t="str">
        <f>Config!$B$3</f>
        <v>SCH/R_IEC.SchLib</v>
      </c>
      <c r="H1436" s="17" t="s">
        <v>10770</v>
      </c>
      <c r="I1436" s="18" t="s">
        <v>14654</v>
      </c>
      <c r="J1436" s="16" t="s">
        <v>13968</v>
      </c>
      <c r="K1436" s="18" t="s">
        <v>14654</v>
      </c>
      <c r="L1436" s="16" t="s">
        <v>14657</v>
      </c>
      <c r="N1436" t="s">
        <v>13911</v>
      </c>
      <c r="O1436" s="16" t="s">
        <v>13896</v>
      </c>
      <c r="P1436">
        <v>3061350</v>
      </c>
      <c r="Q1436" s="16" t="s">
        <v>25</v>
      </c>
      <c r="R1436" t="s">
        <v>13912</v>
      </c>
    </row>
    <row r="1437" spans="1:22">
      <c r="A1437" t="s">
        <v>13888</v>
      </c>
      <c r="B1437" t="s">
        <v>13888</v>
      </c>
      <c r="C1437" t="s">
        <v>13923</v>
      </c>
      <c r="D1437" s="16" t="s">
        <v>13896</v>
      </c>
      <c r="E1437" s="14" t="s">
        <v>13890</v>
      </c>
      <c r="F1437" t="s">
        <v>13895</v>
      </c>
      <c r="G1437" s="17" t="str">
        <f>Config!$B$3</f>
        <v>SCH/R_IEC.SchLib</v>
      </c>
      <c r="H1437" s="17" t="s">
        <v>10770</v>
      </c>
      <c r="I1437" s="18" t="s">
        <v>14654</v>
      </c>
      <c r="J1437" s="16" t="s">
        <v>13968</v>
      </c>
      <c r="K1437" s="18" t="s">
        <v>14654</v>
      </c>
      <c r="L1437" s="16" t="s">
        <v>14657</v>
      </c>
      <c r="N1437" t="s">
        <v>13913</v>
      </c>
      <c r="O1437" s="16" t="s">
        <v>13896</v>
      </c>
      <c r="P1437">
        <v>3061363</v>
      </c>
      <c r="Q1437" s="16" t="s">
        <v>25</v>
      </c>
      <c r="R1437" t="s">
        <v>13914</v>
      </c>
    </row>
    <row r="1438" spans="1:22">
      <c r="A1438" t="s">
        <v>13889</v>
      </c>
      <c r="B1438" t="s">
        <v>13889</v>
      </c>
      <c r="D1438" s="16"/>
      <c r="E1438" s="14" t="s">
        <v>13890</v>
      </c>
      <c r="G1438" s="17" t="str">
        <f>Config!$B$3</f>
        <v>SCH/R_IEC.SchLib</v>
      </c>
      <c r="H1438" t="s">
        <v>10761</v>
      </c>
      <c r="I1438" s="18" t="s">
        <v>14653</v>
      </c>
      <c r="J1438" s="16" t="s">
        <v>13967</v>
      </c>
      <c r="K1438" s="16"/>
      <c r="L1438" s="16"/>
      <c r="N1438" t="s">
        <v>13924</v>
      </c>
      <c r="O1438" s="16" t="s">
        <v>13925</v>
      </c>
      <c r="P1438">
        <v>3576</v>
      </c>
      <c r="Q1438" s="16" t="s">
        <v>25</v>
      </c>
      <c r="R1438" t="s">
        <v>13926</v>
      </c>
      <c r="S1438" s="16" t="s">
        <v>13925</v>
      </c>
      <c r="T1438">
        <v>3576</v>
      </c>
      <c r="U1438" s="16" t="s">
        <v>4349</v>
      </c>
      <c r="V1438" t="s">
        <v>13930</v>
      </c>
    </row>
    <row r="1439" spans="1:22">
      <c r="A1439" t="s">
        <v>13927</v>
      </c>
      <c r="B1439" t="s">
        <v>13927</v>
      </c>
      <c r="D1439" s="16"/>
      <c r="E1439" s="14" t="s">
        <v>13890</v>
      </c>
      <c r="G1439" s="17" t="str">
        <f>Config!$B$3</f>
        <v>SCH/R_IEC.SchLib</v>
      </c>
      <c r="H1439" t="s">
        <v>10761</v>
      </c>
      <c r="I1439" s="18" t="s">
        <v>14653</v>
      </c>
      <c r="J1439" s="16" t="s">
        <v>13966</v>
      </c>
      <c r="K1439" s="16"/>
      <c r="L1439" s="16"/>
      <c r="N1439" t="s">
        <v>13928</v>
      </c>
      <c r="O1439" s="16" t="s">
        <v>13925</v>
      </c>
      <c r="P1439">
        <v>3574</v>
      </c>
      <c r="Q1439" s="16" t="s">
        <v>25</v>
      </c>
      <c r="R1439" t="s">
        <v>13929</v>
      </c>
      <c r="S1439" s="16" t="s">
        <v>13925</v>
      </c>
      <c r="T1439">
        <v>3574</v>
      </c>
      <c r="U1439" s="16" t="s">
        <v>4349</v>
      </c>
      <c r="V1439" t="s">
        <v>13931</v>
      </c>
    </row>
    <row r="1440" spans="1:22">
      <c r="A1440" t="s">
        <v>13880</v>
      </c>
      <c r="B1440" t="s">
        <v>13880</v>
      </c>
      <c r="D1440" s="16"/>
      <c r="E1440" s="14" t="s">
        <v>13890</v>
      </c>
      <c r="G1440" s="17" t="str">
        <f>Config!$B$3</f>
        <v>SCH/R_IEC.SchLib</v>
      </c>
      <c r="H1440" t="s">
        <v>10762</v>
      </c>
      <c r="I1440" s="18"/>
      <c r="J1440" s="40"/>
      <c r="K1440" s="40"/>
      <c r="L1440" s="40"/>
      <c r="O1440" s="16"/>
      <c r="Q1440" s="16"/>
    </row>
    <row r="1441" spans="1:28">
      <c r="A1441" t="s">
        <v>8030</v>
      </c>
      <c r="B1441" t="s">
        <v>8030</v>
      </c>
      <c r="C1441" t="s">
        <v>8035</v>
      </c>
      <c r="D1441" s="16" t="s">
        <v>4368</v>
      </c>
      <c r="E1441" s="14" t="s">
        <v>8033</v>
      </c>
      <c r="F1441" t="s">
        <v>163</v>
      </c>
      <c r="G1441" s="17" t="str">
        <f>Config!$B$3</f>
        <v>SCH/R_IEC.SchLib</v>
      </c>
      <c r="H1441" t="s">
        <v>8032</v>
      </c>
      <c r="I1441" s="18" t="s">
        <v>8037</v>
      </c>
      <c r="J1441" t="s">
        <v>8033</v>
      </c>
      <c r="M1441">
        <v>1000</v>
      </c>
      <c r="N1441" t="s">
        <v>8038</v>
      </c>
      <c r="O1441" t="s">
        <v>4546</v>
      </c>
      <c r="P1441" t="s">
        <v>8039</v>
      </c>
      <c r="Q1441" s="16" t="s">
        <v>25</v>
      </c>
      <c r="R1441" t="s">
        <v>8040</v>
      </c>
    </row>
    <row r="1442" spans="1:28">
      <c r="A1442" t="s">
        <v>8031</v>
      </c>
      <c r="B1442" t="s">
        <v>8031</v>
      </c>
      <c r="C1442" t="s">
        <v>8036</v>
      </c>
      <c r="D1442" s="16" t="s">
        <v>4368</v>
      </c>
      <c r="E1442" s="14" t="s">
        <v>8034</v>
      </c>
      <c r="F1442" t="s">
        <v>163</v>
      </c>
      <c r="G1442" s="17" t="str">
        <f>Config!$B$3</f>
        <v>SCH/R_IEC.SchLib</v>
      </c>
      <c r="H1442" t="s">
        <v>8032</v>
      </c>
      <c r="I1442" s="18" t="s">
        <v>8037</v>
      </c>
      <c r="J1442" t="s">
        <v>8034</v>
      </c>
      <c r="M1442">
        <v>1000</v>
      </c>
      <c r="N1442" t="s">
        <v>8038</v>
      </c>
      <c r="O1442" s="16" t="s">
        <v>4546</v>
      </c>
      <c r="P1442" t="s">
        <v>8041</v>
      </c>
      <c r="Q1442" s="16" t="s">
        <v>25</v>
      </c>
      <c r="R1442" t="s">
        <v>8042</v>
      </c>
    </row>
    <row r="1443" spans="1:28">
      <c r="A1443" s="16" t="s">
        <v>8103</v>
      </c>
      <c r="B1443" s="16" t="s">
        <v>8103</v>
      </c>
      <c r="C1443" s="16" t="s">
        <v>8274</v>
      </c>
      <c r="D1443" s="16" t="s">
        <v>21</v>
      </c>
      <c r="E1443" s="36" t="s">
        <v>8444</v>
      </c>
      <c r="F1443" s="16" t="s">
        <v>23</v>
      </c>
      <c r="G1443" s="17" t="str">
        <f>Config!$B$3</f>
        <v>SCH/R_IEC.SchLib</v>
      </c>
      <c r="H1443" s="16" t="s">
        <v>419</v>
      </c>
      <c r="I1443" s="18" t="s">
        <v>7493</v>
      </c>
      <c r="J1443" s="16" t="s">
        <v>8273</v>
      </c>
      <c r="K1443" s="16"/>
      <c r="L1443" s="16"/>
      <c r="M1443" s="19">
        <v>0</v>
      </c>
      <c r="N1443" s="19" t="s">
        <v>8460</v>
      </c>
      <c r="O1443" s="16" t="s">
        <v>4414</v>
      </c>
      <c r="P1443" s="16"/>
      <c r="Q1443" s="16"/>
      <c r="R1443" s="16"/>
      <c r="S1443" s="16"/>
      <c r="T1443" s="16"/>
      <c r="U1443" s="16"/>
      <c r="V1443" s="16"/>
      <c r="W1443" s="17"/>
      <c r="X1443" s="17"/>
      <c r="Y1443" s="16"/>
      <c r="Z1443" s="17"/>
      <c r="AA1443" s="17"/>
      <c r="AB1443" s="17"/>
    </row>
    <row r="1444" spans="1:28">
      <c r="A1444" s="16" t="s">
        <v>8104</v>
      </c>
      <c r="B1444" s="16" t="s">
        <v>8104</v>
      </c>
      <c r="C1444" s="16" t="s">
        <v>8275</v>
      </c>
      <c r="D1444" s="16" t="s">
        <v>21</v>
      </c>
      <c r="E1444" s="36" t="s">
        <v>8444</v>
      </c>
      <c r="F1444" s="16" t="s">
        <v>29</v>
      </c>
      <c r="G1444" s="17" t="str">
        <f>Config!$B$3</f>
        <v>SCH/R_IEC.SchLib</v>
      </c>
      <c r="H1444" s="16" t="s">
        <v>419</v>
      </c>
      <c r="I1444" s="18" t="s">
        <v>7493</v>
      </c>
      <c r="J1444" s="16" t="s">
        <v>8273</v>
      </c>
      <c r="K1444" s="16"/>
      <c r="L1444" s="16"/>
      <c r="M1444" s="19">
        <v>1</v>
      </c>
      <c r="N1444" s="19" t="s">
        <v>8460</v>
      </c>
      <c r="O1444" s="16" t="s">
        <v>4414</v>
      </c>
      <c r="P1444" s="16"/>
      <c r="Q1444" s="16"/>
      <c r="R1444" s="16"/>
      <c r="S1444" s="16"/>
      <c r="T1444" s="16"/>
      <c r="U1444" s="16"/>
      <c r="V1444" s="16"/>
      <c r="W1444" s="17"/>
      <c r="X1444" s="17"/>
      <c r="Y1444" s="17"/>
      <c r="Z1444" s="17"/>
      <c r="AA1444" s="17"/>
      <c r="AB1444" s="17"/>
    </row>
    <row r="1445" spans="1:28">
      <c r="A1445" s="16" t="s">
        <v>8105</v>
      </c>
      <c r="B1445" s="16" t="s">
        <v>8105</v>
      </c>
      <c r="C1445" s="16" t="s">
        <v>8276</v>
      </c>
      <c r="D1445" s="16" t="s">
        <v>21</v>
      </c>
      <c r="E1445" s="36" t="s">
        <v>8444</v>
      </c>
      <c r="F1445" s="16" t="s">
        <v>1042</v>
      </c>
      <c r="G1445" s="17" t="str">
        <f>Config!$B$3</f>
        <v>SCH/R_IEC.SchLib</v>
      </c>
      <c r="H1445" s="16" t="s">
        <v>419</v>
      </c>
      <c r="I1445" s="18" t="s">
        <v>7493</v>
      </c>
      <c r="J1445" s="16" t="s">
        <v>8273</v>
      </c>
      <c r="K1445" s="16"/>
      <c r="L1445" s="16"/>
      <c r="M1445" s="19">
        <v>1.1000000000000001</v>
      </c>
      <c r="N1445" s="19" t="s">
        <v>8460</v>
      </c>
      <c r="O1445" s="16" t="s">
        <v>4414</v>
      </c>
      <c r="P1445" s="16"/>
      <c r="Q1445" s="16"/>
      <c r="R1445" s="16"/>
      <c r="S1445" s="16"/>
      <c r="T1445" s="16"/>
      <c r="U1445" s="16"/>
      <c r="V1445" s="16"/>
      <c r="W1445" s="17"/>
      <c r="X1445" s="17"/>
      <c r="Y1445" s="17"/>
      <c r="Z1445" s="17"/>
      <c r="AA1445" s="17"/>
      <c r="AB1445" s="17"/>
    </row>
    <row r="1446" spans="1:28">
      <c r="A1446" s="16" t="s">
        <v>8106</v>
      </c>
      <c r="B1446" s="16" t="s">
        <v>8106</v>
      </c>
      <c r="C1446" s="16" t="s">
        <v>8277</v>
      </c>
      <c r="D1446" s="16" t="s">
        <v>21</v>
      </c>
      <c r="E1446" s="36" t="s">
        <v>8444</v>
      </c>
      <c r="F1446" s="16" t="s">
        <v>31</v>
      </c>
      <c r="G1446" s="17" t="str">
        <f>Config!$B$3</f>
        <v>SCH/R_IEC.SchLib</v>
      </c>
      <c r="H1446" s="16" t="s">
        <v>419</v>
      </c>
      <c r="I1446" s="18" t="s">
        <v>7493</v>
      </c>
      <c r="J1446" s="16" t="s">
        <v>8273</v>
      </c>
      <c r="K1446" s="16"/>
      <c r="L1446" s="16"/>
      <c r="M1446" s="19">
        <v>1.2</v>
      </c>
      <c r="N1446" s="19" t="s">
        <v>8460</v>
      </c>
      <c r="O1446" s="16" t="s">
        <v>4414</v>
      </c>
      <c r="P1446" s="16"/>
      <c r="Q1446" s="16"/>
      <c r="R1446" s="16"/>
      <c r="S1446" s="16"/>
      <c r="T1446" s="16"/>
      <c r="U1446" s="16"/>
      <c r="V1446" s="16"/>
      <c r="W1446" s="17"/>
      <c r="X1446" s="17"/>
      <c r="Y1446" s="17"/>
      <c r="Z1446" s="17"/>
      <c r="AA1446" s="17"/>
      <c r="AB1446" s="17"/>
    </row>
    <row r="1447" spans="1:28">
      <c r="A1447" s="16" t="s">
        <v>8107</v>
      </c>
      <c r="B1447" s="16" t="s">
        <v>8107</v>
      </c>
      <c r="C1447" s="16" t="s">
        <v>8278</v>
      </c>
      <c r="D1447" s="16" t="s">
        <v>21</v>
      </c>
      <c r="E1447" s="36" t="s">
        <v>8444</v>
      </c>
      <c r="F1447" s="16" t="s">
        <v>1052</v>
      </c>
      <c r="G1447" s="17" t="str">
        <f>Config!$B$3</f>
        <v>SCH/R_IEC.SchLib</v>
      </c>
      <c r="H1447" s="16" t="s">
        <v>419</v>
      </c>
      <c r="I1447" s="18" t="s">
        <v>7493</v>
      </c>
      <c r="J1447" s="16" t="s">
        <v>8273</v>
      </c>
      <c r="K1447" s="16"/>
      <c r="L1447" s="16"/>
      <c r="M1447" s="19">
        <v>1.3</v>
      </c>
      <c r="N1447" s="19" t="s">
        <v>8460</v>
      </c>
      <c r="O1447" s="16" t="s">
        <v>4414</v>
      </c>
      <c r="P1447" s="16"/>
      <c r="Q1447" s="16"/>
      <c r="R1447" s="16"/>
      <c r="S1447" s="16"/>
      <c r="T1447" s="16"/>
      <c r="U1447" s="16"/>
      <c r="V1447" s="16"/>
      <c r="W1447" s="17"/>
      <c r="X1447" s="17"/>
      <c r="Y1447" s="17"/>
      <c r="Z1447" s="17"/>
      <c r="AA1447" s="17"/>
      <c r="AB1447" s="17"/>
    </row>
    <row r="1448" spans="1:28">
      <c r="A1448" s="16" t="s">
        <v>8108</v>
      </c>
      <c r="B1448" s="16" t="s">
        <v>8108</v>
      </c>
      <c r="C1448" s="16" t="s">
        <v>8279</v>
      </c>
      <c r="D1448" s="16" t="s">
        <v>21</v>
      </c>
      <c r="E1448" s="36" t="s">
        <v>8444</v>
      </c>
      <c r="F1448" s="16" t="s">
        <v>33</v>
      </c>
      <c r="G1448" s="17" t="str">
        <f>Config!$B$3</f>
        <v>SCH/R_IEC.SchLib</v>
      </c>
      <c r="H1448" s="16" t="s">
        <v>419</v>
      </c>
      <c r="I1448" s="18" t="s">
        <v>7493</v>
      </c>
      <c r="J1448" s="16" t="s">
        <v>8273</v>
      </c>
      <c r="K1448" s="16"/>
      <c r="L1448" s="16"/>
      <c r="M1448" s="19">
        <v>1.5</v>
      </c>
      <c r="N1448" s="19" t="s">
        <v>8460</v>
      </c>
      <c r="O1448" s="16" t="s">
        <v>4414</v>
      </c>
      <c r="P1448" s="16"/>
      <c r="Q1448" s="16"/>
      <c r="R1448" s="16"/>
      <c r="S1448" s="16"/>
      <c r="T1448" s="16"/>
      <c r="U1448" s="16"/>
      <c r="V1448" s="16"/>
      <c r="W1448" s="17"/>
      <c r="X1448" s="17"/>
      <c r="Y1448" s="17"/>
      <c r="Z1448" s="17"/>
      <c r="AA1448" s="17"/>
      <c r="AB1448" s="17"/>
    </row>
    <row r="1449" spans="1:28">
      <c r="A1449" s="16" t="s">
        <v>8109</v>
      </c>
      <c r="B1449" s="16" t="s">
        <v>8109</v>
      </c>
      <c r="C1449" s="16" t="s">
        <v>8280</v>
      </c>
      <c r="D1449" s="16" t="s">
        <v>21</v>
      </c>
      <c r="E1449" s="36" t="s">
        <v>8444</v>
      </c>
      <c r="F1449" s="16" t="s">
        <v>1062</v>
      </c>
      <c r="G1449" s="17" t="str">
        <f>Config!$B$3</f>
        <v>SCH/R_IEC.SchLib</v>
      </c>
      <c r="H1449" s="16" t="s">
        <v>419</v>
      </c>
      <c r="I1449" s="18" t="s">
        <v>7493</v>
      </c>
      <c r="J1449" s="16" t="s">
        <v>8273</v>
      </c>
      <c r="K1449" s="16"/>
      <c r="L1449" s="16"/>
      <c r="M1449" s="19">
        <v>1.6</v>
      </c>
      <c r="N1449" s="19" t="s">
        <v>8460</v>
      </c>
      <c r="O1449" s="16" t="s">
        <v>4414</v>
      </c>
      <c r="P1449" s="16"/>
      <c r="Q1449" s="16"/>
      <c r="R1449" s="16"/>
      <c r="S1449" s="16"/>
      <c r="T1449" s="16"/>
      <c r="U1449" s="16"/>
      <c r="V1449" s="16"/>
      <c r="W1449" s="17"/>
      <c r="X1449" s="17"/>
      <c r="Y1449" s="17"/>
      <c r="Z1449" s="17"/>
      <c r="AA1449" s="17"/>
      <c r="AB1449" s="17"/>
    </row>
    <row r="1450" spans="1:28">
      <c r="A1450" s="16" t="s">
        <v>8110</v>
      </c>
      <c r="B1450" s="16" t="s">
        <v>8110</v>
      </c>
      <c r="C1450" s="16" t="s">
        <v>8281</v>
      </c>
      <c r="D1450" s="16" t="s">
        <v>21</v>
      </c>
      <c r="E1450" s="36" t="s">
        <v>8444</v>
      </c>
      <c r="F1450" s="16" t="s">
        <v>35</v>
      </c>
      <c r="G1450" s="17" t="str">
        <f>Config!$B$3</f>
        <v>SCH/R_IEC.SchLib</v>
      </c>
      <c r="H1450" s="16" t="s">
        <v>419</v>
      </c>
      <c r="I1450" s="18" t="s">
        <v>7493</v>
      </c>
      <c r="J1450" s="16" t="s">
        <v>8273</v>
      </c>
      <c r="K1450" s="16"/>
      <c r="L1450" s="16"/>
      <c r="M1450" s="19">
        <v>1.8</v>
      </c>
      <c r="N1450" s="19" t="s">
        <v>8460</v>
      </c>
      <c r="O1450" s="16" t="s">
        <v>4414</v>
      </c>
      <c r="P1450" s="16"/>
      <c r="Q1450" s="16"/>
      <c r="R1450" s="16"/>
      <c r="S1450" s="16"/>
      <c r="T1450" s="16"/>
      <c r="U1450" s="16"/>
      <c r="V1450" s="16"/>
      <c r="W1450" s="17"/>
      <c r="X1450" s="17"/>
      <c r="Y1450" s="17"/>
      <c r="Z1450" s="17"/>
      <c r="AA1450" s="17"/>
      <c r="AB1450" s="17"/>
    </row>
    <row r="1451" spans="1:28">
      <c r="A1451" s="16" t="s">
        <v>8111</v>
      </c>
      <c r="B1451" s="16" t="s">
        <v>8111</v>
      </c>
      <c r="C1451" s="16" t="s">
        <v>8282</v>
      </c>
      <c r="D1451" s="16" t="s">
        <v>21</v>
      </c>
      <c r="E1451" s="36" t="s">
        <v>8444</v>
      </c>
      <c r="F1451" s="16" t="s">
        <v>1070</v>
      </c>
      <c r="G1451" s="17" t="str">
        <f>Config!$B$3</f>
        <v>SCH/R_IEC.SchLib</v>
      </c>
      <c r="H1451" s="16" t="s">
        <v>419</v>
      </c>
      <c r="I1451" s="18" t="s">
        <v>7493</v>
      </c>
      <c r="J1451" s="16" t="s">
        <v>8273</v>
      </c>
      <c r="K1451" s="16"/>
      <c r="L1451" s="16"/>
      <c r="M1451" s="19">
        <v>2</v>
      </c>
      <c r="N1451" s="19" t="s">
        <v>8460</v>
      </c>
      <c r="O1451" s="16" t="s">
        <v>4414</v>
      </c>
      <c r="P1451" s="16"/>
      <c r="Q1451" s="16"/>
      <c r="R1451" s="16"/>
      <c r="S1451" s="16"/>
      <c r="T1451" s="16"/>
      <c r="U1451" s="16"/>
      <c r="V1451" s="16"/>
      <c r="W1451" s="17"/>
      <c r="X1451" s="17"/>
      <c r="Y1451" s="17"/>
      <c r="Z1451" s="17"/>
      <c r="AA1451" s="17"/>
      <c r="AB1451" s="17"/>
    </row>
    <row r="1452" spans="1:28">
      <c r="A1452" s="16" t="s">
        <v>8112</v>
      </c>
      <c r="B1452" s="16" t="s">
        <v>8112</v>
      </c>
      <c r="C1452" s="16" t="s">
        <v>8283</v>
      </c>
      <c r="D1452" s="16" t="s">
        <v>21</v>
      </c>
      <c r="E1452" s="36" t="s">
        <v>8444</v>
      </c>
      <c r="F1452" s="16" t="s">
        <v>37</v>
      </c>
      <c r="G1452" s="17" t="str">
        <f>Config!$B$3</f>
        <v>SCH/R_IEC.SchLib</v>
      </c>
      <c r="H1452" s="16" t="s">
        <v>419</v>
      </c>
      <c r="I1452" s="18" t="s">
        <v>7493</v>
      </c>
      <c r="J1452" s="16" t="s">
        <v>8273</v>
      </c>
      <c r="K1452" s="16"/>
      <c r="L1452" s="16"/>
      <c r="M1452" s="19">
        <v>2.2000000000000002</v>
      </c>
      <c r="N1452" s="19" t="s">
        <v>8460</v>
      </c>
      <c r="O1452" s="16" t="s">
        <v>4414</v>
      </c>
      <c r="P1452" s="16"/>
      <c r="Q1452" s="16"/>
      <c r="R1452" s="16"/>
      <c r="S1452" s="16"/>
      <c r="T1452" s="16"/>
      <c r="U1452" s="16"/>
      <c r="V1452" s="16"/>
      <c r="W1452" s="17"/>
      <c r="X1452" s="17"/>
      <c r="Y1452" s="17"/>
      <c r="Z1452" s="17"/>
      <c r="AA1452" s="17"/>
      <c r="AB1452" s="17"/>
    </row>
    <row r="1453" spans="1:28">
      <c r="A1453" s="16" t="s">
        <v>8113</v>
      </c>
      <c r="B1453" s="16" t="s">
        <v>8113</v>
      </c>
      <c r="C1453" s="16" t="s">
        <v>8284</v>
      </c>
      <c r="D1453" s="16" t="s">
        <v>21</v>
      </c>
      <c r="E1453" s="36" t="s">
        <v>8444</v>
      </c>
      <c r="F1453" s="16" t="s">
        <v>1080</v>
      </c>
      <c r="G1453" s="17" t="str">
        <f>Config!$B$3</f>
        <v>SCH/R_IEC.SchLib</v>
      </c>
      <c r="H1453" s="16" t="s">
        <v>419</v>
      </c>
      <c r="I1453" s="18" t="s">
        <v>7493</v>
      </c>
      <c r="J1453" s="16" t="s">
        <v>8273</v>
      </c>
      <c r="K1453" s="16"/>
      <c r="L1453" s="16"/>
      <c r="M1453" s="19">
        <v>2.4</v>
      </c>
      <c r="N1453" s="19" t="s">
        <v>8460</v>
      </c>
      <c r="O1453" s="16" t="s">
        <v>4414</v>
      </c>
      <c r="P1453" s="16"/>
      <c r="Q1453" s="16"/>
      <c r="R1453" s="16"/>
      <c r="S1453" s="16"/>
      <c r="T1453" s="16"/>
      <c r="U1453" s="16"/>
      <c r="V1453" s="16"/>
      <c r="W1453" s="17"/>
      <c r="X1453" s="17"/>
      <c r="Y1453" s="17"/>
      <c r="Z1453" s="17"/>
      <c r="AA1453" s="17"/>
      <c r="AB1453" s="17"/>
    </row>
    <row r="1454" spans="1:28">
      <c r="A1454" s="16" t="s">
        <v>8114</v>
      </c>
      <c r="B1454" s="16" t="s">
        <v>8114</v>
      </c>
      <c r="C1454" s="16" t="s">
        <v>8285</v>
      </c>
      <c r="D1454" s="16" t="s">
        <v>21</v>
      </c>
      <c r="E1454" s="36" t="s">
        <v>8444</v>
      </c>
      <c r="F1454" s="16" t="s">
        <v>39</v>
      </c>
      <c r="G1454" s="17" t="str">
        <f>Config!$B$3</f>
        <v>SCH/R_IEC.SchLib</v>
      </c>
      <c r="H1454" s="16" t="s">
        <v>419</v>
      </c>
      <c r="I1454" s="18" t="s">
        <v>7493</v>
      </c>
      <c r="J1454" s="16" t="s">
        <v>8273</v>
      </c>
      <c r="K1454" s="16"/>
      <c r="L1454" s="16"/>
      <c r="M1454" s="19">
        <v>2.7</v>
      </c>
      <c r="N1454" s="19" t="s">
        <v>8460</v>
      </c>
      <c r="O1454" s="16" t="s">
        <v>4414</v>
      </c>
      <c r="P1454" s="16"/>
      <c r="Q1454" s="16"/>
      <c r="R1454" s="16"/>
      <c r="S1454" s="16"/>
      <c r="T1454" s="16"/>
      <c r="U1454" s="16"/>
      <c r="V1454" s="16"/>
      <c r="W1454" s="17"/>
      <c r="X1454" s="17"/>
      <c r="Y1454" s="17"/>
      <c r="Z1454" s="17"/>
      <c r="AA1454" s="17"/>
      <c r="AB1454" s="17"/>
    </row>
    <row r="1455" spans="1:28">
      <c r="A1455" s="16" t="s">
        <v>8115</v>
      </c>
      <c r="B1455" s="16" t="s">
        <v>8115</v>
      </c>
      <c r="C1455" s="16" t="s">
        <v>8286</v>
      </c>
      <c r="D1455" s="16" t="s">
        <v>21</v>
      </c>
      <c r="E1455" s="36" t="s">
        <v>8444</v>
      </c>
      <c r="F1455" s="16" t="s">
        <v>1088</v>
      </c>
      <c r="G1455" s="17" t="str">
        <f>Config!$B$3</f>
        <v>SCH/R_IEC.SchLib</v>
      </c>
      <c r="H1455" s="16" t="s">
        <v>419</v>
      </c>
      <c r="I1455" s="18" t="s">
        <v>7493</v>
      </c>
      <c r="J1455" s="16" t="s">
        <v>8273</v>
      </c>
      <c r="K1455" s="16"/>
      <c r="L1455" s="16"/>
      <c r="M1455" s="19">
        <v>3</v>
      </c>
      <c r="N1455" s="19" t="s">
        <v>8460</v>
      </c>
      <c r="O1455" s="16" t="s">
        <v>4414</v>
      </c>
      <c r="P1455" s="16"/>
      <c r="Q1455" s="16"/>
      <c r="R1455" s="16"/>
      <c r="S1455" s="16"/>
      <c r="T1455" s="16"/>
      <c r="U1455" s="16"/>
      <c r="V1455" s="16"/>
      <c r="W1455" s="17"/>
      <c r="X1455" s="17"/>
      <c r="Y1455" s="17"/>
      <c r="Z1455" s="17"/>
      <c r="AA1455" s="17"/>
      <c r="AB1455" s="17"/>
    </row>
    <row r="1456" spans="1:28">
      <c r="A1456" s="16" t="s">
        <v>8116</v>
      </c>
      <c r="B1456" s="16" t="s">
        <v>8116</v>
      </c>
      <c r="C1456" s="16" t="s">
        <v>8287</v>
      </c>
      <c r="D1456" s="16" t="s">
        <v>21</v>
      </c>
      <c r="E1456" s="36" t="s">
        <v>8444</v>
      </c>
      <c r="F1456" s="16" t="s">
        <v>41</v>
      </c>
      <c r="G1456" s="17" t="str">
        <f>Config!$B$3</f>
        <v>SCH/R_IEC.SchLib</v>
      </c>
      <c r="H1456" s="16" t="s">
        <v>419</v>
      </c>
      <c r="I1456" s="18" t="s">
        <v>7493</v>
      </c>
      <c r="J1456" s="16" t="s">
        <v>8273</v>
      </c>
      <c r="K1456" s="16"/>
      <c r="L1456" s="16"/>
      <c r="M1456" s="19">
        <v>3.3</v>
      </c>
      <c r="N1456" s="19" t="s">
        <v>8460</v>
      </c>
      <c r="O1456" s="16" t="s">
        <v>4414</v>
      </c>
      <c r="P1456" s="16"/>
      <c r="Q1456" s="16"/>
      <c r="R1456" s="16"/>
      <c r="S1456" s="16"/>
      <c r="T1456" s="16"/>
      <c r="U1456" s="16"/>
      <c r="V1456" s="16"/>
      <c r="W1456" s="17"/>
      <c r="X1456" s="17"/>
      <c r="Y1456" s="17"/>
      <c r="Z1456" s="17"/>
      <c r="AA1456" s="17"/>
      <c r="AB1456" s="17"/>
    </row>
    <row r="1457" spans="1:28">
      <c r="A1457" s="16" t="s">
        <v>8117</v>
      </c>
      <c r="B1457" s="16" t="s">
        <v>8117</v>
      </c>
      <c r="C1457" s="16" t="s">
        <v>8288</v>
      </c>
      <c r="D1457" s="16" t="s">
        <v>21</v>
      </c>
      <c r="E1457" s="36" t="s">
        <v>8444</v>
      </c>
      <c r="F1457" s="16" t="s">
        <v>1098</v>
      </c>
      <c r="G1457" s="17" t="str">
        <f>Config!$B$3</f>
        <v>SCH/R_IEC.SchLib</v>
      </c>
      <c r="H1457" s="16" t="s">
        <v>419</v>
      </c>
      <c r="I1457" s="18" t="s">
        <v>7493</v>
      </c>
      <c r="J1457" s="16" t="s">
        <v>8273</v>
      </c>
      <c r="K1457" s="16"/>
      <c r="L1457" s="16"/>
      <c r="M1457" s="19">
        <v>3.6</v>
      </c>
      <c r="N1457" s="19" t="s">
        <v>8460</v>
      </c>
      <c r="O1457" s="16" t="s">
        <v>4414</v>
      </c>
      <c r="P1457" s="16"/>
      <c r="Q1457" s="16"/>
      <c r="R1457" s="16"/>
      <c r="S1457" s="16"/>
      <c r="T1457" s="16"/>
      <c r="U1457" s="16"/>
      <c r="V1457" s="16"/>
      <c r="W1457" s="17"/>
      <c r="X1457" s="17"/>
      <c r="Y1457" s="17"/>
      <c r="Z1457" s="17"/>
      <c r="AA1457" s="17"/>
      <c r="AB1457" s="17"/>
    </row>
    <row r="1458" spans="1:28">
      <c r="A1458" s="16" t="s">
        <v>8118</v>
      </c>
      <c r="B1458" s="16" t="s">
        <v>8118</v>
      </c>
      <c r="C1458" s="16" t="s">
        <v>8289</v>
      </c>
      <c r="D1458" s="16" t="s">
        <v>21</v>
      </c>
      <c r="E1458" s="36" t="s">
        <v>8444</v>
      </c>
      <c r="F1458" s="16" t="s">
        <v>43</v>
      </c>
      <c r="G1458" s="17" t="str">
        <f>Config!$B$3</f>
        <v>SCH/R_IEC.SchLib</v>
      </c>
      <c r="H1458" s="16" t="s">
        <v>419</v>
      </c>
      <c r="I1458" s="18" t="s">
        <v>7493</v>
      </c>
      <c r="J1458" s="16" t="s">
        <v>8273</v>
      </c>
      <c r="K1458" s="16"/>
      <c r="L1458" s="16"/>
      <c r="M1458" s="19">
        <v>3.9</v>
      </c>
      <c r="N1458" s="19" t="s">
        <v>8460</v>
      </c>
      <c r="O1458" s="16" t="s">
        <v>4414</v>
      </c>
      <c r="P1458" s="16"/>
      <c r="Q1458" s="16"/>
      <c r="R1458" s="16"/>
      <c r="S1458" s="16"/>
      <c r="T1458" s="16"/>
      <c r="U1458" s="16"/>
      <c r="V1458" s="16"/>
      <c r="W1458" s="17"/>
      <c r="X1458" s="17"/>
      <c r="Y1458" s="17"/>
      <c r="Z1458" s="17"/>
      <c r="AA1458" s="17"/>
      <c r="AB1458" s="17"/>
    </row>
    <row r="1459" spans="1:28">
      <c r="A1459" s="16" t="s">
        <v>8119</v>
      </c>
      <c r="B1459" s="16" t="s">
        <v>8119</v>
      </c>
      <c r="C1459" s="16" t="s">
        <v>8290</v>
      </c>
      <c r="D1459" s="16" t="s">
        <v>21</v>
      </c>
      <c r="E1459" s="36" t="s">
        <v>8444</v>
      </c>
      <c r="F1459" s="16" t="s">
        <v>1106</v>
      </c>
      <c r="G1459" s="17" t="str">
        <f>Config!$B$3</f>
        <v>SCH/R_IEC.SchLib</v>
      </c>
      <c r="H1459" s="16" t="s">
        <v>419</v>
      </c>
      <c r="I1459" s="18" t="s">
        <v>7493</v>
      </c>
      <c r="J1459" s="16" t="s">
        <v>8273</v>
      </c>
      <c r="K1459" s="16"/>
      <c r="L1459" s="16"/>
      <c r="M1459" s="19">
        <v>4.3</v>
      </c>
      <c r="N1459" s="19" t="s">
        <v>8460</v>
      </c>
      <c r="O1459" s="16" t="s">
        <v>4414</v>
      </c>
      <c r="P1459" s="16"/>
      <c r="Q1459" s="16"/>
      <c r="R1459" s="16"/>
      <c r="S1459" s="16"/>
      <c r="T1459" s="16"/>
      <c r="U1459" s="16"/>
      <c r="V1459" s="16"/>
      <c r="W1459" s="17"/>
      <c r="X1459" s="17"/>
      <c r="Y1459" s="17"/>
      <c r="Z1459" s="17"/>
      <c r="AA1459" s="17"/>
      <c r="AB1459" s="17"/>
    </row>
    <row r="1460" spans="1:28">
      <c r="A1460" s="16" t="s">
        <v>8120</v>
      </c>
      <c r="B1460" s="16" t="s">
        <v>8120</v>
      </c>
      <c r="C1460" s="16" t="s">
        <v>8291</v>
      </c>
      <c r="D1460" s="16" t="s">
        <v>21</v>
      </c>
      <c r="E1460" s="36" t="s">
        <v>8444</v>
      </c>
      <c r="F1460" s="16" t="s">
        <v>45</v>
      </c>
      <c r="G1460" s="17" t="str">
        <f>Config!$B$3</f>
        <v>SCH/R_IEC.SchLib</v>
      </c>
      <c r="H1460" s="16" t="s">
        <v>419</v>
      </c>
      <c r="I1460" s="18" t="s">
        <v>7493</v>
      </c>
      <c r="J1460" s="16" t="s">
        <v>8273</v>
      </c>
      <c r="K1460" s="16"/>
      <c r="L1460" s="16"/>
      <c r="M1460" s="19">
        <v>4.7</v>
      </c>
      <c r="N1460" s="19" t="s">
        <v>8460</v>
      </c>
      <c r="O1460" s="16" t="s">
        <v>4414</v>
      </c>
      <c r="P1460" s="16"/>
      <c r="Q1460" s="16"/>
      <c r="R1460" s="16"/>
      <c r="S1460" s="16"/>
      <c r="T1460" s="16"/>
      <c r="U1460" s="16"/>
      <c r="V1460" s="16"/>
      <c r="W1460" s="17"/>
      <c r="X1460" s="17"/>
      <c r="Y1460" s="17"/>
      <c r="Z1460" s="17"/>
      <c r="AA1460" s="17"/>
      <c r="AB1460" s="17"/>
    </row>
    <row r="1461" spans="1:28">
      <c r="A1461" s="16" t="s">
        <v>8121</v>
      </c>
      <c r="B1461" s="16" t="s">
        <v>8121</v>
      </c>
      <c r="C1461" s="16" t="s">
        <v>8292</v>
      </c>
      <c r="D1461" s="16" t="s">
        <v>21</v>
      </c>
      <c r="E1461" s="36" t="s">
        <v>8444</v>
      </c>
      <c r="F1461" s="16" t="s">
        <v>1116</v>
      </c>
      <c r="G1461" s="17" t="str">
        <f>Config!$B$3</f>
        <v>SCH/R_IEC.SchLib</v>
      </c>
      <c r="H1461" s="16" t="s">
        <v>419</v>
      </c>
      <c r="I1461" s="18" t="s">
        <v>7493</v>
      </c>
      <c r="J1461" s="16" t="s">
        <v>8273</v>
      </c>
      <c r="K1461" s="16"/>
      <c r="L1461" s="16"/>
      <c r="M1461" s="19">
        <v>5.0999999999999996</v>
      </c>
      <c r="N1461" s="19" t="s">
        <v>8460</v>
      </c>
      <c r="O1461" s="16" t="s">
        <v>4414</v>
      </c>
      <c r="P1461" s="16"/>
      <c r="Q1461" s="16"/>
      <c r="R1461" s="16"/>
      <c r="S1461" s="16"/>
      <c r="T1461" s="16"/>
      <c r="U1461" s="16"/>
      <c r="V1461" s="16"/>
      <c r="W1461" s="17"/>
      <c r="X1461" s="17"/>
      <c r="Y1461" s="17"/>
      <c r="Z1461" s="17"/>
      <c r="AA1461" s="17"/>
      <c r="AB1461" s="17"/>
    </row>
    <row r="1462" spans="1:28">
      <c r="A1462" s="16" t="s">
        <v>8122</v>
      </c>
      <c r="B1462" s="16" t="s">
        <v>8122</v>
      </c>
      <c r="C1462" s="16" t="s">
        <v>8293</v>
      </c>
      <c r="D1462" s="16" t="s">
        <v>21</v>
      </c>
      <c r="E1462" s="36" t="s">
        <v>8444</v>
      </c>
      <c r="F1462" s="16" t="s">
        <v>47</v>
      </c>
      <c r="G1462" s="17" t="str">
        <f>Config!$B$3</f>
        <v>SCH/R_IEC.SchLib</v>
      </c>
      <c r="H1462" s="16" t="s">
        <v>419</v>
      </c>
      <c r="I1462" s="18" t="s">
        <v>7493</v>
      </c>
      <c r="J1462" s="16" t="s">
        <v>8273</v>
      </c>
      <c r="K1462" s="16"/>
      <c r="L1462" s="16"/>
      <c r="M1462" s="19">
        <v>5.6</v>
      </c>
      <c r="N1462" s="19" t="s">
        <v>8460</v>
      </c>
      <c r="O1462" s="16" t="s">
        <v>4414</v>
      </c>
      <c r="P1462" s="16"/>
      <c r="Q1462" s="16"/>
      <c r="R1462" s="16"/>
      <c r="S1462" s="16"/>
      <c r="T1462" s="16"/>
      <c r="U1462" s="16"/>
      <c r="V1462" s="16"/>
      <c r="W1462" s="17"/>
      <c r="X1462" s="17"/>
      <c r="Y1462" s="17"/>
      <c r="Z1462" s="17"/>
      <c r="AA1462" s="17"/>
      <c r="AB1462" s="17"/>
    </row>
    <row r="1463" spans="1:28">
      <c r="A1463" s="16" t="s">
        <v>8123</v>
      </c>
      <c r="B1463" s="16" t="s">
        <v>8123</v>
      </c>
      <c r="C1463" s="16" t="s">
        <v>8294</v>
      </c>
      <c r="D1463" s="16" t="s">
        <v>21</v>
      </c>
      <c r="E1463" s="36" t="s">
        <v>8444</v>
      </c>
      <c r="F1463" s="16" t="s">
        <v>1128</v>
      </c>
      <c r="G1463" s="17" t="str">
        <f>Config!$B$3</f>
        <v>SCH/R_IEC.SchLib</v>
      </c>
      <c r="H1463" s="16" t="s">
        <v>419</v>
      </c>
      <c r="I1463" s="18" t="s">
        <v>7493</v>
      </c>
      <c r="J1463" s="16" t="s">
        <v>8273</v>
      </c>
      <c r="K1463" s="16"/>
      <c r="L1463" s="16"/>
      <c r="M1463" s="19">
        <v>6.2</v>
      </c>
      <c r="N1463" s="19" t="s">
        <v>8460</v>
      </c>
      <c r="O1463" s="16" t="s">
        <v>4414</v>
      </c>
      <c r="P1463" s="16"/>
      <c r="Q1463" s="16"/>
      <c r="R1463" s="16"/>
      <c r="S1463" s="16"/>
      <c r="T1463" s="16"/>
      <c r="U1463" s="16"/>
      <c r="V1463" s="16"/>
      <c r="W1463" s="17"/>
      <c r="X1463" s="17"/>
      <c r="Y1463" s="17"/>
      <c r="Z1463" s="17"/>
      <c r="AA1463" s="17"/>
      <c r="AB1463" s="17"/>
    </row>
    <row r="1464" spans="1:28">
      <c r="A1464" s="16" t="s">
        <v>8124</v>
      </c>
      <c r="B1464" s="16" t="s">
        <v>8124</v>
      </c>
      <c r="C1464" s="16" t="s">
        <v>8295</v>
      </c>
      <c r="D1464" s="16" t="s">
        <v>21</v>
      </c>
      <c r="E1464" s="36" t="s">
        <v>8444</v>
      </c>
      <c r="F1464" s="16" t="s">
        <v>49</v>
      </c>
      <c r="G1464" s="17" t="str">
        <f>Config!$B$3</f>
        <v>SCH/R_IEC.SchLib</v>
      </c>
      <c r="H1464" s="16" t="s">
        <v>419</v>
      </c>
      <c r="I1464" s="18" t="s">
        <v>7493</v>
      </c>
      <c r="J1464" s="16" t="s">
        <v>8273</v>
      </c>
      <c r="K1464" s="16"/>
      <c r="L1464" s="16"/>
      <c r="M1464" s="19">
        <v>6.8</v>
      </c>
      <c r="N1464" s="19" t="s">
        <v>8460</v>
      </c>
      <c r="O1464" s="16" t="s">
        <v>4414</v>
      </c>
      <c r="P1464" s="16"/>
      <c r="Q1464" s="16"/>
      <c r="R1464" s="16"/>
      <c r="S1464" s="16"/>
      <c r="T1464" s="16"/>
      <c r="U1464" s="16"/>
      <c r="V1464" s="16"/>
      <c r="W1464" s="17"/>
      <c r="X1464" s="17"/>
      <c r="Y1464" s="17"/>
      <c r="Z1464" s="17"/>
      <c r="AA1464" s="17"/>
      <c r="AB1464" s="17"/>
    </row>
    <row r="1465" spans="1:28">
      <c r="A1465" s="16" t="s">
        <v>8125</v>
      </c>
      <c r="B1465" s="16" t="s">
        <v>8125</v>
      </c>
      <c r="C1465" s="16" t="s">
        <v>8296</v>
      </c>
      <c r="D1465" s="16" t="s">
        <v>21</v>
      </c>
      <c r="E1465" s="36" t="s">
        <v>8444</v>
      </c>
      <c r="F1465" s="16" t="s">
        <v>1138</v>
      </c>
      <c r="G1465" s="17" t="str">
        <f>Config!$B$3</f>
        <v>SCH/R_IEC.SchLib</v>
      </c>
      <c r="H1465" s="16" t="s">
        <v>419</v>
      </c>
      <c r="I1465" s="18" t="s">
        <v>7493</v>
      </c>
      <c r="J1465" s="16" t="s">
        <v>8273</v>
      </c>
      <c r="K1465" s="16"/>
      <c r="L1465" s="16"/>
      <c r="M1465" s="19">
        <v>7.5</v>
      </c>
      <c r="N1465" s="19" t="s">
        <v>8460</v>
      </c>
      <c r="O1465" s="16" t="s">
        <v>4414</v>
      </c>
      <c r="P1465" s="16"/>
      <c r="Q1465" s="16"/>
      <c r="R1465" s="16"/>
      <c r="S1465" s="16"/>
      <c r="T1465" s="16"/>
      <c r="U1465" s="16"/>
      <c r="V1465" s="16"/>
      <c r="W1465" s="17"/>
      <c r="X1465" s="17"/>
      <c r="Y1465" s="17"/>
      <c r="Z1465" s="17"/>
      <c r="AA1465" s="17"/>
      <c r="AB1465" s="17"/>
    </row>
    <row r="1466" spans="1:28">
      <c r="A1466" s="16" t="s">
        <v>8126</v>
      </c>
      <c r="B1466" s="16" t="s">
        <v>8126</v>
      </c>
      <c r="C1466" s="16" t="s">
        <v>8297</v>
      </c>
      <c r="D1466" s="16" t="s">
        <v>21</v>
      </c>
      <c r="E1466" s="36" t="s">
        <v>8444</v>
      </c>
      <c r="F1466" s="16" t="s">
        <v>51</v>
      </c>
      <c r="G1466" s="17" t="str">
        <f>Config!$B$3</f>
        <v>SCH/R_IEC.SchLib</v>
      </c>
      <c r="H1466" s="16" t="s">
        <v>419</v>
      </c>
      <c r="I1466" s="18" t="s">
        <v>7493</v>
      </c>
      <c r="J1466" s="16" t="s">
        <v>8273</v>
      </c>
      <c r="K1466" s="16"/>
      <c r="L1466" s="16"/>
      <c r="M1466" s="19">
        <v>8.1999999999999993</v>
      </c>
      <c r="N1466" s="19" t="s">
        <v>8460</v>
      </c>
      <c r="O1466" s="16" t="s">
        <v>4414</v>
      </c>
      <c r="P1466" s="16"/>
      <c r="Q1466" s="16"/>
      <c r="R1466" s="16"/>
      <c r="S1466" s="16"/>
      <c r="T1466" s="16"/>
      <c r="U1466" s="16"/>
      <c r="V1466" s="16"/>
      <c r="W1466" s="17"/>
      <c r="X1466" s="17"/>
      <c r="Y1466" s="17"/>
      <c r="Z1466" s="17"/>
      <c r="AA1466" s="17"/>
      <c r="AB1466" s="17"/>
    </row>
    <row r="1467" spans="1:28">
      <c r="A1467" s="16" t="s">
        <v>8127</v>
      </c>
      <c r="B1467" s="16" t="s">
        <v>8127</v>
      </c>
      <c r="C1467" s="16" t="s">
        <v>8298</v>
      </c>
      <c r="D1467" s="16" t="s">
        <v>21</v>
      </c>
      <c r="E1467" s="36" t="s">
        <v>8444</v>
      </c>
      <c r="F1467" s="16" t="s">
        <v>1148</v>
      </c>
      <c r="G1467" s="17" t="str">
        <f>Config!$B$3</f>
        <v>SCH/R_IEC.SchLib</v>
      </c>
      <c r="H1467" s="16" t="s">
        <v>419</v>
      </c>
      <c r="I1467" s="18" t="s">
        <v>7493</v>
      </c>
      <c r="J1467" s="16" t="s">
        <v>8273</v>
      </c>
      <c r="K1467" s="16"/>
      <c r="L1467" s="16"/>
      <c r="M1467" s="19">
        <v>9.1</v>
      </c>
      <c r="N1467" s="19" t="s">
        <v>8460</v>
      </c>
      <c r="O1467" s="16" t="s">
        <v>4414</v>
      </c>
      <c r="P1467" s="16"/>
      <c r="Q1467" s="16"/>
      <c r="R1467" s="16"/>
      <c r="S1467" s="16"/>
      <c r="T1467" s="16"/>
      <c r="U1467" s="16"/>
      <c r="V1467" s="16"/>
      <c r="W1467" s="17"/>
      <c r="X1467" s="17"/>
      <c r="Y1467" s="17"/>
      <c r="Z1467" s="17"/>
      <c r="AA1467" s="17"/>
      <c r="AB1467" s="17"/>
    </row>
    <row r="1468" spans="1:28">
      <c r="A1468" s="16" t="s">
        <v>8128</v>
      </c>
      <c r="B1468" s="16" t="s">
        <v>8128</v>
      </c>
      <c r="C1468" s="16" t="s">
        <v>8299</v>
      </c>
      <c r="D1468" s="16" t="s">
        <v>21</v>
      </c>
      <c r="E1468" s="36" t="s">
        <v>8444</v>
      </c>
      <c r="F1468" s="16" t="s">
        <v>53</v>
      </c>
      <c r="G1468" s="17" t="str">
        <f>Config!$B$3</f>
        <v>SCH/R_IEC.SchLib</v>
      </c>
      <c r="H1468" s="16" t="s">
        <v>419</v>
      </c>
      <c r="I1468" s="18" t="s">
        <v>7493</v>
      </c>
      <c r="J1468" s="16" t="s">
        <v>8273</v>
      </c>
      <c r="K1468" s="16"/>
      <c r="L1468" s="16"/>
      <c r="M1468" s="20">
        <v>10</v>
      </c>
      <c r="N1468" s="19" t="s">
        <v>8460</v>
      </c>
      <c r="O1468" s="16" t="s">
        <v>4414</v>
      </c>
      <c r="P1468" s="16"/>
      <c r="Q1468" s="16"/>
      <c r="R1468" s="16"/>
      <c r="S1468" s="16"/>
      <c r="T1468" s="16"/>
      <c r="U1468" s="16"/>
      <c r="V1468" s="16"/>
      <c r="W1468" s="17"/>
      <c r="X1468" s="17"/>
      <c r="Y1468" s="17"/>
      <c r="Z1468" s="17"/>
      <c r="AA1468" s="17"/>
      <c r="AB1468" s="17"/>
    </row>
    <row r="1469" spans="1:28">
      <c r="A1469" s="16" t="s">
        <v>8129</v>
      </c>
      <c r="B1469" s="16" t="s">
        <v>8129</v>
      </c>
      <c r="C1469" s="16" t="s">
        <v>8300</v>
      </c>
      <c r="D1469" s="16" t="s">
        <v>21</v>
      </c>
      <c r="E1469" s="36" t="s">
        <v>8444</v>
      </c>
      <c r="F1469" s="16" t="s">
        <v>57</v>
      </c>
      <c r="G1469" s="17" t="str">
        <f>Config!$B$3</f>
        <v>SCH/R_IEC.SchLib</v>
      </c>
      <c r="H1469" s="16" t="s">
        <v>419</v>
      </c>
      <c r="I1469" s="18" t="s">
        <v>7493</v>
      </c>
      <c r="J1469" s="16" t="s">
        <v>8273</v>
      </c>
      <c r="K1469" s="16"/>
      <c r="L1469" s="16"/>
      <c r="M1469" s="20">
        <v>11</v>
      </c>
      <c r="N1469" s="19" t="s">
        <v>8460</v>
      </c>
      <c r="O1469" s="16" t="s">
        <v>4414</v>
      </c>
      <c r="P1469" s="16"/>
      <c r="Q1469" s="16"/>
      <c r="R1469" s="16"/>
      <c r="S1469" s="16"/>
      <c r="T1469" s="16"/>
      <c r="U1469" s="16"/>
      <c r="V1469" s="16"/>
      <c r="W1469" s="17"/>
      <c r="X1469" s="17"/>
      <c r="Y1469" s="17"/>
      <c r="Z1469" s="17"/>
      <c r="AA1469" s="17"/>
      <c r="AB1469" s="17"/>
    </row>
    <row r="1470" spans="1:28">
      <c r="A1470" s="16" t="s">
        <v>8130</v>
      </c>
      <c r="B1470" s="16" t="s">
        <v>8130</v>
      </c>
      <c r="C1470" s="16" t="s">
        <v>8301</v>
      </c>
      <c r="D1470" s="16" t="s">
        <v>21</v>
      </c>
      <c r="E1470" s="36" t="s">
        <v>8444</v>
      </c>
      <c r="F1470" s="16" t="s">
        <v>59</v>
      </c>
      <c r="G1470" s="17" t="str">
        <f>Config!$B$3</f>
        <v>SCH/R_IEC.SchLib</v>
      </c>
      <c r="H1470" s="16" t="s">
        <v>419</v>
      </c>
      <c r="I1470" s="18" t="s">
        <v>7493</v>
      </c>
      <c r="J1470" s="16" t="s">
        <v>8273</v>
      </c>
      <c r="K1470" s="16"/>
      <c r="L1470" s="16"/>
      <c r="M1470" s="20">
        <v>12</v>
      </c>
      <c r="N1470" s="19" t="s">
        <v>8460</v>
      </c>
      <c r="O1470" s="16" t="s">
        <v>4414</v>
      </c>
      <c r="P1470" s="16"/>
      <c r="Q1470" s="16"/>
      <c r="R1470" s="16"/>
      <c r="S1470" s="16"/>
      <c r="T1470" s="16"/>
      <c r="U1470" s="16"/>
      <c r="V1470" s="16"/>
      <c r="W1470" s="17"/>
      <c r="X1470" s="17"/>
      <c r="Y1470" s="17"/>
      <c r="Z1470" s="17"/>
      <c r="AA1470" s="17"/>
      <c r="AB1470" s="17"/>
    </row>
    <row r="1471" spans="1:28">
      <c r="A1471" s="16" t="s">
        <v>8131</v>
      </c>
      <c r="B1471" s="16" t="s">
        <v>8131</v>
      </c>
      <c r="C1471" s="16" t="s">
        <v>8302</v>
      </c>
      <c r="D1471" s="16" t="s">
        <v>21</v>
      </c>
      <c r="E1471" s="36" t="s">
        <v>8444</v>
      </c>
      <c r="F1471" s="16" t="s">
        <v>61</v>
      </c>
      <c r="G1471" s="17" t="str">
        <f>Config!$B$3</f>
        <v>SCH/R_IEC.SchLib</v>
      </c>
      <c r="H1471" s="16" t="s">
        <v>419</v>
      </c>
      <c r="I1471" s="18" t="s">
        <v>7493</v>
      </c>
      <c r="J1471" s="16" t="s">
        <v>8273</v>
      </c>
      <c r="K1471" s="16"/>
      <c r="L1471" s="16"/>
      <c r="M1471" s="20">
        <v>13</v>
      </c>
      <c r="N1471" s="19" t="s">
        <v>8460</v>
      </c>
      <c r="O1471" s="16" t="s">
        <v>4414</v>
      </c>
      <c r="P1471" s="16"/>
      <c r="Q1471" s="16"/>
      <c r="R1471" s="16"/>
      <c r="S1471" s="16"/>
      <c r="T1471" s="16"/>
      <c r="U1471" s="16"/>
      <c r="V1471" s="16"/>
      <c r="W1471" s="17"/>
      <c r="X1471" s="17"/>
      <c r="Y1471" s="17"/>
      <c r="Z1471" s="17"/>
      <c r="AA1471" s="17"/>
      <c r="AB1471" s="17"/>
    </row>
    <row r="1472" spans="1:28">
      <c r="A1472" s="16" t="s">
        <v>8132</v>
      </c>
      <c r="B1472" s="16" t="s">
        <v>8132</v>
      </c>
      <c r="C1472" s="16" t="s">
        <v>8303</v>
      </c>
      <c r="D1472" s="16" t="s">
        <v>21</v>
      </c>
      <c r="E1472" s="36" t="s">
        <v>8444</v>
      </c>
      <c r="F1472" s="16" t="s">
        <v>63</v>
      </c>
      <c r="G1472" s="17" t="str">
        <f>Config!$B$3</f>
        <v>SCH/R_IEC.SchLib</v>
      </c>
      <c r="H1472" s="16" t="s">
        <v>419</v>
      </c>
      <c r="I1472" s="18" t="s">
        <v>7493</v>
      </c>
      <c r="J1472" s="16" t="s">
        <v>8273</v>
      </c>
      <c r="K1472" s="16"/>
      <c r="L1472" s="16"/>
      <c r="M1472" s="20">
        <v>15</v>
      </c>
      <c r="N1472" s="19" t="s">
        <v>8460</v>
      </c>
      <c r="O1472" s="16" t="s">
        <v>4414</v>
      </c>
      <c r="P1472" s="16"/>
      <c r="Q1472" s="16"/>
      <c r="R1472" s="16"/>
      <c r="S1472" s="16"/>
      <c r="T1472" s="16"/>
      <c r="U1472" s="16"/>
      <c r="V1472" s="16"/>
      <c r="W1472" s="17"/>
      <c r="X1472" s="17"/>
      <c r="Y1472" s="17"/>
      <c r="Z1472" s="17"/>
      <c r="AA1472" s="17"/>
      <c r="AB1472" s="17"/>
    </row>
    <row r="1473" spans="1:28">
      <c r="A1473" s="16" t="s">
        <v>8133</v>
      </c>
      <c r="B1473" s="16" t="s">
        <v>8133</v>
      </c>
      <c r="C1473" s="16" t="s">
        <v>8304</v>
      </c>
      <c r="D1473" s="16" t="s">
        <v>21</v>
      </c>
      <c r="E1473" s="36" t="s">
        <v>8444</v>
      </c>
      <c r="F1473" s="16" t="s">
        <v>65</v>
      </c>
      <c r="G1473" s="17" t="str">
        <f>Config!$B$3</f>
        <v>SCH/R_IEC.SchLib</v>
      </c>
      <c r="H1473" s="16" t="s">
        <v>419</v>
      </c>
      <c r="I1473" s="18" t="s">
        <v>7493</v>
      </c>
      <c r="J1473" s="16" t="s">
        <v>8273</v>
      </c>
      <c r="K1473" s="16"/>
      <c r="L1473" s="16"/>
      <c r="M1473" s="20">
        <v>16</v>
      </c>
      <c r="N1473" s="19" t="s">
        <v>8460</v>
      </c>
      <c r="O1473" s="16" t="s">
        <v>4414</v>
      </c>
      <c r="P1473" s="16"/>
      <c r="Q1473" s="16"/>
      <c r="R1473" s="16"/>
      <c r="S1473" s="16"/>
      <c r="T1473" s="16"/>
      <c r="U1473" s="16"/>
      <c r="V1473" s="16"/>
      <c r="W1473" s="17"/>
      <c r="X1473" s="17"/>
      <c r="Y1473" s="17"/>
      <c r="Z1473" s="17"/>
      <c r="AA1473" s="17"/>
      <c r="AB1473" s="17"/>
    </row>
    <row r="1474" spans="1:28">
      <c r="A1474" s="16" t="s">
        <v>8134</v>
      </c>
      <c r="B1474" s="16" t="s">
        <v>8134</v>
      </c>
      <c r="C1474" s="16" t="s">
        <v>8305</v>
      </c>
      <c r="D1474" s="16" t="s">
        <v>21</v>
      </c>
      <c r="E1474" s="36" t="s">
        <v>8444</v>
      </c>
      <c r="F1474" s="16" t="s">
        <v>67</v>
      </c>
      <c r="G1474" s="17" t="str">
        <f>Config!$B$3</f>
        <v>SCH/R_IEC.SchLib</v>
      </c>
      <c r="H1474" s="16" t="s">
        <v>419</v>
      </c>
      <c r="I1474" s="18" t="s">
        <v>7493</v>
      </c>
      <c r="J1474" s="16" t="s">
        <v>8273</v>
      </c>
      <c r="K1474" s="16"/>
      <c r="L1474" s="16"/>
      <c r="M1474" s="20">
        <v>18</v>
      </c>
      <c r="N1474" s="19" t="s">
        <v>8460</v>
      </c>
      <c r="O1474" s="16" t="s">
        <v>4414</v>
      </c>
      <c r="P1474" s="16"/>
      <c r="Q1474" s="16"/>
      <c r="R1474" s="16"/>
      <c r="S1474" s="16"/>
      <c r="T1474" s="16"/>
      <c r="U1474" s="16"/>
      <c r="V1474" s="16"/>
      <c r="W1474" s="17"/>
      <c r="X1474" s="17"/>
      <c r="Y1474" s="17"/>
      <c r="Z1474" s="17"/>
      <c r="AA1474" s="17"/>
      <c r="AB1474" s="17"/>
    </row>
    <row r="1475" spans="1:28">
      <c r="A1475" s="16" t="s">
        <v>8135</v>
      </c>
      <c r="B1475" s="16" t="s">
        <v>8135</v>
      </c>
      <c r="C1475" s="16" t="s">
        <v>8306</v>
      </c>
      <c r="D1475" s="16" t="s">
        <v>21</v>
      </c>
      <c r="E1475" s="36" t="s">
        <v>8444</v>
      </c>
      <c r="F1475" s="16" t="s">
        <v>69</v>
      </c>
      <c r="G1475" s="17" t="str">
        <f>Config!$B$3</f>
        <v>SCH/R_IEC.SchLib</v>
      </c>
      <c r="H1475" s="16" t="s">
        <v>419</v>
      </c>
      <c r="I1475" s="18" t="s">
        <v>7493</v>
      </c>
      <c r="J1475" s="16" t="s">
        <v>8273</v>
      </c>
      <c r="K1475" s="16"/>
      <c r="L1475" s="16"/>
      <c r="M1475" s="20">
        <v>20</v>
      </c>
      <c r="N1475" s="19" t="s">
        <v>8460</v>
      </c>
      <c r="O1475" s="16" t="s">
        <v>4414</v>
      </c>
      <c r="P1475" s="16"/>
      <c r="Q1475" s="16"/>
      <c r="R1475" s="16"/>
      <c r="S1475" s="16"/>
      <c r="T1475" s="16"/>
      <c r="U1475" s="16"/>
      <c r="V1475" s="16"/>
      <c r="W1475" s="16"/>
      <c r="X1475" s="17"/>
      <c r="Y1475" s="16"/>
      <c r="Z1475" s="17"/>
      <c r="AA1475" s="16"/>
      <c r="AB1475" s="17"/>
    </row>
    <row r="1476" spans="1:28">
      <c r="A1476" s="16" t="s">
        <v>8136</v>
      </c>
      <c r="B1476" s="16" t="s">
        <v>8136</v>
      </c>
      <c r="C1476" s="16" t="s">
        <v>8307</v>
      </c>
      <c r="D1476" s="16" t="s">
        <v>21</v>
      </c>
      <c r="E1476" s="36" t="s">
        <v>8444</v>
      </c>
      <c r="F1476" s="16" t="s">
        <v>71</v>
      </c>
      <c r="G1476" s="17" t="str">
        <f>Config!$B$3</f>
        <v>SCH/R_IEC.SchLib</v>
      </c>
      <c r="H1476" s="16" t="s">
        <v>419</v>
      </c>
      <c r="I1476" s="18" t="s">
        <v>7493</v>
      </c>
      <c r="J1476" s="16" t="s">
        <v>8273</v>
      </c>
      <c r="K1476" s="16"/>
      <c r="L1476" s="16"/>
      <c r="M1476" s="20">
        <v>22</v>
      </c>
      <c r="N1476" s="19" t="s">
        <v>8460</v>
      </c>
      <c r="O1476" s="16" t="s">
        <v>4414</v>
      </c>
      <c r="P1476" s="16"/>
      <c r="Q1476" s="16"/>
      <c r="R1476" s="16"/>
      <c r="S1476" s="16"/>
      <c r="T1476" s="16"/>
      <c r="U1476" s="16"/>
      <c r="V1476" s="16"/>
      <c r="W1476" s="17"/>
      <c r="X1476" s="17"/>
      <c r="Y1476" s="16"/>
      <c r="Z1476" s="25"/>
      <c r="AA1476" s="17"/>
      <c r="AB1476" s="17"/>
    </row>
    <row r="1477" spans="1:28">
      <c r="A1477" s="16" t="s">
        <v>8137</v>
      </c>
      <c r="B1477" s="16" t="s">
        <v>8137</v>
      </c>
      <c r="C1477" s="16" t="s">
        <v>8308</v>
      </c>
      <c r="D1477" s="16" t="s">
        <v>21</v>
      </c>
      <c r="E1477" s="36" t="s">
        <v>8444</v>
      </c>
      <c r="F1477" s="16" t="s">
        <v>75</v>
      </c>
      <c r="G1477" s="17" t="str">
        <f>Config!$B$3</f>
        <v>SCH/R_IEC.SchLib</v>
      </c>
      <c r="H1477" s="16" t="s">
        <v>419</v>
      </c>
      <c r="I1477" s="18" t="s">
        <v>7493</v>
      </c>
      <c r="J1477" s="16" t="s">
        <v>8273</v>
      </c>
      <c r="K1477" s="16"/>
      <c r="L1477" s="16"/>
      <c r="M1477" s="20">
        <v>24</v>
      </c>
      <c r="N1477" s="19" t="s">
        <v>8460</v>
      </c>
      <c r="O1477" s="16" t="s">
        <v>4414</v>
      </c>
      <c r="P1477" s="16"/>
      <c r="Q1477" s="16"/>
      <c r="R1477" s="16"/>
      <c r="S1477" s="16"/>
      <c r="T1477" s="16"/>
      <c r="U1477" s="16"/>
      <c r="V1477" s="16"/>
      <c r="W1477" s="17"/>
      <c r="X1477" s="17"/>
      <c r="Y1477" s="17"/>
      <c r="Z1477" s="17"/>
      <c r="AA1477" s="17"/>
      <c r="AB1477" s="17"/>
    </row>
    <row r="1478" spans="1:28">
      <c r="A1478" s="16" t="s">
        <v>8138</v>
      </c>
      <c r="B1478" s="16" t="s">
        <v>8138</v>
      </c>
      <c r="C1478" s="16" t="s">
        <v>8309</v>
      </c>
      <c r="D1478" s="16" t="s">
        <v>21</v>
      </c>
      <c r="E1478" s="36" t="s">
        <v>8444</v>
      </c>
      <c r="F1478" s="16" t="s">
        <v>77</v>
      </c>
      <c r="G1478" s="17" t="str">
        <f>Config!$B$3</f>
        <v>SCH/R_IEC.SchLib</v>
      </c>
      <c r="H1478" s="16" t="s">
        <v>419</v>
      </c>
      <c r="I1478" s="18" t="s">
        <v>7493</v>
      </c>
      <c r="J1478" s="16" t="s">
        <v>8273</v>
      </c>
      <c r="K1478" s="16"/>
      <c r="L1478" s="16"/>
      <c r="M1478" s="20">
        <v>27</v>
      </c>
      <c r="N1478" s="19" t="s">
        <v>8460</v>
      </c>
      <c r="O1478" s="16" t="s">
        <v>4414</v>
      </c>
      <c r="P1478" s="16"/>
      <c r="Q1478" s="16"/>
      <c r="R1478" s="16"/>
      <c r="S1478" s="16"/>
      <c r="T1478" s="16"/>
      <c r="U1478" s="16"/>
      <c r="V1478" s="16"/>
      <c r="W1478" s="17"/>
      <c r="X1478" s="17"/>
      <c r="Y1478" s="17"/>
      <c r="Z1478" s="17"/>
      <c r="AA1478" s="17"/>
      <c r="AB1478" s="17"/>
    </row>
    <row r="1479" spans="1:28">
      <c r="A1479" s="16" t="s">
        <v>8139</v>
      </c>
      <c r="B1479" s="16" t="s">
        <v>8139</v>
      </c>
      <c r="C1479" s="16" t="s">
        <v>8310</v>
      </c>
      <c r="D1479" s="16" t="s">
        <v>21</v>
      </c>
      <c r="E1479" s="36" t="s">
        <v>8444</v>
      </c>
      <c r="F1479" s="16" t="s">
        <v>79</v>
      </c>
      <c r="G1479" s="17" t="str">
        <f>Config!$B$3</f>
        <v>SCH/R_IEC.SchLib</v>
      </c>
      <c r="H1479" s="16" t="s">
        <v>419</v>
      </c>
      <c r="I1479" s="18" t="s">
        <v>7493</v>
      </c>
      <c r="J1479" s="16" t="s">
        <v>8273</v>
      </c>
      <c r="K1479" s="16"/>
      <c r="L1479" s="16"/>
      <c r="M1479" s="20">
        <v>30</v>
      </c>
      <c r="N1479" s="19" t="s">
        <v>8460</v>
      </c>
      <c r="O1479" s="16" t="s">
        <v>4414</v>
      </c>
      <c r="P1479" s="16"/>
      <c r="Q1479" s="16"/>
      <c r="R1479" s="16"/>
      <c r="S1479" s="16"/>
      <c r="T1479" s="16"/>
      <c r="U1479" s="16"/>
      <c r="V1479" s="16"/>
      <c r="W1479" s="17"/>
      <c r="X1479" s="17"/>
      <c r="Y1479" s="17"/>
      <c r="Z1479" s="17"/>
      <c r="AA1479" s="17"/>
      <c r="AB1479" s="17"/>
    </row>
    <row r="1480" spans="1:28">
      <c r="A1480" s="16" t="s">
        <v>8140</v>
      </c>
      <c r="B1480" s="16" t="s">
        <v>8140</v>
      </c>
      <c r="C1480" s="16" t="s">
        <v>8311</v>
      </c>
      <c r="D1480" s="16" t="s">
        <v>21</v>
      </c>
      <c r="E1480" s="36" t="s">
        <v>8444</v>
      </c>
      <c r="F1480" s="16" t="s">
        <v>81</v>
      </c>
      <c r="G1480" s="17" t="str">
        <f>Config!$B$3</f>
        <v>SCH/R_IEC.SchLib</v>
      </c>
      <c r="H1480" s="16" t="s">
        <v>419</v>
      </c>
      <c r="I1480" s="18" t="s">
        <v>7493</v>
      </c>
      <c r="J1480" s="16" t="s">
        <v>8273</v>
      </c>
      <c r="K1480" s="16"/>
      <c r="L1480" s="16"/>
      <c r="M1480" s="20">
        <v>33</v>
      </c>
      <c r="N1480" s="19" t="s">
        <v>8460</v>
      </c>
      <c r="O1480" s="16" t="s">
        <v>4414</v>
      </c>
      <c r="P1480" s="16"/>
      <c r="Q1480" s="16"/>
      <c r="R1480" s="16"/>
      <c r="S1480" s="16"/>
      <c r="T1480" s="16"/>
      <c r="U1480" s="16"/>
      <c r="V1480" s="16"/>
      <c r="W1480" s="17"/>
      <c r="X1480" s="17"/>
      <c r="Y1480" s="17"/>
      <c r="Z1480" s="17"/>
      <c r="AA1480" s="17"/>
      <c r="AB1480" s="17"/>
    </row>
    <row r="1481" spans="1:28">
      <c r="A1481" s="16" t="s">
        <v>8141</v>
      </c>
      <c r="B1481" s="16" t="s">
        <v>8141</v>
      </c>
      <c r="C1481" s="16" t="s">
        <v>8312</v>
      </c>
      <c r="D1481" s="16" t="s">
        <v>21</v>
      </c>
      <c r="E1481" s="36" t="s">
        <v>8444</v>
      </c>
      <c r="F1481" s="16" t="s">
        <v>83</v>
      </c>
      <c r="G1481" s="17" t="str">
        <f>Config!$B$3</f>
        <v>SCH/R_IEC.SchLib</v>
      </c>
      <c r="H1481" s="16" t="s">
        <v>419</v>
      </c>
      <c r="I1481" s="18" t="s">
        <v>7493</v>
      </c>
      <c r="J1481" s="16" t="s">
        <v>8273</v>
      </c>
      <c r="K1481" s="16"/>
      <c r="L1481" s="16"/>
      <c r="M1481" s="20">
        <v>36</v>
      </c>
      <c r="N1481" s="19" t="s">
        <v>8460</v>
      </c>
      <c r="O1481" s="16" t="s">
        <v>4414</v>
      </c>
      <c r="P1481" s="16"/>
      <c r="Q1481" s="16"/>
      <c r="R1481" s="16"/>
      <c r="S1481" s="16"/>
      <c r="T1481" s="16"/>
      <c r="U1481" s="16"/>
      <c r="V1481" s="16"/>
      <c r="W1481" s="17"/>
      <c r="X1481" s="17"/>
      <c r="Y1481" s="17"/>
      <c r="Z1481" s="17"/>
      <c r="AA1481" s="17"/>
      <c r="AB1481" s="17"/>
    </row>
    <row r="1482" spans="1:28">
      <c r="A1482" s="16" t="s">
        <v>8142</v>
      </c>
      <c r="B1482" s="16" t="s">
        <v>8142</v>
      </c>
      <c r="C1482" s="16" t="s">
        <v>8313</v>
      </c>
      <c r="D1482" s="16" t="s">
        <v>21</v>
      </c>
      <c r="E1482" s="36" t="s">
        <v>8444</v>
      </c>
      <c r="F1482" s="16" t="s">
        <v>85</v>
      </c>
      <c r="G1482" s="17" t="str">
        <f>Config!$B$3</f>
        <v>SCH/R_IEC.SchLib</v>
      </c>
      <c r="H1482" s="16" t="s">
        <v>419</v>
      </c>
      <c r="I1482" s="18" t="s">
        <v>7493</v>
      </c>
      <c r="J1482" s="16" t="s">
        <v>8273</v>
      </c>
      <c r="K1482" s="16"/>
      <c r="L1482" s="16"/>
      <c r="M1482" s="20">
        <v>39</v>
      </c>
      <c r="N1482" s="19" t="s">
        <v>8460</v>
      </c>
      <c r="O1482" s="16" t="s">
        <v>4414</v>
      </c>
      <c r="P1482" s="16"/>
      <c r="Q1482" s="16"/>
      <c r="R1482" s="16"/>
      <c r="S1482" s="16"/>
      <c r="T1482" s="16"/>
      <c r="U1482" s="16"/>
      <c r="V1482" s="16"/>
      <c r="W1482" s="17"/>
      <c r="X1482" s="17"/>
      <c r="Y1482" s="17"/>
      <c r="Z1482" s="17"/>
      <c r="AA1482" s="17"/>
      <c r="AB1482" s="17"/>
    </row>
    <row r="1483" spans="1:28">
      <c r="A1483" s="16" t="s">
        <v>8143</v>
      </c>
      <c r="B1483" s="16" t="s">
        <v>8143</v>
      </c>
      <c r="C1483" s="16" t="s">
        <v>8314</v>
      </c>
      <c r="D1483" s="16" t="s">
        <v>21</v>
      </c>
      <c r="E1483" s="36" t="s">
        <v>8444</v>
      </c>
      <c r="F1483" s="16" t="s">
        <v>87</v>
      </c>
      <c r="G1483" s="17" t="str">
        <f>Config!$B$3</f>
        <v>SCH/R_IEC.SchLib</v>
      </c>
      <c r="H1483" s="16" t="s">
        <v>419</v>
      </c>
      <c r="I1483" s="18" t="s">
        <v>7493</v>
      </c>
      <c r="J1483" s="16" t="s">
        <v>8273</v>
      </c>
      <c r="K1483" s="16"/>
      <c r="L1483" s="16"/>
      <c r="M1483" s="20">
        <v>43</v>
      </c>
      <c r="N1483" s="19" t="s">
        <v>8460</v>
      </c>
      <c r="O1483" s="16" t="s">
        <v>4414</v>
      </c>
      <c r="P1483" s="16"/>
      <c r="Q1483" s="16"/>
      <c r="R1483" s="16"/>
      <c r="S1483" s="16"/>
      <c r="T1483" s="16"/>
      <c r="U1483" s="16"/>
      <c r="V1483" s="16"/>
      <c r="W1483" s="17"/>
      <c r="X1483" s="17"/>
      <c r="Y1483" s="17"/>
      <c r="Z1483" s="17"/>
      <c r="AA1483" s="17"/>
      <c r="AB1483" s="17"/>
    </row>
    <row r="1484" spans="1:28">
      <c r="A1484" s="16" t="s">
        <v>8144</v>
      </c>
      <c r="B1484" s="16" t="s">
        <v>8144</v>
      </c>
      <c r="C1484" s="16" t="s">
        <v>8315</v>
      </c>
      <c r="D1484" s="16" t="s">
        <v>21</v>
      </c>
      <c r="E1484" s="36" t="s">
        <v>8444</v>
      </c>
      <c r="F1484" s="16" t="s">
        <v>89</v>
      </c>
      <c r="G1484" s="17" t="str">
        <f>Config!$B$3</f>
        <v>SCH/R_IEC.SchLib</v>
      </c>
      <c r="H1484" s="16" t="s">
        <v>419</v>
      </c>
      <c r="I1484" s="18" t="s">
        <v>7493</v>
      </c>
      <c r="J1484" s="16" t="s">
        <v>8273</v>
      </c>
      <c r="K1484" s="16"/>
      <c r="L1484" s="16"/>
      <c r="M1484" s="20">
        <v>47</v>
      </c>
      <c r="N1484" s="19" t="s">
        <v>8460</v>
      </c>
      <c r="O1484" s="16" t="s">
        <v>4414</v>
      </c>
      <c r="P1484" s="16"/>
      <c r="Q1484" s="16"/>
      <c r="R1484" s="16"/>
      <c r="S1484" s="16"/>
      <c r="T1484" s="16"/>
      <c r="U1484" s="16"/>
      <c r="V1484" s="16"/>
      <c r="W1484" s="17"/>
      <c r="X1484" s="17"/>
      <c r="Y1484" s="17"/>
      <c r="Z1484" s="17"/>
      <c r="AA1484" s="17"/>
      <c r="AB1484" s="17"/>
    </row>
    <row r="1485" spans="1:28">
      <c r="A1485" s="16" t="s">
        <v>8145</v>
      </c>
      <c r="B1485" s="16" t="s">
        <v>8145</v>
      </c>
      <c r="C1485" s="16" t="s">
        <v>8316</v>
      </c>
      <c r="D1485" s="16" t="s">
        <v>21</v>
      </c>
      <c r="E1485" s="36" t="s">
        <v>8444</v>
      </c>
      <c r="F1485" s="16" t="s">
        <v>91</v>
      </c>
      <c r="G1485" s="17" t="str">
        <f>Config!$B$3</f>
        <v>SCH/R_IEC.SchLib</v>
      </c>
      <c r="H1485" s="16" t="s">
        <v>419</v>
      </c>
      <c r="I1485" s="18" t="s">
        <v>7493</v>
      </c>
      <c r="J1485" s="16" t="s">
        <v>8273</v>
      </c>
      <c r="K1485" s="16"/>
      <c r="L1485" s="16"/>
      <c r="M1485" s="20">
        <v>51</v>
      </c>
      <c r="N1485" s="19" t="s">
        <v>8460</v>
      </c>
      <c r="O1485" s="16" t="s">
        <v>4414</v>
      </c>
      <c r="P1485" s="16"/>
      <c r="Q1485" s="16"/>
      <c r="R1485" s="16"/>
      <c r="S1485" s="16"/>
      <c r="T1485" s="16"/>
      <c r="U1485" s="16"/>
      <c r="V1485" s="16"/>
      <c r="W1485" s="17"/>
      <c r="X1485" s="17"/>
      <c r="Y1485" s="17"/>
      <c r="Z1485" s="17"/>
      <c r="AA1485" s="17"/>
      <c r="AB1485" s="17"/>
    </row>
    <row r="1486" spans="1:28">
      <c r="A1486" s="16" t="s">
        <v>8146</v>
      </c>
      <c r="B1486" s="16" t="s">
        <v>8146</v>
      </c>
      <c r="C1486" s="16" t="s">
        <v>8317</v>
      </c>
      <c r="D1486" s="16" t="s">
        <v>21</v>
      </c>
      <c r="E1486" s="36" t="s">
        <v>8444</v>
      </c>
      <c r="F1486" s="16" t="s">
        <v>93</v>
      </c>
      <c r="G1486" s="17" t="str">
        <f>Config!$B$3</f>
        <v>SCH/R_IEC.SchLib</v>
      </c>
      <c r="H1486" s="16" t="s">
        <v>419</v>
      </c>
      <c r="I1486" s="18" t="s">
        <v>7493</v>
      </c>
      <c r="J1486" s="16" t="s">
        <v>8273</v>
      </c>
      <c r="K1486" s="16"/>
      <c r="L1486" s="16"/>
      <c r="M1486" s="20">
        <v>56</v>
      </c>
      <c r="N1486" s="19" t="s">
        <v>8460</v>
      </c>
      <c r="O1486" s="16" t="s">
        <v>4414</v>
      </c>
      <c r="P1486" s="16"/>
      <c r="Q1486" s="16"/>
      <c r="R1486" s="16"/>
      <c r="S1486" s="16"/>
      <c r="T1486" s="16"/>
      <c r="U1486" s="16"/>
      <c r="V1486" s="16"/>
      <c r="W1486" s="17"/>
      <c r="X1486" s="17"/>
      <c r="Y1486" s="17"/>
      <c r="Z1486" s="17"/>
      <c r="AA1486" s="17"/>
      <c r="AB1486" s="17"/>
    </row>
    <row r="1487" spans="1:28">
      <c r="A1487" s="16" t="s">
        <v>8147</v>
      </c>
      <c r="B1487" s="16" t="s">
        <v>8147</v>
      </c>
      <c r="C1487" s="16" t="s">
        <v>8318</v>
      </c>
      <c r="D1487" s="16" t="s">
        <v>21</v>
      </c>
      <c r="E1487" s="36" t="s">
        <v>8444</v>
      </c>
      <c r="F1487" s="16" t="s">
        <v>95</v>
      </c>
      <c r="G1487" s="17" t="str">
        <f>Config!$B$3</f>
        <v>SCH/R_IEC.SchLib</v>
      </c>
      <c r="H1487" s="16" t="s">
        <v>419</v>
      </c>
      <c r="I1487" s="18" t="s">
        <v>7493</v>
      </c>
      <c r="J1487" s="16" t="s">
        <v>8273</v>
      </c>
      <c r="K1487" s="16"/>
      <c r="L1487" s="16"/>
      <c r="M1487" s="20">
        <v>62</v>
      </c>
      <c r="N1487" s="19" t="s">
        <v>8460</v>
      </c>
      <c r="O1487" s="16" t="s">
        <v>4414</v>
      </c>
      <c r="P1487" s="16"/>
      <c r="Q1487" s="16"/>
      <c r="R1487" s="16"/>
      <c r="S1487" s="16"/>
      <c r="T1487" s="16"/>
      <c r="U1487" s="16"/>
      <c r="V1487" s="16"/>
      <c r="W1487" s="17"/>
      <c r="X1487" s="17"/>
      <c r="Y1487" s="17"/>
      <c r="Z1487" s="17"/>
      <c r="AA1487" s="17"/>
      <c r="AB1487" s="17"/>
    </row>
    <row r="1488" spans="1:28">
      <c r="A1488" s="16" t="s">
        <v>8148</v>
      </c>
      <c r="B1488" s="16" t="s">
        <v>8148</v>
      </c>
      <c r="C1488" s="16" t="s">
        <v>8319</v>
      </c>
      <c r="D1488" s="16" t="s">
        <v>21</v>
      </c>
      <c r="E1488" s="36" t="s">
        <v>8444</v>
      </c>
      <c r="F1488" s="16" t="s">
        <v>97</v>
      </c>
      <c r="G1488" s="17" t="str">
        <f>Config!$B$3</f>
        <v>SCH/R_IEC.SchLib</v>
      </c>
      <c r="H1488" s="16" t="s">
        <v>419</v>
      </c>
      <c r="I1488" s="18" t="s">
        <v>7493</v>
      </c>
      <c r="J1488" s="16" t="s">
        <v>8273</v>
      </c>
      <c r="K1488" s="16"/>
      <c r="L1488" s="16"/>
      <c r="M1488" s="20">
        <v>68</v>
      </c>
      <c r="N1488" s="19" t="s">
        <v>8460</v>
      </c>
      <c r="O1488" s="16" t="s">
        <v>4414</v>
      </c>
      <c r="P1488" s="16"/>
      <c r="Q1488" s="16"/>
      <c r="R1488" s="16"/>
      <c r="S1488" s="16"/>
      <c r="T1488" s="16"/>
      <c r="U1488" s="16"/>
      <c r="V1488" s="16"/>
      <c r="W1488" s="17"/>
      <c r="X1488" s="17"/>
      <c r="Y1488" s="17"/>
      <c r="Z1488" s="17"/>
      <c r="AA1488" s="17"/>
      <c r="AB1488" s="17"/>
    </row>
    <row r="1489" spans="1:28">
      <c r="A1489" s="16" t="s">
        <v>8149</v>
      </c>
      <c r="B1489" s="16" t="s">
        <v>8149</v>
      </c>
      <c r="C1489" s="16" t="s">
        <v>8320</v>
      </c>
      <c r="D1489" s="16" t="s">
        <v>21</v>
      </c>
      <c r="E1489" s="36" t="s">
        <v>8444</v>
      </c>
      <c r="F1489" s="16" t="s">
        <v>99</v>
      </c>
      <c r="G1489" s="17" t="str">
        <f>Config!$B$3</f>
        <v>SCH/R_IEC.SchLib</v>
      </c>
      <c r="H1489" s="16" t="s">
        <v>419</v>
      </c>
      <c r="I1489" s="18" t="s">
        <v>7493</v>
      </c>
      <c r="J1489" s="16" t="s">
        <v>8273</v>
      </c>
      <c r="K1489" s="16"/>
      <c r="L1489" s="16"/>
      <c r="M1489" s="20">
        <v>75</v>
      </c>
      <c r="N1489" s="19" t="s">
        <v>8460</v>
      </c>
      <c r="O1489" s="16" t="s">
        <v>4414</v>
      </c>
      <c r="P1489" s="16"/>
      <c r="Q1489" s="16"/>
      <c r="R1489" s="16"/>
      <c r="S1489" s="16"/>
      <c r="T1489" s="16"/>
      <c r="U1489" s="16"/>
      <c r="V1489" s="16"/>
      <c r="W1489" s="17"/>
      <c r="X1489" s="17"/>
      <c r="Y1489" s="16"/>
      <c r="Z1489" s="25"/>
      <c r="AA1489" s="17"/>
      <c r="AB1489" s="17"/>
    </row>
    <row r="1490" spans="1:28">
      <c r="A1490" s="16" t="s">
        <v>8150</v>
      </c>
      <c r="B1490" s="16" t="s">
        <v>8150</v>
      </c>
      <c r="C1490" s="16" t="s">
        <v>8321</v>
      </c>
      <c r="D1490" s="16" t="s">
        <v>21</v>
      </c>
      <c r="E1490" s="36" t="s">
        <v>8444</v>
      </c>
      <c r="F1490" s="16" t="s">
        <v>101</v>
      </c>
      <c r="G1490" s="17" t="str">
        <f>Config!$B$3</f>
        <v>SCH/R_IEC.SchLib</v>
      </c>
      <c r="H1490" s="16" t="s">
        <v>419</v>
      </c>
      <c r="I1490" s="18" t="s">
        <v>7493</v>
      </c>
      <c r="J1490" s="16" t="s">
        <v>8273</v>
      </c>
      <c r="K1490" s="16"/>
      <c r="L1490" s="16"/>
      <c r="M1490" s="20">
        <v>82</v>
      </c>
      <c r="N1490" s="19" t="s">
        <v>8460</v>
      </c>
      <c r="O1490" s="16" t="s">
        <v>4414</v>
      </c>
      <c r="P1490" s="16"/>
      <c r="Q1490" s="16"/>
      <c r="R1490" s="16"/>
      <c r="S1490" s="16"/>
      <c r="T1490" s="16"/>
      <c r="U1490" s="16"/>
      <c r="V1490" s="16"/>
      <c r="W1490" s="16"/>
      <c r="Y1490" s="16"/>
      <c r="AA1490" s="17"/>
      <c r="AB1490" s="17"/>
    </row>
    <row r="1491" spans="1:28">
      <c r="A1491" s="16" t="s">
        <v>8151</v>
      </c>
      <c r="B1491" s="16" t="s">
        <v>8151</v>
      </c>
      <c r="C1491" s="16" t="s">
        <v>8322</v>
      </c>
      <c r="D1491" s="16" t="s">
        <v>21</v>
      </c>
      <c r="E1491" s="36" t="s">
        <v>8444</v>
      </c>
      <c r="F1491" s="16" t="s">
        <v>103</v>
      </c>
      <c r="G1491" s="17" t="str">
        <f>Config!$B$3</f>
        <v>SCH/R_IEC.SchLib</v>
      </c>
      <c r="H1491" s="16" t="s">
        <v>419</v>
      </c>
      <c r="I1491" s="18" t="s">
        <v>7493</v>
      </c>
      <c r="J1491" s="16" t="s">
        <v>8273</v>
      </c>
      <c r="K1491" s="16"/>
      <c r="L1491" s="16"/>
      <c r="M1491" s="20">
        <v>91</v>
      </c>
      <c r="N1491" s="19" t="s">
        <v>8460</v>
      </c>
      <c r="O1491" s="16" t="s">
        <v>4414</v>
      </c>
      <c r="P1491" s="16"/>
      <c r="Q1491" s="16"/>
      <c r="R1491" s="16"/>
      <c r="S1491" s="16"/>
      <c r="T1491" s="16"/>
      <c r="U1491" s="16"/>
      <c r="V1491" s="16"/>
      <c r="W1491" s="17"/>
      <c r="X1491" s="17"/>
      <c r="Y1491" s="17"/>
      <c r="Z1491" s="17"/>
      <c r="AA1491" s="17"/>
      <c r="AB1491" s="17"/>
    </row>
    <row r="1492" spans="1:28">
      <c r="A1492" s="16" t="s">
        <v>8152</v>
      </c>
      <c r="B1492" s="16" t="s">
        <v>8152</v>
      </c>
      <c r="C1492" s="16" t="s">
        <v>8323</v>
      </c>
      <c r="D1492" s="16" t="s">
        <v>21</v>
      </c>
      <c r="E1492" s="36" t="s">
        <v>8444</v>
      </c>
      <c r="F1492" s="16" t="s">
        <v>105</v>
      </c>
      <c r="G1492" s="17" t="str">
        <f>Config!$B$3</f>
        <v>SCH/R_IEC.SchLib</v>
      </c>
      <c r="H1492" s="16" t="s">
        <v>419</v>
      </c>
      <c r="I1492" s="18" t="s">
        <v>7493</v>
      </c>
      <c r="J1492" s="16" t="s">
        <v>8273</v>
      </c>
      <c r="K1492" s="16"/>
      <c r="L1492" s="16"/>
      <c r="M1492" s="20">
        <v>100</v>
      </c>
      <c r="N1492" s="19" t="s">
        <v>8460</v>
      </c>
      <c r="O1492" s="16" t="s">
        <v>4414</v>
      </c>
      <c r="P1492" s="16" t="s">
        <v>8462</v>
      </c>
      <c r="Q1492" s="16" t="s">
        <v>25</v>
      </c>
      <c r="R1492" s="16" t="s">
        <v>10578</v>
      </c>
      <c r="S1492" s="16"/>
      <c r="T1492" s="16"/>
      <c r="U1492" s="16"/>
      <c r="V1492" s="16"/>
      <c r="W1492" s="17"/>
      <c r="X1492" s="17"/>
      <c r="Y1492" s="17"/>
      <c r="Z1492" s="17"/>
      <c r="AA1492" s="17"/>
      <c r="AB1492" s="17"/>
    </row>
    <row r="1493" spans="1:28">
      <c r="A1493" s="16" t="s">
        <v>8153</v>
      </c>
      <c r="B1493" s="16" t="s">
        <v>8153</v>
      </c>
      <c r="C1493" s="16" t="s">
        <v>8324</v>
      </c>
      <c r="D1493" s="16" t="s">
        <v>21</v>
      </c>
      <c r="E1493" s="36" t="s">
        <v>8444</v>
      </c>
      <c r="F1493" s="16" t="s">
        <v>109</v>
      </c>
      <c r="G1493" s="17" t="str">
        <f>Config!$B$3</f>
        <v>SCH/R_IEC.SchLib</v>
      </c>
      <c r="H1493" s="16" t="s">
        <v>419</v>
      </c>
      <c r="I1493" s="18" t="s">
        <v>7493</v>
      </c>
      <c r="J1493" s="16" t="s">
        <v>8273</v>
      </c>
      <c r="K1493" s="16"/>
      <c r="L1493" s="16"/>
      <c r="M1493" s="20">
        <v>110</v>
      </c>
      <c r="N1493" s="19" t="s">
        <v>8460</v>
      </c>
      <c r="O1493" s="16" t="s">
        <v>4414</v>
      </c>
      <c r="P1493" s="16"/>
      <c r="Q1493" s="16"/>
      <c r="R1493" s="16"/>
      <c r="S1493" s="16"/>
      <c r="T1493" s="16"/>
      <c r="U1493" s="16"/>
      <c r="V1493" s="16"/>
      <c r="W1493" s="17"/>
      <c r="X1493" s="17"/>
      <c r="Y1493" s="17"/>
      <c r="Z1493" s="17"/>
      <c r="AA1493" s="17"/>
      <c r="AB1493" s="17"/>
    </row>
    <row r="1494" spans="1:28">
      <c r="A1494" s="16" t="s">
        <v>8154</v>
      </c>
      <c r="B1494" s="16" t="s">
        <v>8154</v>
      </c>
      <c r="C1494" s="16" t="s">
        <v>8325</v>
      </c>
      <c r="D1494" s="16" t="s">
        <v>21</v>
      </c>
      <c r="E1494" s="36" t="s">
        <v>8444</v>
      </c>
      <c r="F1494" s="16" t="s">
        <v>111</v>
      </c>
      <c r="G1494" s="17" t="str">
        <f>Config!$B$3</f>
        <v>SCH/R_IEC.SchLib</v>
      </c>
      <c r="H1494" s="16" t="s">
        <v>419</v>
      </c>
      <c r="I1494" s="18" t="s">
        <v>7493</v>
      </c>
      <c r="J1494" s="16" t="s">
        <v>8273</v>
      </c>
      <c r="K1494" s="16"/>
      <c r="L1494" s="16"/>
      <c r="M1494" s="20">
        <v>120</v>
      </c>
      <c r="N1494" s="19" t="s">
        <v>8460</v>
      </c>
      <c r="O1494" s="16" t="s">
        <v>4414</v>
      </c>
      <c r="P1494" s="16"/>
      <c r="Q1494" s="16"/>
      <c r="R1494" s="16"/>
      <c r="S1494" s="16"/>
      <c r="T1494" s="16"/>
      <c r="U1494" s="16"/>
      <c r="V1494" s="16"/>
      <c r="W1494" s="17"/>
      <c r="X1494" s="17"/>
      <c r="Y1494" s="17"/>
      <c r="Z1494" s="17"/>
      <c r="AA1494" s="17"/>
      <c r="AB1494" s="17"/>
    </row>
    <row r="1495" spans="1:28">
      <c r="A1495" s="16" t="s">
        <v>8155</v>
      </c>
      <c r="B1495" s="16" t="s">
        <v>8155</v>
      </c>
      <c r="C1495" s="16" t="s">
        <v>8326</v>
      </c>
      <c r="D1495" s="16" t="s">
        <v>21</v>
      </c>
      <c r="E1495" s="36" t="s">
        <v>8444</v>
      </c>
      <c r="F1495" s="16" t="s">
        <v>113</v>
      </c>
      <c r="G1495" s="17" t="str">
        <f>Config!$B$3</f>
        <v>SCH/R_IEC.SchLib</v>
      </c>
      <c r="H1495" s="16" t="s">
        <v>419</v>
      </c>
      <c r="I1495" s="18" t="s">
        <v>7493</v>
      </c>
      <c r="J1495" s="16" t="s">
        <v>8273</v>
      </c>
      <c r="K1495" s="16"/>
      <c r="L1495" s="16"/>
      <c r="M1495" s="20">
        <v>130</v>
      </c>
      <c r="N1495" s="19" t="s">
        <v>8460</v>
      </c>
      <c r="O1495" s="16" t="s">
        <v>4414</v>
      </c>
      <c r="P1495" s="16"/>
      <c r="Q1495" s="16"/>
      <c r="R1495" s="16"/>
      <c r="S1495" s="16"/>
      <c r="T1495" s="16"/>
      <c r="U1495" s="16"/>
      <c r="V1495" s="16"/>
      <c r="W1495" s="17"/>
      <c r="X1495" s="17"/>
      <c r="Y1495" s="17"/>
      <c r="Z1495" s="17"/>
      <c r="AA1495" s="17"/>
      <c r="AB1495" s="17"/>
    </row>
    <row r="1496" spans="1:28">
      <c r="A1496" s="16" t="s">
        <v>8156</v>
      </c>
      <c r="B1496" s="16" t="s">
        <v>8156</v>
      </c>
      <c r="C1496" s="16" t="s">
        <v>8327</v>
      </c>
      <c r="D1496" s="16" t="s">
        <v>21</v>
      </c>
      <c r="E1496" s="36" t="s">
        <v>8444</v>
      </c>
      <c r="F1496" s="16" t="s">
        <v>115</v>
      </c>
      <c r="G1496" s="17" t="str">
        <f>Config!$B$3</f>
        <v>SCH/R_IEC.SchLib</v>
      </c>
      <c r="H1496" s="16" t="s">
        <v>419</v>
      </c>
      <c r="I1496" s="18" t="s">
        <v>7493</v>
      </c>
      <c r="J1496" s="16" t="s">
        <v>8273</v>
      </c>
      <c r="K1496" s="16"/>
      <c r="L1496" s="16"/>
      <c r="M1496" s="20">
        <v>150</v>
      </c>
      <c r="N1496" s="19" t="s">
        <v>8460</v>
      </c>
      <c r="O1496" s="16" t="s">
        <v>4414</v>
      </c>
      <c r="P1496" s="16"/>
      <c r="Q1496" s="16"/>
      <c r="R1496" s="16"/>
      <c r="S1496" s="16"/>
      <c r="T1496" s="16"/>
      <c r="U1496" s="16"/>
      <c r="V1496" s="16"/>
      <c r="W1496" s="17"/>
      <c r="X1496" s="17"/>
      <c r="Y1496" s="17"/>
      <c r="Z1496" s="17"/>
      <c r="AA1496" s="17"/>
      <c r="AB1496" s="17"/>
    </row>
    <row r="1497" spans="1:28">
      <c r="A1497" s="16" t="s">
        <v>8157</v>
      </c>
      <c r="B1497" s="16" t="s">
        <v>8157</v>
      </c>
      <c r="C1497" s="16" t="s">
        <v>8328</v>
      </c>
      <c r="D1497" s="16" t="s">
        <v>21</v>
      </c>
      <c r="E1497" s="36" t="s">
        <v>8444</v>
      </c>
      <c r="F1497" s="16" t="s">
        <v>117</v>
      </c>
      <c r="G1497" s="17" t="str">
        <f>Config!$B$3</f>
        <v>SCH/R_IEC.SchLib</v>
      </c>
      <c r="H1497" s="16" t="s">
        <v>419</v>
      </c>
      <c r="I1497" s="18" t="s">
        <v>7493</v>
      </c>
      <c r="J1497" s="16" t="s">
        <v>8273</v>
      </c>
      <c r="K1497" s="16"/>
      <c r="L1497" s="16"/>
      <c r="M1497" s="20">
        <v>160</v>
      </c>
      <c r="N1497" s="19" t="s">
        <v>8460</v>
      </c>
      <c r="O1497" s="16" t="s">
        <v>4414</v>
      </c>
      <c r="P1497" s="16"/>
      <c r="Q1497" s="16"/>
      <c r="R1497" s="16"/>
      <c r="S1497" s="16"/>
      <c r="T1497" s="16"/>
      <c r="U1497" s="16"/>
      <c r="V1497" s="16"/>
      <c r="W1497" s="17"/>
      <c r="X1497" s="17"/>
      <c r="Y1497" s="17"/>
      <c r="Z1497" s="17"/>
      <c r="AA1497" s="17"/>
      <c r="AB1497" s="17"/>
    </row>
    <row r="1498" spans="1:28">
      <c r="A1498" s="16" t="s">
        <v>8158</v>
      </c>
      <c r="B1498" s="16" t="s">
        <v>8158</v>
      </c>
      <c r="C1498" s="16" t="s">
        <v>8329</v>
      </c>
      <c r="D1498" s="16" t="s">
        <v>21</v>
      </c>
      <c r="E1498" s="36" t="s">
        <v>8444</v>
      </c>
      <c r="F1498" s="16" t="s">
        <v>119</v>
      </c>
      <c r="G1498" s="17" t="str">
        <f>Config!$B$3</f>
        <v>SCH/R_IEC.SchLib</v>
      </c>
      <c r="H1498" s="16" t="s">
        <v>419</v>
      </c>
      <c r="I1498" s="18" t="s">
        <v>7493</v>
      </c>
      <c r="J1498" s="16" t="s">
        <v>8273</v>
      </c>
      <c r="K1498" s="16"/>
      <c r="L1498" s="16"/>
      <c r="M1498" s="20">
        <v>180</v>
      </c>
      <c r="N1498" s="19" t="s">
        <v>8460</v>
      </c>
      <c r="O1498" s="16" t="s">
        <v>4414</v>
      </c>
      <c r="P1498" s="16"/>
      <c r="Q1498" s="16"/>
      <c r="R1498" s="16"/>
      <c r="S1498" s="16"/>
      <c r="T1498" s="16"/>
      <c r="U1498" s="16"/>
      <c r="V1498" s="16"/>
      <c r="W1498" s="17"/>
      <c r="X1498" s="17"/>
      <c r="Y1498" s="17"/>
      <c r="Z1498" s="17"/>
      <c r="AA1498" s="17"/>
      <c r="AB1498" s="17"/>
    </row>
    <row r="1499" spans="1:28">
      <c r="A1499" s="16" t="s">
        <v>8159</v>
      </c>
      <c r="B1499" s="16" t="s">
        <v>8159</v>
      </c>
      <c r="C1499" s="16" t="s">
        <v>8330</v>
      </c>
      <c r="D1499" s="16" t="s">
        <v>21</v>
      </c>
      <c r="E1499" s="36" t="s">
        <v>8444</v>
      </c>
      <c r="F1499" s="16" t="s">
        <v>123</v>
      </c>
      <c r="G1499" s="17" t="str">
        <f>Config!$B$3</f>
        <v>SCH/R_IEC.SchLib</v>
      </c>
      <c r="H1499" s="16" t="s">
        <v>419</v>
      </c>
      <c r="I1499" s="18" t="s">
        <v>7493</v>
      </c>
      <c r="J1499" s="16" t="s">
        <v>8273</v>
      </c>
      <c r="K1499" s="16"/>
      <c r="L1499" s="16"/>
      <c r="M1499" s="20">
        <v>200</v>
      </c>
      <c r="N1499" s="19" t="s">
        <v>8460</v>
      </c>
      <c r="O1499" s="16" t="s">
        <v>4414</v>
      </c>
      <c r="P1499" s="16"/>
      <c r="Q1499" s="16"/>
      <c r="R1499" s="16"/>
      <c r="S1499" s="16"/>
      <c r="T1499" s="16"/>
      <c r="U1499" s="16"/>
      <c r="V1499" s="16"/>
      <c r="W1499" s="17"/>
      <c r="X1499" s="17"/>
      <c r="Y1499" s="17"/>
      <c r="Z1499" s="17"/>
      <c r="AA1499" s="17"/>
      <c r="AB1499" s="17"/>
    </row>
    <row r="1500" spans="1:28">
      <c r="A1500" s="16" t="s">
        <v>8160</v>
      </c>
      <c r="B1500" s="16" t="s">
        <v>8160</v>
      </c>
      <c r="C1500" s="16" t="s">
        <v>8331</v>
      </c>
      <c r="D1500" s="16" t="s">
        <v>21</v>
      </c>
      <c r="E1500" s="36" t="s">
        <v>8444</v>
      </c>
      <c r="F1500" s="16" t="s">
        <v>125</v>
      </c>
      <c r="G1500" s="17" t="str">
        <f>Config!$B$3</f>
        <v>SCH/R_IEC.SchLib</v>
      </c>
      <c r="H1500" s="16" t="s">
        <v>419</v>
      </c>
      <c r="I1500" s="18" t="s">
        <v>7493</v>
      </c>
      <c r="J1500" s="16" t="s">
        <v>8273</v>
      </c>
      <c r="K1500" s="16"/>
      <c r="L1500" s="16"/>
      <c r="M1500" s="20">
        <v>220</v>
      </c>
      <c r="N1500" s="19" t="s">
        <v>8460</v>
      </c>
      <c r="O1500" s="16" t="s">
        <v>4414</v>
      </c>
      <c r="P1500" s="16"/>
      <c r="Q1500" s="16"/>
      <c r="R1500" s="16"/>
      <c r="S1500" s="16"/>
      <c r="T1500" s="16"/>
      <c r="U1500" s="16"/>
      <c r="V1500" s="16"/>
      <c r="W1500" s="16"/>
      <c r="X1500" s="17"/>
      <c r="Y1500" s="16"/>
      <c r="Z1500" s="17"/>
      <c r="AA1500" s="16"/>
      <c r="AB1500" s="17"/>
    </row>
    <row r="1501" spans="1:28">
      <c r="A1501" s="16" t="s">
        <v>8161</v>
      </c>
      <c r="B1501" s="16" t="s">
        <v>8161</v>
      </c>
      <c r="C1501" s="16" t="s">
        <v>8332</v>
      </c>
      <c r="D1501" s="16" t="s">
        <v>21</v>
      </c>
      <c r="E1501" s="36" t="s">
        <v>8444</v>
      </c>
      <c r="F1501" s="16" t="s">
        <v>129</v>
      </c>
      <c r="G1501" s="17" t="str">
        <f>Config!$B$3</f>
        <v>SCH/R_IEC.SchLib</v>
      </c>
      <c r="H1501" s="16" t="s">
        <v>419</v>
      </c>
      <c r="I1501" s="18" t="s">
        <v>7493</v>
      </c>
      <c r="J1501" s="16" t="s">
        <v>8273</v>
      </c>
      <c r="K1501" s="16"/>
      <c r="L1501" s="16"/>
      <c r="M1501" s="20">
        <v>240</v>
      </c>
      <c r="N1501" s="19" t="s">
        <v>8460</v>
      </c>
      <c r="O1501" s="16" t="s">
        <v>4414</v>
      </c>
      <c r="P1501" s="16"/>
      <c r="Q1501" s="16"/>
      <c r="R1501" s="16"/>
      <c r="S1501" s="16"/>
      <c r="T1501" s="16"/>
      <c r="U1501" s="16"/>
      <c r="V1501" s="16"/>
      <c r="W1501" s="17"/>
      <c r="X1501" s="17"/>
      <c r="Y1501" s="17"/>
      <c r="Z1501" s="17"/>
      <c r="AA1501" s="17"/>
      <c r="AB1501" s="17"/>
    </row>
    <row r="1502" spans="1:28">
      <c r="A1502" s="16" t="s">
        <v>8162</v>
      </c>
      <c r="B1502" s="16" t="s">
        <v>8162</v>
      </c>
      <c r="C1502" s="16" t="s">
        <v>8333</v>
      </c>
      <c r="D1502" s="16" t="s">
        <v>21</v>
      </c>
      <c r="E1502" s="36" t="s">
        <v>8444</v>
      </c>
      <c r="F1502" s="16" t="s">
        <v>131</v>
      </c>
      <c r="G1502" s="17" t="str">
        <f>Config!$B$3</f>
        <v>SCH/R_IEC.SchLib</v>
      </c>
      <c r="H1502" s="16" t="s">
        <v>419</v>
      </c>
      <c r="I1502" s="18" t="s">
        <v>7493</v>
      </c>
      <c r="J1502" s="16" t="s">
        <v>8273</v>
      </c>
      <c r="K1502" s="16"/>
      <c r="L1502" s="16"/>
      <c r="M1502" s="20">
        <v>270</v>
      </c>
      <c r="N1502" s="19" t="s">
        <v>8460</v>
      </c>
      <c r="O1502" s="16" t="s">
        <v>4414</v>
      </c>
      <c r="P1502" s="16"/>
      <c r="Q1502" s="16"/>
      <c r="R1502" s="16"/>
      <c r="S1502" s="16"/>
      <c r="T1502" s="16"/>
      <c r="U1502" s="16"/>
      <c r="V1502" s="16"/>
      <c r="W1502" s="16"/>
      <c r="X1502" s="17"/>
      <c r="Y1502" s="16"/>
      <c r="Z1502" s="17"/>
      <c r="AA1502" s="16"/>
      <c r="AB1502" s="17"/>
    </row>
    <row r="1503" spans="1:28">
      <c r="A1503" s="16" t="s">
        <v>8163</v>
      </c>
      <c r="B1503" s="16" t="s">
        <v>8163</v>
      </c>
      <c r="C1503" s="16" t="s">
        <v>8334</v>
      </c>
      <c r="D1503" s="16" t="s">
        <v>21</v>
      </c>
      <c r="E1503" s="36" t="s">
        <v>8444</v>
      </c>
      <c r="F1503" s="16" t="s">
        <v>133</v>
      </c>
      <c r="G1503" s="17" t="str">
        <f>Config!$B$3</f>
        <v>SCH/R_IEC.SchLib</v>
      </c>
      <c r="H1503" s="16" t="s">
        <v>419</v>
      </c>
      <c r="I1503" s="18" t="s">
        <v>7493</v>
      </c>
      <c r="J1503" s="16" t="s">
        <v>8273</v>
      </c>
      <c r="K1503" s="16"/>
      <c r="L1503" s="16"/>
      <c r="M1503" s="20">
        <v>300</v>
      </c>
      <c r="N1503" s="19" t="s">
        <v>8460</v>
      </c>
      <c r="O1503" s="16" t="s">
        <v>4414</v>
      </c>
      <c r="P1503" s="16"/>
      <c r="Q1503" s="16"/>
      <c r="R1503" s="16"/>
      <c r="S1503" s="16"/>
      <c r="T1503" s="16"/>
      <c r="U1503" s="16"/>
      <c r="V1503" s="16"/>
      <c r="W1503" s="17"/>
      <c r="X1503" s="17"/>
      <c r="Y1503" s="17"/>
      <c r="Z1503" s="17"/>
      <c r="AA1503" s="17"/>
      <c r="AB1503" s="17"/>
    </row>
    <row r="1504" spans="1:28">
      <c r="A1504" s="16" t="s">
        <v>8164</v>
      </c>
      <c r="B1504" s="16" t="s">
        <v>8164</v>
      </c>
      <c r="C1504" s="16" t="s">
        <v>8335</v>
      </c>
      <c r="D1504" s="16" t="s">
        <v>21</v>
      </c>
      <c r="E1504" s="36" t="s">
        <v>8444</v>
      </c>
      <c r="F1504" s="16" t="s">
        <v>137</v>
      </c>
      <c r="G1504" s="17" t="str">
        <f>Config!$B$3</f>
        <v>SCH/R_IEC.SchLib</v>
      </c>
      <c r="H1504" s="16" t="s">
        <v>419</v>
      </c>
      <c r="I1504" s="18" t="s">
        <v>7493</v>
      </c>
      <c r="J1504" s="16" t="s">
        <v>8273</v>
      </c>
      <c r="K1504" s="16"/>
      <c r="L1504" s="16"/>
      <c r="M1504" s="20">
        <v>330</v>
      </c>
      <c r="N1504" s="19" t="s">
        <v>8460</v>
      </c>
      <c r="O1504" s="16" t="s">
        <v>4414</v>
      </c>
      <c r="P1504" s="16"/>
      <c r="Q1504" s="16"/>
      <c r="R1504" s="16"/>
      <c r="S1504" s="16"/>
      <c r="T1504" s="16"/>
      <c r="U1504" s="16"/>
      <c r="V1504" s="16"/>
      <c r="W1504" s="16"/>
      <c r="X1504" s="17"/>
      <c r="Y1504" s="16"/>
      <c r="Z1504" s="17"/>
      <c r="AA1504" s="16"/>
      <c r="AB1504" s="17"/>
    </row>
    <row r="1505" spans="1:28">
      <c r="A1505" s="16" t="s">
        <v>8165</v>
      </c>
      <c r="B1505" s="16" t="s">
        <v>8165</v>
      </c>
      <c r="C1505" s="16" t="s">
        <v>8336</v>
      </c>
      <c r="D1505" s="16" t="s">
        <v>21</v>
      </c>
      <c r="E1505" s="36" t="s">
        <v>8444</v>
      </c>
      <c r="F1505" s="16" t="s">
        <v>139</v>
      </c>
      <c r="G1505" s="17" t="str">
        <f>Config!$B$3</f>
        <v>SCH/R_IEC.SchLib</v>
      </c>
      <c r="H1505" s="16" t="s">
        <v>419</v>
      </c>
      <c r="I1505" s="18" t="s">
        <v>7493</v>
      </c>
      <c r="J1505" s="16" t="s">
        <v>8273</v>
      </c>
      <c r="K1505" s="16"/>
      <c r="L1505" s="16"/>
      <c r="M1505" s="20">
        <v>360</v>
      </c>
      <c r="N1505" s="19" t="s">
        <v>8460</v>
      </c>
      <c r="O1505" s="16" t="s">
        <v>4414</v>
      </c>
      <c r="P1505" s="16"/>
      <c r="Q1505" s="16"/>
      <c r="R1505" s="16"/>
      <c r="S1505" s="16"/>
      <c r="T1505" s="16"/>
      <c r="U1505" s="16"/>
      <c r="V1505" s="16"/>
      <c r="W1505" s="17"/>
      <c r="X1505" s="17"/>
      <c r="Y1505" s="17"/>
      <c r="Z1505" s="17"/>
      <c r="AA1505" s="17"/>
      <c r="AB1505" s="17"/>
    </row>
    <row r="1506" spans="1:28">
      <c r="A1506" s="16" t="s">
        <v>8166</v>
      </c>
      <c r="B1506" s="16" t="s">
        <v>8166</v>
      </c>
      <c r="C1506" s="16" t="s">
        <v>8337</v>
      </c>
      <c r="D1506" s="16" t="s">
        <v>21</v>
      </c>
      <c r="E1506" s="36" t="s">
        <v>8444</v>
      </c>
      <c r="F1506" s="16" t="s">
        <v>141</v>
      </c>
      <c r="G1506" s="17" t="str">
        <f>Config!$B$3</f>
        <v>SCH/R_IEC.SchLib</v>
      </c>
      <c r="H1506" s="16" t="s">
        <v>419</v>
      </c>
      <c r="I1506" s="18" t="s">
        <v>7493</v>
      </c>
      <c r="J1506" s="16" t="s">
        <v>8273</v>
      </c>
      <c r="K1506" s="16"/>
      <c r="L1506" s="16"/>
      <c r="M1506" s="20">
        <v>390</v>
      </c>
      <c r="N1506" s="19" t="s">
        <v>8460</v>
      </c>
      <c r="O1506" s="16" t="s">
        <v>4414</v>
      </c>
      <c r="P1506" s="16"/>
      <c r="Q1506" s="16"/>
      <c r="R1506" s="16"/>
      <c r="S1506" s="16"/>
      <c r="T1506" s="16"/>
      <c r="U1506" s="16"/>
      <c r="V1506" s="16"/>
      <c r="W1506" s="17"/>
      <c r="X1506" s="17"/>
      <c r="Y1506" s="17"/>
      <c r="Z1506" s="17"/>
      <c r="AA1506" s="17"/>
      <c r="AB1506" s="17"/>
    </row>
    <row r="1507" spans="1:28">
      <c r="A1507" s="16" t="s">
        <v>8167</v>
      </c>
      <c r="B1507" s="16" t="s">
        <v>8167</v>
      </c>
      <c r="C1507" s="16" t="s">
        <v>8338</v>
      </c>
      <c r="D1507" s="16" t="s">
        <v>21</v>
      </c>
      <c r="E1507" s="36" t="s">
        <v>8444</v>
      </c>
      <c r="F1507" s="16" t="s">
        <v>143</v>
      </c>
      <c r="G1507" s="17" t="str">
        <f>Config!$B$3</f>
        <v>SCH/R_IEC.SchLib</v>
      </c>
      <c r="H1507" s="16" t="s">
        <v>419</v>
      </c>
      <c r="I1507" s="18" t="s">
        <v>7493</v>
      </c>
      <c r="J1507" s="16" t="s">
        <v>8273</v>
      </c>
      <c r="K1507" s="16"/>
      <c r="L1507" s="16"/>
      <c r="M1507" s="20">
        <v>430</v>
      </c>
      <c r="N1507" s="19" t="s">
        <v>8460</v>
      </c>
      <c r="O1507" s="16" t="s">
        <v>4414</v>
      </c>
      <c r="P1507" s="16"/>
      <c r="Q1507" s="16"/>
      <c r="R1507" s="16"/>
      <c r="S1507" s="16"/>
      <c r="T1507" s="16"/>
      <c r="U1507" s="16"/>
      <c r="V1507" s="16"/>
      <c r="W1507" s="17"/>
      <c r="X1507" s="17"/>
      <c r="Y1507" s="17"/>
      <c r="Z1507" s="17"/>
      <c r="AA1507" s="17"/>
      <c r="AB1507" s="17"/>
    </row>
    <row r="1508" spans="1:28">
      <c r="A1508" s="16" t="s">
        <v>8168</v>
      </c>
      <c r="B1508" s="16" t="s">
        <v>8168</v>
      </c>
      <c r="C1508" s="16" t="s">
        <v>8339</v>
      </c>
      <c r="D1508" s="16" t="s">
        <v>21</v>
      </c>
      <c r="E1508" s="36" t="s">
        <v>8444</v>
      </c>
      <c r="F1508" s="16" t="s">
        <v>145</v>
      </c>
      <c r="G1508" s="17" t="str">
        <f>Config!$B$3</f>
        <v>SCH/R_IEC.SchLib</v>
      </c>
      <c r="H1508" s="16" t="s">
        <v>419</v>
      </c>
      <c r="I1508" s="18" t="s">
        <v>7493</v>
      </c>
      <c r="J1508" s="16" t="s">
        <v>8273</v>
      </c>
      <c r="K1508" s="16"/>
      <c r="L1508" s="16"/>
      <c r="M1508" s="20">
        <v>470</v>
      </c>
      <c r="N1508" s="19" t="s">
        <v>8460</v>
      </c>
      <c r="O1508" s="16" t="s">
        <v>4414</v>
      </c>
      <c r="P1508" s="16"/>
      <c r="Q1508" s="16"/>
      <c r="R1508" s="16"/>
      <c r="S1508" s="16"/>
      <c r="T1508" s="16"/>
      <c r="U1508" s="16"/>
      <c r="V1508" s="16"/>
      <c r="W1508" s="17"/>
      <c r="X1508" s="17"/>
      <c r="Y1508" s="17"/>
      <c r="Z1508" s="17"/>
      <c r="AA1508" s="17"/>
      <c r="AB1508" s="17"/>
    </row>
    <row r="1509" spans="1:28">
      <c r="A1509" s="16" t="s">
        <v>8169</v>
      </c>
      <c r="B1509" s="16" t="s">
        <v>8169</v>
      </c>
      <c r="C1509" s="16" t="s">
        <v>8340</v>
      </c>
      <c r="D1509" s="16" t="s">
        <v>21</v>
      </c>
      <c r="E1509" s="36" t="s">
        <v>8444</v>
      </c>
      <c r="F1509" s="16" t="s">
        <v>149</v>
      </c>
      <c r="G1509" s="17" t="str">
        <f>Config!$B$3</f>
        <v>SCH/R_IEC.SchLib</v>
      </c>
      <c r="H1509" s="16" t="s">
        <v>419</v>
      </c>
      <c r="I1509" s="18" t="s">
        <v>7493</v>
      </c>
      <c r="J1509" s="16" t="s">
        <v>8273</v>
      </c>
      <c r="K1509" s="16"/>
      <c r="L1509" s="16"/>
      <c r="M1509" s="20">
        <v>510</v>
      </c>
      <c r="N1509" s="19" t="s">
        <v>8460</v>
      </c>
      <c r="O1509" s="16" t="s">
        <v>4414</v>
      </c>
      <c r="P1509" s="16"/>
      <c r="Q1509" s="16"/>
      <c r="R1509" s="16"/>
      <c r="S1509" s="16"/>
      <c r="T1509" s="16"/>
      <c r="U1509" s="16"/>
      <c r="V1509" s="16"/>
      <c r="W1509" s="17"/>
      <c r="X1509" s="17"/>
      <c r="Y1509" s="17"/>
      <c r="Z1509" s="17"/>
      <c r="AA1509" s="17"/>
      <c r="AB1509" s="17"/>
    </row>
    <row r="1510" spans="1:28">
      <c r="A1510" s="16" t="s">
        <v>8170</v>
      </c>
      <c r="B1510" s="16" t="s">
        <v>8170</v>
      </c>
      <c r="C1510" s="16" t="s">
        <v>8341</v>
      </c>
      <c r="D1510" s="16" t="s">
        <v>21</v>
      </c>
      <c r="E1510" s="36" t="s">
        <v>8444</v>
      </c>
      <c r="F1510" s="16" t="s">
        <v>151</v>
      </c>
      <c r="G1510" s="17" t="str">
        <f>Config!$B$3</f>
        <v>SCH/R_IEC.SchLib</v>
      </c>
      <c r="H1510" s="16" t="s">
        <v>419</v>
      </c>
      <c r="I1510" s="18" t="s">
        <v>7493</v>
      </c>
      <c r="J1510" s="16" t="s">
        <v>8273</v>
      </c>
      <c r="K1510" s="16"/>
      <c r="L1510" s="16"/>
      <c r="M1510" s="20">
        <v>560</v>
      </c>
      <c r="N1510" s="19" t="s">
        <v>8460</v>
      </c>
      <c r="O1510" s="16" t="s">
        <v>4414</v>
      </c>
      <c r="P1510" s="16"/>
      <c r="Q1510" s="16"/>
      <c r="R1510" s="16"/>
      <c r="S1510" s="16"/>
      <c r="T1510" s="16"/>
      <c r="U1510" s="16"/>
      <c r="V1510" s="16"/>
      <c r="W1510" s="17"/>
      <c r="X1510" s="17"/>
      <c r="Y1510" s="17"/>
      <c r="Z1510" s="17"/>
      <c r="AA1510" s="17"/>
      <c r="AB1510" s="17"/>
    </row>
    <row r="1511" spans="1:28">
      <c r="A1511" s="16" t="s">
        <v>8171</v>
      </c>
      <c r="B1511" s="16" t="s">
        <v>8171</v>
      </c>
      <c r="C1511" s="16" t="s">
        <v>8342</v>
      </c>
      <c r="D1511" s="16" t="s">
        <v>21</v>
      </c>
      <c r="E1511" s="36" t="s">
        <v>8444</v>
      </c>
      <c r="F1511" s="16" t="s">
        <v>153</v>
      </c>
      <c r="G1511" s="17" t="str">
        <f>Config!$B$3</f>
        <v>SCH/R_IEC.SchLib</v>
      </c>
      <c r="H1511" s="16" t="s">
        <v>419</v>
      </c>
      <c r="I1511" s="18" t="s">
        <v>7493</v>
      </c>
      <c r="J1511" s="16" t="s">
        <v>8273</v>
      </c>
      <c r="K1511" s="16"/>
      <c r="L1511" s="16"/>
      <c r="M1511" s="20">
        <v>620</v>
      </c>
      <c r="N1511" s="19" t="s">
        <v>8460</v>
      </c>
      <c r="O1511" s="16" t="s">
        <v>4414</v>
      </c>
      <c r="P1511" s="16"/>
      <c r="Q1511" s="16"/>
      <c r="R1511" s="16"/>
      <c r="S1511" s="16"/>
      <c r="T1511" s="16"/>
      <c r="U1511" s="16"/>
      <c r="V1511" s="16"/>
      <c r="W1511" s="17"/>
      <c r="X1511" s="17"/>
      <c r="Y1511" s="17"/>
      <c r="Z1511" s="17"/>
      <c r="AA1511" s="17"/>
      <c r="AB1511" s="17"/>
    </row>
    <row r="1512" spans="1:28">
      <c r="A1512" s="16" t="s">
        <v>8172</v>
      </c>
      <c r="B1512" s="16" t="s">
        <v>8172</v>
      </c>
      <c r="C1512" s="16" t="s">
        <v>8343</v>
      </c>
      <c r="D1512" s="16" t="s">
        <v>21</v>
      </c>
      <c r="E1512" s="36" t="s">
        <v>8444</v>
      </c>
      <c r="F1512" s="16" t="s">
        <v>155</v>
      </c>
      <c r="G1512" s="17" t="str">
        <f>Config!$B$3</f>
        <v>SCH/R_IEC.SchLib</v>
      </c>
      <c r="H1512" s="16" t="s">
        <v>419</v>
      </c>
      <c r="I1512" s="18" t="s">
        <v>7493</v>
      </c>
      <c r="J1512" s="16" t="s">
        <v>8273</v>
      </c>
      <c r="K1512" s="16"/>
      <c r="L1512" s="16"/>
      <c r="M1512" s="20">
        <v>680</v>
      </c>
      <c r="N1512" s="19" t="s">
        <v>8460</v>
      </c>
      <c r="O1512" s="16" t="s">
        <v>4414</v>
      </c>
      <c r="P1512" s="16"/>
      <c r="Q1512" s="16"/>
      <c r="R1512" s="16"/>
      <c r="S1512" s="16"/>
      <c r="T1512" s="16"/>
      <c r="U1512" s="16"/>
      <c r="V1512" s="16"/>
      <c r="W1512" s="17"/>
      <c r="X1512" s="17"/>
      <c r="Y1512" s="17"/>
      <c r="Z1512" s="17"/>
      <c r="AA1512" s="17"/>
      <c r="AB1512" s="17"/>
    </row>
    <row r="1513" spans="1:28">
      <c r="A1513" s="16" t="s">
        <v>8173</v>
      </c>
      <c r="B1513" s="16" t="s">
        <v>8173</v>
      </c>
      <c r="C1513" s="16" t="s">
        <v>8344</v>
      </c>
      <c r="D1513" s="16" t="s">
        <v>21</v>
      </c>
      <c r="E1513" s="36" t="s">
        <v>8444</v>
      </c>
      <c r="F1513" s="16" t="s">
        <v>157</v>
      </c>
      <c r="G1513" s="17" t="str">
        <f>Config!$B$3</f>
        <v>SCH/R_IEC.SchLib</v>
      </c>
      <c r="H1513" s="16" t="s">
        <v>419</v>
      </c>
      <c r="I1513" s="18" t="s">
        <v>7493</v>
      </c>
      <c r="J1513" s="16" t="s">
        <v>8273</v>
      </c>
      <c r="K1513" s="16"/>
      <c r="L1513" s="16"/>
      <c r="M1513" s="20">
        <v>750</v>
      </c>
      <c r="N1513" s="19" t="s">
        <v>8460</v>
      </c>
      <c r="O1513" s="16" t="s">
        <v>4414</v>
      </c>
      <c r="P1513" s="16"/>
      <c r="Q1513" s="16"/>
      <c r="R1513" s="16"/>
      <c r="S1513" s="16"/>
      <c r="T1513" s="16"/>
      <c r="U1513" s="16"/>
      <c r="V1513" s="16"/>
      <c r="W1513" s="17"/>
      <c r="X1513" s="17"/>
      <c r="Y1513" s="17"/>
      <c r="Z1513" s="17"/>
      <c r="AA1513" s="17"/>
      <c r="AB1513" s="17"/>
    </row>
    <row r="1514" spans="1:28">
      <c r="A1514" s="16" t="s">
        <v>8174</v>
      </c>
      <c r="B1514" s="16" t="s">
        <v>8174</v>
      </c>
      <c r="C1514" s="16" t="s">
        <v>8345</v>
      </c>
      <c r="D1514" s="16" t="s">
        <v>21</v>
      </c>
      <c r="E1514" s="36" t="s">
        <v>8444</v>
      </c>
      <c r="F1514" s="16" t="s">
        <v>159</v>
      </c>
      <c r="G1514" s="17" t="str">
        <f>Config!$B$3</f>
        <v>SCH/R_IEC.SchLib</v>
      </c>
      <c r="H1514" s="16" t="s">
        <v>419</v>
      </c>
      <c r="I1514" s="18" t="s">
        <v>7493</v>
      </c>
      <c r="J1514" s="16" t="s">
        <v>8273</v>
      </c>
      <c r="K1514" s="16"/>
      <c r="L1514" s="16"/>
      <c r="M1514" s="20">
        <v>820</v>
      </c>
      <c r="N1514" s="19" t="s">
        <v>8460</v>
      </c>
      <c r="O1514" s="16" t="s">
        <v>4414</v>
      </c>
      <c r="P1514" s="16"/>
      <c r="Q1514" s="16"/>
      <c r="R1514" s="16"/>
      <c r="S1514" s="16"/>
      <c r="T1514" s="16"/>
      <c r="U1514" s="16"/>
      <c r="V1514" s="16"/>
      <c r="W1514" s="17"/>
      <c r="X1514" s="17"/>
      <c r="Y1514" s="17"/>
      <c r="Z1514" s="17"/>
      <c r="AA1514" s="17"/>
      <c r="AB1514" s="17"/>
    </row>
    <row r="1515" spans="1:28">
      <c r="A1515" s="16" t="s">
        <v>8175</v>
      </c>
      <c r="B1515" s="16" t="s">
        <v>8175</v>
      </c>
      <c r="C1515" s="16" t="s">
        <v>8346</v>
      </c>
      <c r="D1515" s="16" t="s">
        <v>21</v>
      </c>
      <c r="E1515" s="36" t="s">
        <v>8444</v>
      </c>
      <c r="F1515" s="16" t="s">
        <v>161</v>
      </c>
      <c r="G1515" s="17" t="str">
        <f>Config!$B$3</f>
        <v>SCH/R_IEC.SchLib</v>
      </c>
      <c r="H1515" s="16" t="s">
        <v>419</v>
      </c>
      <c r="I1515" s="18" t="s">
        <v>7493</v>
      </c>
      <c r="J1515" s="16" t="s">
        <v>8273</v>
      </c>
      <c r="K1515" s="16"/>
      <c r="L1515" s="16"/>
      <c r="M1515" s="20">
        <v>910</v>
      </c>
      <c r="N1515" s="19" t="s">
        <v>8460</v>
      </c>
      <c r="O1515" s="16" t="s">
        <v>4414</v>
      </c>
      <c r="P1515" s="16"/>
      <c r="Q1515" s="16"/>
      <c r="R1515" s="16"/>
      <c r="S1515" s="16"/>
      <c r="T1515" s="16"/>
      <c r="U1515" s="16"/>
      <c r="V1515" s="16"/>
      <c r="W1515" s="17"/>
      <c r="X1515" s="17"/>
      <c r="Y1515" s="17"/>
      <c r="Z1515" s="17"/>
      <c r="AA1515" s="17"/>
      <c r="AB1515" s="17"/>
    </row>
    <row r="1516" spans="1:28">
      <c r="A1516" s="16" t="s">
        <v>8176</v>
      </c>
      <c r="B1516" s="16" t="s">
        <v>8176</v>
      </c>
      <c r="C1516" s="16" t="s">
        <v>8347</v>
      </c>
      <c r="D1516" s="16" t="s">
        <v>21</v>
      </c>
      <c r="E1516" s="36" t="s">
        <v>8444</v>
      </c>
      <c r="F1516" s="16" t="s">
        <v>163</v>
      </c>
      <c r="G1516" s="17" t="str">
        <f>Config!$B$3</f>
        <v>SCH/R_IEC.SchLib</v>
      </c>
      <c r="H1516" s="16" t="s">
        <v>419</v>
      </c>
      <c r="I1516" s="18" t="s">
        <v>7493</v>
      </c>
      <c r="J1516" s="16" t="s">
        <v>8273</v>
      </c>
      <c r="K1516" s="16"/>
      <c r="L1516" s="16"/>
      <c r="M1516" s="20">
        <v>1000</v>
      </c>
      <c r="N1516" s="19" t="s">
        <v>8460</v>
      </c>
      <c r="O1516" s="16" t="s">
        <v>4414</v>
      </c>
      <c r="P1516" s="16" t="s">
        <v>8461</v>
      </c>
      <c r="Q1516" s="16" t="s">
        <v>25</v>
      </c>
      <c r="R1516" s="16" t="s">
        <v>10579</v>
      </c>
      <c r="S1516" s="16"/>
      <c r="T1516" s="16"/>
      <c r="U1516" s="16"/>
      <c r="V1516" s="16"/>
      <c r="W1516" s="17"/>
      <c r="X1516" s="17"/>
      <c r="Y1516" s="16"/>
      <c r="Z1516" s="17"/>
      <c r="AA1516" s="17"/>
      <c r="AB1516" s="17"/>
    </row>
    <row r="1517" spans="1:28">
      <c r="A1517" s="16" t="s">
        <v>8177</v>
      </c>
      <c r="B1517" s="16" t="s">
        <v>8177</v>
      </c>
      <c r="C1517" s="16" t="s">
        <v>8348</v>
      </c>
      <c r="D1517" s="16" t="s">
        <v>21</v>
      </c>
      <c r="E1517" s="36" t="s">
        <v>8444</v>
      </c>
      <c r="F1517" s="16" t="s">
        <v>165</v>
      </c>
      <c r="G1517" s="17" t="str">
        <f>Config!$B$3</f>
        <v>SCH/R_IEC.SchLib</v>
      </c>
      <c r="H1517" s="16" t="s">
        <v>419</v>
      </c>
      <c r="I1517" s="18" t="s">
        <v>7493</v>
      </c>
      <c r="J1517" s="16" t="s">
        <v>8273</v>
      </c>
      <c r="K1517" s="16"/>
      <c r="L1517" s="16"/>
      <c r="M1517" s="20">
        <v>1100</v>
      </c>
      <c r="N1517" s="19" t="s">
        <v>8460</v>
      </c>
      <c r="O1517" s="16" t="s">
        <v>4414</v>
      </c>
      <c r="P1517" s="16"/>
      <c r="Q1517" s="16"/>
      <c r="R1517" s="16"/>
      <c r="S1517" s="16"/>
      <c r="T1517" s="16"/>
      <c r="U1517" s="16"/>
      <c r="V1517" s="16"/>
      <c r="W1517" s="17"/>
      <c r="X1517" s="17"/>
      <c r="Y1517" s="17"/>
      <c r="Z1517" s="17"/>
      <c r="AA1517" s="17"/>
      <c r="AB1517" s="17"/>
    </row>
    <row r="1518" spans="1:28">
      <c r="A1518" s="16" t="s">
        <v>8178</v>
      </c>
      <c r="B1518" s="16" t="s">
        <v>8178</v>
      </c>
      <c r="C1518" s="16" t="s">
        <v>8349</v>
      </c>
      <c r="D1518" s="16" t="s">
        <v>21</v>
      </c>
      <c r="E1518" s="36" t="s">
        <v>8444</v>
      </c>
      <c r="F1518" s="16" t="s">
        <v>167</v>
      </c>
      <c r="G1518" s="17" t="str">
        <f>Config!$B$3</f>
        <v>SCH/R_IEC.SchLib</v>
      </c>
      <c r="H1518" s="16" t="s">
        <v>419</v>
      </c>
      <c r="I1518" s="18" t="s">
        <v>7493</v>
      </c>
      <c r="J1518" s="16" t="s">
        <v>8273</v>
      </c>
      <c r="K1518" s="16"/>
      <c r="L1518" s="16"/>
      <c r="M1518" s="20">
        <v>1200</v>
      </c>
      <c r="N1518" s="19" t="s">
        <v>8460</v>
      </c>
      <c r="O1518" s="16" t="s">
        <v>4414</v>
      </c>
      <c r="P1518" s="16"/>
      <c r="Q1518" s="16"/>
      <c r="R1518" s="16"/>
      <c r="S1518" s="16"/>
      <c r="T1518" s="16"/>
      <c r="U1518" s="16"/>
      <c r="V1518" s="16"/>
      <c r="W1518" s="17"/>
      <c r="X1518" s="17"/>
      <c r="Y1518" s="17"/>
      <c r="Z1518" s="17"/>
      <c r="AA1518" s="17"/>
      <c r="AB1518" s="17"/>
    </row>
    <row r="1519" spans="1:28">
      <c r="A1519" s="16" t="s">
        <v>8179</v>
      </c>
      <c r="B1519" s="16" t="s">
        <v>8179</v>
      </c>
      <c r="C1519" s="16" t="s">
        <v>8350</v>
      </c>
      <c r="D1519" s="16" t="s">
        <v>21</v>
      </c>
      <c r="E1519" s="36" t="s">
        <v>8444</v>
      </c>
      <c r="F1519" s="16" t="s">
        <v>169</v>
      </c>
      <c r="G1519" s="17" t="str">
        <f>Config!$B$3</f>
        <v>SCH/R_IEC.SchLib</v>
      </c>
      <c r="H1519" s="16" t="s">
        <v>419</v>
      </c>
      <c r="I1519" s="18" t="s">
        <v>7493</v>
      </c>
      <c r="J1519" s="16" t="s">
        <v>8273</v>
      </c>
      <c r="K1519" s="16"/>
      <c r="L1519" s="16"/>
      <c r="M1519" s="20">
        <v>1300</v>
      </c>
      <c r="N1519" s="19" t="s">
        <v>8460</v>
      </c>
      <c r="O1519" s="16" t="s">
        <v>4414</v>
      </c>
      <c r="P1519" s="16"/>
      <c r="Q1519" s="16"/>
      <c r="R1519" s="16"/>
      <c r="S1519" s="16"/>
      <c r="T1519" s="16"/>
      <c r="U1519" s="16"/>
      <c r="V1519" s="16"/>
      <c r="W1519" s="17"/>
      <c r="X1519" s="17"/>
      <c r="Y1519" s="17"/>
      <c r="Z1519" s="17"/>
      <c r="AA1519" s="17"/>
      <c r="AB1519" s="17"/>
    </row>
    <row r="1520" spans="1:28">
      <c r="A1520" s="16" t="s">
        <v>8180</v>
      </c>
      <c r="B1520" s="16" t="s">
        <v>8180</v>
      </c>
      <c r="C1520" s="16" t="s">
        <v>8351</v>
      </c>
      <c r="D1520" s="16" t="s">
        <v>21</v>
      </c>
      <c r="E1520" s="36" t="s">
        <v>8444</v>
      </c>
      <c r="F1520" s="16" t="s">
        <v>171</v>
      </c>
      <c r="G1520" s="17" t="str">
        <f>Config!$B$3</f>
        <v>SCH/R_IEC.SchLib</v>
      </c>
      <c r="H1520" s="16" t="s">
        <v>419</v>
      </c>
      <c r="I1520" s="18" t="s">
        <v>7493</v>
      </c>
      <c r="J1520" s="16" t="s">
        <v>8273</v>
      </c>
      <c r="K1520" s="16"/>
      <c r="L1520" s="16"/>
      <c r="M1520" s="20">
        <v>1500</v>
      </c>
      <c r="N1520" s="19" t="s">
        <v>8460</v>
      </c>
      <c r="O1520" s="16" t="s">
        <v>4414</v>
      </c>
      <c r="P1520" s="16"/>
      <c r="Q1520" s="16"/>
      <c r="R1520" s="16"/>
      <c r="S1520" s="16"/>
      <c r="T1520" s="16"/>
      <c r="U1520" s="16"/>
      <c r="V1520" s="16"/>
      <c r="W1520" s="16"/>
      <c r="X1520" s="17"/>
      <c r="Y1520" s="16"/>
      <c r="Z1520" s="17"/>
      <c r="AA1520" s="16"/>
      <c r="AB1520" s="17"/>
    </row>
    <row r="1521" spans="1:28">
      <c r="A1521" s="16" t="s">
        <v>8181</v>
      </c>
      <c r="B1521" s="16" t="s">
        <v>8181</v>
      </c>
      <c r="C1521" s="16" t="s">
        <v>8352</v>
      </c>
      <c r="D1521" s="16" t="s">
        <v>21</v>
      </c>
      <c r="E1521" s="36" t="s">
        <v>8444</v>
      </c>
      <c r="F1521" s="16" t="s">
        <v>175</v>
      </c>
      <c r="G1521" s="17" t="str">
        <f>Config!$B$3</f>
        <v>SCH/R_IEC.SchLib</v>
      </c>
      <c r="H1521" s="16" t="s">
        <v>419</v>
      </c>
      <c r="I1521" s="18" t="s">
        <v>7493</v>
      </c>
      <c r="J1521" s="16" t="s">
        <v>8273</v>
      </c>
      <c r="K1521" s="16"/>
      <c r="L1521" s="16"/>
      <c r="M1521" s="20">
        <v>1600</v>
      </c>
      <c r="N1521" s="19" t="s">
        <v>8460</v>
      </c>
      <c r="O1521" s="16" t="s">
        <v>4414</v>
      </c>
      <c r="P1521" s="16"/>
      <c r="Q1521" s="16"/>
      <c r="R1521" s="16"/>
      <c r="S1521" s="16"/>
      <c r="T1521" s="16"/>
      <c r="U1521" s="16"/>
      <c r="V1521" s="16"/>
      <c r="W1521" s="17"/>
      <c r="X1521" s="17"/>
      <c r="Y1521" s="17"/>
      <c r="Z1521" s="17"/>
      <c r="AA1521" s="17"/>
      <c r="AB1521" s="17"/>
    </row>
    <row r="1522" spans="1:28">
      <c r="A1522" s="16" t="s">
        <v>8182</v>
      </c>
      <c r="B1522" s="16" t="s">
        <v>8182</v>
      </c>
      <c r="C1522" s="16" t="s">
        <v>8353</v>
      </c>
      <c r="D1522" s="16" t="s">
        <v>21</v>
      </c>
      <c r="E1522" s="36" t="s">
        <v>8444</v>
      </c>
      <c r="F1522" s="16" t="s">
        <v>181</v>
      </c>
      <c r="G1522" s="17" t="str">
        <f>Config!$B$3</f>
        <v>SCH/R_IEC.SchLib</v>
      </c>
      <c r="H1522" s="16" t="s">
        <v>419</v>
      </c>
      <c r="I1522" s="18" t="s">
        <v>7493</v>
      </c>
      <c r="J1522" s="16" t="s">
        <v>8273</v>
      </c>
      <c r="K1522" s="16"/>
      <c r="L1522" s="16"/>
      <c r="M1522" s="20">
        <v>1800</v>
      </c>
      <c r="N1522" s="19" t="s">
        <v>8460</v>
      </c>
      <c r="O1522" s="16" t="s">
        <v>4414</v>
      </c>
      <c r="P1522" s="16"/>
      <c r="Q1522" s="16"/>
      <c r="R1522" s="16"/>
      <c r="S1522" s="16"/>
      <c r="T1522" s="16"/>
      <c r="U1522" s="16"/>
      <c r="V1522" s="16"/>
      <c r="W1522" s="17"/>
      <c r="X1522" s="17"/>
      <c r="Y1522" s="17"/>
      <c r="Z1522" s="17"/>
      <c r="AA1522" s="17"/>
      <c r="AB1522" s="17"/>
    </row>
    <row r="1523" spans="1:28">
      <c r="A1523" s="16" t="s">
        <v>8183</v>
      </c>
      <c r="B1523" s="16" t="s">
        <v>8183</v>
      </c>
      <c r="C1523" s="16" t="s">
        <v>8354</v>
      </c>
      <c r="D1523" s="16" t="s">
        <v>21</v>
      </c>
      <c r="E1523" s="36" t="s">
        <v>8444</v>
      </c>
      <c r="F1523" s="16" t="s">
        <v>183</v>
      </c>
      <c r="G1523" s="17" t="str">
        <f>Config!$B$3</f>
        <v>SCH/R_IEC.SchLib</v>
      </c>
      <c r="H1523" s="16" t="s">
        <v>419</v>
      </c>
      <c r="I1523" s="18" t="s">
        <v>7493</v>
      </c>
      <c r="J1523" s="16" t="s">
        <v>8273</v>
      </c>
      <c r="K1523" s="16"/>
      <c r="L1523" s="16"/>
      <c r="M1523" s="20">
        <v>2000</v>
      </c>
      <c r="N1523" s="19" t="s">
        <v>8460</v>
      </c>
      <c r="O1523" s="16" t="s">
        <v>4414</v>
      </c>
      <c r="P1523" s="16"/>
      <c r="Q1523" s="16"/>
      <c r="R1523" s="16"/>
      <c r="S1523" s="16"/>
      <c r="T1523" s="16"/>
      <c r="U1523" s="16"/>
      <c r="V1523" s="16"/>
      <c r="W1523" s="17"/>
      <c r="X1523" s="17"/>
      <c r="Y1523" s="16"/>
      <c r="Z1523" s="17"/>
      <c r="AA1523" s="17"/>
      <c r="AB1523" s="17"/>
    </row>
    <row r="1524" spans="1:28">
      <c r="A1524" s="16" t="s">
        <v>8184</v>
      </c>
      <c r="B1524" s="16" t="s">
        <v>8184</v>
      </c>
      <c r="C1524" s="16" t="s">
        <v>8355</v>
      </c>
      <c r="D1524" s="16" t="s">
        <v>21</v>
      </c>
      <c r="E1524" s="36" t="s">
        <v>8444</v>
      </c>
      <c r="F1524" s="16" t="s">
        <v>187</v>
      </c>
      <c r="G1524" s="17" t="str">
        <f>Config!$B$3</f>
        <v>SCH/R_IEC.SchLib</v>
      </c>
      <c r="H1524" s="16" t="s">
        <v>419</v>
      </c>
      <c r="I1524" s="18" t="s">
        <v>7493</v>
      </c>
      <c r="J1524" s="16" t="s">
        <v>8273</v>
      </c>
      <c r="K1524" s="16"/>
      <c r="L1524" s="16"/>
      <c r="M1524" s="20">
        <v>2200</v>
      </c>
      <c r="N1524" s="19" t="s">
        <v>8460</v>
      </c>
      <c r="O1524" s="16" t="s">
        <v>4414</v>
      </c>
      <c r="P1524" s="16"/>
      <c r="Q1524" s="16"/>
      <c r="R1524" s="16"/>
      <c r="S1524" s="16"/>
      <c r="T1524" s="16"/>
      <c r="U1524" s="16"/>
      <c r="V1524" s="16"/>
      <c r="W1524" s="16"/>
      <c r="Y1524" s="16"/>
      <c r="AA1524" s="17"/>
      <c r="AB1524" s="17"/>
    </row>
    <row r="1525" spans="1:28">
      <c r="A1525" s="16" t="s">
        <v>8185</v>
      </c>
      <c r="B1525" s="16" t="s">
        <v>8185</v>
      </c>
      <c r="C1525" s="16" t="s">
        <v>8356</v>
      </c>
      <c r="D1525" s="16" t="s">
        <v>21</v>
      </c>
      <c r="E1525" s="36" t="s">
        <v>8444</v>
      </c>
      <c r="F1525" s="16" t="s">
        <v>191</v>
      </c>
      <c r="G1525" s="17" t="str">
        <f>Config!$B$3</f>
        <v>SCH/R_IEC.SchLib</v>
      </c>
      <c r="H1525" s="16" t="s">
        <v>419</v>
      </c>
      <c r="I1525" s="18" t="s">
        <v>7493</v>
      </c>
      <c r="J1525" s="16" t="s">
        <v>8273</v>
      </c>
      <c r="K1525" s="16"/>
      <c r="L1525" s="16"/>
      <c r="M1525" s="20">
        <v>2400</v>
      </c>
      <c r="N1525" s="19" t="s">
        <v>8460</v>
      </c>
      <c r="O1525" s="16" t="s">
        <v>4414</v>
      </c>
      <c r="P1525" s="16"/>
      <c r="Q1525" s="16"/>
      <c r="R1525" s="16"/>
      <c r="S1525" s="16"/>
      <c r="T1525" s="16"/>
      <c r="U1525" s="16"/>
      <c r="V1525" s="16"/>
      <c r="W1525" s="17"/>
      <c r="X1525" s="17"/>
      <c r="Y1525" s="17"/>
      <c r="Z1525" s="17"/>
      <c r="AA1525" s="17"/>
      <c r="AB1525" s="17"/>
    </row>
    <row r="1526" spans="1:28">
      <c r="A1526" s="16" t="s">
        <v>8186</v>
      </c>
      <c r="B1526" s="16" t="s">
        <v>8186</v>
      </c>
      <c r="C1526" s="16" t="s">
        <v>8357</v>
      </c>
      <c r="D1526" s="16" t="s">
        <v>21</v>
      </c>
      <c r="E1526" s="36" t="s">
        <v>8444</v>
      </c>
      <c r="F1526" s="16" t="s">
        <v>193</v>
      </c>
      <c r="G1526" s="17" t="str">
        <f>Config!$B$3</f>
        <v>SCH/R_IEC.SchLib</v>
      </c>
      <c r="H1526" s="16" t="s">
        <v>419</v>
      </c>
      <c r="I1526" s="18" t="s">
        <v>7493</v>
      </c>
      <c r="J1526" s="16" t="s">
        <v>8273</v>
      </c>
      <c r="K1526" s="16"/>
      <c r="L1526" s="16"/>
      <c r="M1526" s="20">
        <v>2700</v>
      </c>
      <c r="N1526" s="19" t="s">
        <v>8460</v>
      </c>
      <c r="O1526" s="16" t="s">
        <v>4414</v>
      </c>
      <c r="P1526" s="16"/>
      <c r="Q1526" s="16"/>
      <c r="R1526" s="16"/>
      <c r="S1526" s="16"/>
      <c r="T1526" s="16"/>
      <c r="U1526" s="16"/>
      <c r="V1526" s="16"/>
      <c r="W1526" s="17"/>
      <c r="X1526" s="17"/>
      <c r="Y1526" s="17"/>
      <c r="Z1526" s="17"/>
      <c r="AA1526" s="17"/>
      <c r="AB1526" s="17"/>
    </row>
    <row r="1527" spans="1:28">
      <c r="A1527" s="16" t="s">
        <v>8187</v>
      </c>
      <c r="B1527" s="16" t="s">
        <v>8187</v>
      </c>
      <c r="C1527" s="16" t="s">
        <v>8358</v>
      </c>
      <c r="D1527" s="16" t="s">
        <v>21</v>
      </c>
      <c r="E1527" s="36" t="s">
        <v>8444</v>
      </c>
      <c r="F1527" s="16" t="s">
        <v>197</v>
      </c>
      <c r="G1527" s="17" t="str">
        <f>Config!$B$3</f>
        <v>SCH/R_IEC.SchLib</v>
      </c>
      <c r="H1527" s="16" t="s">
        <v>419</v>
      </c>
      <c r="I1527" s="18" t="s">
        <v>7493</v>
      </c>
      <c r="J1527" s="16" t="s">
        <v>8273</v>
      </c>
      <c r="K1527" s="16"/>
      <c r="L1527" s="16"/>
      <c r="M1527" s="20">
        <v>3000</v>
      </c>
      <c r="N1527" s="19" t="s">
        <v>8460</v>
      </c>
      <c r="O1527" s="16" t="s">
        <v>4414</v>
      </c>
      <c r="P1527" s="16"/>
      <c r="Q1527" s="16"/>
      <c r="R1527" s="16"/>
      <c r="S1527" s="16"/>
      <c r="T1527" s="16"/>
      <c r="U1527" s="16"/>
      <c r="V1527" s="16"/>
      <c r="W1527" s="17"/>
      <c r="X1527" s="17"/>
      <c r="Y1527" s="17"/>
      <c r="Z1527" s="17"/>
      <c r="AA1527" s="17"/>
      <c r="AB1527" s="17"/>
    </row>
    <row r="1528" spans="1:28">
      <c r="A1528" s="16" t="s">
        <v>8188</v>
      </c>
      <c r="B1528" s="16" t="s">
        <v>8188</v>
      </c>
      <c r="C1528" s="16" t="s">
        <v>8359</v>
      </c>
      <c r="D1528" s="16" t="s">
        <v>21</v>
      </c>
      <c r="E1528" s="36" t="s">
        <v>8444</v>
      </c>
      <c r="F1528" s="16" t="s">
        <v>201</v>
      </c>
      <c r="G1528" s="17" t="str">
        <f>Config!$B$3</f>
        <v>SCH/R_IEC.SchLib</v>
      </c>
      <c r="H1528" s="16" t="s">
        <v>419</v>
      </c>
      <c r="I1528" s="18" t="s">
        <v>7493</v>
      </c>
      <c r="J1528" s="16" t="s">
        <v>8273</v>
      </c>
      <c r="K1528" s="16"/>
      <c r="L1528" s="16"/>
      <c r="M1528" s="20">
        <v>3300</v>
      </c>
      <c r="N1528" s="19" t="s">
        <v>8460</v>
      </c>
      <c r="O1528" s="16" t="s">
        <v>4414</v>
      </c>
      <c r="P1528" s="16"/>
      <c r="Q1528" s="16"/>
      <c r="R1528" s="16"/>
      <c r="S1528" s="16"/>
      <c r="T1528" s="16"/>
      <c r="U1528" s="16"/>
      <c r="V1528" s="16"/>
      <c r="W1528" s="17"/>
      <c r="X1528" s="17"/>
      <c r="Y1528" s="17"/>
      <c r="Z1528" s="17"/>
      <c r="AA1528" s="17"/>
      <c r="AB1528" s="17"/>
    </row>
    <row r="1529" spans="1:28">
      <c r="A1529" s="16" t="s">
        <v>8189</v>
      </c>
      <c r="B1529" s="16" t="s">
        <v>8189</v>
      </c>
      <c r="C1529" s="16" t="s">
        <v>8360</v>
      </c>
      <c r="D1529" s="16" t="s">
        <v>21</v>
      </c>
      <c r="E1529" s="36" t="s">
        <v>8444</v>
      </c>
      <c r="F1529" s="16" t="s">
        <v>203</v>
      </c>
      <c r="G1529" s="17" t="str">
        <f>Config!$B$3</f>
        <v>SCH/R_IEC.SchLib</v>
      </c>
      <c r="H1529" s="16" t="s">
        <v>419</v>
      </c>
      <c r="I1529" s="18" t="s">
        <v>7493</v>
      </c>
      <c r="J1529" s="16" t="s">
        <v>8273</v>
      </c>
      <c r="K1529" s="16"/>
      <c r="L1529" s="16"/>
      <c r="M1529" s="20">
        <v>3600</v>
      </c>
      <c r="N1529" s="19" t="s">
        <v>8460</v>
      </c>
      <c r="O1529" s="16" t="s">
        <v>4414</v>
      </c>
      <c r="P1529" s="16"/>
      <c r="Q1529" s="16"/>
      <c r="R1529" s="16"/>
      <c r="S1529" s="16"/>
      <c r="T1529" s="16"/>
      <c r="U1529" s="16"/>
      <c r="V1529" s="16"/>
      <c r="W1529" s="17"/>
      <c r="X1529" s="17"/>
      <c r="Y1529" s="17"/>
      <c r="Z1529" s="17"/>
      <c r="AA1529" s="17"/>
      <c r="AB1529" s="17"/>
    </row>
    <row r="1530" spans="1:28">
      <c r="A1530" s="16" t="s">
        <v>8190</v>
      </c>
      <c r="B1530" s="16" t="s">
        <v>8190</v>
      </c>
      <c r="C1530" s="16" t="s">
        <v>8361</v>
      </c>
      <c r="D1530" s="16" t="s">
        <v>21</v>
      </c>
      <c r="E1530" s="36" t="s">
        <v>8444</v>
      </c>
      <c r="F1530" s="16" t="s">
        <v>205</v>
      </c>
      <c r="G1530" s="17" t="str">
        <f>Config!$B$3</f>
        <v>SCH/R_IEC.SchLib</v>
      </c>
      <c r="H1530" s="16" t="s">
        <v>419</v>
      </c>
      <c r="I1530" s="18" t="s">
        <v>7493</v>
      </c>
      <c r="J1530" s="16" t="s">
        <v>8273</v>
      </c>
      <c r="K1530" s="16"/>
      <c r="L1530" s="16"/>
      <c r="M1530" s="20">
        <v>3900</v>
      </c>
      <c r="N1530" s="19" t="s">
        <v>8460</v>
      </c>
      <c r="O1530" s="16" t="s">
        <v>4414</v>
      </c>
      <c r="P1530" s="16"/>
      <c r="Q1530" s="16"/>
      <c r="R1530" s="16"/>
      <c r="S1530" s="16"/>
      <c r="T1530" s="16"/>
      <c r="U1530" s="16"/>
      <c r="V1530" s="16"/>
      <c r="W1530" s="17"/>
      <c r="X1530" s="17"/>
      <c r="Y1530" s="17"/>
      <c r="Z1530" s="17"/>
      <c r="AA1530" s="17"/>
      <c r="AB1530" s="17"/>
    </row>
    <row r="1531" spans="1:28">
      <c r="A1531" s="16" t="s">
        <v>8191</v>
      </c>
      <c r="B1531" s="16" t="s">
        <v>8191</v>
      </c>
      <c r="C1531" s="16" t="s">
        <v>8362</v>
      </c>
      <c r="D1531" s="16" t="s">
        <v>21</v>
      </c>
      <c r="E1531" s="36" t="s">
        <v>8444</v>
      </c>
      <c r="F1531" s="16" t="s">
        <v>207</v>
      </c>
      <c r="G1531" s="17" t="str">
        <f>Config!$B$3</f>
        <v>SCH/R_IEC.SchLib</v>
      </c>
      <c r="H1531" s="16" t="s">
        <v>419</v>
      </c>
      <c r="I1531" s="18" t="s">
        <v>7493</v>
      </c>
      <c r="J1531" s="16" t="s">
        <v>8273</v>
      </c>
      <c r="K1531" s="16"/>
      <c r="L1531" s="16"/>
      <c r="M1531" s="20">
        <v>4300</v>
      </c>
      <c r="N1531" s="19" t="s">
        <v>8460</v>
      </c>
      <c r="O1531" s="16" t="s">
        <v>4414</v>
      </c>
      <c r="P1531" s="16"/>
      <c r="Q1531" s="16"/>
      <c r="R1531" s="16"/>
      <c r="S1531" s="16"/>
      <c r="T1531" s="16"/>
      <c r="U1531" s="16"/>
      <c r="V1531" s="16"/>
      <c r="W1531" s="17"/>
      <c r="X1531" s="17"/>
      <c r="Y1531" s="17"/>
      <c r="Z1531" s="17"/>
      <c r="AA1531" s="17"/>
      <c r="AB1531" s="17"/>
    </row>
    <row r="1532" spans="1:28">
      <c r="A1532" s="16" t="s">
        <v>8192</v>
      </c>
      <c r="B1532" s="16" t="s">
        <v>8192</v>
      </c>
      <c r="C1532" s="16" t="s">
        <v>8363</v>
      </c>
      <c r="D1532" s="16" t="s">
        <v>21</v>
      </c>
      <c r="E1532" s="36" t="s">
        <v>8444</v>
      </c>
      <c r="F1532" s="16" t="s">
        <v>209</v>
      </c>
      <c r="G1532" s="17" t="str">
        <f>Config!$B$3</f>
        <v>SCH/R_IEC.SchLib</v>
      </c>
      <c r="H1532" s="16" t="s">
        <v>419</v>
      </c>
      <c r="I1532" s="18" t="s">
        <v>7493</v>
      </c>
      <c r="J1532" s="16" t="s">
        <v>8273</v>
      </c>
      <c r="K1532" s="16"/>
      <c r="L1532" s="16"/>
      <c r="M1532" s="20">
        <v>4700</v>
      </c>
      <c r="N1532" s="19" t="s">
        <v>8460</v>
      </c>
      <c r="O1532" s="16" t="s">
        <v>4414</v>
      </c>
      <c r="P1532" s="16"/>
      <c r="Q1532" s="16"/>
      <c r="R1532" s="16"/>
      <c r="S1532" s="16"/>
      <c r="T1532" s="16"/>
      <c r="U1532" s="16"/>
      <c r="V1532" s="16"/>
      <c r="W1532" s="16"/>
      <c r="X1532" s="17"/>
      <c r="Y1532" s="16"/>
      <c r="Z1532" s="17"/>
      <c r="AA1532" s="16"/>
      <c r="AB1532" s="17"/>
    </row>
    <row r="1533" spans="1:28">
      <c r="A1533" s="16" t="s">
        <v>8193</v>
      </c>
      <c r="B1533" s="16" t="s">
        <v>8193</v>
      </c>
      <c r="C1533" s="16" t="s">
        <v>8364</v>
      </c>
      <c r="D1533" s="16" t="s">
        <v>21</v>
      </c>
      <c r="E1533" s="36" t="s">
        <v>8444</v>
      </c>
      <c r="F1533" s="16" t="s">
        <v>213</v>
      </c>
      <c r="G1533" s="17" t="str">
        <f>Config!$B$3</f>
        <v>SCH/R_IEC.SchLib</v>
      </c>
      <c r="H1533" s="16" t="s">
        <v>419</v>
      </c>
      <c r="I1533" s="18" t="s">
        <v>7493</v>
      </c>
      <c r="J1533" s="16" t="s">
        <v>8273</v>
      </c>
      <c r="K1533" s="16"/>
      <c r="L1533" s="16"/>
      <c r="M1533" s="20">
        <v>5100</v>
      </c>
      <c r="N1533" s="19" t="s">
        <v>8460</v>
      </c>
      <c r="O1533" s="16" t="s">
        <v>4414</v>
      </c>
      <c r="P1533" s="16"/>
      <c r="Q1533" s="16"/>
      <c r="R1533" s="16"/>
      <c r="S1533" s="16"/>
      <c r="T1533" s="16"/>
      <c r="U1533" s="16"/>
      <c r="V1533" s="16"/>
      <c r="W1533" s="16"/>
      <c r="X1533" s="17"/>
      <c r="Y1533" s="16"/>
      <c r="Z1533" s="17"/>
      <c r="AA1533" s="16"/>
      <c r="AB1533" s="17"/>
    </row>
    <row r="1534" spans="1:28">
      <c r="A1534" s="16" t="s">
        <v>8194</v>
      </c>
      <c r="B1534" s="16" t="s">
        <v>8194</v>
      </c>
      <c r="C1534" s="16" t="s">
        <v>8365</v>
      </c>
      <c r="D1534" s="16" t="s">
        <v>21</v>
      </c>
      <c r="E1534" s="36" t="s">
        <v>8444</v>
      </c>
      <c r="F1534" s="16" t="s">
        <v>215</v>
      </c>
      <c r="G1534" s="17" t="str">
        <f>Config!$B$3</f>
        <v>SCH/R_IEC.SchLib</v>
      </c>
      <c r="H1534" s="16" t="s">
        <v>419</v>
      </c>
      <c r="I1534" s="18" t="s">
        <v>7493</v>
      </c>
      <c r="J1534" s="16" t="s">
        <v>8273</v>
      </c>
      <c r="K1534" s="16"/>
      <c r="L1534" s="16"/>
      <c r="M1534" s="20">
        <v>5600</v>
      </c>
      <c r="N1534" s="19" t="s">
        <v>8460</v>
      </c>
      <c r="O1534" s="16" t="s">
        <v>4414</v>
      </c>
      <c r="P1534" s="16"/>
      <c r="Q1534" s="16"/>
      <c r="R1534" s="16"/>
      <c r="S1534" s="16"/>
      <c r="T1534" s="16"/>
      <c r="U1534" s="16"/>
      <c r="V1534" s="16"/>
      <c r="W1534" s="17"/>
      <c r="X1534" s="17"/>
      <c r="Y1534" s="17"/>
      <c r="Z1534" s="17"/>
      <c r="AA1534" s="17"/>
      <c r="AB1534" s="17"/>
    </row>
    <row r="1535" spans="1:28">
      <c r="A1535" s="16" t="s">
        <v>8195</v>
      </c>
      <c r="B1535" s="16" t="s">
        <v>8195</v>
      </c>
      <c r="C1535" s="16" t="s">
        <v>8366</v>
      </c>
      <c r="D1535" s="16" t="s">
        <v>21</v>
      </c>
      <c r="E1535" s="36" t="s">
        <v>8444</v>
      </c>
      <c r="F1535" s="16" t="s">
        <v>217</v>
      </c>
      <c r="G1535" s="17" t="str">
        <f>Config!$B$3</f>
        <v>SCH/R_IEC.SchLib</v>
      </c>
      <c r="H1535" s="16" t="s">
        <v>419</v>
      </c>
      <c r="I1535" s="18" t="s">
        <v>7493</v>
      </c>
      <c r="J1535" s="16" t="s">
        <v>8273</v>
      </c>
      <c r="K1535" s="16"/>
      <c r="L1535" s="16"/>
      <c r="M1535" s="20">
        <v>6200</v>
      </c>
      <c r="N1535" s="19" t="s">
        <v>8460</v>
      </c>
      <c r="O1535" s="16" t="s">
        <v>4414</v>
      </c>
      <c r="P1535" s="16"/>
      <c r="Q1535" s="16"/>
      <c r="R1535" s="16"/>
      <c r="S1535" s="16"/>
      <c r="T1535" s="16"/>
      <c r="U1535" s="16"/>
      <c r="V1535" s="16"/>
      <c r="W1535" s="17"/>
      <c r="X1535" s="17"/>
      <c r="Y1535" s="17"/>
      <c r="Z1535" s="17"/>
      <c r="AA1535" s="17"/>
      <c r="AB1535" s="17"/>
    </row>
    <row r="1536" spans="1:28">
      <c r="A1536" s="16" t="s">
        <v>8196</v>
      </c>
      <c r="B1536" s="16" t="s">
        <v>8196</v>
      </c>
      <c r="C1536" s="16" t="s">
        <v>8367</v>
      </c>
      <c r="D1536" s="16" t="s">
        <v>21</v>
      </c>
      <c r="E1536" s="36" t="s">
        <v>8444</v>
      </c>
      <c r="F1536" s="16" t="s">
        <v>219</v>
      </c>
      <c r="G1536" s="17" t="str">
        <f>Config!$B$3</f>
        <v>SCH/R_IEC.SchLib</v>
      </c>
      <c r="H1536" s="16" t="s">
        <v>419</v>
      </c>
      <c r="I1536" s="18" t="s">
        <v>7493</v>
      </c>
      <c r="J1536" s="16" t="s">
        <v>8273</v>
      </c>
      <c r="K1536" s="16"/>
      <c r="L1536" s="16"/>
      <c r="M1536" s="20">
        <v>6800</v>
      </c>
      <c r="N1536" s="19" t="s">
        <v>8460</v>
      </c>
      <c r="O1536" s="16" t="s">
        <v>4414</v>
      </c>
      <c r="P1536" s="16"/>
      <c r="Q1536" s="16"/>
      <c r="R1536" s="16"/>
      <c r="S1536" s="16"/>
      <c r="T1536" s="16"/>
      <c r="U1536" s="16"/>
      <c r="V1536" s="16"/>
      <c r="W1536" s="17"/>
      <c r="X1536" s="17"/>
      <c r="Y1536" s="17"/>
      <c r="Z1536" s="17"/>
      <c r="AA1536" s="17"/>
      <c r="AB1536" s="17"/>
    </row>
    <row r="1537" spans="1:28">
      <c r="A1537" s="16" t="s">
        <v>8197</v>
      </c>
      <c r="B1537" s="16" t="s">
        <v>8197</v>
      </c>
      <c r="C1537" s="16" t="s">
        <v>8368</v>
      </c>
      <c r="D1537" s="16" t="s">
        <v>21</v>
      </c>
      <c r="E1537" s="36" t="s">
        <v>8444</v>
      </c>
      <c r="F1537" s="16" t="s">
        <v>221</v>
      </c>
      <c r="G1537" s="17" t="str">
        <f>Config!$B$3</f>
        <v>SCH/R_IEC.SchLib</v>
      </c>
      <c r="H1537" s="16" t="s">
        <v>419</v>
      </c>
      <c r="I1537" s="18" t="s">
        <v>7493</v>
      </c>
      <c r="J1537" s="16" t="s">
        <v>8273</v>
      </c>
      <c r="K1537" s="16"/>
      <c r="L1537" s="16"/>
      <c r="M1537" s="20">
        <v>7500</v>
      </c>
      <c r="N1537" s="19" t="s">
        <v>8460</v>
      </c>
      <c r="O1537" s="16" t="s">
        <v>4414</v>
      </c>
      <c r="P1537" s="16"/>
      <c r="Q1537" s="16"/>
      <c r="R1537" s="16"/>
      <c r="S1537" s="16"/>
      <c r="T1537" s="16"/>
      <c r="U1537" s="16"/>
      <c r="V1537" s="16"/>
      <c r="W1537" s="17"/>
      <c r="X1537" s="17"/>
      <c r="Y1537" s="17"/>
      <c r="Z1537" s="17"/>
      <c r="AA1537" s="17"/>
      <c r="AB1537" s="17"/>
    </row>
    <row r="1538" spans="1:28">
      <c r="A1538" s="16" t="s">
        <v>8198</v>
      </c>
      <c r="B1538" s="16" t="s">
        <v>8198</v>
      </c>
      <c r="C1538" s="16" t="s">
        <v>8369</v>
      </c>
      <c r="D1538" s="16" t="s">
        <v>21</v>
      </c>
      <c r="E1538" s="36" t="s">
        <v>8444</v>
      </c>
      <c r="F1538" s="16" t="s">
        <v>223</v>
      </c>
      <c r="G1538" s="17" t="str">
        <f>Config!$B$3</f>
        <v>SCH/R_IEC.SchLib</v>
      </c>
      <c r="H1538" s="16" t="s">
        <v>419</v>
      </c>
      <c r="I1538" s="18" t="s">
        <v>7493</v>
      </c>
      <c r="J1538" s="16" t="s">
        <v>8273</v>
      </c>
      <c r="K1538" s="16"/>
      <c r="L1538" s="16"/>
      <c r="M1538" s="20">
        <v>8200</v>
      </c>
      <c r="N1538" s="19" t="s">
        <v>8460</v>
      </c>
      <c r="O1538" s="16" t="s">
        <v>4414</v>
      </c>
      <c r="P1538" s="16"/>
      <c r="Q1538" s="16"/>
      <c r="R1538" s="16"/>
      <c r="S1538" s="16"/>
      <c r="T1538" s="16"/>
      <c r="U1538" s="16"/>
      <c r="V1538" s="16"/>
      <c r="W1538" s="17"/>
      <c r="X1538" s="17"/>
      <c r="Y1538" s="17"/>
      <c r="Z1538" s="17"/>
      <c r="AA1538" s="17"/>
      <c r="AB1538" s="17"/>
    </row>
    <row r="1539" spans="1:28">
      <c r="A1539" s="16" t="s">
        <v>8199</v>
      </c>
      <c r="B1539" s="16" t="s">
        <v>8199</v>
      </c>
      <c r="C1539" s="16" t="s">
        <v>8370</v>
      </c>
      <c r="D1539" s="16" t="s">
        <v>21</v>
      </c>
      <c r="E1539" s="36" t="s">
        <v>8444</v>
      </c>
      <c r="F1539" s="16" t="s">
        <v>225</v>
      </c>
      <c r="G1539" s="17" t="str">
        <f>Config!$B$3</f>
        <v>SCH/R_IEC.SchLib</v>
      </c>
      <c r="H1539" s="16" t="s">
        <v>419</v>
      </c>
      <c r="I1539" s="18" t="s">
        <v>7493</v>
      </c>
      <c r="J1539" s="16" t="s">
        <v>8273</v>
      </c>
      <c r="K1539" s="16"/>
      <c r="L1539" s="16"/>
      <c r="M1539" s="20">
        <v>9100</v>
      </c>
      <c r="N1539" s="19" t="s">
        <v>8460</v>
      </c>
      <c r="O1539" s="16" t="s">
        <v>4414</v>
      </c>
      <c r="P1539" s="16"/>
      <c r="Q1539" s="16"/>
      <c r="R1539" s="16"/>
      <c r="S1539" s="16"/>
      <c r="T1539" s="16"/>
      <c r="U1539" s="16"/>
      <c r="V1539" s="16"/>
      <c r="W1539" s="17"/>
      <c r="X1539" s="17"/>
      <c r="Y1539" s="17"/>
      <c r="Z1539" s="17"/>
      <c r="AA1539" s="17"/>
      <c r="AB1539" s="17"/>
    </row>
    <row r="1540" spans="1:28">
      <c r="A1540" s="16" t="s">
        <v>8200</v>
      </c>
      <c r="B1540" s="16" t="s">
        <v>8200</v>
      </c>
      <c r="C1540" s="16" t="s">
        <v>8371</v>
      </c>
      <c r="D1540" s="16" t="s">
        <v>21</v>
      </c>
      <c r="E1540" s="36" t="s">
        <v>8444</v>
      </c>
      <c r="F1540" s="16" t="s">
        <v>229</v>
      </c>
      <c r="G1540" s="17" t="str">
        <f>Config!$B$3</f>
        <v>SCH/R_IEC.SchLib</v>
      </c>
      <c r="H1540" s="16" t="s">
        <v>419</v>
      </c>
      <c r="I1540" s="18" t="s">
        <v>7493</v>
      </c>
      <c r="J1540" s="16" t="s">
        <v>8273</v>
      </c>
      <c r="K1540" s="16"/>
      <c r="L1540" s="16"/>
      <c r="M1540" s="20">
        <v>10000</v>
      </c>
      <c r="N1540" s="19" t="s">
        <v>8460</v>
      </c>
      <c r="O1540" s="16" t="s">
        <v>4414</v>
      </c>
      <c r="P1540" s="16" t="s">
        <v>8445</v>
      </c>
      <c r="Q1540" s="16" t="s">
        <v>25</v>
      </c>
      <c r="R1540" s="16" t="s">
        <v>10579</v>
      </c>
      <c r="S1540" s="16" t="s">
        <v>4414</v>
      </c>
      <c r="T1540" s="16" t="s">
        <v>8445</v>
      </c>
      <c r="U1540" s="16" t="s">
        <v>8447</v>
      </c>
      <c r="V1540" s="16" t="s">
        <v>8448</v>
      </c>
      <c r="W1540" s="17"/>
      <c r="X1540" s="17"/>
      <c r="Y1540" s="16"/>
      <c r="Z1540" s="17"/>
      <c r="AA1540" s="17"/>
      <c r="AB1540" s="17"/>
    </row>
    <row r="1541" spans="1:28">
      <c r="A1541" s="16" t="s">
        <v>8201</v>
      </c>
      <c r="B1541" s="16" t="s">
        <v>8201</v>
      </c>
      <c r="C1541" s="16" t="s">
        <v>8372</v>
      </c>
      <c r="D1541" s="16" t="s">
        <v>21</v>
      </c>
      <c r="E1541" s="36" t="s">
        <v>8444</v>
      </c>
      <c r="F1541" s="16" t="s">
        <v>233</v>
      </c>
      <c r="G1541" s="17" t="str">
        <f>Config!$B$3</f>
        <v>SCH/R_IEC.SchLib</v>
      </c>
      <c r="H1541" s="16" t="s">
        <v>419</v>
      </c>
      <c r="I1541" s="18" t="s">
        <v>7493</v>
      </c>
      <c r="J1541" s="16" t="s">
        <v>8273</v>
      </c>
      <c r="K1541" s="16"/>
      <c r="L1541" s="16"/>
      <c r="M1541" s="20">
        <v>11000</v>
      </c>
      <c r="N1541" s="19" t="s">
        <v>8460</v>
      </c>
      <c r="O1541" s="16" t="s">
        <v>4414</v>
      </c>
      <c r="P1541" s="16"/>
      <c r="Q1541" s="16"/>
      <c r="R1541" s="16"/>
      <c r="S1541" s="16"/>
      <c r="T1541" s="16"/>
      <c r="U1541" s="16"/>
      <c r="V1541" s="16"/>
      <c r="W1541" s="17"/>
      <c r="X1541" s="17"/>
      <c r="Y1541" s="17"/>
      <c r="Z1541" s="17"/>
      <c r="AA1541" s="17"/>
      <c r="AB1541" s="17"/>
    </row>
    <row r="1542" spans="1:28">
      <c r="A1542" s="16" t="s">
        <v>8202</v>
      </c>
      <c r="B1542" s="16" t="s">
        <v>8202</v>
      </c>
      <c r="C1542" s="16" t="s">
        <v>8373</v>
      </c>
      <c r="D1542" s="16" t="s">
        <v>21</v>
      </c>
      <c r="E1542" s="36" t="s">
        <v>8444</v>
      </c>
      <c r="F1542" s="16" t="s">
        <v>235</v>
      </c>
      <c r="G1542" s="17" t="str">
        <f>Config!$B$3</f>
        <v>SCH/R_IEC.SchLib</v>
      </c>
      <c r="H1542" s="16" t="s">
        <v>419</v>
      </c>
      <c r="I1542" s="18" t="s">
        <v>7493</v>
      </c>
      <c r="J1542" s="16" t="s">
        <v>8273</v>
      </c>
      <c r="K1542" s="16"/>
      <c r="L1542" s="16"/>
      <c r="M1542" s="20">
        <v>12000</v>
      </c>
      <c r="N1542" s="19" t="s">
        <v>8460</v>
      </c>
      <c r="O1542" s="16" t="s">
        <v>4414</v>
      </c>
      <c r="P1542" s="16"/>
      <c r="Q1542" s="16"/>
      <c r="R1542" s="16"/>
      <c r="S1542" s="16"/>
      <c r="T1542" s="16"/>
      <c r="U1542" s="16"/>
      <c r="V1542" s="16"/>
      <c r="W1542" s="17"/>
      <c r="X1542" s="17"/>
      <c r="Y1542" s="17"/>
      <c r="Z1542" s="17"/>
      <c r="AA1542" s="17"/>
      <c r="AB1542" s="17"/>
    </row>
    <row r="1543" spans="1:28">
      <c r="A1543" s="16" t="s">
        <v>8203</v>
      </c>
      <c r="B1543" s="16" t="s">
        <v>8203</v>
      </c>
      <c r="C1543" s="16" t="s">
        <v>8374</v>
      </c>
      <c r="D1543" s="16" t="s">
        <v>21</v>
      </c>
      <c r="E1543" s="36" t="s">
        <v>8444</v>
      </c>
      <c r="F1543" s="16" t="s">
        <v>239</v>
      </c>
      <c r="G1543" s="17" t="str">
        <f>Config!$B$3</f>
        <v>SCH/R_IEC.SchLib</v>
      </c>
      <c r="H1543" s="16" t="s">
        <v>419</v>
      </c>
      <c r="I1543" s="18" t="s">
        <v>7493</v>
      </c>
      <c r="J1543" s="16" t="s">
        <v>8273</v>
      </c>
      <c r="K1543" s="16"/>
      <c r="L1543" s="16"/>
      <c r="M1543" s="20">
        <v>13000</v>
      </c>
      <c r="N1543" s="19" t="s">
        <v>8460</v>
      </c>
      <c r="O1543" s="16" t="s">
        <v>4414</v>
      </c>
      <c r="P1543" s="16"/>
      <c r="Q1543" s="16"/>
      <c r="R1543" s="16"/>
      <c r="S1543" s="16"/>
      <c r="T1543" s="16"/>
      <c r="U1543" s="16"/>
      <c r="V1543" s="16"/>
      <c r="W1543" s="16"/>
      <c r="X1543" s="17"/>
      <c r="Y1543" s="16"/>
      <c r="Z1543" s="16"/>
      <c r="AA1543" s="16"/>
      <c r="AB1543" s="17"/>
    </row>
    <row r="1544" spans="1:28">
      <c r="A1544" s="16" t="s">
        <v>8204</v>
      </c>
      <c r="B1544" s="16" t="s">
        <v>8204</v>
      </c>
      <c r="C1544" s="16" t="s">
        <v>8375</v>
      </c>
      <c r="D1544" s="16" t="s">
        <v>21</v>
      </c>
      <c r="E1544" s="36" t="s">
        <v>8444</v>
      </c>
      <c r="F1544" s="16" t="s">
        <v>243</v>
      </c>
      <c r="G1544" s="17" t="str">
        <f>Config!$B$3</f>
        <v>SCH/R_IEC.SchLib</v>
      </c>
      <c r="H1544" s="16" t="s">
        <v>419</v>
      </c>
      <c r="I1544" s="18" t="s">
        <v>7493</v>
      </c>
      <c r="J1544" s="16" t="s">
        <v>8273</v>
      </c>
      <c r="K1544" s="16"/>
      <c r="L1544" s="16"/>
      <c r="M1544" s="20">
        <v>15000</v>
      </c>
      <c r="N1544" s="19" t="s">
        <v>8460</v>
      </c>
      <c r="O1544" s="16" t="s">
        <v>4414</v>
      </c>
      <c r="P1544" s="16"/>
      <c r="Q1544" s="16"/>
      <c r="R1544" s="16"/>
      <c r="S1544" s="16"/>
      <c r="T1544" s="16"/>
      <c r="U1544" s="16"/>
      <c r="V1544" s="16"/>
      <c r="W1544" s="16"/>
      <c r="Y1544" s="16"/>
      <c r="AA1544" s="16"/>
      <c r="AB1544" s="17"/>
    </row>
    <row r="1545" spans="1:28">
      <c r="A1545" s="16" t="s">
        <v>8205</v>
      </c>
      <c r="B1545" s="16" t="s">
        <v>8205</v>
      </c>
      <c r="C1545" s="16" t="s">
        <v>8376</v>
      </c>
      <c r="D1545" s="16" t="s">
        <v>21</v>
      </c>
      <c r="E1545" s="36" t="s">
        <v>8444</v>
      </c>
      <c r="F1545" s="16" t="s">
        <v>247</v>
      </c>
      <c r="G1545" s="17" t="str">
        <f>Config!$B$3</f>
        <v>SCH/R_IEC.SchLib</v>
      </c>
      <c r="H1545" s="16" t="s">
        <v>419</v>
      </c>
      <c r="I1545" s="18" t="s">
        <v>7493</v>
      </c>
      <c r="J1545" s="16" t="s">
        <v>8273</v>
      </c>
      <c r="K1545" s="16"/>
      <c r="L1545" s="16"/>
      <c r="M1545" s="20">
        <v>16000</v>
      </c>
      <c r="N1545" s="19" t="s">
        <v>8460</v>
      </c>
      <c r="O1545" s="16" t="s">
        <v>4414</v>
      </c>
      <c r="P1545" s="16"/>
      <c r="Q1545" s="16"/>
      <c r="R1545" s="16"/>
      <c r="S1545" s="16"/>
      <c r="T1545" s="16"/>
      <c r="U1545" s="16"/>
      <c r="V1545" s="16"/>
      <c r="W1545" s="17"/>
      <c r="X1545" s="17"/>
      <c r="Y1545" s="17"/>
      <c r="Z1545" s="17"/>
      <c r="AA1545" s="17"/>
      <c r="AB1545" s="17"/>
    </row>
    <row r="1546" spans="1:28">
      <c r="A1546" s="16" t="s">
        <v>8206</v>
      </c>
      <c r="B1546" s="16" t="s">
        <v>8206</v>
      </c>
      <c r="C1546" s="16" t="s">
        <v>8377</v>
      </c>
      <c r="D1546" s="16" t="s">
        <v>21</v>
      </c>
      <c r="E1546" s="36" t="s">
        <v>8444</v>
      </c>
      <c r="F1546" s="16" t="s">
        <v>251</v>
      </c>
      <c r="G1546" s="17" t="str">
        <f>Config!$B$3</f>
        <v>SCH/R_IEC.SchLib</v>
      </c>
      <c r="H1546" s="16" t="s">
        <v>419</v>
      </c>
      <c r="I1546" s="18" t="s">
        <v>7493</v>
      </c>
      <c r="J1546" s="16" t="s">
        <v>8273</v>
      </c>
      <c r="K1546" s="16"/>
      <c r="L1546" s="16"/>
      <c r="M1546" s="20">
        <v>18000</v>
      </c>
      <c r="N1546" s="19" t="s">
        <v>8460</v>
      </c>
      <c r="O1546" s="16" t="s">
        <v>4414</v>
      </c>
      <c r="P1546" s="16"/>
      <c r="Q1546" s="16"/>
      <c r="R1546" s="16"/>
      <c r="S1546" s="16"/>
      <c r="T1546" s="16"/>
      <c r="U1546" s="16"/>
      <c r="V1546" s="16"/>
      <c r="W1546" s="17"/>
      <c r="X1546" s="17"/>
      <c r="Y1546" s="17"/>
      <c r="Z1546" s="17"/>
      <c r="AA1546" s="17"/>
      <c r="AB1546" s="17"/>
    </row>
    <row r="1547" spans="1:28">
      <c r="A1547" s="16" t="s">
        <v>8207</v>
      </c>
      <c r="B1547" s="16" t="s">
        <v>8207</v>
      </c>
      <c r="C1547" s="16" t="s">
        <v>8378</v>
      </c>
      <c r="D1547" s="16" t="s">
        <v>21</v>
      </c>
      <c r="E1547" s="36" t="s">
        <v>8444</v>
      </c>
      <c r="F1547" s="16" t="s">
        <v>255</v>
      </c>
      <c r="G1547" s="17" t="str">
        <f>Config!$B$3</f>
        <v>SCH/R_IEC.SchLib</v>
      </c>
      <c r="H1547" s="16" t="s">
        <v>419</v>
      </c>
      <c r="I1547" s="18" t="s">
        <v>7493</v>
      </c>
      <c r="J1547" s="16" t="s">
        <v>8273</v>
      </c>
      <c r="K1547" s="16"/>
      <c r="L1547" s="16"/>
      <c r="M1547" s="20">
        <v>20000</v>
      </c>
      <c r="N1547" s="19" t="s">
        <v>8460</v>
      </c>
      <c r="O1547" s="16" t="s">
        <v>4414</v>
      </c>
      <c r="P1547" s="16"/>
      <c r="Q1547" s="16"/>
      <c r="R1547" s="16"/>
      <c r="S1547" s="16"/>
      <c r="T1547" s="16"/>
      <c r="U1547" s="16"/>
      <c r="V1547" s="16"/>
      <c r="W1547" s="17"/>
      <c r="X1547" s="17"/>
      <c r="Y1547" s="17"/>
      <c r="Z1547" s="17"/>
      <c r="AA1547" s="17"/>
      <c r="AB1547" s="17"/>
    </row>
    <row r="1548" spans="1:28">
      <c r="A1548" s="16" t="s">
        <v>8208</v>
      </c>
      <c r="B1548" s="16" t="s">
        <v>8208</v>
      </c>
      <c r="C1548" s="16" t="s">
        <v>8379</v>
      </c>
      <c r="D1548" s="16" t="s">
        <v>21</v>
      </c>
      <c r="E1548" s="36" t="s">
        <v>8444</v>
      </c>
      <c r="F1548" s="16" t="s">
        <v>257</v>
      </c>
      <c r="G1548" s="17" t="str">
        <f>Config!$B$3</f>
        <v>SCH/R_IEC.SchLib</v>
      </c>
      <c r="H1548" s="16" t="s">
        <v>419</v>
      </c>
      <c r="I1548" s="18" t="s">
        <v>7493</v>
      </c>
      <c r="J1548" s="16" t="s">
        <v>8273</v>
      </c>
      <c r="K1548" s="16"/>
      <c r="L1548" s="16"/>
      <c r="M1548" s="20">
        <v>22000</v>
      </c>
      <c r="N1548" s="19" t="s">
        <v>8460</v>
      </c>
      <c r="O1548" s="16" t="s">
        <v>4414</v>
      </c>
      <c r="P1548" s="16"/>
      <c r="Q1548" s="16"/>
      <c r="R1548" s="16"/>
      <c r="S1548" s="16"/>
      <c r="T1548" s="16"/>
      <c r="U1548" s="16"/>
      <c r="V1548" s="16"/>
      <c r="W1548" s="16"/>
      <c r="X1548" s="17"/>
      <c r="Y1548" s="16"/>
      <c r="Z1548" s="16"/>
      <c r="AA1548" s="16"/>
      <c r="AB1548" s="17"/>
    </row>
    <row r="1549" spans="1:28">
      <c r="A1549" s="16" t="s">
        <v>8209</v>
      </c>
      <c r="B1549" s="16" t="s">
        <v>8209</v>
      </c>
      <c r="C1549" s="16" t="s">
        <v>8380</v>
      </c>
      <c r="D1549" s="16" t="s">
        <v>21</v>
      </c>
      <c r="E1549" s="36" t="s">
        <v>8444</v>
      </c>
      <c r="F1549" s="16" t="s">
        <v>259</v>
      </c>
      <c r="G1549" s="17" t="str">
        <f>Config!$B$3</f>
        <v>SCH/R_IEC.SchLib</v>
      </c>
      <c r="H1549" s="16" t="s">
        <v>419</v>
      </c>
      <c r="I1549" s="18" t="s">
        <v>7493</v>
      </c>
      <c r="J1549" s="16" t="s">
        <v>8273</v>
      </c>
      <c r="K1549" s="16"/>
      <c r="L1549" s="16"/>
      <c r="M1549" s="20">
        <v>24000</v>
      </c>
      <c r="N1549" s="19" t="s">
        <v>8460</v>
      </c>
      <c r="O1549" s="16" t="s">
        <v>4414</v>
      </c>
      <c r="P1549" s="16"/>
      <c r="Q1549" s="16"/>
      <c r="R1549" s="16"/>
      <c r="S1549" s="16"/>
      <c r="T1549" s="16"/>
      <c r="U1549" s="16"/>
      <c r="V1549" s="16"/>
      <c r="W1549" s="17"/>
      <c r="X1549" s="17"/>
      <c r="Y1549" s="17"/>
      <c r="Z1549" s="17"/>
      <c r="AA1549" s="17"/>
      <c r="AB1549" s="17"/>
    </row>
    <row r="1550" spans="1:28">
      <c r="A1550" s="16" t="s">
        <v>8210</v>
      </c>
      <c r="B1550" s="16" t="s">
        <v>8210</v>
      </c>
      <c r="C1550" s="16" t="s">
        <v>8381</v>
      </c>
      <c r="D1550" s="16" t="s">
        <v>21</v>
      </c>
      <c r="E1550" s="36" t="s">
        <v>8444</v>
      </c>
      <c r="F1550" s="16" t="s">
        <v>263</v>
      </c>
      <c r="G1550" s="17" t="str">
        <f>Config!$B$3</f>
        <v>SCH/R_IEC.SchLib</v>
      </c>
      <c r="H1550" s="16" t="s">
        <v>419</v>
      </c>
      <c r="I1550" s="18" t="s">
        <v>7493</v>
      </c>
      <c r="J1550" s="16" t="s">
        <v>8273</v>
      </c>
      <c r="K1550" s="16"/>
      <c r="L1550" s="16"/>
      <c r="M1550" s="20">
        <v>27000</v>
      </c>
      <c r="N1550" s="19" t="s">
        <v>8460</v>
      </c>
      <c r="O1550" s="16" t="s">
        <v>4414</v>
      </c>
      <c r="P1550" s="16"/>
      <c r="Q1550" s="16"/>
      <c r="R1550" s="16"/>
      <c r="S1550" s="16"/>
      <c r="T1550" s="16"/>
      <c r="U1550" s="16"/>
      <c r="V1550" s="16"/>
      <c r="W1550" s="16"/>
      <c r="Y1550" s="16"/>
      <c r="AA1550" s="17"/>
      <c r="AB1550" s="17"/>
    </row>
    <row r="1551" spans="1:28">
      <c r="A1551" s="16" t="s">
        <v>8211</v>
      </c>
      <c r="B1551" s="16" t="s">
        <v>8211</v>
      </c>
      <c r="C1551" s="16" t="s">
        <v>8382</v>
      </c>
      <c r="D1551" s="16" t="s">
        <v>21</v>
      </c>
      <c r="E1551" s="36" t="s">
        <v>8444</v>
      </c>
      <c r="F1551" s="16" t="s">
        <v>265</v>
      </c>
      <c r="G1551" s="17" t="str">
        <f>Config!$B$3</f>
        <v>SCH/R_IEC.SchLib</v>
      </c>
      <c r="H1551" s="16" t="s">
        <v>419</v>
      </c>
      <c r="I1551" s="18" t="s">
        <v>7493</v>
      </c>
      <c r="J1551" s="16" t="s">
        <v>8273</v>
      </c>
      <c r="K1551" s="16"/>
      <c r="L1551" s="16"/>
      <c r="M1551" s="20">
        <v>30000</v>
      </c>
      <c r="N1551" s="19" t="s">
        <v>8460</v>
      </c>
      <c r="O1551" s="16" t="s">
        <v>4414</v>
      </c>
      <c r="P1551" s="16"/>
      <c r="Q1551" s="16"/>
      <c r="R1551" s="16"/>
      <c r="S1551" s="16"/>
      <c r="T1551" s="16"/>
      <c r="U1551" s="16"/>
      <c r="V1551" s="16"/>
      <c r="W1551" s="17"/>
      <c r="X1551" s="17"/>
      <c r="Y1551" s="17"/>
      <c r="Z1551" s="17"/>
      <c r="AA1551" s="17"/>
      <c r="AB1551" s="17"/>
    </row>
    <row r="1552" spans="1:28">
      <c r="A1552" s="16" t="s">
        <v>8212</v>
      </c>
      <c r="B1552" s="16" t="s">
        <v>8212</v>
      </c>
      <c r="C1552" s="16" t="s">
        <v>8383</v>
      </c>
      <c r="D1552" s="16" t="s">
        <v>21</v>
      </c>
      <c r="E1552" s="36" t="s">
        <v>8444</v>
      </c>
      <c r="F1552" s="16" t="s">
        <v>267</v>
      </c>
      <c r="G1552" s="17" t="str">
        <f>Config!$B$3</f>
        <v>SCH/R_IEC.SchLib</v>
      </c>
      <c r="H1552" s="16" t="s">
        <v>419</v>
      </c>
      <c r="I1552" s="18" t="s">
        <v>7493</v>
      </c>
      <c r="J1552" s="16" t="s">
        <v>8273</v>
      </c>
      <c r="K1552" s="16"/>
      <c r="L1552" s="16"/>
      <c r="M1552" s="20">
        <v>33000</v>
      </c>
      <c r="N1552" s="19" t="s">
        <v>8460</v>
      </c>
      <c r="O1552" s="16" t="s">
        <v>4414</v>
      </c>
      <c r="P1552" s="16"/>
      <c r="Q1552" s="16"/>
      <c r="R1552" s="16"/>
      <c r="S1552" s="16"/>
      <c r="T1552" s="16"/>
      <c r="U1552" s="16"/>
      <c r="V1552" s="16"/>
      <c r="W1552" s="17"/>
      <c r="X1552" s="17"/>
      <c r="Y1552" s="17"/>
      <c r="Z1552" s="17"/>
      <c r="AA1552" s="17"/>
      <c r="AB1552" s="17"/>
    </row>
    <row r="1553" spans="1:28">
      <c r="A1553" s="16" t="s">
        <v>8213</v>
      </c>
      <c r="B1553" s="16" t="s">
        <v>8213</v>
      </c>
      <c r="C1553" s="16" t="s">
        <v>8384</v>
      </c>
      <c r="D1553" s="16" t="s">
        <v>21</v>
      </c>
      <c r="E1553" s="36" t="s">
        <v>8444</v>
      </c>
      <c r="F1553" s="16" t="s">
        <v>269</v>
      </c>
      <c r="G1553" s="17" t="str">
        <f>Config!$B$3</f>
        <v>SCH/R_IEC.SchLib</v>
      </c>
      <c r="H1553" s="16" t="s">
        <v>419</v>
      </c>
      <c r="I1553" s="18" t="s">
        <v>7493</v>
      </c>
      <c r="J1553" s="16" t="s">
        <v>8273</v>
      </c>
      <c r="K1553" s="16"/>
      <c r="L1553" s="16"/>
      <c r="M1553" s="20">
        <v>36000</v>
      </c>
      <c r="N1553" s="19" t="s">
        <v>8460</v>
      </c>
      <c r="O1553" s="16" t="s">
        <v>4414</v>
      </c>
      <c r="P1553" s="16"/>
      <c r="Q1553" s="16"/>
      <c r="R1553" s="16"/>
      <c r="S1553" s="16"/>
      <c r="T1553" s="16"/>
      <c r="U1553" s="16"/>
      <c r="V1553" s="16"/>
      <c r="W1553" s="17"/>
      <c r="X1553" s="17"/>
      <c r="Y1553" s="17"/>
      <c r="Z1553" s="17"/>
      <c r="AA1553" s="17"/>
      <c r="AB1553" s="17"/>
    </row>
    <row r="1554" spans="1:28">
      <c r="A1554" s="16" t="s">
        <v>8214</v>
      </c>
      <c r="B1554" s="16" t="s">
        <v>8214</v>
      </c>
      <c r="C1554" s="16" t="s">
        <v>8385</v>
      </c>
      <c r="D1554" s="16" t="s">
        <v>21</v>
      </c>
      <c r="E1554" s="36" t="s">
        <v>8444</v>
      </c>
      <c r="F1554" s="16" t="s">
        <v>273</v>
      </c>
      <c r="G1554" s="17" t="str">
        <f>Config!$B$3</f>
        <v>SCH/R_IEC.SchLib</v>
      </c>
      <c r="H1554" s="16" t="s">
        <v>419</v>
      </c>
      <c r="I1554" s="18" t="s">
        <v>7493</v>
      </c>
      <c r="J1554" s="16" t="s">
        <v>8273</v>
      </c>
      <c r="K1554" s="16"/>
      <c r="L1554" s="16"/>
      <c r="M1554" s="20">
        <v>39000</v>
      </c>
      <c r="N1554" s="19" t="s">
        <v>8460</v>
      </c>
      <c r="O1554" s="16" t="s">
        <v>4414</v>
      </c>
      <c r="P1554" s="16"/>
      <c r="Q1554" s="16"/>
      <c r="R1554" s="16"/>
      <c r="S1554" s="16"/>
      <c r="T1554" s="16"/>
      <c r="U1554" s="16"/>
      <c r="V1554" s="16"/>
      <c r="W1554" s="17"/>
      <c r="X1554" s="17"/>
      <c r="Y1554" s="17"/>
      <c r="Z1554" s="17"/>
      <c r="AA1554" s="17"/>
      <c r="AB1554" s="17"/>
    </row>
    <row r="1555" spans="1:28">
      <c r="A1555" s="16" t="s">
        <v>8215</v>
      </c>
      <c r="B1555" s="16" t="s">
        <v>8215</v>
      </c>
      <c r="C1555" s="16" t="s">
        <v>8386</v>
      </c>
      <c r="D1555" s="16" t="s">
        <v>21</v>
      </c>
      <c r="E1555" s="36" t="s">
        <v>8444</v>
      </c>
      <c r="F1555" s="16" t="s">
        <v>277</v>
      </c>
      <c r="G1555" s="17" t="str">
        <f>Config!$B$3</f>
        <v>SCH/R_IEC.SchLib</v>
      </c>
      <c r="H1555" s="16" t="s">
        <v>419</v>
      </c>
      <c r="I1555" s="18" t="s">
        <v>7493</v>
      </c>
      <c r="J1555" s="16" t="s">
        <v>8273</v>
      </c>
      <c r="K1555" s="16"/>
      <c r="L1555" s="16"/>
      <c r="M1555" s="20">
        <v>43000</v>
      </c>
      <c r="N1555" s="19" t="s">
        <v>8460</v>
      </c>
      <c r="O1555" s="16" t="s">
        <v>4414</v>
      </c>
      <c r="P1555" s="16"/>
      <c r="Q1555" s="16"/>
      <c r="R1555" s="16"/>
      <c r="S1555" s="16"/>
      <c r="T1555" s="16"/>
      <c r="U1555" s="16"/>
      <c r="V1555" s="16"/>
      <c r="W1555" s="17"/>
      <c r="X1555" s="17"/>
      <c r="Y1555" s="17"/>
      <c r="Z1555" s="17"/>
      <c r="AA1555" s="17"/>
      <c r="AB1555" s="17"/>
    </row>
    <row r="1556" spans="1:28">
      <c r="A1556" s="16" t="s">
        <v>8216</v>
      </c>
      <c r="B1556" s="16" t="s">
        <v>8216</v>
      </c>
      <c r="C1556" s="16" t="s">
        <v>8387</v>
      </c>
      <c r="D1556" s="16" t="s">
        <v>21</v>
      </c>
      <c r="E1556" s="36" t="s">
        <v>8444</v>
      </c>
      <c r="F1556" s="16" t="s">
        <v>279</v>
      </c>
      <c r="G1556" s="17" t="str">
        <f>Config!$B$3</f>
        <v>SCH/R_IEC.SchLib</v>
      </c>
      <c r="H1556" s="16" t="s">
        <v>419</v>
      </c>
      <c r="I1556" s="18" t="s">
        <v>7493</v>
      </c>
      <c r="J1556" s="16" t="s">
        <v>8273</v>
      </c>
      <c r="K1556" s="16"/>
      <c r="L1556" s="16"/>
      <c r="M1556" s="20">
        <v>47000</v>
      </c>
      <c r="N1556" s="19" t="s">
        <v>8460</v>
      </c>
      <c r="O1556" s="16" t="s">
        <v>4414</v>
      </c>
      <c r="P1556" s="16"/>
      <c r="Q1556" s="16"/>
      <c r="R1556" s="16"/>
      <c r="S1556" s="16"/>
      <c r="T1556" s="16"/>
      <c r="U1556" s="16"/>
      <c r="V1556" s="16"/>
      <c r="W1556" s="16"/>
      <c r="X1556" s="17"/>
      <c r="Y1556" s="16"/>
      <c r="Z1556" s="17"/>
      <c r="AA1556" s="16"/>
      <c r="AB1556" s="17"/>
    </row>
    <row r="1557" spans="1:28">
      <c r="A1557" s="16" t="s">
        <v>8217</v>
      </c>
      <c r="B1557" s="16" t="s">
        <v>8217</v>
      </c>
      <c r="C1557" s="16" t="s">
        <v>8388</v>
      </c>
      <c r="D1557" s="16" t="s">
        <v>21</v>
      </c>
      <c r="E1557" s="36" t="s">
        <v>8444</v>
      </c>
      <c r="F1557" s="16" t="s">
        <v>283</v>
      </c>
      <c r="G1557" s="17" t="str">
        <f>Config!$B$3</f>
        <v>SCH/R_IEC.SchLib</v>
      </c>
      <c r="H1557" s="16" t="s">
        <v>419</v>
      </c>
      <c r="I1557" s="18" t="s">
        <v>7493</v>
      </c>
      <c r="J1557" s="16" t="s">
        <v>8273</v>
      </c>
      <c r="K1557" s="16"/>
      <c r="L1557" s="16"/>
      <c r="M1557" s="20">
        <v>51000</v>
      </c>
      <c r="N1557" s="19" t="s">
        <v>8460</v>
      </c>
      <c r="O1557" s="16" t="s">
        <v>4414</v>
      </c>
      <c r="P1557" s="16"/>
      <c r="Q1557" s="16"/>
      <c r="R1557" s="16"/>
      <c r="S1557" s="16"/>
      <c r="T1557" s="16"/>
      <c r="U1557" s="16"/>
      <c r="V1557" s="16"/>
      <c r="W1557" s="16"/>
      <c r="X1557" s="17"/>
      <c r="Y1557" s="16"/>
      <c r="Z1557" s="25"/>
      <c r="AA1557" s="16"/>
      <c r="AB1557" s="17"/>
    </row>
    <row r="1558" spans="1:28">
      <c r="A1558" s="16" t="s">
        <v>8218</v>
      </c>
      <c r="B1558" s="16" t="s">
        <v>8218</v>
      </c>
      <c r="C1558" s="16" t="s">
        <v>8389</v>
      </c>
      <c r="D1558" s="16" t="s">
        <v>21</v>
      </c>
      <c r="E1558" s="36" t="s">
        <v>8444</v>
      </c>
      <c r="F1558" s="16" t="s">
        <v>287</v>
      </c>
      <c r="G1558" s="17" t="str">
        <f>Config!$B$3</f>
        <v>SCH/R_IEC.SchLib</v>
      </c>
      <c r="H1558" s="16" t="s">
        <v>419</v>
      </c>
      <c r="I1558" s="18" t="s">
        <v>7493</v>
      </c>
      <c r="J1558" s="16" t="s">
        <v>8273</v>
      </c>
      <c r="K1558" s="16"/>
      <c r="L1558" s="16"/>
      <c r="M1558" s="20">
        <v>56000</v>
      </c>
      <c r="N1558" s="19" t="s">
        <v>8460</v>
      </c>
      <c r="O1558" s="16" t="s">
        <v>4414</v>
      </c>
      <c r="P1558" s="16"/>
      <c r="Q1558" s="16"/>
      <c r="R1558" s="16"/>
      <c r="S1558" s="16"/>
      <c r="T1558" s="16"/>
      <c r="U1558" s="16"/>
      <c r="V1558" s="16"/>
      <c r="W1558" s="17"/>
      <c r="X1558" s="17"/>
      <c r="Y1558" s="17"/>
      <c r="Z1558" s="17"/>
      <c r="AA1558" s="17"/>
      <c r="AB1558" s="17"/>
    </row>
    <row r="1559" spans="1:28">
      <c r="A1559" s="16" t="s">
        <v>8219</v>
      </c>
      <c r="B1559" s="16" t="s">
        <v>8219</v>
      </c>
      <c r="C1559" s="16" t="s">
        <v>8390</v>
      </c>
      <c r="D1559" s="16" t="s">
        <v>21</v>
      </c>
      <c r="E1559" s="36" t="s">
        <v>8444</v>
      </c>
      <c r="F1559" s="16" t="s">
        <v>291</v>
      </c>
      <c r="G1559" s="17" t="str">
        <f>Config!$B$3</f>
        <v>SCH/R_IEC.SchLib</v>
      </c>
      <c r="H1559" s="16" t="s">
        <v>419</v>
      </c>
      <c r="I1559" s="18" t="s">
        <v>7493</v>
      </c>
      <c r="J1559" s="16" t="s">
        <v>8273</v>
      </c>
      <c r="K1559" s="16"/>
      <c r="L1559" s="16"/>
      <c r="M1559" s="20">
        <v>62000</v>
      </c>
      <c r="N1559" s="19" t="s">
        <v>8460</v>
      </c>
      <c r="O1559" s="16" t="s">
        <v>4414</v>
      </c>
      <c r="P1559" s="16"/>
      <c r="Q1559" s="16"/>
      <c r="R1559" s="16"/>
      <c r="S1559" s="16"/>
      <c r="T1559" s="16"/>
      <c r="U1559" s="16"/>
      <c r="V1559" s="16"/>
      <c r="W1559" s="17"/>
      <c r="X1559" s="17"/>
      <c r="Y1559" s="17"/>
      <c r="Z1559" s="17"/>
      <c r="AA1559" s="17"/>
      <c r="AB1559" s="17"/>
    </row>
    <row r="1560" spans="1:28">
      <c r="A1560" s="16" t="s">
        <v>8220</v>
      </c>
      <c r="B1560" s="16" t="s">
        <v>8220</v>
      </c>
      <c r="C1560" s="16" t="s">
        <v>8391</v>
      </c>
      <c r="D1560" s="16" t="s">
        <v>21</v>
      </c>
      <c r="E1560" s="36" t="s">
        <v>8444</v>
      </c>
      <c r="F1560" s="16" t="s">
        <v>295</v>
      </c>
      <c r="G1560" s="17" t="str">
        <f>Config!$B$3</f>
        <v>SCH/R_IEC.SchLib</v>
      </c>
      <c r="H1560" s="16" t="s">
        <v>419</v>
      </c>
      <c r="I1560" s="18" t="s">
        <v>7493</v>
      </c>
      <c r="J1560" s="16" t="s">
        <v>8273</v>
      </c>
      <c r="K1560" s="16"/>
      <c r="L1560" s="16"/>
      <c r="M1560" s="20">
        <v>68000</v>
      </c>
      <c r="N1560" s="19" t="s">
        <v>8460</v>
      </c>
      <c r="O1560" s="16" t="s">
        <v>4414</v>
      </c>
      <c r="P1560" s="16"/>
      <c r="Q1560" s="16"/>
      <c r="R1560" s="16"/>
      <c r="S1560" s="16"/>
      <c r="T1560" s="16"/>
      <c r="U1560" s="16"/>
      <c r="V1560" s="16"/>
      <c r="W1560" s="16"/>
      <c r="Y1560" s="16"/>
      <c r="AA1560" s="16"/>
      <c r="AB1560" s="17"/>
    </row>
    <row r="1561" spans="1:28">
      <c r="A1561" s="16" t="s">
        <v>8221</v>
      </c>
      <c r="B1561" s="16" t="s">
        <v>8221</v>
      </c>
      <c r="C1561" s="16" t="s">
        <v>8392</v>
      </c>
      <c r="D1561" s="16" t="s">
        <v>21</v>
      </c>
      <c r="E1561" s="36" t="s">
        <v>8444</v>
      </c>
      <c r="F1561" s="16" t="s">
        <v>299</v>
      </c>
      <c r="G1561" s="17" t="str">
        <f>Config!$B$3</f>
        <v>SCH/R_IEC.SchLib</v>
      </c>
      <c r="H1561" s="16" t="s">
        <v>419</v>
      </c>
      <c r="I1561" s="18" t="s">
        <v>7493</v>
      </c>
      <c r="J1561" s="16" t="s">
        <v>8273</v>
      </c>
      <c r="K1561" s="16"/>
      <c r="L1561" s="16"/>
      <c r="M1561" s="20">
        <v>75000</v>
      </c>
      <c r="N1561" s="19" t="s">
        <v>8460</v>
      </c>
      <c r="O1561" s="16" t="s">
        <v>4414</v>
      </c>
      <c r="P1561" s="16"/>
      <c r="Q1561" s="16"/>
      <c r="R1561" s="16"/>
      <c r="S1561" s="16"/>
      <c r="T1561" s="16"/>
      <c r="U1561" s="16"/>
      <c r="V1561" s="16"/>
      <c r="W1561" s="16"/>
      <c r="Y1561" s="16"/>
      <c r="AA1561" s="16"/>
      <c r="AB1561" s="17"/>
    </row>
    <row r="1562" spans="1:28">
      <c r="A1562" s="16" t="s">
        <v>8222</v>
      </c>
      <c r="B1562" s="16" t="s">
        <v>8222</v>
      </c>
      <c r="C1562" s="16" t="s">
        <v>8393</v>
      </c>
      <c r="D1562" s="16" t="s">
        <v>21</v>
      </c>
      <c r="E1562" s="36" t="s">
        <v>8444</v>
      </c>
      <c r="F1562" s="16" t="s">
        <v>301</v>
      </c>
      <c r="G1562" s="17" t="str">
        <f>Config!$B$3</f>
        <v>SCH/R_IEC.SchLib</v>
      </c>
      <c r="H1562" s="16" t="s">
        <v>419</v>
      </c>
      <c r="I1562" s="18" t="s">
        <v>7493</v>
      </c>
      <c r="J1562" s="16" t="s">
        <v>8273</v>
      </c>
      <c r="K1562" s="16"/>
      <c r="L1562" s="16"/>
      <c r="M1562" s="20">
        <v>82000</v>
      </c>
      <c r="N1562" s="19" t="s">
        <v>8460</v>
      </c>
      <c r="O1562" s="16" t="s">
        <v>4414</v>
      </c>
      <c r="P1562" s="16"/>
      <c r="Q1562" s="16"/>
      <c r="R1562" s="16"/>
      <c r="S1562" s="16"/>
      <c r="T1562" s="16"/>
      <c r="U1562" s="16"/>
      <c r="V1562" s="16"/>
      <c r="W1562" s="17"/>
      <c r="X1562" s="17"/>
      <c r="Y1562" s="17"/>
      <c r="Z1562" s="17"/>
      <c r="AA1562" s="17"/>
      <c r="AB1562" s="17"/>
    </row>
    <row r="1563" spans="1:28">
      <c r="A1563" s="16" t="s">
        <v>8223</v>
      </c>
      <c r="B1563" s="16" t="s">
        <v>8223</v>
      </c>
      <c r="C1563" s="16" t="s">
        <v>8394</v>
      </c>
      <c r="D1563" s="16" t="s">
        <v>21</v>
      </c>
      <c r="E1563" s="36" t="s">
        <v>8444</v>
      </c>
      <c r="F1563" s="16" t="s">
        <v>303</v>
      </c>
      <c r="G1563" s="17" t="str">
        <f>Config!$B$3</f>
        <v>SCH/R_IEC.SchLib</v>
      </c>
      <c r="H1563" s="16" t="s">
        <v>419</v>
      </c>
      <c r="I1563" s="18" t="s">
        <v>7493</v>
      </c>
      <c r="J1563" s="16" t="s">
        <v>8273</v>
      </c>
      <c r="K1563" s="16"/>
      <c r="L1563" s="16"/>
      <c r="M1563" s="20">
        <v>91000</v>
      </c>
      <c r="N1563" s="19" t="s">
        <v>8460</v>
      </c>
      <c r="O1563" s="16" t="s">
        <v>4414</v>
      </c>
      <c r="P1563" s="16"/>
      <c r="Q1563" s="16"/>
      <c r="R1563" s="16"/>
      <c r="S1563" s="16"/>
      <c r="T1563" s="16"/>
      <c r="U1563" s="16"/>
      <c r="V1563" s="16"/>
      <c r="W1563" s="17"/>
      <c r="X1563" s="17"/>
      <c r="Y1563" s="17"/>
      <c r="Z1563" s="17"/>
      <c r="AA1563" s="17"/>
      <c r="AB1563" s="17"/>
    </row>
    <row r="1564" spans="1:28">
      <c r="A1564" s="16" t="s">
        <v>8224</v>
      </c>
      <c r="B1564" s="16" t="s">
        <v>8224</v>
      </c>
      <c r="C1564" s="16" t="s">
        <v>8395</v>
      </c>
      <c r="D1564" s="16" t="s">
        <v>21</v>
      </c>
      <c r="E1564" s="36" t="s">
        <v>8444</v>
      </c>
      <c r="F1564" s="16" t="s">
        <v>305</v>
      </c>
      <c r="G1564" s="17" t="str">
        <f>Config!$B$3</f>
        <v>SCH/R_IEC.SchLib</v>
      </c>
      <c r="H1564" s="16" t="s">
        <v>419</v>
      </c>
      <c r="I1564" s="18" t="s">
        <v>7493</v>
      </c>
      <c r="J1564" s="16" t="s">
        <v>8273</v>
      </c>
      <c r="K1564" s="16"/>
      <c r="L1564" s="16"/>
      <c r="M1564" s="20">
        <v>100000</v>
      </c>
      <c r="N1564" s="19" t="s">
        <v>8460</v>
      </c>
      <c r="O1564" s="16" t="s">
        <v>4414</v>
      </c>
      <c r="P1564" s="16" t="s">
        <v>8446</v>
      </c>
      <c r="Q1564" s="16" t="s">
        <v>25</v>
      </c>
      <c r="R1564" t="s">
        <v>10579</v>
      </c>
      <c r="S1564" s="16" t="s">
        <v>4414</v>
      </c>
      <c r="T1564" s="16" t="s">
        <v>8446</v>
      </c>
      <c r="U1564" s="16" t="s">
        <v>8447</v>
      </c>
      <c r="V1564" s="16" t="s">
        <v>8448</v>
      </c>
      <c r="W1564" s="16"/>
      <c r="X1564" s="17"/>
      <c r="Y1564" s="16"/>
      <c r="Z1564" s="17"/>
      <c r="AA1564" s="16"/>
      <c r="AB1564" s="17"/>
    </row>
    <row r="1565" spans="1:28">
      <c r="A1565" s="16" t="s">
        <v>8225</v>
      </c>
      <c r="B1565" s="16" t="s">
        <v>8225</v>
      </c>
      <c r="C1565" s="16" t="s">
        <v>8396</v>
      </c>
      <c r="D1565" s="16" t="s">
        <v>21</v>
      </c>
      <c r="E1565" s="36" t="s">
        <v>8444</v>
      </c>
      <c r="F1565" s="16" t="s">
        <v>309</v>
      </c>
      <c r="G1565" s="17" t="str">
        <f>Config!$B$3</f>
        <v>SCH/R_IEC.SchLib</v>
      </c>
      <c r="H1565" s="16" t="s">
        <v>419</v>
      </c>
      <c r="I1565" s="18" t="s">
        <v>7493</v>
      </c>
      <c r="J1565" s="16" t="s">
        <v>8273</v>
      </c>
      <c r="K1565" s="16"/>
      <c r="L1565" s="16"/>
      <c r="M1565" s="20">
        <v>110000</v>
      </c>
      <c r="N1565" s="19" t="s">
        <v>8460</v>
      </c>
      <c r="O1565" s="16" t="s">
        <v>4414</v>
      </c>
      <c r="P1565" s="16"/>
      <c r="Q1565" s="16"/>
      <c r="R1565" s="16"/>
      <c r="S1565" s="16"/>
      <c r="T1565" s="16"/>
      <c r="U1565" s="16"/>
      <c r="V1565" s="16"/>
      <c r="W1565" s="17"/>
      <c r="X1565" s="17"/>
      <c r="Y1565" s="17"/>
      <c r="Z1565" s="17"/>
      <c r="AA1565" s="17"/>
      <c r="AB1565" s="17"/>
    </row>
    <row r="1566" spans="1:28">
      <c r="A1566" s="16" t="s">
        <v>8226</v>
      </c>
      <c r="B1566" s="16" t="s">
        <v>8226</v>
      </c>
      <c r="C1566" s="16" t="s">
        <v>8397</v>
      </c>
      <c r="D1566" s="16" t="s">
        <v>21</v>
      </c>
      <c r="E1566" s="36" t="s">
        <v>8444</v>
      </c>
      <c r="F1566" s="16" t="s">
        <v>313</v>
      </c>
      <c r="G1566" s="17" t="str">
        <f>Config!$B$3</f>
        <v>SCH/R_IEC.SchLib</v>
      </c>
      <c r="H1566" s="16" t="s">
        <v>419</v>
      </c>
      <c r="I1566" s="18" t="s">
        <v>7493</v>
      </c>
      <c r="J1566" s="16" t="s">
        <v>8273</v>
      </c>
      <c r="K1566" s="16"/>
      <c r="L1566" s="16"/>
      <c r="M1566" s="20">
        <v>120000</v>
      </c>
      <c r="N1566" s="19" t="s">
        <v>8460</v>
      </c>
      <c r="O1566" s="16" t="s">
        <v>4414</v>
      </c>
      <c r="P1566" s="16"/>
      <c r="Q1566" s="16"/>
      <c r="R1566" s="16"/>
      <c r="S1566" s="16"/>
      <c r="T1566" s="16"/>
      <c r="U1566" s="16"/>
      <c r="V1566" s="16"/>
      <c r="W1566" s="17"/>
      <c r="X1566" s="17"/>
      <c r="Y1566" s="17"/>
      <c r="Z1566" s="17"/>
      <c r="AA1566" s="17"/>
      <c r="AB1566" s="17"/>
    </row>
    <row r="1567" spans="1:28">
      <c r="A1567" s="16" t="s">
        <v>8227</v>
      </c>
      <c r="B1567" s="16" t="s">
        <v>8227</v>
      </c>
      <c r="C1567" s="16" t="s">
        <v>8398</v>
      </c>
      <c r="D1567" s="16" t="s">
        <v>21</v>
      </c>
      <c r="E1567" s="36" t="s">
        <v>8444</v>
      </c>
      <c r="F1567" s="16" t="s">
        <v>317</v>
      </c>
      <c r="G1567" s="17" t="str">
        <f>Config!$B$3</f>
        <v>SCH/R_IEC.SchLib</v>
      </c>
      <c r="H1567" s="16" t="s">
        <v>419</v>
      </c>
      <c r="I1567" s="18" t="s">
        <v>7493</v>
      </c>
      <c r="J1567" s="16" t="s">
        <v>8273</v>
      </c>
      <c r="K1567" s="16"/>
      <c r="L1567" s="16"/>
      <c r="M1567" s="20">
        <v>130000</v>
      </c>
      <c r="N1567" s="19" t="s">
        <v>8460</v>
      </c>
      <c r="O1567" s="16" t="s">
        <v>4414</v>
      </c>
      <c r="P1567" s="16"/>
      <c r="Q1567" s="16"/>
      <c r="R1567" s="16"/>
      <c r="S1567" s="16"/>
      <c r="T1567" s="16"/>
      <c r="U1567" s="16"/>
      <c r="V1567" s="16"/>
      <c r="W1567" s="17"/>
      <c r="X1567" s="17"/>
      <c r="Y1567" s="17"/>
      <c r="Z1567" s="17"/>
      <c r="AA1567" s="17"/>
      <c r="AB1567" s="17"/>
    </row>
    <row r="1568" spans="1:28">
      <c r="A1568" s="16" t="s">
        <v>8228</v>
      </c>
      <c r="B1568" s="16" t="s">
        <v>8228</v>
      </c>
      <c r="C1568" s="16" t="s">
        <v>8399</v>
      </c>
      <c r="D1568" s="16" t="s">
        <v>21</v>
      </c>
      <c r="E1568" s="36" t="s">
        <v>8444</v>
      </c>
      <c r="F1568" s="16" t="s">
        <v>321</v>
      </c>
      <c r="G1568" s="17" t="str">
        <f>Config!$B$3</f>
        <v>SCH/R_IEC.SchLib</v>
      </c>
      <c r="H1568" s="16" t="s">
        <v>419</v>
      </c>
      <c r="I1568" s="18" t="s">
        <v>7493</v>
      </c>
      <c r="J1568" s="16" t="s">
        <v>8273</v>
      </c>
      <c r="K1568" s="16"/>
      <c r="L1568" s="16"/>
      <c r="M1568" s="20">
        <v>150000</v>
      </c>
      <c r="N1568" s="19" t="s">
        <v>8460</v>
      </c>
      <c r="O1568" s="16" t="s">
        <v>4414</v>
      </c>
      <c r="P1568" s="16"/>
      <c r="Q1568" s="16"/>
      <c r="R1568" s="16"/>
      <c r="S1568" s="16"/>
      <c r="T1568" s="16"/>
      <c r="U1568" s="16"/>
      <c r="V1568" s="16"/>
      <c r="W1568" s="16"/>
      <c r="X1568" s="17"/>
      <c r="Y1568" s="16"/>
      <c r="Z1568" s="17"/>
      <c r="AA1568" s="16"/>
      <c r="AB1568" s="17"/>
    </row>
    <row r="1569" spans="1:28">
      <c r="A1569" s="16" t="s">
        <v>8229</v>
      </c>
      <c r="B1569" s="16" t="s">
        <v>8229</v>
      </c>
      <c r="C1569" s="16" t="s">
        <v>8400</v>
      </c>
      <c r="D1569" s="16" t="s">
        <v>21</v>
      </c>
      <c r="E1569" s="36" t="s">
        <v>8444</v>
      </c>
      <c r="F1569" s="16" t="s">
        <v>323</v>
      </c>
      <c r="G1569" s="17" t="str">
        <f>Config!$B$3</f>
        <v>SCH/R_IEC.SchLib</v>
      </c>
      <c r="H1569" s="16" t="s">
        <v>419</v>
      </c>
      <c r="I1569" s="18" t="s">
        <v>7493</v>
      </c>
      <c r="J1569" s="16" t="s">
        <v>8273</v>
      </c>
      <c r="K1569" s="16"/>
      <c r="L1569" s="16"/>
      <c r="M1569" s="20">
        <v>160000</v>
      </c>
      <c r="N1569" s="19" t="s">
        <v>8460</v>
      </c>
      <c r="O1569" s="16" t="s">
        <v>4414</v>
      </c>
      <c r="P1569" s="16"/>
      <c r="Q1569" s="16"/>
      <c r="R1569" s="16"/>
      <c r="S1569" s="16"/>
      <c r="T1569" s="16"/>
      <c r="U1569" s="16"/>
      <c r="V1569" s="16"/>
      <c r="W1569" s="17"/>
      <c r="X1569" s="17"/>
      <c r="Y1569" s="17"/>
      <c r="Z1569" s="17"/>
      <c r="AA1569" s="17"/>
      <c r="AB1569" s="17"/>
    </row>
    <row r="1570" spans="1:28">
      <c r="A1570" s="16" t="s">
        <v>8230</v>
      </c>
      <c r="B1570" s="16" t="s">
        <v>8230</v>
      </c>
      <c r="C1570" s="16" t="s">
        <v>8401</v>
      </c>
      <c r="D1570" s="16" t="s">
        <v>21</v>
      </c>
      <c r="E1570" s="36" t="s">
        <v>8444</v>
      </c>
      <c r="F1570" s="16" t="s">
        <v>327</v>
      </c>
      <c r="G1570" s="17" t="str">
        <f>Config!$B$3</f>
        <v>SCH/R_IEC.SchLib</v>
      </c>
      <c r="H1570" s="16" t="s">
        <v>419</v>
      </c>
      <c r="I1570" s="18" t="s">
        <v>7493</v>
      </c>
      <c r="J1570" s="16" t="s">
        <v>8273</v>
      </c>
      <c r="K1570" s="16"/>
      <c r="L1570" s="16"/>
      <c r="M1570" s="20">
        <v>180000</v>
      </c>
      <c r="N1570" s="19" t="s">
        <v>8460</v>
      </c>
      <c r="O1570" s="16" t="s">
        <v>4414</v>
      </c>
      <c r="P1570" s="16"/>
      <c r="Q1570" s="16"/>
      <c r="R1570" s="16"/>
      <c r="S1570" s="16"/>
      <c r="T1570" s="16"/>
      <c r="U1570" s="16"/>
      <c r="V1570" s="16"/>
      <c r="W1570" s="17"/>
      <c r="X1570" s="17"/>
      <c r="Y1570" s="17"/>
      <c r="Z1570" s="17"/>
      <c r="AA1570" s="17"/>
      <c r="AB1570" s="17"/>
    </row>
    <row r="1571" spans="1:28">
      <c r="A1571" s="16" t="s">
        <v>8231</v>
      </c>
      <c r="B1571" s="16" t="s">
        <v>8231</v>
      </c>
      <c r="C1571" s="16" t="s">
        <v>8402</v>
      </c>
      <c r="D1571" s="16" t="s">
        <v>21</v>
      </c>
      <c r="E1571" s="36" t="s">
        <v>8444</v>
      </c>
      <c r="F1571" s="16" t="s">
        <v>331</v>
      </c>
      <c r="G1571" s="17" t="str">
        <f>Config!$B$3</f>
        <v>SCH/R_IEC.SchLib</v>
      </c>
      <c r="H1571" s="16" t="s">
        <v>419</v>
      </c>
      <c r="I1571" s="18" t="s">
        <v>7493</v>
      </c>
      <c r="J1571" s="16" t="s">
        <v>8273</v>
      </c>
      <c r="K1571" s="16"/>
      <c r="L1571" s="16"/>
      <c r="M1571" s="20">
        <v>200000</v>
      </c>
      <c r="N1571" s="19" t="s">
        <v>8460</v>
      </c>
      <c r="O1571" s="16" t="s">
        <v>4414</v>
      </c>
      <c r="P1571" s="16"/>
      <c r="Q1571" s="16"/>
      <c r="R1571" s="16"/>
      <c r="S1571" s="16"/>
      <c r="T1571" s="16"/>
      <c r="U1571" s="16"/>
      <c r="V1571" s="16"/>
      <c r="W1571" s="17"/>
      <c r="X1571" s="17"/>
      <c r="Y1571" s="17"/>
      <c r="Z1571" s="17"/>
      <c r="AA1571" s="17"/>
      <c r="AB1571" s="17"/>
    </row>
    <row r="1572" spans="1:28">
      <c r="A1572" s="16" t="s">
        <v>8232</v>
      </c>
      <c r="B1572" s="16" t="s">
        <v>8232</v>
      </c>
      <c r="C1572" s="16" t="s">
        <v>8403</v>
      </c>
      <c r="D1572" s="16" t="s">
        <v>21</v>
      </c>
      <c r="E1572" s="36" t="s">
        <v>8444</v>
      </c>
      <c r="F1572" s="16" t="s">
        <v>333</v>
      </c>
      <c r="G1572" s="17" t="str">
        <f>Config!$B$3</f>
        <v>SCH/R_IEC.SchLib</v>
      </c>
      <c r="H1572" s="16" t="s">
        <v>419</v>
      </c>
      <c r="I1572" s="18" t="s">
        <v>7493</v>
      </c>
      <c r="J1572" s="16" t="s">
        <v>8273</v>
      </c>
      <c r="K1572" s="16"/>
      <c r="L1572" s="16"/>
      <c r="M1572" s="20">
        <v>220000</v>
      </c>
      <c r="N1572" s="19" t="s">
        <v>8460</v>
      </c>
      <c r="O1572" s="16" t="s">
        <v>4414</v>
      </c>
      <c r="P1572" s="16"/>
      <c r="Q1572" s="16"/>
      <c r="R1572" s="16"/>
      <c r="S1572" s="16"/>
      <c r="T1572" s="16"/>
      <c r="U1572" s="16"/>
      <c r="V1572" s="16"/>
      <c r="W1572" s="16"/>
      <c r="X1572" s="17"/>
      <c r="Y1572" s="16"/>
      <c r="Z1572" s="16"/>
      <c r="AA1572" s="16"/>
      <c r="AB1572" s="17"/>
    </row>
    <row r="1573" spans="1:28">
      <c r="A1573" s="16" t="s">
        <v>8233</v>
      </c>
      <c r="B1573" s="16" t="s">
        <v>8233</v>
      </c>
      <c r="C1573" s="16" t="s">
        <v>8404</v>
      </c>
      <c r="D1573" s="16" t="s">
        <v>21</v>
      </c>
      <c r="E1573" s="36" t="s">
        <v>8444</v>
      </c>
      <c r="F1573" s="16" t="s">
        <v>335</v>
      </c>
      <c r="G1573" s="17" t="str">
        <f>Config!$B$3</f>
        <v>SCH/R_IEC.SchLib</v>
      </c>
      <c r="H1573" s="16" t="s">
        <v>419</v>
      </c>
      <c r="I1573" s="18" t="s">
        <v>7493</v>
      </c>
      <c r="J1573" s="16" t="s">
        <v>8273</v>
      </c>
      <c r="K1573" s="16"/>
      <c r="L1573" s="16"/>
      <c r="M1573" s="20">
        <v>240000</v>
      </c>
      <c r="N1573" s="19" t="s">
        <v>8460</v>
      </c>
      <c r="O1573" s="16" t="s">
        <v>4414</v>
      </c>
      <c r="P1573" s="16"/>
      <c r="Q1573" s="16"/>
      <c r="R1573" s="16"/>
      <c r="S1573" s="16"/>
      <c r="T1573" s="16"/>
      <c r="U1573" s="16"/>
      <c r="V1573" s="16"/>
      <c r="W1573" s="17"/>
      <c r="X1573" s="17"/>
      <c r="Y1573" s="17"/>
      <c r="Z1573" s="17"/>
      <c r="AA1573" s="17"/>
      <c r="AB1573" s="17"/>
    </row>
    <row r="1574" spans="1:28">
      <c r="A1574" s="16" t="s">
        <v>8234</v>
      </c>
      <c r="B1574" s="16" t="s">
        <v>8234</v>
      </c>
      <c r="C1574" s="16" t="s">
        <v>8405</v>
      </c>
      <c r="D1574" s="16" t="s">
        <v>21</v>
      </c>
      <c r="E1574" s="36" t="s">
        <v>8444</v>
      </c>
      <c r="F1574" s="16" t="s">
        <v>337</v>
      </c>
      <c r="G1574" s="17" t="str">
        <f>Config!$B$3</f>
        <v>SCH/R_IEC.SchLib</v>
      </c>
      <c r="H1574" s="16" t="s">
        <v>419</v>
      </c>
      <c r="I1574" s="18" t="s">
        <v>7493</v>
      </c>
      <c r="J1574" s="16" t="s">
        <v>8273</v>
      </c>
      <c r="K1574" s="16"/>
      <c r="L1574" s="16"/>
      <c r="M1574" s="20">
        <v>270000</v>
      </c>
      <c r="N1574" s="19" t="s">
        <v>8460</v>
      </c>
      <c r="O1574" s="16" t="s">
        <v>4414</v>
      </c>
      <c r="P1574" s="16"/>
      <c r="Q1574" s="16"/>
      <c r="R1574" s="16"/>
      <c r="S1574" s="16"/>
      <c r="T1574" s="16"/>
      <c r="U1574" s="16"/>
      <c r="V1574" s="16"/>
      <c r="W1574" s="17"/>
      <c r="X1574" s="17"/>
      <c r="Y1574" s="17"/>
      <c r="Z1574" s="17"/>
      <c r="AA1574" s="17"/>
      <c r="AB1574" s="17"/>
    </row>
    <row r="1575" spans="1:28">
      <c r="A1575" s="16" t="s">
        <v>8235</v>
      </c>
      <c r="B1575" s="16" t="s">
        <v>8235</v>
      </c>
      <c r="C1575" s="16" t="s">
        <v>8406</v>
      </c>
      <c r="D1575" s="16" t="s">
        <v>21</v>
      </c>
      <c r="E1575" s="36" t="s">
        <v>8444</v>
      </c>
      <c r="F1575" s="16" t="s">
        <v>339</v>
      </c>
      <c r="G1575" s="17" t="str">
        <f>Config!$B$3</f>
        <v>SCH/R_IEC.SchLib</v>
      </c>
      <c r="H1575" s="16" t="s">
        <v>419</v>
      </c>
      <c r="I1575" s="18" t="s">
        <v>7493</v>
      </c>
      <c r="J1575" s="16" t="s">
        <v>8273</v>
      </c>
      <c r="K1575" s="16"/>
      <c r="L1575" s="16"/>
      <c r="M1575" s="20">
        <v>300000</v>
      </c>
      <c r="N1575" s="19" t="s">
        <v>8460</v>
      </c>
      <c r="O1575" s="16" t="s">
        <v>4414</v>
      </c>
      <c r="P1575" s="16"/>
      <c r="Q1575" s="16"/>
      <c r="R1575" s="16"/>
      <c r="S1575" s="16"/>
      <c r="T1575" s="16"/>
      <c r="U1575" s="16"/>
      <c r="V1575" s="16"/>
      <c r="W1575" s="16"/>
      <c r="X1575" s="17"/>
      <c r="Y1575" s="16"/>
      <c r="AA1575" s="16"/>
      <c r="AB1575" s="17"/>
    </row>
    <row r="1576" spans="1:28">
      <c r="A1576" s="16" t="s">
        <v>8236</v>
      </c>
      <c r="B1576" s="16" t="s">
        <v>8236</v>
      </c>
      <c r="C1576" s="16" t="s">
        <v>8407</v>
      </c>
      <c r="D1576" s="16" t="s">
        <v>21</v>
      </c>
      <c r="E1576" s="36" t="s">
        <v>8444</v>
      </c>
      <c r="F1576" s="16" t="s">
        <v>341</v>
      </c>
      <c r="G1576" s="17" t="str">
        <f>Config!$B$3</f>
        <v>SCH/R_IEC.SchLib</v>
      </c>
      <c r="H1576" s="16" t="s">
        <v>419</v>
      </c>
      <c r="I1576" s="18" t="s">
        <v>7493</v>
      </c>
      <c r="J1576" s="16" t="s">
        <v>8273</v>
      </c>
      <c r="K1576" s="16"/>
      <c r="L1576" s="16"/>
      <c r="M1576" s="20">
        <v>330000</v>
      </c>
      <c r="N1576" s="19" t="s">
        <v>8460</v>
      </c>
      <c r="O1576" s="16" t="s">
        <v>4414</v>
      </c>
      <c r="P1576" s="16"/>
      <c r="Q1576" s="16"/>
      <c r="R1576" s="16"/>
      <c r="S1576" s="16"/>
      <c r="T1576" s="16"/>
      <c r="U1576" s="16"/>
      <c r="V1576" s="16"/>
      <c r="W1576" s="16"/>
      <c r="Y1576" s="16"/>
      <c r="Z1576" s="16"/>
      <c r="AA1576" s="16"/>
      <c r="AB1576" s="17"/>
    </row>
    <row r="1577" spans="1:28">
      <c r="A1577" s="16" t="s">
        <v>8237</v>
      </c>
      <c r="B1577" s="16" t="s">
        <v>8237</v>
      </c>
      <c r="C1577" s="16" t="s">
        <v>8408</v>
      </c>
      <c r="D1577" s="16" t="s">
        <v>21</v>
      </c>
      <c r="E1577" s="36" t="s">
        <v>8444</v>
      </c>
      <c r="F1577" s="16" t="s">
        <v>345</v>
      </c>
      <c r="G1577" s="17" t="str">
        <f>Config!$B$3</f>
        <v>SCH/R_IEC.SchLib</v>
      </c>
      <c r="H1577" s="16" t="s">
        <v>419</v>
      </c>
      <c r="I1577" s="18" t="s">
        <v>7493</v>
      </c>
      <c r="J1577" s="16" t="s">
        <v>8273</v>
      </c>
      <c r="K1577" s="16"/>
      <c r="L1577" s="16"/>
      <c r="M1577" s="20">
        <v>360000</v>
      </c>
      <c r="N1577" s="19" t="s">
        <v>8460</v>
      </c>
      <c r="O1577" s="16" t="s">
        <v>4414</v>
      </c>
      <c r="P1577" s="16"/>
      <c r="Q1577" s="16"/>
      <c r="R1577" s="16"/>
      <c r="S1577" s="16"/>
      <c r="T1577" s="16"/>
      <c r="U1577" s="16"/>
      <c r="V1577" s="16"/>
      <c r="W1577" s="17"/>
      <c r="X1577" s="17"/>
      <c r="Y1577" s="17"/>
      <c r="Z1577" s="17"/>
      <c r="AA1577" s="17"/>
      <c r="AB1577" s="17"/>
    </row>
    <row r="1578" spans="1:28">
      <c r="A1578" s="16" t="s">
        <v>8238</v>
      </c>
      <c r="B1578" s="16" t="s">
        <v>8238</v>
      </c>
      <c r="C1578" s="16" t="s">
        <v>8409</v>
      </c>
      <c r="D1578" s="16" t="s">
        <v>21</v>
      </c>
      <c r="E1578" s="36" t="s">
        <v>8444</v>
      </c>
      <c r="F1578" s="16" t="s">
        <v>349</v>
      </c>
      <c r="G1578" s="17" t="str">
        <f>Config!$B$3</f>
        <v>SCH/R_IEC.SchLib</v>
      </c>
      <c r="H1578" s="16" t="s">
        <v>419</v>
      </c>
      <c r="I1578" s="18" t="s">
        <v>7493</v>
      </c>
      <c r="J1578" s="16" t="s">
        <v>8273</v>
      </c>
      <c r="K1578" s="16"/>
      <c r="L1578" s="16"/>
      <c r="M1578" s="20">
        <v>390000</v>
      </c>
      <c r="N1578" s="19" t="s">
        <v>8460</v>
      </c>
      <c r="O1578" s="16" t="s">
        <v>4414</v>
      </c>
      <c r="P1578" s="16"/>
      <c r="Q1578" s="16"/>
      <c r="R1578" s="16"/>
      <c r="S1578" s="16"/>
      <c r="T1578" s="16"/>
      <c r="U1578" s="16"/>
      <c r="V1578" s="16"/>
      <c r="W1578" s="16"/>
      <c r="Y1578" s="16"/>
      <c r="AA1578" s="16"/>
      <c r="AB1578" s="17"/>
    </row>
    <row r="1579" spans="1:28">
      <c r="A1579" s="16" t="s">
        <v>8239</v>
      </c>
      <c r="B1579" s="16" t="s">
        <v>8239</v>
      </c>
      <c r="C1579" s="16" t="s">
        <v>8410</v>
      </c>
      <c r="D1579" s="16" t="s">
        <v>21</v>
      </c>
      <c r="E1579" s="36" t="s">
        <v>8444</v>
      </c>
      <c r="F1579" s="16" t="s">
        <v>351</v>
      </c>
      <c r="G1579" s="17" t="str">
        <f>Config!$B$3</f>
        <v>SCH/R_IEC.SchLib</v>
      </c>
      <c r="H1579" s="16" t="s">
        <v>419</v>
      </c>
      <c r="I1579" s="18" t="s">
        <v>7493</v>
      </c>
      <c r="J1579" s="16" t="s">
        <v>8273</v>
      </c>
      <c r="K1579" s="16"/>
      <c r="L1579" s="16"/>
      <c r="M1579" s="20">
        <v>430000</v>
      </c>
      <c r="N1579" s="19" t="s">
        <v>8460</v>
      </c>
      <c r="O1579" s="16" t="s">
        <v>4414</v>
      </c>
      <c r="P1579" s="16"/>
      <c r="Q1579" s="16"/>
      <c r="R1579" s="16"/>
      <c r="S1579" s="16"/>
      <c r="T1579" s="16"/>
      <c r="U1579" s="16"/>
      <c r="V1579" s="16"/>
      <c r="W1579" s="17"/>
      <c r="X1579" s="17"/>
      <c r="Y1579" s="17"/>
      <c r="Z1579" s="17"/>
      <c r="AA1579" s="17"/>
      <c r="AB1579" s="17"/>
    </row>
    <row r="1580" spans="1:28">
      <c r="A1580" s="16" t="s">
        <v>8240</v>
      </c>
      <c r="B1580" s="16" t="s">
        <v>8240</v>
      </c>
      <c r="C1580" s="16" t="s">
        <v>8411</v>
      </c>
      <c r="D1580" s="16" t="s">
        <v>21</v>
      </c>
      <c r="E1580" s="36" t="s">
        <v>8444</v>
      </c>
      <c r="F1580" s="16" t="s">
        <v>353</v>
      </c>
      <c r="G1580" s="17" t="str">
        <f>Config!$B$3</f>
        <v>SCH/R_IEC.SchLib</v>
      </c>
      <c r="H1580" s="16" t="s">
        <v>419</v>
      </c>
      <c r="I1580" s="18" t="s">
        <v>7493</v>
      </c>
      <c r="J1580" s="16" t="s">
        <v>8273</v>
      </c>
      <c r="K1580" s="16"/>
      <c r="L1580" s="16"/>
      <c r="M1580" s="20">
        <v>470000</v>
      </c>
      <c r="N1580" s="19" t="s">
        <v>8460</v>
      </c>
      <c r="O1580" s="16" t="s">
        <v>4414</v>
      </c>
      <c r="P1580" s="16"/>
      <c r="Q1580" s="16"/>
      <c r="R1580" s="16"/>
      <c r="S1580" s="16"/>
      <c r="T1580" s="16"/>
      <c r="U1580" s="16"/>
      <c r="V1580" s="16"/>
      <c r="W1580" s="17"/>
      <c r="X1580" s="17"/>
      <c r="Y1580" s="17"/>
      <c r="Z1580" s="17"/>
      <c r="AA1580" s="17"/>
      <c r="AB1580" s="17"/>
    </row>
    <row r="1581" spans="1:28">
      <c r="A1581" s="16" t="s">
        <v>8241</v>
      </c>
      <c r="B1581" s="16" t="s">
        <v>8241</v>
      </c>
      <c r="C1581" s="16" t="s">
        <v>8412</v>
      </c>
      <c r="D1581" s="16" t="s">
        <v>21</v>
      </c>
      <c r="E1581" s="36" t="s">
        <v>8444</v>
      </c>
      <c r="F1581" s="16" t="s">
        <v>355</v>
      </c>
      <c r="G1581" s="17" t="str">
        <f>Config!$B$3</f>
        <v>SCH/R_IEC.SchLib</v>
      </c>
      <c r="H1581" s="16" t="s">
        <v>419</v>
      </c>
      <c r="I1581" s="18" t="s">
        <v>7493</v>
      </c>
      <c r="J1581" s="16" t="s">
        <v>8273</v>
      </c>
      <c r="K1581" s="16"/>
      <c r="L1581" s="16"/>
      <c r="M1581" s="20">
        <v>510000</v>
      </c>
      <c r="N1581" s="19" t="s">
        <v>8460</v>
      </c>
      <c r="O1581" s="16" t="s">
        <v>4414</v>
      </c>
      <c r="P1581" s="16"/>
      <c r="Q1581" s="16"/>
      <c r="R1581" s="16"/>
      <c r="S1581" s="16"/>
      <c r="T1581" s="16"/>
      <c r="U1581" s="16"/>
      <c r="V1581" s="16"/>
      <c r="W1581" s="17"/>
      <c r="X1581" s="17"/>
      <c r="Y1581" s="17"/>
      <c r="Z1581" s="17"/>
      <c r="AA1581" s="17"/>
      <c r="AB1581" s="17"/>
    </row>
    <row r="1582" spans="1:28">
      <c r="A1582" s="16" t="s">
        <v>8242</v>
      </c>
      <c r="B1582" s="16" t="s">
        <v>8242</v>
      </c>
      <c r="C1582" s="16" t="s">
        <v>8413</v>
      </c>
      <c r="D1582" s="16" t="s">
        <v>21</v>
      </c>
      <c r="E1582" s="36" t="s">
        <v>8444</v>
      </c>
      <c r="F1582" s="16" t="s">
        <v>357</v>
      </c>
      <c r="G1582" s="17" t="str">
        <f>Config!$B$3</f>
        <v>SCH/R_IEC.SchLib</v>
      </c>
      <c r="H1582" s="16" t="s">
        <v>419</v>
      </c>
      <c r="I1582" s="18" t="s">
        <v>7493</v>
      </c>
      <c r="J1582" s="16" t="s">
        <v>8273</v>
      </c>
      <c r="K1582" s="16"/>
      <c r="L1582" s="16"/>
      <c r="M1582" s="20">
        <v>560000</v>
      </c>
      <c r="N1582" s="19" t="s">
        <v>8460</v>
      </c>
      <c r="O1582" s="16" t="s">
        <v>4414</v>
      </c>
      <c r="P1582" s="16"/>
      <c r="Q1582" s="16"/>
      <c r="R1582" s="16"/>
      <c r="S1582" s="16"/>
      <c r="T1582" s="16"/>
      <c r="U1582" s="16"/>
      <c r="V1582" s="16"/>
      <c r="W1582" s="17"/>
      <c r="X1582" s="17"/>
      <c r="Y1582" s="17"/>
      <c r="Z1582" s="17"/>
      <c r="AA1582" s="17"/>
      <c r="AB1582" s="17"/>
    </row>
    <row r="1583" spans="1:28">
      <c r="A1583" s="16" t="s">
        <v>8243</v>
      </c>
      <c r="B1583" s="16" t="s">
        <v>8243</v>
      </c>
      <c r="C1583" s="16" t="s">
        <v>8414</v>
      </c>
      <c r="D1583" s="16" t="s">
        <v>21</v>
      </c>
      <c r="E1583" s="36" t="s">
        <v>8444</v>
      </c>
      <c r="F1583" s="16" t="s">
        <v>359</v>
      </c>
      <c r="G1583" s="17" t="str">
        <f>Config!$B$3</f>
        <v>SCH/R_IEC.SchLib</v>
      </c>
      <c r="H1583" s="16" t="s">
        <v>419</v>
      </c>
      <c r="I1583" s="18" t="s">
        <v>7493</v>
      </c>
      <c r="J1583" s="16" t="s">
        <v>8273</v>
      </c>
      <c r="K1583" s="16"/>
      <c r="L1583" s="16"/>
      <c r="M1583" s="20">
        <v>620000</v>
      </c>
      <c r="N1583" s="19" t="s">
        <v>8460</v>
      </c>
      <c r="O1583" s="16" t="s">
        <v>4414</v>
      </c>
      <c r="P1583" s="16"/>
      <c r="Q1583" s="16"/>
      <c r="R1583" s="16"/>
      <c r="S1583" s="16"/>
      <c r="T1583" s="16"/>
      <c r="U1583" s="16"/>
      <c r="V1583" s="16"/>
      <c r="W1583" s="17"/>
      <c r="X1583" s="17"/>
      <c r="Y1583" s="17"/>
      <c r="Z1583" s="17"/>
      <c r="AA1583" s="17"/>
      <c r="AB1583" s="17"/>
    </row>
    <row r="1584" spans="1:28">
      <c r="A1584" s="16" t="s">
        <v>8244</v>
      </c>
      <c r="B1584" s="16" t="s">
        <v>8244</v>
      </c>
      <c r="C1584" s="16" t="s">
        <v>8415</v>
      </c>
      <c r="D1584" s="16" t="s">
        <v>21</v>
      </c>
      <c r="E1584" s="36" t="s">
        <v>8444</v>
      </c>
      <c r="F1584" s="16" t="s">
        <v>361</v>
      </c>
      <c r="G1584" s="17" t="str">
        <f>Config!$B$3</f>
        <v>SCH/R_IEC.SchLib</v>
      </c>
      <c r="H1584" s="16" t="s">
        <v>419</v>
      </c>
      <c r="I1584" s="18" t="s">
        <v>7493</v>
      </c>
      <c r="J1584" s="16" t="s">
        <v>8273</v>
      </c>
      <c r="K1584" s="16"/>
      <c r="L1584" s="16"/>
      <c r="M1584" s="20">
        <v>680000</v>
      </c>
      <c r="N1584" s="19" t="s">
        <v>8460</v>
      </c>
      <c r="O1584" s="16" t="s">
        <v>4414</v>
      </c>
      <c r="P1584" s="16"/>
      <c r="Q1584" s="16"/>
      <c r="R1584" s="16"/>
      <c r="S1584" s="16"/>
      <c r="T1584" s="16"/>
      <c r="U1584" s="16"/>
      <c r="V1584" s="16"/>
      <c r="W1584" s="17"/>
      <c r="X1584" s="17"/>
      <c r="Y1584" s="17"/>
      <c r="Z1584" s="17"/>
      <c r="AA1584" s="17"/>
      <c r="AB1584" s="17"/>
    </row>
    <row r="1585" spans="1:28">
      <c r="A1585" s="16" t="s">
        <v>8245</v>
      </c>
      <c r="B1585" s="16" t="s">
        <v>8245</v>
      </c>
      <c r="C1585" s="16" t="s">
        <v>8416</v>
      </c>
      <c r="D1585" s="16" t="s">
        <v>21</v>
      </c>
      <c r="E1585" s="36" t="s">
        <v>8444</v>
      </c>
      <c r="F1585" s="16" t="s">
        <v>363</v>
      </c>
      <c r="G1585" s="17" t="str">
        <f>Config!$B$3</f>
        <v>SCH/R_IEC.SchLib</v>
      </c>
      <c r="H1585" s="16" t="s">
        <v>419</v>
      </c>
      <c r="I1585" s="18" t="s">
        <v>7493</v>
      </c>
      <c r="J1585" s="16" t="s">
        <v>8273</v>
      </c>
      <c r="K1585" s="16"/>
      <c r="L1585" s="16"/>
      <c r="M1585" s="20">
        <v>750000</v>
      </c>
      <c r="N1585" s="19" t="s">
        <v>8460</v>
      </c>
      <c r="O1585" s="16" t="s">
        <v>4414</v>
      </c>
      <c r="P1585" s="16"/>
      <c r="Q1585" s="16"/>
      <c r="R1585" s="16"/>
      <c r="S1585" s="16"/>
      <c r="T1585" s="16"/>
      <c r="U1585" s="16"/>
      <c r="V1585" s="16"/>
      <c r="W1585" s="17"/>
      <c r="X1585" s="17"/>
      <c r="Y1585" s="17"/>
      <c r="Z1585" s="17"/>
      <c r="AA1585" s="17"/>
      <c r="AB1585" s="17"/>
    </row>
    <row r="1586" spans="1:28">
      <c r="A1586" s="16" t="s">
        <v>8246</v>
      </c>
      <c r="B1586" s="16" t="s">
        <v>8246</v>
      </c>
      <c r="C1586" s="16" t="s">
        <v>8417</v>
      </c>
      <c r="D1586" s="16" t="s">
        <v>21</v>
      </c>
      <c r="E1586" s="36" t="s">
        <v>8444</v>
      </c>
      <c r="F1586" s="16" t="s">
        <v>365</v>
      </c>
      <c r="G1586" s="17" t="str">
        <f>Config!$B$3</f>
        <v>SCH/R_IEC.SchLib</v>
      </c>
      <c r="H1586" s="16" t="s">
        <v>419</v>
      </c>
      <c r="I1586" s="18" t="s">
        <v>7493</v>
      </c>
      <c r="J1586" s="16" t="s">
        <v>8273</v>
      </c>
      <c r="K1586" s="16"/>
      <c r="L1586" s="16"/>
      <c r="M1586" s="20">
        <v>820000</v>
      </c>
      <c r="N1586" s="19" t="s">
        <v>8460</v>
      </c>
      <c r="O1586" s="16" t="s">
        <v>4414</v>
      </c>
      <c r="P1586" s="16"/>
      <c r="Q1586" s="16"/>
      <c r="R1586" s="16"/>
      <c r="S1586" s="16"/>
      <c r="T1586" s="16"/>
      <c r="U1586" s="16"/>
      <c r="V1586" s="16"/>
      <c r="W1586" s="17"/>
      <c r="X1586" s="17"/>
      <c r="Y1586" s="17"/>
      <c r="Z1586" s="17"/>
      <c r="AA1586" s="17"/>
      <c r="AB1586" s="17"/>
    </row>
    <row r="1587" spans="1:28">
      <c r="A1587" s="16" t="s">
        <v>8247</v>
      </c>
      <c r="B1587" s="16" t="s">
        <v>8247</v>
      </c>
      <c r="C1587" s="16" t="s">
        <v>8418</v>
      </c>
      <c r="D1587" s="16" t="s">
        <v>21</v>
      </c>
      <c r="E1587" s="36" t="s">
        <v>8444</v>
      </c>
      <c r="F1587" s="16" t="s">
        <v>367</v>
      </c>
      <c r="G1587" s="17" t="str">
        <f>Config!$B$3</f>
        <v>SCH/R_IEC.SchLib</v>
      </c>
      <c r="H1587" s="16" t="s">
        <v>419</v>
      </c>
      <c r="I1587" s="18" t="s">
        <v>7493</v>
      </c>
      <c r="J1587" s="16" t="s">
        <v>8273</v>
      </c>
      <c r="K1587" s="16"/>
      <c r="L1587" s="16"/>
      <c r="M1587" s="20">
        <v>910000</v>
      </c>
      <c r="N1587" s="19" t="s">
        <v>8460</v>
      </c>
      <c r="O1587" s="16" t="s">
        <v>4414</v>
      </c>
      <c r="P1587" s="16"/>
      <c r="Q1587" s="16"/>
      <c r="R1587" s="16"/>
      <c r="S1587" s="16"/>
      <c r="T1587" s="16"/>
      <c r="U1587" s="16"/>
      <c r="V1587" s="16"/>
      <c r="W1587" s="17"/>
      <c r="X1587" s="17"/>
      <c r="Y1587" s="17"/>
      <c r="Z1587" s="17"/>
      <c r="AA1587" s="17"/>
      <c r="AB1587" s="17"/>
    </row>
    <row r="1588" spans="1:28">
      <c r="A1588" s="16" t="s">
        <v>8248</v>
      </c>
      <c r="B1588" s="16" t="s">
        <v>8248</v>
      </c>
      <c r="C1588" s="16" t="s">
        <v>8419</v>
      </c>
      <c r="D1588" s="16" t="s">
        <v>21</v>
      </c>
      <c r="E1588" s="36" t="s">
        <v>8444</v>
      </c>
      <c r="F1588" s="16" t="s">
        <v>369</v>
      </c>
      <c r="G1588" s="17" t="str">
        <f>Config!$B$3</f>
        <v>SCH/R_IEC.SchLib</v>
      </c>
      <c r="H1588" s="16" t="s">
        <v>419</v>
      </c>
      <c r="I1588" s="18" t="s">
        <v>7493</v>
      </c>
      <c r="J1588" s="16" t="s">
        <v>8273</v>
      </c>
      <c r="K1588" s="16"/>
      <c r="L1588" s="16"/>
      <c r="M1588" s="20">
        <v>1000000</v>
      </c>
      <c r="N1588" s="19" t="s">
        <v>8460</v>
      </c>
      <c r="O1588" s="16" t="s">
        <v>4414</v>
      </c>
      <c r="P1588" s="16"/>
      <c r="Q1588" s="16"/>
      <c r="R1588" s="16"/>
      <c r="S1588" s="16"/>
      <c r="T1588" s="16"/>
      <c r="U1588" s="16"/>
      <c r="V1588" s="16"/>
      <c r="W1588" s="17"/>
      <c r="X1588" s="17"/>
      <c r="Y1588" s="17"/>
      <c r="Z1588" s="17"/>
      <c r="AA1588" s="17"/>
      <c r="AB1588" s="17"/>
    </row>
    <row r="1589" spans="1:28">
      <c r="A1589" s="16" t="s">
        <v>8249</v>
      </c>
      <c r="B1589" s="16" t="s">
        <v>8249</v>
      </c>
      <c r="C1589" s="16" t="s">
        <v>8420</v>
      </c>
      <c r="D1589" s="16" t="s">
        <v>21</v>
      </c>
      <c r="E1589" s="36" t="s">
        <v>8444</v>
      </c>
      <c r="F1589" s="16" t="s">
        <v>371</v>
      </c>
      <c r="G1589" s="17" t="str">
        <f>Config!$B$3</f>
        <v>SCH/R_IEC.SchLib</v>
      </c>
      <c r="H1589" s="16" t="s">
        <v>419</v>
      </c>
      <c r="I1589" s="18" t="s">
        <v>7493</v>
      </c>
      <c r="J1589" s="16" t="s">
        <v>8273</v>
      </c>
      <c r="K1589" s="16"/>
      <c r="L1589" s="16"/>
      <c r="M1589" s="20">
        <v>1100000</v>
      </c>
      <c r="N1589" s="19" t="s">
        <v>8460</v>
      </c>
      <c r="O1589" s="16" t="s">
        <v>4414</v>
      </c>
      <c r="P1589" s="16"/>
      <c r="Q1589" s="16"/>
      <c r="R1589" s="16"/>
      <c r="S1589" s="16"/>
      <c r="T1589" s="16"/>
      <c r="U1589" s="16"/>
      <c r="V1589" s="16"/>
      <c r="W1589" s="17"/>
      <c r="X1589" s="17"/>
      <c r="Y1589" s="17"/>
      <c r="Z1589" s="17"/>
      <c r="AA1589" s="17"/>
      <c r="AB1589" s="17"/>
    </row>
    <row r="1590" spans="1:28">
      <c r="A1590" s="16" t="s">
        <v>8250</v>
      </c>
      <c r="B1590" s="16" t="s">
        <v>8250</v>
      </c>
      <c r="C1590" s="16" t="s">
        <v>8421</v>
      </c>
      <c r="D1590" s="16" t="s">
        <v>21</v>
      </c>
      <c r="E1590" s="36" t="s">
        <v>8444</v>
      </c>
      <c r="F1590" s="16" t="s">
        <v>373</v>
      </c>
      <c r="G1590" s="17" t="str">
        <f>Config!$B$3</f>
        <v>SCH/R_IEC.SchLib</v>
      </c>
      <c r="H1590" s="16" t="s">
        <v>419</v>
      </c>
      <c r="I1590" s="18" t="s">
        <v>7493</v>
      </c>
      <c r="J1590" s="16" t="s">
        <v>8273</v>
      </c>
      <c r="K1590" s="16"/>
      <c r="L1590" s="16"/>
      <c r="M1590" s="20">
        <v>1200000</v>
      </c>
      <c r="N1590" s="19" t="s">
        <v>8460</v>
      </c>
      <c r="O1590" s="16" t="s">
        <v>4414</v>
      </c>
      <c r="P1590" s="16"/>
      <c r="Q1590" s="16"/>
      <c r="R1590" s="16"/>
      <c r="S1590" s="16"/>
      <c r="T1590" s="16"/>
      <c r="U1590" s="16"/>
      <c r="V1590" s="16"/>
      <c r="W1590" s="17"/>
      <c r="X1590" s="17"/>
      <c r="Y1590" s="17"/>
      <c r="Z1590" s="17"/>
      <c r="AA1590" s="17"/>
      <c r="AB1590" s="17"/>
    </row>
    <row r="1591" spans="1:28">
      <c r="A1591" s="16" t="s">
        <v>8251</v>
      </c>
      <c r="B1591" s="16" t="s">
        <v>8251</v>
      </c>
      <c r="C1591" s="16" t="s">
        <v>8422</v>
      </c>
      <c r="D1591" s="16" t="s">
        <v>21</v>
      </c>
      <c r="E1591" s="36" t="s">
        <v>8444</v>
      </c>
      <c r="F1591" s="16" t="s">
        <v>375</v>
      </c>
      <c r="G1591" s="17" t="str">
        <f>Config!$B$3</f>
        <v>SCH/R_IEC.SchLib</v>
      </c>
      <c r="H1591" s="16" t="s">
        <v>419</v>
      </c>
      <c r="I1591" s="18" t="s">
        <v>7493</v>
      </c>
      <c r="J1591" s="16" t="s">
        <v>8273</v>
      </c>
      <c r="K1591" s="16"/>
      <c r="L1591" s="16"/>
      <c r="M1591" s="20">
        <v>1300000</v>
      </c>
      <c r="N1591" s="19" t="s">
        <v>8460</v>
      </c>
      <c r="O1591" s="16" t="s">
        <v>4414</v>
      </c>
      <c r="P1591" s="16"/>
      <c r="Q1591" s="16"/>
      <c r="R1591" s="16"/>
      <c r="S1591" s="16"/>
      <c r="T1591" s="16"/>
      <c r="U1591" s="16"/>
      <c r="V1591" s="16"/>
      <c r="W1591" s="17"/>
      <c r="X1591" s="17"/>
      <c r="Y1591" s="17"/>
      <c r="Z1591" s="17"/>
      <c r="AA1591" s="17"/>
      <c r="AB1591" s="17"/>
    </row>
    <row r="1592" spans="1:28">
      <c r="A1592" s="16" t="s">
        <v>8252</v>
      </c>
      <c r="B1592" s="16" t="s">
        <v>8252</v>
      </c>
      <c r="C1592" s="16" t="s">
        <v>8423</v>
      </c>
      <c r="D1592" s="16" t="s">
        <v>21</v>
      </c>
      <c r="E1592" s="36" t="s">
        <v>8444</v>
      </c>
      <c r="F1592" s="16" t="s">
        <v>377</v>
      </c>
      <c r="G1592" s="17" t="str">
        <f>Config!$B$3</f>
        <v>SCH/R_IEC.SchLib</v>
      </c>
      <c r="H1592" s="16" t="s">
        <v>419</v>
      </c>
      <c r="I1592" s="18" t="s">
        <v>7493</v>
      </c>
      <c r="J1592" s="16" t="s">
        <v>8273</v>
      </c>
      <c r="K1592" s="16"/>
      <c r="L1592" s="16"/>
      <c r="M1592" s="20">
        <v>1500000</v>
      </c>
      <c r="N1592" s="19" t="s">
        <v>8460</v>
      </c>
      <c r="O1592" s="16" t="s">
        <v>4414</v>
      </c>
      <c r="P1592" s="16"/>
      <c r="Q1592" s="16"/>
      <c r="R1592" s="16"/>
      <c r="S1592" s="16"/>
      <c r="T1592" s="16"/>
      <c r="U1592" s="16"/>
      <c r="V1592" s="16"/>
      <c r="W1592" s="17"/>
      <c r="X1592" s="17"/>
      <c r="Y1592" s="17"/>
      <c r="Z1592" s="17"/>
      <c r="AA1592" s="17"/>
      <c r="AB1592" s="17"/>
    </row>
    <row r="1593" spans="1:28">
      <c r="A1593" s="16" t="s">
        <v>8253</v>
      </c>
      <c r="B1593" s="16" t="s">
        <v>8253</v>
      </c>
      <c r="C1593" s="16" t="s">
        <v>8424</v>
      </c>
      <c r="D1593" s="16" t="s">
        <v>21</v>
      </c>
      <c r="E1593" s="36" t="s">
        <v>8444</v>
      </c>
      <c r="F1593" s="16" t="s">
        <v>379</v>
      </c>
      <c r="G1593" s="17" t="str">
        <f>Config!$B$3</f>
        <v>SCH/R_IEC.SchLib</v>
      </c>
      <c r="H1593" s="16" t="s">
        <v>419</v>
      </c>
      <c r="I1593" s="18" t="s">
        <v>7493</v>
      </c>
      <c r="J1593" s="16" t="s">
        <v>8273</v>
      </c>
      <c r="K1593" s="16"/>
      <c r="L1593" s="16"/>
      <c r="M1593" s="20">
        <v>1600000</v>
      </c>
      <c r="N1593" s="19" t="s">
        <v>8460</v>
      </c>
      <c r="O1593" s="16" t="s">
        <v>4414</v>
      </c>
      <c r="P1593" s="16"/>
      <c r="Q1593" s="16"/>
      <c r="R1593" s="16"/>
      <c r="S1593" s="16"/>
      <c r="T1593" s="16"/>
      <c r="U1593" s="16"/>
      <c r="V1593" s="16"/>
      <c r="W1593" s="17"/>
      <c r="X1593" s="17"/>
      <c r="Y1593" s="17"/>
      <c r="Z1593" s="17"/>
      <c r="AA1593" s="17"/>
      <c r="AB1593" s="17"/>
    </row>
    <row r="1594" spans="1:28">
      <c r="A1594" s="16" t="s">
        <v>8254</v>
      </c>
      <c r="B1594" s="16" t="s">
        <v>8254</v>
      </c>
      <c r="C1594" s="16" t="s">
        <v>8425</v>
      </c>
      <c r="D1594" s="16" t="s">
        <v>21</v>
      </c>
      <c r="E1594" s="36" t="s">
        <v>8444</v>
      </c>
      <c r="F1594" s="16" t="s">
        <v>381</v>
      </c>
      <c r="G1594" s="17" t="str">
        <f>Config!$B$3</f>
        <v>SCH/R_IEC.SchLib</v>
      </c>
      <c r="H1594" s="16" t="s">
        <v>419</v>
      </c>
      <c r="I1594" s="18" t="s">
        <v>7493</v>
      </c>
      <c r="J1594" s="16" t="s">
        <v>8273</v>
      </c>
      <c r="K1594" s="16"/>
      <c r="L1594" s="16"/>
      <c r="M1594" s="20">
        <v>1800000</v>
      </c>
      <c r="N1594" s="19" t="s">
        <v>8460</v>
      </c>
      <c r="O1594" s="16" t="s">
        <v>4414</v>
      </c>
      <c r="P1594" s="16"/>
      <c r="Q1594" s="16"/>
      <c r="R1594" s="16"/>
      <c r="S1594" s="16"/>
      <c r="T1594" s="16"/>
      <c r="U1594" s="16"/>
      <c r="V1594" s="16"/>
      <c r="W1594" s="17"/>
      <c r="X1594" s="17"/>
      <c r="Y1594" s="17"/>
      <c r="Z1594" s="17"/>
      <c r="AA1594" s="17"/>
      <c r="AB1594" s="17"/>
    </row>
    <row r="1595" spans="1:28">
      <c r="A1595" s="16" t="s">
        <v>8255</v>
      </c>
      <c r="B1595" s="16" t="s">
        <v>8255</v>
      </c>
      <c r="C1595" s="16" t="s">
        <v>8426</v>
      </c>
      <c r="D1595" s="16" t="s">
        <v>21</v>
      </c>
      <c r="E1595" s="36" t="s">
        <v>8444</v>
      </c>
      <c r="F1595" s="16" t="s">
        <v>383</v>
      </c>
      <c r="G1595" s="17" t="str">
        <f>Config!$B$3</f>
        <v>SCH/R_IEC.SchLib</v>
      </c>
      <c r="H1595" s="16" t="s">
        <v>419</v>
      </c>
      <c r="I1595" s="18" t="s">
        <v>7493</v>
      </c>
      <c r="J1595" s="16" t="s">
        <v>8273</v>
      </c>
      <c r="K1595" s="16"/>
      <c r="L1595" s="16"/>
      <c r="M1595" s="20">
        <v>2000000</v>
      </c>
      <c r="N1595" s="19" t="s">
        <v>8460</v>
      </c>
      <c r="O1595" s="16" t="s">
        <v>4414</v>
      </c>
      <c r="P1595" s="16"/>
      <c r="Q1595" s="16"/>
      <c r="R1595" s="16"/>
      <c r="S1595" s="16"/>
      <c r="T1595" s="16"/>
      <c r="U1595" s="16"/>
      <c r="V1595" s="16"/>
      <c r="W1595" s="17"/>
      <c r="X1595" s="17"/>
      <c r="Y1595" s="17"/>
      <c r="Z1595" s="17"/>
      <c r="AA1595" s="17"/>
      <c r="AB1595" s="17"/>
    </row>
    <row r="1596" spans="1:28">
      <c r="A1596" s="16" t="s">
        <v>8256</v>
      </c>
      <c r="B1596" s="16" t="s">
        <v>8256</v>
      </c>
      <c r="C1596" s="16" t="s">
        <v>8427</v>
      </c>
      <c r="D1596" s="16" t="s">
        <v>21</v>
      </c>
      <c r="E1596" s="36" t="s">
        <v>8444</v>
      </c>
      <c r="F1596" s="16" t="s">
        <v>385</v>
      </c>
      <c r="G1596" s="17" t="str">
        <f>Config!$B$3</f>
        <v>SCH/R_IEC.SchLib</v>
      </c>
      <c r="H1596" s="16" t="s">
        <v>419</v>
      </c>
      <c r="I1596" s="18" t="s">
        <v>7493</v>
      </c>
      <c r="J1596" s="16" t="s">
        <v>8273</v>
      </c>
      <c r="K1596" s="16"/>
      <c r="L1596" s="16"/>
      <c r="M1596" s="20">
        <v>2200000</v>
      </c>
      <c r="N1596" s="19" t="s">
        <v>8460</v>
      </c>
      <c r="O1596" s="16" t="s">
        <v>4414</v>
      </c>
      <c r="P1596" s="16"/>
      <c r="Q1596" s="16"/>
      <c r="R1596" s="16"/>
      <c r="S1596" s="16"/>
      <c r="T1596" s="16"/>
      <c r="U1596" s="16"/>
      <c r="V1596" s="16"/>
      <c r="W1596" s="17"/>
      <c r="X1596" s="17"/>
      <c r="Y1596" s="17"/>
      <c r="Z1596" s="17"/>
      <c r="AA1596" s="17"/>
      <c r="AB1596" s="17"/>
    </row>
    <row r="1597" spans="1:28">
      <c r="A1597" s="16" t="s">
        <v>8257</v>
      </c>
      <c r="B1597" s="16" t="s">
        <v>8257</v>
      </c>
      <c r="C1597" s="16" t="s">
        <v>8428</v>
      </c>
      <c r="D1597" s="16" t="s">
        <v>21</v>
      </c>
      <c r="E1597" s="36" t="s">
        <v>8444</v>
      </c>
      <c r="F1597" s="16" t="s">
        <v>387</v>
      </c>
      <c r="G1597" s="17" t="str">
        <f>Config!$B$3</f>
        <v>SCH/R_IEC.SchLib</v>
      </c>
      <c r="H1597" s="16" t="s">
        <v>419</v>
      </c>
      <c r="I1597" s="18" t="s">
        <v>7493</v>
      </c>
      <c r="J1597" s="16" t="s">
        <v>8273</v>
      </c>
      <c r="K1597" s="16"/>
      <c r="L1597" s="16"/>
      <c r="M1597" s="20">
        <v>2400000</v>
      </c>
      <c r="N1597" s="19" t="s">
        <v>8460</v>
      </c>
      <c r="O1597" s="16" t="s">
        <v>4414</v>
      </c>
      <c r="P1597" s="16"/>
      <c r="Q1597" s="16"/>
      <c r="R1597" s="16"/>
      <c r="S1597" s="16"/>
      <c r="T1597" s="16"/>
      <c r="U1597" s="16"/>
      <c r="V1597" s="16"/>
      <c r="W1597" s="17"/>
      <c r="X1597" s="17"/>
      <c r="Y1597" s="17"/>
      <c r="Z1597" s="17"/>
      <c r="AA1597" s="17"/>
      <c r="AB1597" s="17"/>
    </row>
    <row r="1598" spans="1:28">
      <c r="A1598" s="16" t="s">
        <v>8258</v>
      </c>
      <c r="B1598" s="16" t="s">
        <v>8258</v>
      </c>
      <c r="C1598" s="16" t="s">
        <v>8429</v>
      </c>
      <c r="D1598" s="16" t="s">
        <v>21</v>
      </c>
      <c r="E1598" s="36" t="s">
        <v>8444</v>
      </c>
      <c r="F1598" s="16" t="s">
        <v>389</v>
      </c>
      <c r="G1598" s="17" t="str">
        <f>Config!$B$3</f>
        <v>SCH/R_IEC.SchLib</v>
      </c>
      <c r="H1598" s="16" t="s">
        <v>419</v>
      </c>
      <c r="I1598" s="18" t="s">
        <v>7493</v>
      </c>
      <c r="J1598" s="16" t="s">
        <v>8273</v>
      </c>
      <c r="K1598" s="16"/>
      <c r="L1598" s="16"/>
      <c r="M1598" s="20">
        <v>2700000</v>
      </c>
      <c r="N1598" s="19" t="s">
        <v>8460</v>
      </c>
      <c r="O1598" s="16" t="s">
        <v>4414</v>
      </c>
      <c r="P1598" s="16"/>
      <c r="Q1598" s="16"/>
      <c r="R1598" s="16"/>
      <c r="S1598" s="16"/>
      <c r="T1598" s="16"/>
      <c r="U1598" s="16"/>
      <c r="V1598" s="16"/>
      <c r="W1598" s="17"/>
      <c r="X1598" s="17"/>
      <c r="Y1598" s="17"/>
      <c r="Z1598" s="17"/>
      <c r="AA1598" s="17"/>
      <c r="AB1598" s="17"/>
    </row>
    <row r="1599" spans="1:28">
      <c r="A1599" s="16" t="s">
        <v>8259</v>
      </c>
      <c r="B1599" s="16" t="s">
        <v>8259</v>
      </c>
      <c r="C1599" s="16" t="s">
        <v>8430</v>
      </c>
      <c r="D1599" s="16" t="s">
        <v>21</v>
      </c>
      <c r="E1599" s="36" t="s">
        <v>8444</v>
      </c>
      <c r="F1599" s="16" t="s">
        <v>391</v>
      </c>
      <c r="G1599" s="17" t="str">
        <f>Config!$B$3</f>
        <v>SCH/R_IEC.SchLib</v>
      </c>
      <c r="H1599" s="16" t="s">
        <v>419</v>
      </c>
      <c r="I1599" s="18" t="s">
        <v>7493</v>
      </c>
      <c r="J1599" s="16" t="s">
        <v>8273</v>
      </c>
      <c r="K1599" s="16"/>
      <c r="L1599" s="16"/>
      <c r="M1599" s="20">
        <v>3000000</v>
      </c>
      <c r="N1599" s="19" t="s">
        <v>8460</v>
      </c>
      <c r="O1599" s="16" t="s">
        <v>4414</v>
      </c>
      <c r="P1599" s="16"/>
      <c r="Q1599" s="16"/>
      <c r="R1599" s="16"/>
      <c r="S1599" s="16"/>
      <c r="T1599" s="16"/>
      <c r="U1599" s="16"/>
      <c r="V1599" s="16"/>
      <c r="W1599" s="17"/>
      <c r="X1599" s="17"/>
      <c r="Y1599" s="17"/>
      <c r="Z1599" s="17"/>
      <c r="AA1599" s="17"/>
      <c r="AB1599" s="17"/>
    </row>
    <row r="1600" spans="1:28">
      <c r="A1600" s="16" t="s">
        <v>8260</v>
      </c>
      <c r="B1600" s="16" t="s">
        <v>8260</v>
      </c>
      <c r="C1600" s="16" t="s">
        <v>8431</v>
      </c>
      <c r="D1600" s="16" t="s">
        <v>21</v>
      </c>
      <c r="E1600" s="36" t="s">
        <v>8444</v>
      </c>
      <c r="F1600" s="16" t="s">
        <v>393</v>
      </c>
      <c r="G1600" s="17" t="str">
        <f>Config!$B$3</f>
        <v>SCH/R_IEC.SchLib</v>
      </c>
      <c r="H1600" s="16" t="s">
        <v>419</v>
      </c>
      <c r="I1600" s="18" t="s">
        <v>7493</v>
      </c>
      <c r="J1600" s="16" t="s">
        <v>8273</v>
      </c>
      <c r="K1600" s="16"/>
      <c r="L1600" s="16"/>
      <c r="M1600" s="20">
        <v>3300000</v>
      </c>
      <c r="N1600" s="19" t="s">
        <v>8460</v>
      </c>
      <c r="O1600" s="16" t="s">
        <v>4414</v>
      </c>
      <c r="P1600" s="16"/>
      <c r="Q1600" s="16"/>
      <c r="R1600" s="16"/>
      <c r="S1600" s="16"/>
      <c r="T1600" s="16"/>
      <c r="U1600" s="16"/>
      <c r="V1600" s="16"/>
      <c r="W1600" s="17"/>
      <c r="X1600" s="17"/>
      <c r="Y1600" s="17"/>
      <c r="Z1600" s="17"/>
      <c r="AA1600" s="17"/>
      <c r="AB1600" s="17"/>
    </row>
    <row r="1601" spans="1:28">
      <c r="A1601" s="16" t="s">
        <v>8261</v>
      </c>
      <c r="B1601" s="16" t="s">
        <v>8261</v>
      </c>
      <c r="C1601" s="16" t="s">
        <v>8432</v>
      </c>
      <c r="D1601" s="16" t="s">
        <v>21</v>
      </c>
      <c r="E1601" s="36" t="s">
        <v>8444</v>
      </c>
      <c r="F1601" s="16" t="s">
        <v>395</v>
      </c>
      <c r="G1601" s="17" t="str">
        <f>Config!$B$3</f>
        <v>SCH/R_IEC.SchLib</v>
      </c>
      <c r="H1601" s="16" t="s">
        <v>419</v>
      </c>
      <c r="I1601" s="18" t="s">
        <v>7493</v>
      </c>
      <c r="J1601" s="16" t="s">
        <v>8273</v>
      </c>
      <c r="K1601" s="16"/>
      <c r="L1601" s="16"/>
      <c r="M1601" s="20">
        <v>3600000</v>
      </c>
      <c r="N1601" s="19" t="s">
        <v>8460</v>
      </c>
      <c r="O1601" s="16" t="s">
        <v>4414</v>
      </c>
      <c r="P1601" s="16"/>
      <c r="Q1601" s="16"/>
      <c r="R1601" s="16"/>
      <c r="S1601" s="16"/>
      <c r="T1601" s="16"/>
      <c r="U1601" s="16"/>
      <c r="V1601" s="16"/>
      <c r="W1601" s="17"/>
      <c r="X1601" s="17"/>
      <c r="Y1601" s="17"/>
      <c r="Z1601" s="17"/>
      <c r="AA1601" s="17"/>
      <c r="AB1601" s="17"/>
    </row>
    <row r="1602" spans="1:28">
      <c r="A1602" s="16" t="s">
        <v>8262</v>
      </c>
      <c r="B1602" s="16" t="s">
        <v>8262</v>
      </c>
      <c r="C1602" s="16" t="s">
        <v>8433</v>
      </c>
      <c r="D1602" s="16" t="s">
        <v>21</v>
      </c>
      <c r="E1602" s="36" t="s">
        <v>8444</v>
      </c>
      <c r="F1602" s="16" t="s">
        <v>397</v>
      </c>
      <c r="G1602" s="17" t="str">
        <f>Config!$B$3</f>
        <v>SCH/R_IEC.SchLib</v>
      </c>
      <c r="H1602" s="16" t="s">
        <v>419</v>
      </c>
      <c r="I1602" s="18" t="s">
        <v>7493</v>
      </c>
      <c r="J1602" s="16" t="s">
        <v>8273</v>
      </c>
      <c r="K1602" s="16"/>
      <c r="L1602" s="16"/>
      <c r="M1602" s="20">
        <v>3900000</v>
      </c>
      <c r="N1602" s="19" t="s">
        <v>8460</v>
      </c>
      <c r="O1602" s="16" t="s">
        <v>4414</v>
      </c>
      <c r="P1602" s="16"/>
      <c r="Q1602" s="16"/>
      <c r="R1602" s="16"/>
      <c r="S1602" s="16"/>
      <c r="T1602" s="16"/>
      <c r="U1602" s="16"/>
      <c r="V1602" s="16"/>
      <c r="W1602" s="17"/>
      <c r="X1602" s="17"/>
      <c r="Y1602" s="17"/>
      <c r="Z1602" s="17"/>
      <c r="AA1602" s="17"/>
      <c r="AB1602" s="17"/>
    </row>
    <row r="1603" spans="1:28">
      <c r="A1603" s="16" t="s">
        <v>8263</v>
      </c>
      <c r="B1603" s="16" t="s">
        <v>8263</v>
      </c>
      <c r="C1603" s="16" t="s">
        <v>8434</v>
      </c>
      <c r="D1603" s="16" t="s">
        <v>21</v>
      </c>
      <c r="E1603" s="36" t="s">
        <v>8444</v>
      </c>
      <c r="F1603" s="16" t="s">
        <v>399</v>
      </c>
      <c r="G1603" s="17" t="str">
        <f>Config!$B$3</f>
        <v>SCH/R_IEC.SchLib</v>
      </c>
      <c r="H1603" s="16" t="s">
        <v>419</v>
      </c>
      <c r="I1603" s="18" t="s">
        <v>7493</v>
      </c>
      <c r="J1603" s="16" t="s">
        <v>8273</v>
      </c>
      <c r="K1603" s="16"/>
      <c r="L1603" s="16"/>
      <c r="M1603" s="20">
        <v>4300000</v>
      </c>
      <c r="N1603" s="19" t="s">
        <v>8460</v>
      </c>
      <c r="O1603" s="16" t="s">
        <v>4414</v>
      </c>
      <c r="P1603" s="16"/>
      <c r="Q1603" s="16"/>
      <c r="R1603" s="16"/>
      <c r="S1603" s="16"/>
      <c r="T1603" s="16"/>
      <c r="U1603" s="16"/>
      <c r="V1603" s="16"/>
      <c r="W1603" s="17"/>
      <c r="X1603" s="17"/>
      <c r="Y1603" s="17"/>
      <c r="Z1603" s="17"/>
      <c r="AA1603" s="17"/>
      <c r="AB1603" s="17"/>
    </row>
    <row r="1604" spans="1:28">
      <c r="A1604" s="16" t="s">
        <v>8264</v>
      </c>
      <c r="B1604" s="16" t="s">
        <v>8264</v>
      </c>
      <c r="C1604" s="16" t="s">
        <v>8435</v>
      </c>
      <c r="D1604" s="16" t="s">
        <v>21</v>
      </c>
      <c r="E1604" s="36" t="s">
        <v>8444</v>
      </c>
      <c r="F1604" s="16" t="s">
        <v>401</v>
      </c>
      <c r="G1604" s="17" t="str">
        <f>Config!$B$3</f>
        <v>SCH/R_IEC.SchLib</v>
      </c>
      <c r="H1604" s="16" t="s">
        <v>419</v>
      </c>
      <c r="I1604" s="18" t="s">
        <v>7493</v>
      </c>
      <c r="J1604" s="16" t="s">
        <v>8273</v>
      </c>
      <c r="K1604" s="16"/>
      <c r="L1604" s="16"/>
      <c r="M1604" s="20">
        <v>4700000</v>
      </c>
      <c r="N1604" s="19" t="s">
        <v>8460</v>
      </c>
      <c r="O1604" s="16" t="s">
        <v>4414</v>
      </c>
      <c r="P1604" s="16"/>
      <c r="Q1604" s="16"/>
      <c r="R1604" s="16"/>
      <c r="S1604" s="16"/>
      <c r="T1604" s="16"/>
      <c r="U1604" s="16"/>
      <c r="V1604" s="16"/>
      <c r="W1604" s="17"/>
      <c r="X1604" s="17"/>
      <c r="Y1604" s="17"/>
      <c r="Z1604" s="17"/>
      <c r="AA1604" s="17"/>
      <c r="AB1604" s="17"/>
    </row>
    <row r="1605" spans="1:28">
      <c r="A1605" s="16" t="s">
        <v>8265</v>
      </c>
      <c r="B1605" s="16" t="s">
        <v>8265</v>
      </c>
      <c r="C1605" s="16" t="s">
        <v>8436</v>
      </c>
      <c r="D1605" s="16" t="s">
        <v>21</v>
      </c>
      <c r="E1605" s="36" t="s">
        <v>8444</v>
      </c>
      <c r="F1605" s="16" t="s">
        <v>403</v>
      </c>
      <c r="G1605" s="17" t="str">
        <f>Config!$B$3</f>
        <v>SCH/R_IEC.SchLib</v>
      </c>
      <c r="H1605" s="16" t="s">
        <v>419</v>
      </c>
      <c r="I1605" s="18" t="s">
        <v>7493</v>
      </c>
      <c r="J1605" s="16" t="s">
        <v>8273</v>
      </c>
      <c r="K1605" s="16"/>
      <c r="L1605" s="16"/>
      <c r="M1605" s="20">
        <v>5100000</v>
      </c>
      <c r="N1605" s="19" t="s">
        <v>8460</v>
      </c>
      <c r="O1605" s="16" t="s">
        <v>4414</v>
      </c>
      <c r="P1605" s="16"/>
      <c r="Q1605" s="16"/>
      <c r="R1605" s="16"/>
      <c r="S1605" s="16"/>
      <c r="T1605" s="16"/>
      <c r="U1605" s="16"/>
      <c r="V1605" s="16"/>
      <c r="W1605" s="17"/>
      <c r="X1605" s="17"/>
      <c r="Y1605" s="17"/>
      <c r="Z1605" s="17"/>
      <c r="AA1605" s="17"/>
      <c r="AB1605" s="17"/>
    </row>
    <row r="1606" spans="1:28">
      <c r="A1606" s="16" t="s">
        <v>8266</v>
      </c>
      <c r="B1606" s="16" t="s">
        <v>8266</v>
      </c>
      <c r="C1606" s="16" t="s">
        <v>8437</v>
      </c>
      <c r="D1606" s="16" t="s">
        <v>21</v>
      </c>
      <c r="E1606" s="36" t="s">
        <v>8444</v>
      </c>
      <c r="F1606" s="16" t="s">
        <v>405</v>
      </c>
      <c r="G1606" s="17" t="str">
        <f>Config!$B$3</f>
        <v>SCH/R_IEC.SchLib</v>
      </c>
      <c r="H1606" s="16" t="s">
        <v>419</v>
      </c>
      <c r="I1606" s="18" t="s">
        <v>7493</v>
      </c>
      <c r="J1606" s="16" t="s">
        <v>8273</v>
      </c>
      <c r="K1606" s="16"/>
      <c r="L1606" s="16"/>
      <c r="M1606" s="20">
        <v>5600000</v>
      </c>
      <c r="N1606" s="19" t="s">
        <v>8460</v>
      </c>
      <c r="O1606" s="16" t="s">
        <v>4414</v>
      </c>
      <c r="P1606" s="16"/>
      <c r="Q1606" s="16"/>
      <c r="R1606" s="16"/>
      <c r="S1606" s="16"/>
      <c r="T1606" s="16"/>
      <c r="U1606" s="16"/>
      <c r="V1606" s="16"/>
      <c r="W1606" s="17"/>
      <c r="X1606" s="17"/>
      <c r="Y1606" s="17"/>
      <c r="Z1606" s="17"/>
      <c r="AA1606" s="17"/>
      <c r="AB1606" s="17"/>
    </row>
    <row r="1607" spans="1:28">
      <c r="A1607" s="16" t="s">
        <v>8267</v>
      </c>
      <c r="B1607" s="16" t="s">
        <v>8267</v>
      </c>
      <c r="C1607" s="16" t="s">
        <v>8438</v>
      </c>
      <c r="D1607" s="16" t="s">
        <v>21</v>
      </c>
      <c r="E1607" s="36" t="s">
        <v>8444</v>
      </c>
      <c r="F1607" s="16" t="s">
        <v>407</v>
      </c>
      <c r="G1607" s="17" t="str">
        <f>Config!$B$3</f>
        <v>SCH/R_IEC.SchLib</v>
      </c>
      <c r="H1607" s="16" t="s">
        <v>419</v>
      </c>
      <c r="I1607" s="18" t="s">
        <v>7493</v>
      </c>
      <c r="J1607" s="16" t="s">
        <v>8273</v>
      </c>
      <c r="K1607" s="16"/>
      <c r="L1607" s="16"/>
      <c r="M1607" s="20">
        <v>6200000</v>
      </c>
      <c r="N1607" s="19" t="s">
        <v>8460</v>
      </c>
      <c r="O1607" s="16" t="s">
        <v>4414</v>
      </c>
      <c r="P1607" s="16"/>
      <c r="Q1607" s="16"/>
      <c r="R1607" s="16"/>
      <c r="S1607" s="16"/>
      <c r="T1607" s="16"/>
      <c r="U1607" s="16"/>
      <c r="V1607" s="16"/>
      <c r="W1607" s="17"/>
      <c r="X1607" s="17"/>
      <c r="Y1607" s="17"/>
      <c r="Z1607" s="17"/>
      <c r="AA1607" s="17"/>
      <c r="AB1607" s="17"/>
    </row>
    <row r="1608" spans="1:28">
      <c r="A1608" s="16" t="s">
        <v>8268</v>
      </c>
      <c r="B1608" s="16" t="s">
        <v>8268</v>
      </c>
      <c r="C1608" s="16" t="s">
        <v>8439</v>
      </c>
      <c r="D1608" s="16" t="s">
        <v>21</v>
      </c>
      <c r="E1608" s="36" t="s">
        <v>8444</v>
      </c>
      <c r="F1608" s="16" t="s">
        <v>409</v>
      </c>
      <c r="G1608" s="17" t="str">
        <f>Config!$B$3</f>
        <v>SCH/R_IEC.SchLib</v>
      </c>
      <c r="H1608" s="16" t="s">
        <v>419</v>
      </c>
      <c r="I1608" s="18" t="s">
        <v>7493</v>
      </c>
      <c r="J1608" s="16" t="s">
        <v>8273</v>
      </c>
      <c r="K1608" s="16"/>
      <c r="L1608" s="16"/>
      <c r="M1608" s="20">
        <v>6800000</v>
      </c>
      <c r="N1608" s="19" t="s">
        <v>8460</v>
      </c>
      <c r="O1608" s="16" t="s">
        <v>4414</v>
      </c>
      <c r="P1608" s="16"/>
      <c r="Q1608" s="16"/>
      <c r="R1608" s="16"/>
      <c r="S1608" s="16"/>
      <c r="T1608" s="16"/>
      <c r="U1608" s="16"/>
      <c r="V1608" s="16"/>
      <c r="W1608" s="17"/>
      <c r="X1608" s="17"/>
      <c r="Y1608" s="17"/>
      <c r="Z1608" s="17"/>
      <c r="AA1608" s="17"/>
      <c r="AB1608" s="17"/>
    </row>
    <row r="1609" spans="1:28">
      <c r="A1609" s="16" t="s">
        <v>8269</v>
      </c>
      <c r="B1609" s="16" t="s">
        <v>8269</v>
      </c>
      <c r="C1609" s="16" t="s">
        <v>8440</v>
      </c>
      <c r="D1609" s="16" t="s">
        <v>21</v>
      </c>
      <c r="E1609" s="36" t="s">
        <v>8444</v>
      </c>
      <c r="F1609" s="16" t="s">
        <v>411</v>
      </c>
      <c r="G1609" s="17" t="str">
        <f>Config!$B$3</f>
        <v>SCH/R_IEC.SchLib</v>
      </c>
      <c r="H1609" s="16" t="s">
        <v>419</v>
      </c>
      <c r="I1609" s="18" t="s">
        <v>7493</v>
      </c>
      <c r="J1609" s="16" t="s">
        <v>8273</v>
      </c>
      <c r="K1609" s="16"/>
      <c r="L1609" s="16"/>
      <c r="M1609" s="20">
        <v>7500000</v>
      </c>
      <c r="N1609" s="19" t="s">
        <v>8460</v>
      </c>
      <c r="O1609" s="16" t="s">
        <v>4414</v>
      </c>
      <c r="P1609" s="16"/>
      <c r="Q1609" s="16"/>
      <c r="R1609" s="16"/>
      <c r="S1609" s="16"/>
      <c r="T1609" s="16"/>
      <c r="U1609" s="16"/>
      <c r="V1609" s="16"/>
      <c r="W1609" s="17"/>
      <c r="X1609" s="17"/>
      <c r="Y1609" s="17"/>
      <c r="Z1609" s="17"/>
      <c r="AA1609" s="17"/>
      <c r="AB1609" s="17"/>
    </row>
    <row r="1610" spans="1:28">
      <c r="A1610" s="17" t="s">
        <v>8270</v>
      </c>
      <c r="B1610" s="17" t="s">
        <v>8270</v>
      </c>
      <c r="C1610" s="17" t="s">
        <v>8441</v>
      </c>
      <c r="D1610" s="17" t="s">
        <v>21</v>
      </c>
      <c r="E1610" s="37" t="s">
        <v>8444</v>
      </c>
      <c r="F1610" s="17" t="s">
        <v>413</v>
      </c>
      <c r="G1610" s="17" t="str">
        <f>Config!$B$3</f>
        <v>SCH/R_IEC.SchLib</v>
      </c>
      <c r="H1610" s="17" t="s">
        <v>419</v>
      </c>
      <c r="I1610" s="18" t="s">
        <v>7493</v>
      </c>
      <c r="J1610" s="16" t="s">
        <v>8273</v>
      </c>
      <c r="K1610" s="16"/>
      <c r="L1610" s="16"/>
      <c r="M1610" s="21">
        <v>8200000</v>
      </c>
      <c r="N1610" s="19" t="s">
        <v>8460</v>
      </c>
      <c r="O1610" s="16" t="s">
        <v>4414</v>
      </c>
      <c r="P1610" s="17"/>
      <c r="Q1610" s="17"/>
      <c r="R1610" s="17"/>
      <c r="S1610" s="17"/>
      <c r="T1610" s="17"/>
      <c r="U1610" s="17"/>
      <c r="V1610" s="17"/>
      <c r="W1610" s="17"/>
      <c r="X1610" s="17"/>
      <c r="Y1610" s="17"/>
      <c r="Z1610" s="17"/>
      <c r="AA1610" s="17"/>
      <c r="AB1610" s="17"/>
    </row>
    <row r="1611" spans="1:28">
      <c r="A1611" s="17" t="s">
        <v>8271</v>
      </c>
      <c r="B1611" s="17" t="s">
        <v>8271</v>
      </c>
      <c r="C1611" s="17" t="s">
        <v>8442</v>
      </c>
      <c r="D1611" s="17" t="s">
        <v>21</v>
      </c>
      <c r="E1611" s="37" t="s">
        <v>8444</v>
      </c>
      <c r="F1611" s="17" t="s">
        <v>415</v>
      </c>
      <c r="G1611" s="17" t="str">
        <f>Config!$B$3</f>
        <v>SCH/R_IEC.SchLib</v>
      </c>
      <c r="H1611" s="17" t="s">
        <v>419</v>
      </c>
      <c r="I1611" s="18" t="s">
        <v>7493</v>
      </c>
      <c r="J1611" s="16" t="s">
        <v>8273</v>
      </c>
      <c r="K1611" s="16"/>
      <c r="L1611" s="16"/>
      <c r="M1611" s="21">
        <v>9100000</v>
      </c>
      <c r="N1611" s="19" t="s">
        <v>8460</v>
      </c>
      <c r="O1611" s="16" t="s">
        <v>4414</v>
      </c>
      <c r="P1611" s="17"/>
      <c r="Q1611" s="17"/>
      <c r="R1611" s="17"/>
      <c r="S1611" s="17"/>
      <c r="T1611" s="17"/>
      <c r="U1611" s="17"/>
      <c r="V1611" s="17"/>
      <c r="W1611" s="17"/>
      <c r="X1611" s="17"/>
      <c r="Y1611" s="17"/>
      <c r="Z1611" s="17"/>
      <c r="AA1611" s="17"/>
      <c r="AB1611" s="17"/>
    </row>
    <row r="1612" spans="1:28">
      <c r="A1612" s="17" t="s">
        <v>8272</v>
      </c>
      <c r="B1612" s="17" t="s">
        <v>8272</v>
      </c>
      <c r="C1612" s="17" t="s">
        <v>8443</v>
      </c>
      <c r="D1612" s="17" t="s">
        <v>21</v>
      </c>
      <c r="E1612" s="37" t="s">
        <v>8444</v>
      </c>
      <c r="F1612" s="17" t="s">
        <v>417</v>
      </c>
      <c r="G1612" s="17" t="str">
        <f>Config!$B$3</f>
        <v>SCH/R_IEC.SchLib</v>
      </c>
      <c r="H1612" s="17" t="s">
        <v>419</v>
      </c>
      <c r="I1612" s="18" t="s">
        <v>7493</v>
      </c>
      <c r="J1612" s="16" t="s">
        <v>8273</v>
      </c>
      <c r="K1612" s="16"/>
      <c r="L1612" s="16"/>
      <c r="M1612" s="21">
        <v>10000000</v>
      </c>
      <c r="N1612" s="19" t="s">
        <v>8460</v>
      </c>
      <c r="O1612" s="16" t="s">
        <v>4414</v>
      </c>
      <c r="P1612" s="17"/>
      <c r="Q1612" s="17"/>
      <c r="R1612" s="17"/>
      <c r="S1612" s="17"/>
      <c r="T1612" s="17"/>
      <c r="U1612" s="17"/>
      <c r="V1612" s="17"/>
      <c r="W1612" s="17"/>
      <c r="X1612" s="17"/>
      <c r="Y1612" s="17"/>
      <c r="Z1612" s="17"/>
      <c r="AA1612" s="17"/>
      <c r="AB1612" s="17"/>
    </row>
    <row r="1613" spans="1:28">
      <c r="A1613" s="16" t="s">
        <v>8523</v>
      </c>
      <c r="B1613" s="16" t="s">
        <v>8103</v>
      </c>
      <c r="C1613" s="16" t="s">
        <v>8693</v>
      </c>
      <c r="D1613" s="16" t="s">
        <v>21</v>
      </c>
      <c r="E1613" s="36" t="s">
        <v>8444</v>
      </c>
      <c r="F1613" s="16" t="s">
        <v>23</v>
      </c>
      <c r="G1613" s="17" t="str">
        <f>Config!$B$3</f>
        <v>SCH/R_IEC.SchLib</v>
      </c>
      <c r="H1613" s="16" t="s">
        <v>419</v>
      </c>
      <c r="I1613" s="18" t="s">
        <v>7493</v>
      </c>
      <c r="J1613" s="16" t="s">
        <v>8863</v>
      </c>
      <c r="K1613" s="16"/>
      <c r="L1613" s="16"/>
      <c r="M1613" s="19">
        <v>0</v>
      </c>
      <c r="N1613" s="19" t="s">
        <v>8460</v>
      </c>
      <c r="O1613" s="16" t="s">
        <v>4414</v>
      </c>
      <c r="P1613" s="16"/>
      <c r="Q1613" s="16"/>
      <c r="R1613" s="16"/>
      <c r="S1613" s="16"/>
      <c r="T1613" s="16"/>
      <c r="U1613" s="16"/>
      <c r="V1613" s="16"/>
      <c r="W1613" s="17"/>
      <c r="X1613" s="17"/>
      <c r="Y1613" s="16"/>
      <c r="Z1613" s="17"/>
      <c r="AA1613" s="17"/>
      <c r="AB1613" s="17"/>
    </row>
    <row r="1614" spans="1:28">
      <c r="A1614" s="16" t="s">
        <v>8524</v>
      </c>
      <c r="B1614" s="16" t="s">
        <v>8104</v>
      </c>
      <c r="C1614" s="16" t="s">
        <v>8694</v>
      </c>
      <c r="D1614" s="16" t="s">
        <v>21</v>
      </c>
      <c r="E1614" s="36" t="s">
        <v>8444</v>
      </c>
      <c r="F1614" s="16" t="s">
        <v>29</v>
      </c>
      <c r="G1614" s="17" t="str">
        <f>Config!$B$3</f>
        <v>SCH/R_IEC.SchLib</v>
      </c>
      <c r="H1614" s="16" t="s">
        <v>419</v>
      </c>
      <c r="I1614" s="18" t="s">
        <v>7493</v>
      </c>
      <c r="J1614" s="16" t="s">
        <v>8863</v>
      </c>
      <c r="K1614" s="16"/>
      <c r="L1614" s="16"/>
      <c r="M1614" s="19">
        <v>1</v>
      </c>
      <c r="N1614" s="19" t="s">
        <v>8460</v>
      </c>
      <c r="O1614" s="16" t="s">
        <v>4414</v>
      </c>
      <c r="P1614" s="16"/>
      <c r="Q1614" s="16"/>
      <c r="R1614" s="16"/>
      <c r="S1614" s="16"/>
      <c r="T1614" s="16"/>
      <c r="U1614" s="16"/>
      <c r="V1614" s="16"/>
      <c r="W1614" s="17"/>
      <c r="X1614" s="17"/>
      <c r="Y1614" s="17"/>
      <c r="Z1614" s="17"/>
      <c r="AA1614" s="17"/>
      <c r="AB1614" s="17"/>
    </row>
    <row r="1615" spans="1:28">
      <c r="A1615" s="16" t="s">
        <v>8525</v>
      </c>
      <c r="B1615" s="16" t="s">
        <v>8105</v>
      </c>
      <c r="C1615" s="16" t="s">
        <v>8695</v>
      </c>
      <c r="D1615" s="16" t="s">
        <v>21</v>
      </c>
      <c r="E1615" s="36" t="s">
        <v>8444</v>
      </c>
      <c r="F1615" s="16" t="s">
        <v>1042</v>
      </c>
      <c r="G1615" s="17" t="str">
        <f>Config!$B$3</f>
        <v>SCH/R_IEC.SchLib</v>
      </c>
      <c r="H1615" s="16" t="s">
        <v>419</v>
      </c>
      <c r="I1615" s="18" t="s">
        <v>7493</v>
      </c>
      <c r="J1615" s="16" t="s">
        <v>8863</v>
      </c>
      <c r="K1615" s="16"/>
      <c r="L1615" s="16"/>
      <c r="M1615" s="19">
        <v>1.1000000000000001</v>
      </c>
      <c r="N1615" s="19" t="s">
        <v>8460</v>
      </c>
      <c r="O1615" s="16" t="s">
        <v>4414</v>
      </c>
      <c r="P1615" s="16"/>
      <c r="Q1615" s="16"/>
      <c r="R1615" s="16"/>
      <c r="S1615" s="16"/>
      <c r="T1615" s="16"/>
      <c r="U1615" s="16"/>
      <c r="V1615" s="16"/>
      <c r="W1615" s="17"/>
      <c r="X1615" s="17"/>
      <c r="Y1615" s="17"/>
      <c r="Z1615" s="17"/>
      <c r="AA1615" s="17"/>
      <c r="AB1615" s="17"/>
    </row>
    <row r="1616" spans="1:28">
      <c r="A1616" s="16" t="s">
        <v>8526</v>
      </c>
      <c r="B1616" s="16" t="s">
        <v>8106</v>
      </c>
      <c r="C1616" s="16" t="s">
        <v>8696</v>
      </c>
      <c r="D1616" s="16" t="s">
        <v>21</v>
      </c>
      <c r="E1616" s="36" t="s">
        <v>8444</v>
      </c>
      <c r="F1616" s="16" t="s">
        <v>31</v>
      </c>
      <c r="G1616" s="17" t="str">
        <f>Config!$B$3</f>
        <v>SCH/R_IEC.SchLib</v>
      </c>
      <c r="H1616" s="16" t="s">
        <v>419</v>
      </c>
      <c r="I1616" s="18" t="s">
        <v>7493</v>
      </c>
      <c r="J1616" s="16" t="s">
        <v>8863</v>
      </c>
      <c r="K1616" s="16"/>
      <c r="L1616" s="16"/>
      <c r="M1616" s="19">
        <v>1.2</v>
      </c>
      <c r="N1616" s="19" t="s">
        <v>8460</v>
      </c>
      <c r="O1616" s="16" t="s">
        <v>4414</v>
      </c>
      <c r="P1616" s="16"/>
      <c r="Q1616" s="16"/>
      <c r="R1616" s="16"/>
      <c r="S1616" s="16"/>
      <c r="T1616" s="16"/>
      <c r="U1616" s="16"/>
      <c r="V1616" s="16"/>
      <c r="W1616" s="17"/>
      <c r="X1616" s="17"/>
      <c r="Y1616" s="17"/>
      <c r="Z1616" s="17"/>
      <c r="AA1616" s="17"/>
      <c r="AB1616" s="17"/>
    </row>
    <row r="1617" spans="1:28">
      <c r="A1617" s="16" t="s">
        <v>8527</v>
      </c>
      <c r="B1617" s="16" t="s">
        <v>8107</v>
      </c>
      <c r="C1617" s="16" t="s">
        <v>8697</v>
      </c>
      <c r="D1617" s="16" t="s">
        <v>21</v>
      </c>
      <c r="E1617" s="36" t="s">
        <v>8444</v>
      </c>
      <c r="F1617" s="16" t="s">
        <v>1052</v>
      </c>
      <c r="G1617" s="17" t="str">
        <f>Config!$B$3</f>
        <v>SCH/R_IEC.SchLib</v>
      </c>
      <c r="H1617" s="16" t="s">
        <v>419</v>
      </c>
      <c r="I1617" s="18" t="s">
        <v>7493</v>
      </c>
      <c r="J1617" s="16" t="s">
        <v>8863</v>
      </c>
      <c r="K1617" s="16"/>
      <c r="L1617" s="16"/>
      <c r="M1617" s="19">
        <v>1.3</v>
      </c>
      <c r="N1617" s="19" t="s">
        <v>8460</v>
      </c>
      <c r="O1617" s="16" t="s">
        <v>4414</v>
      </c>
      <c r="P1617" s="16"/>
      <c r="Q1617" s="16"/>
      <c r="R1617" s="16"/>
      <c r="S1617" s="16"/>
      <c r="T1617" s="16"/>
      <c r="U1617" s="16"/>
      <c r="V1617" s="16"/>
      <c r="W1617" s="17"/>
      <c r="X1617" s="17"/>
      <c r="Y1617" s="17"/>
      <c r="Z1617" s="17"/>
      <c r="AA1617" s="17"/>
      <c r="AB1617" s="17"/>
    </row>
    <row r="1618" spans="1:28">
      <c r="A1618" s="16" t="s">
        <v>8528</v>
      </c>
      <c r="B1618" s="16" t="s">
        <v>8108</v>
      </c>
      <c r="C1618" s="16" t="s">
        <v>8698</v>
      </c>
      <c r="D1618" s="16" t="s">
        <v>21</v>
      </c>
      <c r="E1618" s="36" t="s">
        <v>8444</v>
      </c>
      <c r="F1618" s="16" t="s">
        <v>33</v>
      </c>
      <c r="G1618" s="17" t="str">
        <f>Config!$B$3</f>
        <v>SCH/R_IEC.SchLib</v>
      </c>
      <c r="H1618" s="16" t="s">
        <v>419</v>
      </c>
      <c r="I1618" s="18" t="s">
        <v>7493</v>
      </c>
      <c r="J1618" s="16" t="s">
        <v>8863</v>
      </c>
      <c r="K1618" s="16"/>
      <c r="L1618" s="16"/>
      <c r="M1618" s="19">
        <v>1.5</v>
      </c>
      <c r="N1618" s="19" t="s">
        <v>8460</v>
      </c>
      <c r="O1618" s="16" t="s">
        <v>4414</v>
      </c>
      <c r="P1618" s="16"/>
      <c r="Q1618" s="16"/>
      <c r="R1618" s="16"/>
      <c r="S1618" s="16"/>
      <c r="T1618" s="16"/>
      <c r="U1618" s="16"/>
      <c r="V1618" s="16"/>
      <c r="W1618" s="17"/>
      <c r="X1618" s="17"/>
      <c r="Y1618" s="17"/>
      <c r="Z1618" s="17"/>
      <c r="AA1618" s="17"/>
      <c r="AB1618" s="17"/>
    </row>
    <row r="1619" spans="1:28">
      <c r="A1619" s="16" t="s">
        <v>8529</v>
      </c>
      <c r="B1619" s="16" t="s">
        <v>8109</v>
      </c>
      <c r="C1619" s="16" t="s">
        <v>8699</v>
      </c>
      <c r="D1619" s="16" t="s">
        <v>21</v>
      </c>
      <c r="E1619" s="36" t="s">
        <v>8444</v>
      </c>
      <c r="F1619" s="16" t="s">
        <v>1062</v>
      </c>
      <c r="G1619" s="17" t="str">
        <f>Config!$B$3</f>
        <v>SCH/R_IEC.SchLib</v>
      </c>
      <c r="H1619" s="16" t="s">
        <v>419</v>
      </c>
      <c r="I1619" s="18" t="s">
        <v>7493</v>
      </c>
      <c r="J1619" s="16" t="s">
        <v>8863</v>
      </c>
      <c r="K1619" s="16"/>
      <c r="L1619" s="16"/>
      <c r="M1619" s="19">
        <v>1.6</v>
      </c>
      <c r="N1619" s="19" t="s">
        <v>8460</v>
      </c>
      <c r="O1619" s="16" t="s">
        <v>4414</v>
      </c>
      <c r="P1619" s="16"/>
      <c r="Q1619" s="16"/>
      <c r="R1619" s="16"/>
      <c r="S1619" s="16"/>
      <c r="T1619" s="16"/>
      <c r="U1619" s="16"/>
      <c r="V1619" s="16"/>
      <c r="W1619" s="17"/>
      <c r="X1619" s="17"/>
      <c r="Y1619" s="17"/>
      <c r="Z1619" s="17"/>
      <c r="AA1619" s="17"/>
      <c r="AB1619" s="17"/>
    </row>
    <row r="1620" spans="1:28">
      <c r="A1620" s="16" t="s">
        <v>8530</v>
      </c>
      <c r="B1620" s="16" t="s">
        <v>8110</v>
      </c>
      <c r="C1620" s="16" t="s">
        <v>8700</v>
      </c>
      <c r="D1620" s="16" t="s">
        <v>21</v>
      </c>
      <c r="E1620" s="36" t="s">
        <v>8444</v>
      </c>
      <c r="F1620" s="16" t="s">
        <v>35</v>
      </c>
      <c r="G1620" s="17" t="str">
        <f>Config!$B$3</f>
        <v>SCH/R_IEC.SchLib</v>
      </c>
      <c r="H1620" s="16" t="s">
        <v>419</v>
      </c>
      <c r="I1620" s="18" t="s">
        <v>7493</v>
      </c>
      <c r="J1620" s="16" t="s">
        <v>8863</v>
      </c>
      <c r="K1620" s="16"/>
      <c r="L1620" s="16"/>
      <c r="M1620" s="19">
        <v>1.8</v>
      </c>
      <c r="N1620" s="19" t="s">
        <v>8460</v>
      </c>
      <c r="O1620" s="16" t="s">
        <v>4414</v>
      </c>
      <c r="P1620" s="16"/>
      <c r="Q1620" s="16"/>
      <c r="R1620" s="16"/>
      <c r="S1620" s="16"/>
      <c r="T1620" s="16"/>
      <c r="U1620" s="16"/>
      <c r="V1620" s="16"/>
      <c r="W1620" s="17"/>
      <c r="X1620" s="17"/>
      <c r="Y1620" s="17"/>
      <c r="Z1620" s="17"/>
      <c r="AA1620" s="17"/>
      <c r="AB1620" s="17"/>
    </row>
    <row r="1621" spans="1:28">
      <c r="A1621" s="16" t="s">
        <v>8531</v>
      </c>
      <c r="B1621" s="16" t="s">
        <v>8111</v>
      </c>
      <c r="C1621" s="16" t="s">
        <v>8701</v>
      </c>
      <c r="D1621" s="16" t="s">
        <v>21</v>
      </c>
      <c r="E1621" s="36" t="s">
        <v>8444</v>
      </c>
      <c r="F1621" s="16" t="s">
        <v>1070</v>
      </c>
      <c r="G1621" s="17" t="str">
        <f>Config!$B$3</f>
        <v>SCH/R_IEC.SchLib</v>
      </c>
      <c r="H1621" s="16" t="s">
        <v>419</v>
      </c>
      <c r="I1621" s="18" t="s">
        <v>7493</v>
      </c>
      <c r="J1621" s="16" t="s">
        <v>8863</v>
      </c>
      <c r="K1621" s="16"/>
      <c r="L1621" s="16"/>
      <c r="M1621" s="19">
        <v>2</v>
      </c>
      <c r="N1621" s="19" t="s">
        <v>8460</v>
      </c>
      <c r="O1621" s="16" t="s">
        <v>4414</v>
      </c>
      <c r="P1621" s="16"/>
      <c r="Q1621" s="16"/>
      <c r="R1621" s="16"/>
      <c r="S1621" s="16"/>
      <c r="T1621" s="16"/>
      <c r="U1621" s="16"/>
      <c r="V1621" s="16"/>
      <c r="W1621" s="17"/>
      <c r="X1621" s="17"/>
      <c r="Y1621" s="17"/>
      <c r="Z1621" s="17"/>
      <c r="AA1621" s="17"/>
      <c r="AB1621" s="17"/>
    </row>
    <row r="1622" spans="1:28">
      <c r="A1622" s="16" t="s">
        <v>8532</v>
      </c>
      <c r="B1622" s="16" t="s">
        <v>8112</v>
      </c>
      <c r="C1622" s="16" t="s">
        <v>8702</v>
      </c>
      <c r="D1622" s="16" t="s">
        <v>21</v>
      </c>
      <c r="E1622" s="36" t="s">
        <v>8444</v>
      </c>
      <c r="F1622" s="16" t="s">
        <v>37</v>
      </c>
      <c r="G1622" s="17" t="str">
        <f>Config!$B$3</f>
        <v>SCH/R_IEC.SchLib</v>
      </c>
      <c r="H1622" s="16" t="s">
        <v>419</v>
      </c>
      <c r="I1622" s="18" t="s">
        <v>7493</v>
      </c>
      <c r="J1622" s="16" t="s">
        <v>8863</v>
      </c>
      <c r="K1622" s="16"/>
      <c r="L1622" s="16"/>
      <c r="M1622" s="19">
        <v>2.2000000000000002</v>
      </c>
      <c r="N1622" s="19" t="s">
        <v>8460</v>
      </c>
      <c r="O1622" s="16" t="s">
        <v>4414</v>
      </c>
      <c r="P1622" s="16"/>
      <c r="Q1622" s="16"/>
      <c r="R1622" s="16"/>
      <c r="S1622" s="16"/>
      <c r="T1622" s="16"/>
      <c r="U1622" s="16"/>
      <c r="V1622" s="16"/>
      <c r="W1622" s="17"/>
      <c r="X1622" s="17"/>
      <c r="Y1622" s="17"/>
      <c r="Z1622" s="17"/>
      <c r="AA1622" s="17"/>
      <c r="AB1622" s="17"/>
    </row>
    <row r="1623" spans="1:28">
      <c r="A1623" s="16" t="s">
        <v>8533</v>
      </c>
      <c r="B1623" s="16" t="s">
        <v>8113</v>
      </c>
      <c r="C1623" s="16" t="s">
        <v>8703</v>
      </c>
      <c r="D1623" s="16" t="s">
        <v>21</v>
      </c>
      <c r="E1623" s="36" t="s">
        <v>8444</v>
      </c>
      <c r="F1623" s="16" t="s">
        <v>1080</v>
      </c>
      <c r="G1623" s="17" t="str">
        <f>Config!$B$3</f>
        <v>SCH/R_IEC.SchLib</v>
      </c>
      <c r="H1623" s="16" t="s">
        <v>419</v>
      </c>
      <c r="I1623" s="18" t="s">
        <v>7493</v>
      </c>
      <c r="J1623" s="16" t="s">
        <v>8863</v>
      </c>
      <c r="K1623" s="16"/>
      <c r="L1623" s="16"/>
      <c r="M1623" s="19">
        <v>2.4</v>
      </c>
      <c r="N1623" s="19" t="s">
        <v>8460</v>
      </c>
      <c r="O1623" s="16" t="s">
        <v>4414</v>
      </c>
      <c r="P1623" s="16"/>
      <c r="Q1623" s="16"/>
      <c r="R1623" s="16"/>
      <c r="S1623" s="16"/>
      <c r="T1623" s="16"/>
      <c r="U1623" s="16"/>
      <c r="V1623" s="16"/>
      <c r="W1623" s="17"/>
      <c r="X1623" s="17"/>
      <c r="Y1623" s="17"/>
      <c r="Z1623" s="17"/>
      <c r="AA1623" s="17"/>
      <c r="AB1623" s="17"/>
    </row>
    <row r="1624" spans="1:28">
      <c r="A1624" s="16" t="s">
        <v>8534</v>
      </c>
      <c r="B1624" s="16" t="s">
        <v>8114</v>
      </c>
      <c r="C1624" s="16" t="s">
        <v>8704</v>
      </c>
      <c r="D1624" s="16" t="s">
        <v>21</v>
      </c>
      <c r="E1624" s="36" t="s">
        <v>8444</v>
      </c>
      <c r="F1624" s="16" t="s">
        <v>39</v>
      </c>
      <c r="G1624" s="17" t="str">
        <f>Config!$B$3</f>
        <v>SCH/R_IEC.SchLib</v>
      </c>
      <c r="H1624" s="16" t="s">
        <v>419</v>
      </c>
      <c r="I1624" s="18" t="s">
        <v>7493</v>
      </c>
      <c r="J1624" s="16" t="s">
        <v>8863</v>
      </c>
      <c r="K1624" s="16"/>
      <c r="L1624" s="16"/>
      <c r="M1624" s="19">
        <v>2.7</v>
      </c>
      <c r="N1624" s="19" t="s">
        <v>8460</v>
      </c>
      <c r="O1624" s="16" t="s">
        <v>4414</v>
      </c>
      <c r="P1624" s="16"/>
      <c r="Q1624" s="16"/>
      <c r="R1624" s="16"/>
      <c r="S1624" s="16"/>
      <c r="T1624" s="16"/>
      <c r="U1624" s="16"/>
      <c r="V1624" s="16"/>
      <c r="W1624" s="17"/>
      <c r="X1624" s="17"/>
      <c r="Y1624" s="17"/>
      <c r="Z1624" s="17"/>
      <c r="AA1624" s="17"/>
      <c r="AB1624" s="17"/>
    </row>
    <row r="1625" spans="1:28">
      <c r="A1625" s="16" t="s">
        <v>8535</v>
      </c>
      <c r="B1625" s="16" t="s">
        <v>8115</v>
      </c>
      <c r="C1625" s="16" t="s">
        <v>8705</v>
      </c>
      <c r="D1625" s="16" t="s">
        <v>21</v>
      </c>
      <c r="E1625" s="36" t="s">
        <v>8444</v>
      </c>
      <c r="F1625" s="16" t="s">
        <v>1088</v>
      </c>
      <c r="G1625" s="17" t="str">
        <f>Config!$B$3</f>
        <v>SCH/R_IEC.SchLib</v>
      </c>
      <c r="H1625" s="16" t="s">
        <v>419</v>
      </c>
      <c r="I1625" s="18" t="s">
        <v>7493</v>
      </c>
      <c r="J1625" s="16" t="s">
        <v>8863</v>
      </c>
      <c r="K1625" s="16"/>
      <c r="L1625" s="16"/>
      <c r="M1625" s="19">
        <v>3</v>
      </c>
      <c r="N1625" s="19" t="s">
        <v>8460</v>
      </c>
      <c r="O1625" s="16" t="s">
        <v>4414</v>
      </c>
      <c r="P1625" s="16"/>
      <c r="Q1625" s="16"/>
      <c r="R1625" s="16"/>
      <c r="S1625" s="16"/>
      <c r="T1625" s="16"/>
      <c r="U1625" s="16"/>
      <c r="V1625" s="16"/>
      <c r="W1625" s="17"/>
      <c r="X1625" s="17"/>
      <c r="Y1625" s="17"/>
      <c r="Z1625" s="17"/>
      <c r="AA1625" s="17"/>
      <c r="AB1625" s="17"/>
    </row>
    <row r="1626" spans="1:28">
      <c r="A1626" s="16" t="s">
        <v>8536</v>
      </c>
      <c r="B1626" s="16" t="s">
        <v>8116</v>
      </c>
      <c r="C1626" s="16" t="s">
        <v>8706</v>
      </c>
      <c r="D1626" s="16" t="s">
        <v>21</v>
      </c>
      <c r="E1626" s="36" t="s">
        <v>8444</v>
      </c>
      <c r="F1626" s="16" t="s">
        <v>41</v>
      </c>
      <c r="G1626" s="17" t="str">
        <f>Config!$B$3</f>
        <v>SCH/R_IEC.SchLib</v>
      </c>
      <c r="H1626" s="16" t="s">
        <v>419</v>
      </c>
      <c r="I1626" s="18" t="s">
        <v>7493</v>
      </c>
      <c r="J1626" s="16" t="s">
        <v>8863</v>
      </c>
      <c r="K1626" s="16"/>
      <c r="L1626" s="16"/>
      <c r="M1626" s="19">
        <v>3.3</v>
      </c>
      <c r="N1626" s="19" t="s">
        <v>8460</v>
      </c>
      <c r="O1626" s="16" t="s">
        <v>4414</v>
      </c>
      <c r="P1626" s="16"/>
      <c r="Q1626" s="16"/>
      <c r="R1626" s="16"/>
      <c r="S1626" s="16"/>
      <c r="T1626" s="16"/>
      <c r="U1626" s="16"/>
      <c r="V1626" s="16"/>
      <c r="W1626" s="17"/>
      <c r="X1626" s="17"/>
      <c r="Y1626" s="17"/>
      <c r="Z1626" s="17"/>
      <c r="AA1626" s="17"/>
      <c r="AB1626" s="17"/>
    </row>
    <row r="1627" spans="1:28">
      <c r="A1627" s="16" t="s">
        <v>8537</v>
      </c>
      <c r="B1627" s="16" t="s">
        <v>8117</v>
      </c>
      <c r="C1627" s="16" t="s">
        <v>8707</v>
      </c>
      <c r="D1627" s="16" t="s">
        <v>21</v>
      </c>
      <c r="E1627" s="36" t="s">
        <v>8444</v>
      </c>
      <c r="F1627" s="16" t="s">
        <v>1098</v>
      </c>
      <c r="G1627" s="17" t="str">
        <f>Config!$B$3</f>
        <v>SCH/R_IEC.SchLib</v>
      </c>
      <c r="H1627" s="16" t="s">
        <v>419</v>
      </c>
      <c r="I1627" s="18" t="s">
        <v>7493</v>
      </c>
      <c r="J1627" s="16" t="s">
        <v>8863</v>
      </c>
      <c r="K1627" s="16"/>
      <c r="L1627" s="16"/>
      <c r="M1627" s="19">
        <v>3.6</v>
      </c>
      <c r="N1627" s="19" t="s">
        <v>8460</v>
      </c>
      <c r="O1627" s="16" t="s">
        <v>4414</v>
      </c>
      <c r="P1627" s="16"/>
      <c r="Q1627" s="16"/>
      <c r="R1627" s="16"/>
      <c r="S1627" s="16"/>
      <c r="T1627" s="16"/>
      <c r="U1627" s="16"/>
      <c r="V1627" s="16"/>
      <c r="W1627" s="17"/>
      <c r="X1627" s="17"/>
      <c r="Y1627" s="17"/>
      <c r="Z1627" s="17"/>
      <c r="AA1627" s="17"/>
      <c r="AB1627" s="17"/>
    </row>
    <row r="1628" spans="1:28">
      <c r="A1628" s="16" t="s">
        <v>8538</v>
      </c>
      <c r="B1628" s="16" t="s">
        <v>8118</v>
      </c>
      <c r="C1628" s="16" t="s">
        <v>8708</v>
      </c>
      <c r="D1628" s="16" t="s">
        <v>21</v>
      </c>
      <c r="E1628" s="36" t="s">
        <v>8444</v>
      </c>
      <c r="F1628" s="16" t="s">
        <v>43</v>
      </c>
      <c r="G1628" s="17" t="str">
        <f>Config!$B$3</f>
        <v>SCH/R_IEC.SchLib</v>
      </c>
      <c r="H1628" s="16" t="s">
        <v>419</v>
      </c>
      <c r="I1628" s="18" t="s">
        <v>7493</v>
      </c>
      <c r="J1628" s="16" t="s">
        <v>8863</v>
      </c>
      <c r="K1628" s="16"/>
      <c r="L1628" s="16"/>
      <c r="M1628" s="19">
        <v>3.9</v>
      </c>
      <c r="N1628" s="19" t="s">
        <v>8460</v>
      </c>
      <c r="O1628" s="16" t="s">
        <v>4414</v>
      </c>
      <c r="P1628" s="16"/>
      <c r="Q1628" s="16"/>
      <c r="R1628" s="16"/>
      <c r="S1628" s="16"/>
      <c r="T1628" s="16"/>
      <c r="U1628" s="16"/>
      <c r="V1628" s="16"/>
      <c r="W1628" s="17"/>
      <c r="X1628" s="17"/>
      <c r="Y1628" s="17"/>
      <c r="Z1628" s="17"/>
      <c r="AA1628" s="17"/>
      <c r="AB1628" s="17"/>
    </row>
    <row r="1629" spans="1:28">
      <c r="A1629" s="16" t="s">
        <v>8539</v>
      </c>
      <c r="B1629" s="16" t="s">
        <v>8119</v>
      </c>
      <c r="C1629" s="16" t="s">
        <v>8709</v>
      </c>
      <c r="D1629" s="16" t="s">
        <v>21</v>
      </c>
      <c r="E1629" s="36" t="s">
        <v>8444</v>
      </c>
      <c r="F1629" s="16" t="s">
        <v>1106</v>
      </c>
      <c r="G1629" s="17" t="str">
        <f>Config!$B$3</f>
        <v>SCH/R_IEC.SchLib</v>
      </c>
      <c r="H1629" s="16" t="s">
        <v>419</v>
      </c>
      <c r="I1629" s="18" t="s">
        <v>7493</v>
      </c>
      <c r="J1629" s="16" t="s">
        <v>8863</v>
      </c>
      <c r="K1629" s="16"/>
      <c r="L1629" s="16"/>
      <c r="M1629" s="19">
        <v>4.3</v>
      </c>
      <c r="N1629" s="19" t="s">
        <v>8460</v>
      </c>
      <c r="O1629" s="16" t="s">
        <v>4414</v>
      </c>
      <c r="P1629" s="16"/>
      <c r="Q1629" s="16"/>
      <c r="R1629" s="16"/>
      <c r="S1629" s="16"/>
      <c r="T1629" s="16"/>
      <c r="U1629" s="16"/>
      <c r="V1629" s="16"/>
      <c r="W1629" s="17"/>
      <c r="X1629" s="17"/>
      <c r="Y1629" s="17"/>
      <c r="Z1629" s="17"/>
      <c r="AA1629" s="17"/>
      <c r="AB1629" s="17"/>
    </row>
    <row r="1630" spans="1:28">
      <c r="A1630" s="16" t="s">
        <v>8540</v>
      </c>
      <c r="B1630" s="16" t="s">
        <v>8120</v>
      </c>
      <c r="C1630" s="16" t="s">
        <v>8710</v>
      </c>
      <c r="D1630" s="16" t="s">
        <v>21</v>
      </c>
      <c r="E1630" s="36" t="s">
        <v>8444</v>
      </c>
      <c r="F1630" s="16" t="s">
        <v>45</v>
      </c>
      <c r="G1630" s="17" t="str">
        <f>Config!$B$3</f>
        <v>SCH/R_IEC.SchLib</v>
      </c>
      <c r="H1630" s="16" t="s">
        <v>419</v>
      </c>
      <c r="I1630" s="18" t="s">
        <v>7493</v>
      </c>
      <c r="J1630" s="16" t="s">
        <v>8863</v>
      </c>
      <c r="K1630" s="16"/>
      <c r="L1630" s="16"/>
      <c r="M1630" s="19">
        <v>4.7</v>
      </c>
      <c r="N1630" s="19" t="s">
        <v>8460</v>
      </c>
      <c r="O1630" s="16" t="s">
        <v>4414</v>
      </c>
      <c r="P1630" s="16"/>
      <c r="Q1630" s="16"/>
      <c r="R1630" s="16"/>
      <c r="S1630" s="16"/>
      <c r="T1630" s="16"/>
      <c r="U1630" s="16"/>
      <c r="V1630" s="16"/>
      <c r="W1630" s="17"/>
      <c r="X1630" s="17"/>
      <c r="Y1630" s="17"/>
      <c r="Z1630" s="17"/>
      <c r="AA1630" s="17"/>
      <c r="AB1630" s="17"/>
    </row>
    <row r="1631" spans="1:28">
      <c r="A1631" s="16" t="s">
        <v>8541</v>
      </c>
      <c r="B1631" s="16" t="s">
        <v>8121</v>
      </c>
      <c r="C1631" s="16" t="s">
        <v>8711</v>
      </c>
      <c r="D1631" s="16" t="s">
        <v>21</v>
      </c>
      <c r="E1631" s="36" t="s">
        <v>8444</v>
      </c>
      <c r="F1631" s="16" t="s">
        <v>1116</v>
      </c>
      <c r="G1631" s="17" t="str">
        <f>Config!$B$3</f>
        <v>SCH/R_IEC.SchLib</v>
      </c>
      <c r="H1631" s="16" t="s">
        <v>419</v>
      </c>
      <c r="I1631" s="18" t="s">
        <v>7493</v>
      </c>
      <c r="J1631" s="16" t="s">
        <v>8863</v>
      </c>
      <c r="K1631" s="16"/>
      <c r="L1631" s="16"/>
      <c r="M1631" s="19">
        <v>5.0999999999999996</v>
      </c>
      <c r="N1631" s="19" t="s">
        <v>8460</v>
      </c>
      <c r="O1631" s="16" t="s">
        <v>4414</v>
      </c>
      <c r="P1631" s="16"/>
      <c r="Q1631" s="16"/>
      <c r="R1631" s="16"/>
      <c r="S1631" s="16"/>
      <c r="T1631" s="16"/>
      <c r="U1631" s="16"/>
      <c r="V1631" s="16"/>
      <c r="W1631" s="17"/>
      <c r="X1631" s="17"/>
      <c r="Y1631" s="17"/>
      <c r="Z1631" s="17"/>
      <c r="AA1631" s="17"/>
      <c r="AB1631" s="17"/>
    </row>
    <row r="1632" spans="1:28">
      <c r="A1632" s="16" t="s">
        <v>8542</v>
      </c>
      <c r="B1632" s="16" t="s">
        <v>8122</v>
      </c>
      <c r="C1632" s="16" t="s">
        <v>8712</v>
      </c>
      <c r="D1632" s="16" t="s">
        <v>21</v>
      </c>
      <c r="E1632" s="36" t="s">
        <v>8444</v>
      </c>
      <c r="F1632" s="16" t="s">
        <v>47</v>
      </c>
      <c r="G1632" s="17" t="str">
        <f>Config!$B$3</f>
        <v>SCH/R_IEC.SchLib</v>
      </c>
      <c r="H1632" s="16" t="s">
        <v>419</v>
      </c>
      <c r="I1632" s="18" t="s">
        <v>7493</v>
      </c>
      <c r="J1632" s="16" t="s">
        <v>8863</v>
      </c>
      <c r="K1632" s="16"/>
      <c r="L1632" s="16"/>
      <c r="M1632" s="19">
        <v>5.6</v>
      </c>
      <c r="N1632" s="19" t="s">
        <v>8460</v>
      </c>
      <c r="O1632" s="16" t="s">
        <v>4414</v>
      </c>
      <c r="P1632" s="16"/>
      <c r="Q1632" s="16"/>
      <c r="R1632" s="16"/>
      <c r="S1632" s="16"/>
      <c r="T1632" s="16"/>
      <c r="U1632" s="16"/>
      <c r="V1632" s="16"/>
      <c r="W1632" s="17"/>
      <c r="X1632" s="17"/>
      <c r="Y1632" s="17"/>
      <c r="Z1632" s="17"/>
      <c r="AA1632" s="17"/>
      <c r="AB1632" s="17"/>
    </row>
    <row r="1633" spans="1:28">
      <c r="A1633" s="16" t="s">
        <v>8543</v>
      </c>
      <c r="B1633" s="16" t="s">
        <v>8123</v>
      </c>
      <c r="C1633" s="16" t="s">
        <v>8713</v>
      </c>
      <c r="D1633" s="16" t="s">
        <v>21</v>
      </c>
      <c r="E1633" s="36" t="s">
        <v>8444</v>
      </c>
      <c r="F1633" s="16" t="s">
        <v>1128</v>
      </c>
      <c r="G1633" s="17" t="str">
        <f>Config!$B$3</f>
        <v>SCH/R_IEC.SchLib</v>
      </c>
      <c r="H1633" s="16" t="s">
        <v>419</v>
      </c>
      <c r="I1633" s="18" t="s">
        <v>7493</v>
      </c>
      <c r="J1633" s="16" t="s">
        <v>8863</v>
      </c>
      <c r="K1633" s="16"/>
      <c r="L1633" s="16"/>
      <c r="M1633" s="19">
        <v>6.2</v>
      </c>
      <c r="N1633" s="19" t="s">
        <v>8460</v>
      </c>
      <c r="O1633" s="16" t="s">
        <v>4414</v>
      </c>
      <c r="P1633" s="16"/>
      <c r="Q1633" s="16"/>
      <c r="R1633" s="16"/>
      <c r="S1633" s="16"/>
      <c r="T1633" s="16"/>
      <c r="U1633" s="16"/>
      <c r="V1633" s="16"/>
      <c r="W1633" s="17"/>
      <c r="X1633" s="17"/>
      <c r="Y1633" s="17"/>
      <c r="Z1633" s="17"/>
      <c r="AA1633" s="17"/>
      <c r="AB1633" s="17"/>
    </row>
    <row r="1634" spans="1:28">
      <c r="A1634" s="16" t="s">
        <v>8544</v>
      </c>
      <c r="B1634" s="16" t="s">
        <v>8124</v>
      </c>
      <c r="C1634" s="16" t="s">
        <v>8714</v>
      </c>
      <c r="D1634" s="16" t="s">
        <v>21</v>
      </c>
      <c r="E1634" s="36" t="s">
        <v>8444</v>
      </c>
      <c r="F1634" s="16" t="s">
        <v>49</v>
      </c>
      <c r="G1634" s="17" t="str">
        <f>Config!$B$3</f>
        <v>SCH/R_IEC.SchLib</v>
      </c>
      <c r="H1634" s="16" t="s">
        <v>419</v>
      </c>
      <c r="I1634" s="18" t="s">
        <v>7493</v>
      </c>
      <c r="J1634" s="16" t="s">
        <v>8863</v>
      </c>
      <c r="K1634" s="16"/>
      <c r="L1634" s="16"/>
      <c r="M1634" s="19">
        <v>6.8</v>
      </c>
      <c r="N1634" s="19" t="s">
        <v>8460</v>
      </c>
      <c r="O1634" s="16" t="s">
        <v>4414</v>
      </c>
      <c r="P1634" s="16"/>
      <c r="Q1634" s="16"/>
      <c r="R1634" s="16"/>
      <c r="S1634" s="16"/>
      <c r="T1634" s="16"/>
      <c r="U1634" s="16"/>
      <c r="V1634" s="16"/>
      <c r="W1634" s="17"/>
      <c r="X1634" s="17"/>
      <c r="Y1634" s="17"/>
      <c r="Z1634" s="17"/>
      <c r="AA1634" s="17"/>
      <c r="AB1634" s="17"/>
    </row>
    <row r="1635" spans="1:28">
      <c r="A1635" s="16" t="s">
        <v>8545</v>
      </c>
      <c r="B1635" s="16" t="s">
        <v>8125</v>
      </c>
      <c r="C1635" s="16" t="s">
        <v>8715</v>
      </c>
      <c r="D1635" s="16" t="s">
        <v>21</v>
      </c>
      <c r="E1635" s="36" t="s">
        <v>8444</v>
      </c>
      <c r="F1635" s="16" t="s">
        <v>1138</v>
      </c>
      <c r="G1635" s="17" t="str">
        <f>Config!$B$3</f>
        <v>SCH/R_IEC.SchLib</v>
      </c>
      <c r="H1635" s="16" t="s">
        <v>419</v>
      </c>
      <c r="I1635" s="18" t="s">
        <v>7493</v>
      </c>
      <c r="J1635" s="16" t="s">
        <v>8863</v>
      </c>
      <c r="K1635" s="16"/>
      <c r="L1635" s="16"/>
      <c r="M1635" s="19">
        <v>7.5</v>
      </c>
      <c r="N1635" s="19" t="s">
        <v>8460</v>
      </c>
      <c r="O1635" s="16" t="s">
        <v>4414</v>
      </c>
      <c r="P1635" s="16"/>
      <c r="Q1635" s="16"/>
      <c r="R1635" s="16"/>
      <c r="S1635" s="16"/>
      <c r="T1635" s="16"/>
      <c r="U1635" s="16"/>
      <c r="V1635" s="16"/>
      <c r="W1635" s="17"/>
      <c r="X1635" s="17"/>
      <c r="Y1635" s="17"/>
      <c r="Z1635" s="17"/>
      <c r="AA1635" s="17"/>
      <c r="AB1635" s="17"/>
    </row>
    <row r="1636" spans="1:28">
      <c r="A1636" s="16" t="s">
        <v>8546</v>
      </c>
      <c r="B1636" s="16" t="s">
        <v>8126</v>
      </c>
      <c r="C1636" s="16" t="s">
        <v>8716</v>
      </c>
      <c r="D1636" s="16" t="s">
        <v>21</v>
      </c>
      <c r="E1636" s="36" t="s">
        <v>8444</v>
      </c>
      <c r="F1636" s="16" t="s">
        <v>51</v>
      </c>
      <c r="G1636" s="17" t="str">
        <f>Config!$B$3</f>
        <v>SCH/R_IEC.SchLib</v>
      </c>
      <c r="H1636" s="16" t="s">
        <v>419</v>
      </c>
      <c r="I1636" s="18" t="s">
        <v>7493</v>
      </c>
      <c r="J1636" s="16" t="s">
        <v>8863</v>
      </c>
      <c r="K1636" s="16"/>
      <c r="L1636" s="16"/>
      <c r="M1636" s="19">
        <v>8.1999999999999993</v>
      </c>
      <c r="N1636" s="19" t="s">
        <v>8460</v>
      </c>
      <c r="O1636" s="16" t="s">
        <v>4414</v>
      </c>
      <c r="P1636" s="16"/>
      <c r="Q1636" s="16"/>
      <c r="R1636" s="16"/>
      <c r="S1636" s="16"/>
      <c r="T1636" s="16"/>
      <c r="U1636" s="16"/>
      <c r="V1636" s="16"/>
      <c r="W1636" s="17"/>
      <c r="X1636" s="17"/>
      <c r="Y1636" s="17"/>
      <c r="Z1636" s="17"/>
      <c r="AA1636" s="17"/>
      <c r="AB1636" s="17"/>
    </row>
    <row r="1637" spans="1:28">
      <c r="A1637" s="16" t="s">
        <v>8547</v>
      </c>
      <c r="B1637" s="16" t="s">
        <v>8127</v>
      </c>
      <c r="C1637" s="16" t="s">
        <v>8717</v>
      </c>
      <c r="D1637" s="16" t="s">
        <v>21</v>
      </c>
      <c r="E1637" s="36" t="s">
        <v>8444</v>
      </c>
      <c r="F1637" s="16" t="s">
        <v>1148</v>
      </c>
      <c r="G1637" s="17" t="str">
        <f>Config!$B$3</f>
        <v>SCH/R_IEC.SchLib</v>
      </c>
      <c r="H1637" s="16" t="s">
        <v>419</v>
      </c>
      <c r="I1637" s="18" t="s">
        <v>7493</v>
      </c>
      <c r="J1637" s="16" t="s">
        <v>8863</v>
      </c>
      <c r="K1637" s="16"/>
      <c r="L1637" s="16"/>
      <c r="M1637" s="19">
        <v>9.1</v>
      </c>
      <c r="N1637" s="19" t="s">
        <v>8460</v>
      </c>
      <c r="O1637" s="16" t="s">
        <v>4414</v>
      </c>
      <c r="P1637" s="16"/>
      <c r="Q1637" s="16"/>
      <c r="R1637" s="16"/>
      <c r="S1637" s="16"/>
      <c r="T1637" s="16"/>
      <c r="U1637" s="16"/>
      <c r="V1637" s="16"/>
      <c r="W1637" s="17"/>
      <c r="X1637" s="17"/>
      <c r="Y1637" s="17"/>
      <c r="Z1637" s="17"/>
      <c r="AA1637" s="17"/>
      <c r="AB1637" s="17"/>
    </row>
    <row r="1638" spans="1:28">
      <c r="A1638" s="16" t="s">
        <v>8548</v>
      </c>
      <c r="B1638" s="16" t="s">
        <v>8128</v>
      </c>
      <c r="C1638" s="16" t="s">
        <v>8718</v>
      </c>
      <c r="D1638" s="16" t="s">
        <v>21</v>
      </c>
      <c r="E1638" s="36" t="s">
        <v>8444</v>
      </c>
      <c r="F1638" s="16" t="s">
        <v>53</v>
      </c>
      <c r="G1638" s="17" t="str">
        <f>Config!$B$3</f>
        <v>SCH/R_IEC.SchLib</v>
      </c>
      <c r="H1638" s="16" t="s">
        <v>419</v>
      </c>
      <c r="I1638" s="18" t="s">
        <v>7493</v>
      </c>
      <c r="J1638" s="16" t="s">
        <v>8863</v>
      </c>
      <c r="K1638" s="16"/>
      <c r="L1638" s="16"/>
      <c r="M1638" s="20">
        <v>10</v>
      </c>
      <c r="N1638" s="19" t="s">
        <v>8460</v>
      </c>
      <c r="O1638" s="16" t="s">
        <v>4414</v>
      </c>
      <c r="P1638" s="16"/>
      <c r="Q1638" s="16"/>
      <c r="R1638" s="16"/>
      <c r="S1638" s="16"/>
      <c r="T1638" s="16"/>
      <c r="U1638" s="16"/>
      <c r="V1638" s="16"/>
      <c r="W1638" s="17"/>
      <c r="X1638" s="17"/>
      <c r="Y1638" s="17"/>
      <c r="Z1638" s="17"/>
      <c r="AA1638" s="17"/>
      <c r="AB1638" s="17"/>
    </row>
    <row r="1639" spans="1:28">
      <c r="A1639" s="16" t="s">
        <v>8549</v>
      </c>
      <c r="B1639" s="16" t="s">
        <v>8129</v>
      </c>
      <c r="C1639" s="16" t="s">
        <v>8719</v>
      </c>
      <c r="D1639" s="16" t="s">
        <v>21</v>
      </c>
      <c r="E1639" s="36" t="s">
        <v>8444</v>
      </c>
      <c r="F1639" s="16" t="s">
        <v>57</v>
      </c>
      <c r="G1639" s="17" t="str">
        <f>Config!$B$3</f>
        <v>SCH/R_IEC.SchLib</v>
      </c>
      <c r="H1639" s="16" t="s">
        <v>419</v>
      </c>
      <c r="I1639" s="18" t="s">
        <v>7493</v>
      </c>
      <c r="J1639" s="16" t="s">
        <v>8863</v>
      </c>
      <c r="K1639" s="16"/>
      <c r="L1639" s="16"/>
      <c r="M1639" s="20">
        <v>11</v>
      </c>
      <c r="N1639" s="19" t="s">
        <v>8460</v>
      </c>
      <c r="O1639" s="16" t="s">
        <v>4414</v>
      </c>
      <c r="P1639" s="16"/>
      <c r="Q1639" s="16"/>
      <c r="R1639" s="16"/>
      <c r="S1639" s="16"/>
      <c r="T1639" s="16"/>
      <c r="U1639" s="16"/>
      <c r="V1639" s="16"/>
      <c r="W1639" s="17"/>
      <c r="X1639" s="17"/>
      <c r="Y1639" s="17"/>
      <c r="Z1639" s="17"/>
      <c r="AA1639" s="17"/>
      <c r="AB1639" s="17"/>
    </row>
    <row r="1640" spans="1:28">
      <c r="A1640" s="16" t="s">
        <v>8550</v>
      </c>
      <c r="B1640" s="16" t="s">
        <v>8130</v>
      </c>
      <c r="C1640" s="16" t="s">
        <v>8720</v>
      </c>
      <c r="D1640" s="16" t="s">
        <v>21</v>
      </c>
      <c r="E1640" s="36" t="s">
        <v>8444</v>
      </c>
      <c r="F1640" s="16" t="s">
        <v>59</v>
      </c>
      <c r="G1640" s="17" t="str">
        <f>Config!$B$3</f>
        <v>SCH/R_IEC.SchLib</v>
      </c>
      <c r="H1640" s="16" t="s">
        <v>419</v>
      </c>
      <c r="I1640" s="18" t="s">
        <v>7493</v>
      </c>
      <c r="J1640" s="16" t="s">
        <v>8863</v>
      </c>
      <c r="K1640" s="16"/>
      <c r="L1640" s="16"/>
      <c r="M1640" s="20">
        <v>12</v>
      </c>
      <c r="N1640" s="19" t="s">
        <v>8460</v>
      </c>
      <c r="O1640" s="16" t="s">
        <v>4414</v>
      </c>
      <c r="P1640" s="16"/>
      <c r="Q1640" s="16"/>
      <c r="R1640" s="16"/>
      <c r="S1640" s="16"/>
      <c r="T1640" s="16"/>
      <c r="U1640" s="16"/>
      <c r="V1640" s="16"/>
      <c r="W1640" s="17"/>
      <c r="X1640" s="17"/>
      <c r="Y1640" s="17"/>
      <c r="Z1640" s="17"/>
      <c r="AA1640" s="17"/>
      <c r="AB1640" s="17"/>
    </row>
    <row r="1641" spans="1:28">
      <c r="A1641" s="16" t="s">
        <v>8551</v>
      </c>
      <c r="B1641" s="16" t="s">
        <v>8131</v>
      </c>
      <c r="C1641" s="16" t="s">
        <v>8721</v>
      </c>
      <c r="D1641" s="16" t="s">
        <v>21</v>
      </c>
      <c r="E1641" s="36" t="s">
        <v>8444</v>
      </c>
      <c r="F1641" s="16" t="s">
        <v>61</v>
      </c>
      <c r="G1641" s="17" t="str">
        <f>Config!$B$3</f>
        <v>SCH/R_IEC.SchLib</v>
      </c>
      <c r="H1641" s="16" t="s">
        <v>419</v>
      </c>
      <c r="I1641" s="18" t="s">
        <v>7493</v>
      </c>
      <c r="J1641" s="16" t="s">
        <v>8863</v>
      </c>
      <c r="K1641" s="16"/>
      <c r="L1641" s="16"/>
      <c r="M1641" s="20">
        <v>13</v>
      </c>
      <c r="N1641" s="19" t="s">
        <v>8460</v>
      </c>
      <c r="O1641" s="16" t="s">
        <v>4414</v>
      </c>
      <c r="P1641" s="16"/>
      <c r="Q1641" s="16"/>
      <c r="R1641" s="16"/>
      <c r="S1641" s="16"/>
      <c r="T1641" s="16"/>
      <c r="U1641" s="16"/>
      <c r="V1641" s="16"/>
      <c r="W1641" s="17"/>
      <c r="X1641" s="17"/>
      <c r="Y1641" s="17"/>
      <c r="Z1641" s="17"/>
      <c r="AA1641" s="17"/>
      <c r="AB1641" s="17"/>
    </row>
    <row r="1642" spans="1:28">
      <c r="A1642" s="16" t="s">
        <v>8552</v>
      </c>
      <c r="B1642" s="16" t="s">
        <v>8132</v>
      </c>
      <c r="C1642" s="16" t="s">
        <v>8722</v>
      </c>
      <c r="D1642" s="16" t="s">
        <v>21</v>
      </c>
      <c r="E1642" s="36" t="s">
        <v>8444</v>
      </c>
      <c r="F1642" s="16" t="s">
        <v>63</v>
      </c>
      <c r="G1642" s="17" t="str">
        <f>Config!$B$3</f>
        <v>SCH/R_IEC.SchLib</v>
      </c>
      <c r="H1642" s="16" t="s">
        <v>419</v>
      </c>
      <c r="I1642" s="18" t="s">
        <v>7493</v>
      </c>
      <c r="J1642" s="16" t="s">
        <v>8863</v>
      </c>
      <c r="K1642" s="16"/>
      <c r="L1642" s="16"/>
      <c r="M1642" s="20">
        <v>15</v>
      </c>
      <c r="N1642" s="19" t="s">
        <v>8460</v>
      </c>
      <c r="O1642" s="16" t="s">
        <v>4414</v>
      </c>
      <c r="P1642" s="16"/>
      <c r="Q1642" s="16"/>
      <c r="R1642" s="16"/>
      <c r="S1642" s="16"/>
      <c r="T1642" s="16"/>
      <c r="U1642" s="16"/>
      <c r="V1642" s="16"/>
      <c r="W1642" s="17"/>
      <c r="X1642" s="17"/>
      <c r="Y1642" s="17"/>
      <c r="Z1642" s="17"/>
      <c r="AA1642" s="17"/>
      <c r="AB1642" s="17"/>
    </row>
    <row r="1643" spans="1:28">
      <c r="A1643" s="16" t="s">
        <v>8553</v>
      </c>
      <c r="B1643" s="16" t="s">
        <v>8133</v>
      </c>
      <c r="C1643" s="16" t="s">
        <v>8723</v>
      </c>
      <c r="D1643" s="16" t="s">
        <v>21</v>
      </c>
      <c r="E1643" s="36" t="s">
        <v>8444</v>
      </c>
      <c r="F1643" s="16" t="s">
        <v>65</v>
      </c>
      <c r="G1643" s="17" t="str">
        <f>Config!$B$3</f>
        <v>SCH/R_IEC.SchLib</v>
      </c>
      <c r="H1643" s="16" t="s">
        <v>419</v>
      </c>
      <c r="I1643" s="18" t="s">
        <v>7493</v>
      </c>
      <c r="J1643" s="16" t="s">
        <v>8863</v>
      </c>
      <c r="K1643" s="16"/>
      <c r="L1643" s="16"/>
      <c r="M1643" s="20">
        <v>16</v>
      </c>
      <c r="N1643" s="19" t="s">
        <v>8460</v>
      </c>
      <c r="O1643" s="16" t="s">
        <v>4414</v>
      </c>
      <c r="P1643" s="16"/>
      <c r="Q1643" s="16"/>
      <c r="R1643" s="16"/>
      <c r="S1643" s="16"/>
      <c r="T1643" s="16"/>
      <c r="U1643" s="16"/>
      <c r="V1643" s="16"/>
      <c r="W1643" s="17"/>
      <c r="X1643" s="17"/>
      <c r="Y1643" s="17"/>
      <c r="Z1643" s="17"/>
      <c r="AA1643" s="17"/>
      <c r="AB1643" s="17"/>
    </row>
    <row r="1644" spans="1:28">
      <c r="A1644" s="16" t="s">
        <v>8554</v>
      </c>
      <c r="B1644" s="16" t="s">
        <v>8134</v>
      </c>
      <c r="C1644" s="16" t="s">
        <v>8724</v>
      </c>
      <c r="D1644" s="16" t="s">
        <v>21</v>
      </c>
      <c r="E1644" s="36" t="s">
        <v>8444</v>
      </c>
      <c r="F1644" s="16" t="s">
        <v>67</v>
      </c>
      <c r="G1644" s="17" t="str">
        <f>Config!$B$3</f>
        <v>SCH/R_IEC.SchLib</v>
      </c>
      <c r="H1644" s="16" t="s">
        <v>419</v>
      </c>
      <c r="I1644" s="18" t="s">
        <v>7493</v>
      </c>
      <c r="J1644" s="16" t="s">
        <v>8863</v>
      </c>
      <c r="K1644" s="16"/>
      <c r="L1644" s="16"/>
      <c r="M1644" s="20">
        <v>18</v>
      </c>
      <c r="N1644" s="19" t="s">
        <v>8460</v>
      </c>
      <c r="O1644" s="16" t="s">
        <v>4414</v>
      </c>
      <c r="P1644" s="16"/>
      <c r="Q1644" s="16"/>
      <c r="R1644" s="16"/>
      <c r="S1644" s="16"/>
      <c r="T1644" s="16"/>
      <c r="U1644" s="16"/>
      <c r="V1644" s="16"/>
      <c r="W1644" s="17"/>
      <c r="X1644" s="17"/>
      <c r="Y1644" s="17"/>
      <c r="Z1644" s="17"/>
      <c r="AA1644" s="17"/>
      <c r="AB1644" s="17"/>
    </row>
    <row r="1645" spans="1:28">
      <c r="A1645" s="16" t="s">
        <v>8555</v>
      </c>
      <c r="B1645" s="16" t="s">
        <v>8135</v>
      </c>
      <c r="C1645" s="16" t="s">
        <v>8725</v>
      </c>
      <c r="D1645" s="16" t="s">
        <v>21</v>
      </c>
      <c r="E1645" s="36" t="s">
        <v>8444</v>
      </c>
      <c r="F1645" s="16" t="s">
        <v>69</v>
      </c>
      <c r="G1645" s="17" t="str">
        <f>Config!$B$3</f>
        <v>SCH/R_IEC.SchLib</v>
      </c>
      <c r="H1645" s="16" t="s">
        <v>419</v>
      </c>
      <c r="I1645" s="18" t="s">
        <v>7493</v>
      </c>
      <c r="J1645" s="16" t="s">
        <v>8863</v>
      </c>
      <c r="K1645" s="16"/>
      <c r="L1645" s="16"/>
      <c r="M1645" s="20">
        <v>20</v>
      </c>
      <c r="N1645" s="19" t="s">
        <v>8460</v>
      </c>
      <c r="O1645" s="16" t="s">
        <v>4414</v>
      </c>
      <c r="P1645" s="16"/>
      <c r="Q1645" s="16"/>
      <c r="R1645" s="16"/>
      <c r="S1645" s="16"/>
      <c r="T1645" s="16"/>
      <c r="U1645" s="16"/>
      <c r="V1645" s="16"/>
      <c r="W1645" s="16"/>
      <c r="X1645" s="17"/>
      <c r="Y1645" s="16"/>
      <c r="Z1645" s="17"/>
      <c r="AA1645" s="16"/>
      <c r="AB1645" s="17"/>
    </row>
    <row r="1646" spans="1:28">
      <c r="A1646" s="16" t="s">
        <v>8556</v>
      </c>
      <c r="B1646" s="16" t="s">
        <v>8136</v>
      </c>
      <c r="C1646" s="16" t="s">
        <v>8726</v>
      </c>
      <c r="D1646" s="16" t="s">
        <v>21</v>
      </c>
      <c r="E1646" s="36" t="s">
        <v>8444</v>
      </c>
      <c r="F1646" s="16" t="s">
        <v>71</v>
      </c>
      <c r="G1646" s="17" t="str">
        <f>Config!$B$3</f>
        <v>SCH/R_IEC.SchLib</v>
      </c>
      <c r="H1646" s="16" t="s">
        <v>419</v>
      </c>
      <c r="I1646" s="18" t="s">
        <v>7493</v>
      </c>
      <c r="J1646" s="16" t="s">
        <v>8863</v>
      </c>
      <c r="K1646" s="16"/>
      <c r="L1646" s="16"/>
      <c r="M1646" s="20">
        <v>22</v>
      </c>
      <c r="N1646" s="19" t="s">
        <v>8460</v>
      </c>
      <c r="O1646" s="16" t="s">
        <v>4414</v>
      </c>
      <c r="P1646" s="16"/>
      <c r="Q1646" s="16"/>
      <c r="R1646" s="16"/>
      <c r="S1646" s="16"/>
      <c r="T1646" s="16"/>
      <c r="U1646" s="16"/>
      <c r="V1646" s="16"/>
      <c r="W1646" s="17"/>
      <c r="X1646" s="17"/>
      <c r="Y1646" s="16"/>
      <c r="Z1646" s="25"/>
      <c r="AA1646" s="17"/>
      <c r="AB1646" s="17"/>
    </row>
    <row r="1647" spans="1:28">
      <c r="A1647" s="16" t="s">
        <v>8557</v>
      </c>
      <c r="B1647" s="16" t="s">
        <v>8137</v>
      </c>
      <c r="C1647" s="16" t="s">
        <v>8727</v>
      </c>
      <c r="D1647" s="16" t="s">
        <v>21</v>
      </c>
      <c r="E1647" s="36" t="s">
        <v>8444</v>
      </c>
      <c r="F1647" s="16" t="s">
        <v>75</v>
      </c>
      <c r="G1647" s="17" t="str">
        <f>Config!$B$3</f>
        <v>SCH/R_IEC.SchLib</v>
      </c>
      <c r="H1647" s="16" t="s">
        <v>419</v>
      </c>
      <c r="I1647" s="18" t="s">
        <v>7493</v>
      </c>
      <c r="J1647" s="16" t="s">
        <v>8863</v>
      </c>
      <c r="K1647" s="16"/>
      <c r="L1647" s="16"/>
      <c r="M1647" s="20">
        <v>24</v>
      </c>
      <c r="N1647" s="19" t="s">
        <v>8460</v>
      </c>
      <c r="O1647" s="16" t="s">
        <v>4414</v>
      </c>
      <c r="P1647" s="16"/>
      <c r="Q1647" s="16"/>
      <c r="R1647" s="16"/>
      <c r="S1647" s="16"/>
      <c r="T1647" s="16"/>
      <c r="U1647" s="16"/>
      <c r="V1647" s="16"/>
      <c r="W1647" s="17"/>
      <c r="X1647" s="17"/>
      <c r="Y1647" s="17"/>
      <c r="Z1647" s="17"/>
      <c r="AA1647" s="17"/>
      <c r="AB1647" s="17"/>
    </row>
    <row r="1648" spans="1:28">
      <c r="A1648" s="16" t="s">
        <v>8558</v>
      </c>
      <c r="B1648" s="16" t="s">
        <v>8138</v>
      </c>
      <c r="C1648" s="16" t="s">
        <v>8728</v>
      </c>
      <c r="D1648" s="16" t="s">
        <v>21</v>
      </c>
      <c r="E1648" s="36" t="s">
        <v>8444</v>
      </c>
      <c r="F1648" s="16" t="s">
        <v>77</v>
      </c>
      <c r="G1648" s="17" t="str">
        <f>Config!$B$3</f>
        <v>SCH/R_IEC.SchLib</v>
      </c>
      <c r="H1648" s="16" t="s">
        <v>419</v>
      </c>
      <c r="I1648" s="18" t="s">
        <v>7493</v>
      </c>
      <c r="J1648" s="16" t="s">
        <v>8863</v>
      </c>
      <c r="K1648" s="16"/>
      <c r="L1648" s="16"/>
      <c r="M1648" s="20">
        <v>27</v>
      </c>
      <c r="N1648" s="19" t="s">
        <v>8460</v>
      </c>
      <c r="O1648" s="16" t="s">
        <v>4414</v>
      </c>
      <c r="P1648" s="16"/>
      <c r="Q1648" s="16"/>
      <c r="R1648" s="16"/>
      <c r="S1648" s="16"/>
      <c r="T1648" s="16"/>
      <c r="U1648" s="16"/>
      <c r="V1648" s="16"/>
      <c r="W1648" s="17"/>
      <c r="X1648" s="17"/>
      <c r="Y1648" s="17"/>
      <c r="Z1648" s="17"/>
      <c r="AA1648" s="17"/>
      <c r="AB1648" s="17"/>
    </row>
    <row r="1649" spans="1:28">
      <c r="A1649" s="16" t="s">
        <v>8559</v>
      </c>
      <c r="B1649" s="16" t="s">
        <v>8139</v>
      </c>
      <c r="C1649" s="16" t="s">
        <v>8729</v>
      </c>
      <c r="D1649" s="16" t="s">
        <v>21</v>
      </c>
      <c r="E1649" s="36" t="s">
        <v>8444</v>
      </c>
      <c r="F1649" s="16" t="s">
        <v>79</v>
      </c>
      <c r="G1649" s="17" t="str">
        <f>Config!$B$3</f>
        <v>SCH/R_IEC.SchLib</v>
      </c>
      <c r="H1649" s="16" t="s">
        <v>419</v>
      </c>
      <c r="I1649" s="18" t="s">
        <v>7493</v>
      </c>
      <c r="J1649" s="16" t="s">
        <v>8863</v>
      </c>
      <c r="K1649" s="16"/>
      <c r="L1649" s="16"/>
      <c r="M1649" s="20">
        <v>30</v>
      </c>
      <c r="N1649" s="19" t="s">
        <v>8460</v>
      </c>
      <c r="O1649" s="16" t="s">
        <v>4414</v>
      </c>
      <c r="P1649" s="16"/>
      <c r="Q1649" s="16"/>
      <c r="R1649" s="16"/>
      <c r="S1649" s="16"/>
      <c r="T1649" s="16"/>
      <c r="U1649" s="16"/>
      <c r="V1649" s="16"/>
      <c r="W1649" s="17"/>
      <c r="X1649" s="17"/>
      <c r="Y1649" s="17"/>
      <c r="Z1649" s="17"/>
      <c r="AA1649" s="17"/>
      <c r="AB1649" s="17"/>
    </row>
    <row r="1650" spans="1:28">
      <c r="A1650" s="16" t="s">
        <v>8560</v>
      </c>
      <c r="B1650" s="16" t="s">
        <v>8140</v>
      </c>
      <c r="C1650" s="16" t="s">
        <v>8730</v>
      </c>
      <c r="D1650" s="16" t="s">
        <v>21</v>
      </c>
      <c r="E1650" s="36" t="s">
        <v>8444</v>
      </c>
      <c r="F1650" s="16" t="s">
        <v>81</v>
      </c>
      <c r="G1650" s="17" t="str">
        <f>Config!$B$3</f>
        <v>SCH/R_IEC.SchLib</v>
      </c>
      <c r="H1650" s="16" t="s">
        <v>419</v>
      </c>
      <c r="I1650" s="18" t="s">
        <v>7493</v>
      </c>
      <c r="J1650" s="16" t="s">
        <v>8863</v>
      </c>
      <c r="K1650" s="16"/>
      <c r="L1650" s="16"/>
      <c r="M1650" s="20">
        <v>33</v>
      </c>
      <c r="N1650" s="19" t="s">
        <v>8460</v>
      </c>
      <c r="O1650" s="16" t="s">
        <v>4414</v>
      </c>
      <c r="P1650" s="16"/>
      <c r="Q1650" s="16"/>
      <c r="R1650" s="16"/>
      <c r="S1650" s="16"/>
      <c r="T1650" s="16"/>
      <c r="U1650" s="16"/>
      <c r="V1650" s="16"/>
      <c r="W1650" s="17"/>
      <c r="X1650" s="17"/>
      <c r="Y1650" s="17"/>
      <c r="Z1650" s="17"/>
      <c r="AA1650" s="17"/>
      <c r="AB1650" s="17"/>
    </row>
    <row r="1651" spans="1:28">
      <c r="A1651" s="16" t="s">
        <v>8561</v>
      </c>
      <c r="B1651" s="16" t="s">
        <v>8141</v>
      </c>
      <c r="C1651" s="16" t="s">
        <v>8731</v>
      </c>
      <c r="D1651" s="16" t="s">
        <v>21</v>
      </c>
      <c r="E1651" s="36" t="s">
        <v>8444</v>
      </c>
      <c r="F1651" s="16" t="s">
        <v>83</v>
      </c>
      <c r="G1651" s="17" t="str">
        <f>Config!$B$3</f>
        <v>SCH/R_IEC.SchLib</v>
      </c>
      <c r="H1651" s="16" t="s">
        <v>419</v>
      </c>
      <c r="I1651" s="18" t="s">
        <v>7493</v>
      </c>
      <c r="J1651" s="16" t="s">
        <v>8863</v>
      </c>
      <c r="K1651" s="16"/>
      <c r="L1651" s="16"/>
      <c r="M1651" s="20">
        <v>36</v>
      </c>
      <c r="N1651" s="19" t="s">
        <v>8460</v>
      </c>
      <c r="O1651" s="16" t="s">
        <v>4414</v>
      </c>
      <c r="P1651" s="16"/>
      <c r="Q1651" s="16"/>
      <c r="R1651" s="16"/>
      <c r="S1651" s="16"/>
      <c r="T1651" s="16"/>
      <c r="U1651" s="16"/>
      <c r="V1651" s="16"/>
      <c r="W1651" s="17"/>
      <c r="X1651" s="17"/>
      <c r="Y1651" s="17"/>
      <c r="Z1651" s="17"/>
      <c r="AA1651" s="17"/>
      <c r="AB1651" s="17"/>
    </row>
    <row r="1652" spans="1:28">
      <c r="A1652" s="16" t="s">
        <v>8562</v>
      </c>
      <c r="B1652" s="16" t="s">
        <v>8142</v>
      </c>
      <c r="C1652" s="16" t="s">
        <v>8732</v>
      </c>
      <c r="D1652" s="16" t="s">
        <v>21</v>
      </c>
      <c r="E1652" s="36" t="s">
        <v>8444</v>
      </c>
      <c r="F1652" s="16" t="s">
        <v>85</v>
      </c>
      <c r="G1652" s="17" t="str">
        <f>Config!$B$3</f>
        <v>SCH/R_IEC.SchLib</v>
      </c>
      <c r="H1652" s="16" t="s">
        <v>419</v>
      </c>
      <c r="I1652" s="18" t="s">
        <v>7493</v>
      </c>
      <c r="J1652" s="16" t="s">
        <v>8863</v>
      </c>
      <c r="K1652" s="16"/>
      <c r="L1652" s="16"/>
      <c r="M1652" s="20">
        <v>39</v>
      </c>
      <c r="N1652" s="19" t="s">
        <v>8460</v>
      </c>
      <c r="O1652" s="16" t="s">
        <v>4414</v>
      </c>
      <c r="P1652" s="16"/>
      <c r="Q1652" s="16"/>
      <c r="R1652" s="16"/>
      <c r="S1652" s="16"/>
      <c r="T1652" s="16"/>
      <c r="U1652" s="16"/>
      <c r="V1652" s="16"/>
      <c r="W1652" s="17"/>
      <c r="X1652" s="17"/>
      <c r="Y1652" s="17"/>
      <c r="Z1652" s="17"/>
      <c r="AA1652" s="17"/>
      <c r="AB1652" s="17"/>
    </row>
    <row r="1653" spans="1:28">
      <c r="A1653" s="16" t="s">
        <v>8563</v>
      </c>
      <c r="B1653" s="16" t="s">
        <v>8143</v>
      </c>
      <c r="C1653" s="16" t="s">
        <v>8733</v>
      </c>
      <c r="D1653" s="16" t="s">
        <v>21</v>
      </c>
      <c r="E1653" s="36" t="s">
        <v>8444</v>
      </c>
      <c r="F1653" s="16" t="s">
        <v>87</v>
      </c>
      <c r="G1653" s="17" t="str">
        <f>Config!$B$3</f>
        <v>SCH/R_IEC.SchLib</v>
      </c>
      <c r="H1653" s="16" t="s">
        <v>419</v>
      </c>
      <c r="I1653" s="18" t="s">
        <v>7493</v>
      </c>
      <c r="J1653" s="16" t="s">
        <v>8863</v>
      </c>
      <c r="K1653" s="16"/>
      <c r="L1653" s="16"/>
      <c r="M1653" s="20">
        <v>43</v>
      </c>
      <c r="N1653" s="19" t="s">
        <v>8460</v>
      </c>
      <c r="O1653" s="16" t="s">
        <v>4414</v>
      </c>
      <c r="P1653" s="16"/>
      <c r="Q1653" s="16"/>
      <c r="R1653" s="16"/>
      <c r="S1653" s="16"/>
      <c r="T1653" s="16"/>
      <c r="U1653" s="16"/>
      <c r="V1653" s="16"/>
      <c r="W1653" s="17"/>
      <c r="X1653" s="17"/>
      <c r="Y1653" s="17"/>
      <c r="Z1653" s="17"/>
      <c r="AA1653" s="17"/>
      <c r="AB1653" s="17"/>
    </row>
    <row r="1654" spans="1:28">
      <c r="A1654" s="16" t="s">
        <v>8564</v>
      </c>
      <c r="B1654" s="16" t="s">
        <v>8144</v>
      </c>
      <c r="C1654" s="16" t="s">
        <v>8734</v>
      </c>
      <c r="D1654" s="16" t="s">
        <v>21</v>
      </c>
      <c r="E1654" s="36" t="s">
        <v>8444</v>
      </c>
      <c r="F1654" s="16" t="s">
        <v>89</v>
      </c>
      <c r="G1654" s="17" t="str">
        <f>Config!$B$3</f>
        <v>SCH/R_IEC.SchLib</v>
      </c>
      <c r="H1654" s="16" t="s">
        <v>419</v>
      </c>
      <c r="I1654" s="18" t="s">
        <v>7493</v>
      </c>
      <c r="J1654" s="16" t="s">
        <v>8863</v>
      </c>
      <c r="K1654" s="16"/>
      <c r="L1654" s="16"/>
      <c r="M1654" s="20">
        <v>47</v>
      </c>
      <c r="N1654" s="19" t="s">
        <v>8460</v>
      </c>
      <c r="O1654" s="16" t="s">
        <v>4414</v>
      </c>
      <c r="P1654" s="16"/>
      <c r="Q1654" s="16"/>
      <c r="R1654" s="16"/>
      <c r="S1654" s="16"/>
      <c r="T1654" s="16"/>
      <c r="U1654" s="16"/>
      <c r="V1654" s="16"/>
      <c r="W1654" s="17"/>
      <c r="X1654" s="17"/>
      <c r="Y1654" s="17"/>
      <c r="Z1654" s="17"/>
      <c r="AA1654" s="17"/>
      <c r="AB1654" s="17"/>
    </row>
    <row r="1655" spans="1:28">
      <c r="A1655" s="16" t="s">
        <v>8565</v>
      </c>
      <c r="B1655" s="16" t="s">
        <v>8145</v>
      </c>
      <c r="C1655" s="16" t="s">
        <v>8735</v>
      </c>
      <c r="D1655" s="16" t="s">
        <v>21</v>
      </c>
      <c r="E1655" s="36" t="s">
        <v>8444</v>
      </c>
      <c r="F1655" s="16" t="s">
        <v>91</v>
      </c>
      <c r="G1655" s="17" t="str">
        <f>Config!$B$3</f>
        <v>SCH/R_IEC.SchLib</v>
      </c>
      <c r="H1655" s="16" t="s">
        <v>419</v>
      </c>
      <c r="I1655" s="18" t="s">
        <v>7493</v>
      </c>
      <c r="J1655" s="16" t="s">
        <v>8863</v>
      </c>
      <c r="K1655" s="16"/>
      <c r="L1655" s="16"/>
      <c r="M1655" s="20">
        <v>51</v>
      </c>
      <c r="N1655" s="19" t="s">
        <v>8460</v>
      </c>
      <c r="O1655" s="16" t="s">
        <v>4414</v>
      </c>
      <c r="P1655" s="16"/>
      <c r="Q1655" s="16"/>
      <c r="R1655" s="16"/>
      <c r="S1655" s="16"/>
      <c r="T1655" s="16"/>
      <c r="U1655" s="16"/>
      <c r="V1655" s="16"/>
      <c r="W1655" s="17"/>
      <c r="X1655" s="17"/>
      <c r="Y1655" s="17"/>
      <c r="Z1655" s="17"/>
      <c r="AA1655" s="17"/>
      <c r="AB1655" s="17"/>
    </row>
    <row r="1656" spans="1:28">
      <c r="A1656" s="16" t="s">
        <v>8566</v>
      </c>
      <c r="B1656" s="16" t="s">
        <v>8146</v>
      </c>
      <c r="C1656" s="16" t="s">
        <v>8736</v>
      </c>
      <c r="D1656" s="16" t="s">
        <v>21</v>
      </c>
      <c r="E1656" s="36" t="s">
        <v>8444</v>
      </c>
      <c r="F1656" s="16" t="s">
        <v>93</v>
      </c>
      <c r="G1656" s="17" t="str">
        <f>Config!$B$3</f>
        <v>SCH/R_IEC.SchLib</v>
      </c>
      <c r="H1656" s="16" t="s">
        <v>419</v>
      </c>
      <c r="I1656" s="18" t="s">
        <v>7493</v>
      </c>
      <c r="J1656" s="16" t="s">
        <v>8863</v>
      </c>
      <c r="K1656" s="16"/>
      <c r="L1656" s="16"/>
      <c r="M1656" s="20">
        <v>56</v>
      </c>
      <c r="N1656" s="19" t="s">
        <v>8460</v>
      </c>
      <c r="O1656" s="16" t="s">
        <v>4414</v>
      </c>
      <c r="P1656" s="16"/>
      <c r="Q1656" s="16"/>
      <c r="R1656" s="16"/>
      <c r="S1656" s="16"/>
      <c r="T1656" s="16"/>
      <c r="U1656" s="16"/>
      <c r="V1656" s="16"/>
      <c r="W1656" s="17"/>
      <c r="X1656" s="17"/>
      <c r="Y1656" s="17"/>
      <c r="Z1656" s="17"/>
      <c r="AA1656" s="17"/>
      <c r="AB1656" s="17"/>
    </row>
    <row r="1657" spans="1:28">
      <c r="A1657" s="16" t="s">
        <v>8567</v>
      </c>
      <c r="B1657" s="16" t="s">
        <v>8147</v>
      </c>
      <c r="C1657" s="16" t="s">
        <v>8737</v>
      </c>
      <c r="D1657" s="16" t="s">
        <v>21</v>
      </c>
      <c r="E1657" s="36" t="s">
        <v>8444</v>
      </c>
      <c r="F1657" s="16" t="s">
        <v>95</v>
      </c>
      <c r="G1657" s="17" t="str">
        <f>Config!$B$3</f>
        <v>SCH/R_IEC.SchLib</v>
      </c>
      <c r="H1657" s="16" t="s">
        <v>419</v>
      </c>
      <c r="I1657" s="18" t="s">
        <v>7493</v>
      </c>
      <c r="J1657" s="16" t="s">
        <v>8863</v>
      </c>
      <c r="K1657" s="16"/>
      <c r="L1657" s="16"/>
      <c r="M1657" s="20">
        <v>62</v>
      </c>
      <c r="N1657" s="19" t="s">
        <v>8460</v>
      </c>
      <c r="O1657" s="16" t="s">
        <v>4414</v>
      </c>
      <c r="P1657" s="16"/>
      <c r="Q1657" s="16"/>
      <c r="R1657" s="16"/>
      <c r="S1657" s="16"/>
      <c r="T1657" s="16"/>
      <c r="U1657" s="16"/>
      <c r="V1657" s="16"/>
      <c r="W1657" s="17"/>
      <c r="X1657" s="17"/>
      <c r="Y1657" s="17"/>
      <c r="Z1657" s="17"/>
      <c r="AA1657" s="17"/>
      <c r="AB1657" s="17"/>
    </row>
    <row r="1658" spans="1:28">
      <c r="A1658" s="16" t="s">
        <v>8568</v>
      </c>
      <c r="B1658" s="16" t="s">
        <v>8148</v>
      </c>
      <c r="C1658" s="16" t="s">
        <v>8738</v>
      </c>
      <c r="D1658" s="16" t="s">
        <v>21</v>
      </c>
      <c r="E1658" s="36" t="s">
        <v>8444</v>
      </c>
      <c r="F1658" s="16" t="s">
        <v>97</v>
      </c>
      <c r="G1658" s="17" t="str">
        <f>Config!$B$3</f>
        <v>SCH/R_IEC.SchLib</v>
      </c>
      <c r="H1658" s="16" t="s">
        <v>419</v>
      </c>
      <c r="I1658" s="18" t="s">
        <v>7493</v>
      </c>
      <c r="J1658" s="16" t="s">
        <v>8863</v>
      </c>
      <c r="K1658" s="16"/>
      <c r="L1658" s="16"/>
      <c r="M1658" s="20">
        <v>68</v>
      </c>
      <c r="N1658" s="19" t="s">
        <v>8460</v>
      </c>
      <c r="O1658" s="16" t="s">
        <v>4414</v>
      </c>
      <c r="P1658" s="16"/>
      <c r="Q1658" s="16"/>
      <c r="R1658" s="16"/>
      <c r="S1658" s="16"/>
      <c r="T1658" s="16"/>
      <c r="U1658" s="16"/>
      <c r="V1658" s="16"/>
      <c r="W1658" s="17"/>
      <c r="X1658" s="17"/>
      <c r="Y1658" s="17"/>
      <c r="Z1658" s="17"/>
      <c r="AA1658" s="17"/>
      <c r="AB1658" s="17"/>
    </row>
    <row r="1659" spans="1:28">
      <c r="A1659" s="16" t="s">
        <v>8569</v>
      </c>
      <c r="B1659" s="16" t="s">
        <v>8149</v>
      </c>
      <c r="C1659" s="16" t="s">
        <v>8739</v>
      </c>
      <c r="D1659" s="16" t="s">
        <v>21</v>
      </c>
      <c r="E1659" s="36" t="s">
        <v>8444</v>
      </c>
      <c r="F1659" s="16" t="s">
        <v>99</v>
      </c>
      <c r="G1659" s="17" t="str">
        <f>Config!$B$3</f>
        <v>SCH/R_IEC.SchLib</v>
      </c>
      <c r="H1659" s="16" t="s">
        <v>419</v>
      </c>
      <c r="I1659" s="18" t="s">
        <v>7493</v>
      </c>
      <c r="J1659" s="16" t="s">
        <v>8863</v>
      </c>
      <c r="K1659" s="16"/>
      <c r="L1659" s="16"/>
      <c r="M1659" s="20">
        <v>75</v>
      </c>
      <c r="N1659" s="19" t="s">
        <v>8460</v>
      </c>
      <c r="O1659" s="16" t="s">
        <v>4414</v>
      </c>
      <c r="P1659" s="16"/>
      <c r="Q1659" s="16"/>
      <c r="R1659" s="16"/>
      <c r="S1659" s="16"/>
      <c r="T1659" s="16"/>
      <c r="U1659" s="16"/>
      <c r="V1659" s="16"/>
      <c r="W1659" s="17"/>
      <c r="X1659" s="17"/>
      <c r="Y1659" s="16"/>
      <c r="Z1659" s="25"/>
      <c r="AA1659" s="17"/>
      <c r="AB1659" s="17"/>
    </row>
    <row r="1660" spans="1:28">
      <c r="A1660" s="16" t="s">
        <v>8570</v>
      </c>
      <c r="B1660" s="16" t="s">
        <v>8150</v>
      </c>
      <c r="C1660" s="16" t="s">
        <v>8740</v>
      </c>
      <c r="D1660" s="16" t="s">
        <v>21</v>
      </c>
      <c r="E1660" s="36" t="s">
        <v>8444</v>
      </c>
      <c r="F1660" s="16" t="s">
        <v>101</v>
      </c>
      <c r="G1660" s="17" t="str">
        <f>Config!$B$3</f>
        <v>SCH/R_IEC.SchLib</v>
      </c>
      <c r="H1660" s="16" t="s">
        <v>419</v>
      </c>
      <c r="I1660" s="18" t="s">
        <v>7493</v>
      </c>
      <c r="J1660" s="16" t="s">
        <v>8863</v>
      </c>
      <c r="K1660" s="16"/>
      <c r="L1660" s="16"/>
      <c r="M1660" s="20">
        <v>82</v>
      </c>
      <c r="N1660" s="19" t="s">
        <v>8460</v>
      </c>
      <c r="O1660" s="16" t="s">
        <v>4414</v>
      </c>
      <c r="P1660" s="16"/>
      <c r="Q1660" s="16"/>
      <c r="R1660" s="16"/>
      <c r="S1660" s="16"/>
      <c r="T1660" s="16"/>
      <c r="U1660" s="16"/>
      <c r="V1660" s="16"/>
      <c r="W1660" s="16"/>
      <c r="Y1660" s="16"/>
      <c r="AA1660" s="17"/>
      <c r="AB1660" s="17"/>
    </row>
    <row r="1661" spans="1:28">
      <c r="A1661" s="16" t="s">
        <v>8571</v>
      </c>
      <c r="B1661" s="16" t="s">
        <v>8151</v>
      </c>
      <c r="C1661" s="16" t="s">
        <v>8741</v>
      </c>
      <c r="D1661" s="16" t="s">
        <v>21</v>
      </c>
      <c r="E1661" s="36" t="s">
        <v>8444</v>
      </c>
      <c r="F1661" s="16" t="s">
        <v>103</v>
      </c>
      <c r="G1661" s="17" t="str">
        <f>Config!$B$3</f>
        <v>SCH/R_IEC.SchLib</v>
      </c>
      <c r="H1661" s="16" t="s">
        <v>419</v>
      </c>
      <c r="I1661" s="18" t="s">
        <v>7493</v>
      </c>
      <c r="J1661" s="16" t="s">
        <v>8863</v>
      </c>
      <c r="K1661" s="16"/>
      <c r="L1661" s="16"/>
      <c r="M1661" s="20">
        <v>91</v>
      </c>
      <c r="N1661" s="19" t="s">
        <v>8460</v>
      </c>
      <c r="O1661" s="16" t="s">
        <v>4414</v>
      </c>
      <c r="P1661" s="16"/>
      <c r="Q1661" s="16"/>
      <c r="R1661" s="16"/>
      <c r="S1661" s="16"/>
      <c r="T1661" s="16"/>
      <c r="U1661" s="16"/>
      <c r="V1661" s="16"/>
      <c r="W1661" s="17"/>
      <c r="X1661" s="17"/>
      <c r="Y1661" s="17"/>
      <c r="Z1661" s="17"/>
      <c r="AA1661" s="17"/>
      <c r="AB1661" s="17"/>
    </row>
    <row r="1662" spans="1:28">
      <c r="A1662" s="16" t="s">
        <v>8572</v>
      </c>
      <c r="B1662" s="16" t="s">
        <v>8152</v>
      </c>
      <c r="C1662" s="16" t="s">
        <v>8742</v>
      </c>
      <c r="D1662" s="16" t="s">
        <v>21</v>
      </c>
      <c r="E1662" s="36" t="s">
        <v>8444</v>
      </c>
      <c r="F1662" s="16" t="s">
        <v>105</v>
      </c>
      <c r="G1662" s="17" t="str">
        <f>Config!$B$3</f>
        <v>SCH/R_IEC.SchLib</v>
      </c>
      <c r="H1662" s="16" t="s">
        <v>419</v>
      </c>
      <c r="I1662" s="18" t="s">
        <v>7493</v>
      </c>
      <c r="J1662" s="16" t="s">
        <v>8863</v>
      </c>
      <c r="K1662" s="16"/>
      <c r="L1662" s="16"/>
      <c r="M1662" s="20">
        <v>100</v>
      </c>
      <c r="N1662" s="19" t="s">
        <v>8460</v>
      </c>
      <c r="O1662" s="16" t="s">
        <v>4414</v>
      </c>
      <c r="P1662" s="16" t="s">
        <v>8462</v>
      </c>
      <c r="Q1662" s="16" t="s">
        <v>25</v>
      </c>
      <c r="R1662" s="16" t="s">
        <v>10578</v>
      </c>
      <c r="S1662" s="16"/>
      <c r="T1662" s="16"/>
      <c r="U1662" s="16"/>
      <c r="V1662" s="16"/>
      <c r="W1662" s="17"/>
      <c r="X1662" s="17"/>
      <c r="Y1662" s="17"/>
      <c r="Z1662" s="17"/>
      <c r="AA1662" s="17"/>
      <c r="AB1662" s="17"/>
    </row>
    <row r="1663" spans="1:28">
      <c r="A1663" s="16" t="s">
        <v>8573</v>
      </c>
      <c r="B1663" s="16" t="s">
        <v>8153</v>
      </c>
      <c r="C1663" s="16" t="s">
        <v>8743</v>
      </c>
      <c r="D1663" s="16" t="s">
        <v>21</v>
      </c>
      <c r="E1663" s="36" t="s">
        <v>8444</v>
      </c>
      <c r="F1663" s="16" t="s">
        <v>109</v>
      </c>
      <c r="G1663" s="17" t="str">
        <f>Config!$B$3</f>
        <v>SCH/R_IEC.SchLib</v>
      </c>
      <c r="H1663" s="16" t="s">
        <v>419</v>
      </c>
      <c r="I1663" s="18" t="s">
        <v>7493</v>
      </c>
      <c r="J1663" s="16" t="s">
        <v>8863</v>
      </c>
      <c r="K1663" s="16"/>
      <c r="L1663" s="16"/>
      <c r="M1663" s="20">
        <v>110</v>
      </c>
      <c r="N1663" s="19" t="s">
        <v>8460</v>
      </c>
      <c r="O1663" s="16" t="s">
        <v>4414</v>
      </c>
      <c r="P1663" s="16"/>
      <c r="Q1663" s="16"/>
      <c r="R1663" s="16"/>
      <c r="S1663" s="16"/>
      <c r="T1663" s="16"/>
      <c r="U1663" s="16"/>
      <c r="V1663" s="16"/>
      <c r="W1663" s="17"/>
      <c r="X1663" s="17"/>
      <c r="Y1663" s="17"/>
      <c r="Z1663" s="17"/>
      <c r="AA1663" s="17"/>
      <c r="AB1663" s="17"/>
    </row>
    <row r="1664" spans="1:28">
      <c r="A1664" s="16" t="s">
        <v>8574</v>
      </c>
      <c r="B1664" s="16" t="s">
        <v>8154</v>
      </c>
      <c r="C1664" s="16" t="s">
        <v>8744</v>
      </c>
      <c r="D1664" s="16" t="s">
        <v>21</v>
      </c>
      <c r="E1664" s="36" t="s">
        <v>8444</v>
      </c>
      <c r="F1664" s="16" t="s">
        <v>111</v>
      </c>
      <c r="G1664" s="17" t="str">
        <f>Config!$B$3</f>
        <v>SCH/R_IEC.SchLib</v>
      </c>
      <c r="H1664" s="16" t="s">
        <v>419</v>
      </c>
      <c r="I1664" s="18" t="s">
        <v>7493</v>
      </c>
      <c r="J1664" s="16" t="s">
        <v>8863</v>
      </c>
      <c r="K1664" s="16"/>
      <c r="L1664" s="16"/>
      <c r="M1664" s="20">
        <v>120</v>
      </c>
      <c r="N1664" s="19" t="s">
        <v>8460</v>
      </c>
      <c r="O1664" s="16" t="s">
        <v>4414</v>
      </c>
      <c r="P1664" s="16"/>
      <c r="Q1664" s="16"/>
      <c r="R1664" s="16"/>
      <c r="S1664" s="16"/>
      <c r="T1664" s="16"/>
      <c r="U1664" s="16"/>
      <c r="V1664" s="16"/>
      <c r="W1664" s="17"/>
      <c r="X1664" s="17"/>
      <c r="Y1664" s="17"/>
      <c r="Z1664" s="17"/>
      <c r="AA1664" s="17"/>
      <c r="AB1664" s="17"/>
    </row>
    <row r="1665" spans="1:28">
      <c r="A1665" s="16" t="s">
        <v>8575</v>
      </c>
      <c r="B1665" s="16" t="s">
        <v>8155</v>
      </c>
      <c r="C1665" s="16" t="s">
        <v>8745</v>
      </c>
      <c r="D1665" s="16" t="s">
        <v>21</v>
      </c>
      <c r="E1665" s="36" t="s">
        <v>8444</v>
      </c>
      <c r="F1665" s="16" t="s">
        <v>113</v>
      </c>
      <c r="G1665" s="17" t="str">
        <f>Config!$B$3</f>
        <v>SCH/R_IEC.SchLib</v>
      </c>
      <c r="H1665" s="16" t="s">
        <v>419</v>
      </c>
      <c r="I1665" s="18" t="s">
        <v>7493</v>
      </c>
      <c r="J1665" s="16" t="s">
        <v>8863</v>
      </c>
      <c r="K1665" s="16"/>
      <c r="L1665" s="16"/>
      <c r="M1665" s="20">
        <v>130</v>
      </c>
      <c r="N1665" s="19" t="s">
        <v>8460</v>
      </c>
      <c r="O1665" s="16" t="s">
        <v>4414</v>
      </c>
      <c r="P1665" s="16"/>
      <c r="Q1665" s="16"/>
      <c r="R1665" s="16"/>
      <c r="S1665" s="16"/>
      <c r="T1665" s="16"/>
      <c r="U1665" s="16"/>
      <c r="V1665" s="16"/>
      <c r="W1665" s="17"/>
      <c r="X1665" s="17"/>
      <c r="Y1665" s="17"/>
      <c r="Z1665" s="17"/>
      <c r="AA1665" s="17"/>
      <c r="AB1665" s="17"/>
    </row>
    <row r="1666" spans="1:28">
      <c r="A1666" s="16" t="s">
        <v>8576</v>
      </c>
      <c r="B1666" s="16" t="s">
        <v>8156</v>
      </c>
      <c r="C1666" s="16" t="s">
        <v>8746</v>
      </c>
      <c r="D1666" s="16" t="s">
        <v>21</v>
      </c>
      <c r="E1666" s="36" t="s">
        <v>8444</v>
      </c>
      <c r="F1666" s="16" t="s">
        <v>115</v>
      </c>
      <c r="G1666" s="17" t="str">
        <f>Config!$B$3</f>
        <v>SCH/R_IEC.SchLib</v>
      </c>
      <c r="H1666" s="16" t="s">
        <v>419</v>
      </c>
      <c r="I1666" s="18" t="s">
        <v>7493</v>
      </c>
      <c r="J1666" s="16" t="s">
        <v>8863</v>
      </c>
      <c r="K1666" s="16"/>
      <c r="L1666" s="16"/>
      <c r="M1666" s="20">
        <v>150</v>
      </c>
      <c r="N1666" s="19" t="s">
        <v>8460</v>
      </c>
      <c r="O1666" s="16" t="s">
        <v>4414</v>
      </c>
      <c r="P1666" s="16"/>
      <c r="Q1666" s="16"/>
      <c r="R1666" s="16"/>
      <c r="S1666" s="16"/>
      <c r="T1666" s="16"/>
      <c r="U1666" s="16"/>
      <c r="V1666" s="16"/>
      <c r="W1666" s="17"/>
      <c r="X1666" s="17"/>
      <c r="Y1666" s="17"/>
      <c r="Z1666" s="17"/>
      <c r="AA1666" s="17"/>
      <c r="AB1666" s="17"/>
    </row>
    <row r="1667" spans="1:28">
      <c r="A1667" s="16" t="s">
        <v>8577</v>
      </c>
      <c r="B1667" s="16" t="s">
        <v>8157</v>
      </c>
      <c r="C1667" s="16" t="s">
        <v>8747</v>
      </c>
      <c r="D1667" s="16" t="s">
        <v>21</v>
      </c>
      <c r="E1667" s="36" t="s">
        <v>8444</v>
      </c>
      <c r="F1667" s="16" t="s">
        <v>117</v>
      </c>
      <c r="G1667" s="17" t="str">
        <f>Config!$B$3</f>
        <v>SCH/R_IEC.SchLib</v>
      </c>
      <c r="H1667" s="16" t="s">
        <v>419</v>
      </c>
      <c r="I1667" s="18" t="s">
        <v>7493</v>
      </c>
      <c r="J1667" s="16" t="s">
        <v>8863</v>
      </c>
      <c r="K1667" s="16"/>
      <c r="L1667" s="16"/>
      <c r="M1667" s="20">
        <v>160</v>
      </c>
      <c r="N1667" s="19" t="s">
        <v>8460</v>
      </c>
      <c r="O1667" s="16" t="s">
        <v>4414</v>
      </c>
      <c r="P1667" s="16"/>
      <c r="Q1667" s="16"/>
      <c r="R1667" s="16"/>
      <c r="S1667" s="16"/>
      <c r="T1667" s="16"/>
      <c r="U1667" s="16"/>
      <c r="V1667" s="16"/>
      <c r="W1667" s="17"/>
      <c r="X1667" s="17"/>
      <c r="Y1667" s="17"/>
      <c r="Z1667" s="17"/>
      <c r="AA1667" s="17"/>
      <c r="AB1667" s="17"/>
    </row>
    <row r="1668" spans="1:28">
      <c r="A1668" s="16" t="s">
        <v>8578</v>
      </c>
      <c r="B1668" s="16" t="s">
        <v>8158</v>
      </c>
      <c r="C1668" s="16" t="s">
        <v>8748</v>
      </c>
      <c r="D1668" s="16" t="s">
        <v>21</v>
      </c>
      <c r="E1668" s="36" t="s">
        <v>8444</v>
      </c>
      <c r="F1668" s="16" t="s">
        <v>119</v>
      </c>
      <c r="G1668" s="17" t="str">
        <f>Config!$B$3</f>
        <v>SCH/R_IEC.SchLib</v>
      </c>
      <c r="H1668" s="16" t="s">
        <v>419</v>
      </c>
      <c r="I1668" s="18" t="s">
        <v>7493</v>
      </c>
      <c r="J1668" s="16" t="s">
        <v>8863</v>
      </c>
      <c r="K1668" s="16"/>
      <c r="L1668" s="16"/>
      <c r="M1668" s="20">
        <v>180</v>
      </c>
      <c r="N1668" s="19" t="s">
        <v>8460</v>
      </c>
      <c r="O1668" s="16" t="s">
        <v>4414</v>
      </c>
      <c r="P1668" s="16"/>
      <c r="Q1668" s="16"/>
      <c r="R1668" s="16"/>
      <c r="S1668" s="16"/>
      <c r="T1668" s="16"/>
      <c r="U1668" s="16"/>
      <c r="V1668" s="16"/>
      <c r="W1668" s="17"/>
      <c r="X1668" s="17"/>
      <c r="Y1668" s="17"/>
      <c r="Z1668" s="17"/>
      <c r="AA1668" s="17"/>
      <c r="AB1668" s="17"/>
    </row>
    <row r="1669" spans="1:28">
      <c r="A1669" s="16" t="s">
        <v>8579</v>
      </c>
      <c r="B1669" s="16" t="s">
        <v>8159</v>
      </c>
      <c r="C1669" s="16" t="s">
        <v>8749</v>
      </c>
      <c r="D1669" s="16" t="s">
        <v>21</v>
      </c>
      <c r="E1669" s="36" t="s">
        <v>8444</v>
      </c>
      <c r="F1669" s="16" t="s">
        <v>123</v>
      </c>
      <c r="G1669" s="17" t="str">
        <f>Config!$B$3</f>
        <v>SCH/R_IEC.SchLib</v>
      </c>
      <c r="H1669" s="16" t="s">
        <v>419</v>
      </c>
      <c r="I1669" s="18" t="s">
        <v>7493</v>
      </c>
      <c r="J1669" s="16" t="s">
        <v>8863</v>
      </c>
      <c r="K1669" s="16"/>
      <c r="L1669" s="16"/>
      <c r="M1669" s="20">
        <v>200</v>
      </c>
      <c r="N1669" s="19" t="s">
        <v>8460</v>
      </c>
      <c r="O1669" s="16" t="s">
        <v>4414</v>
      </c>
      <c r="P1669" s="16"/>
      <c r="Q1669" s="16"/>
      <c r="R1669" s="16"/>
      <c r="S1669" s="16"/>
      <c r="T1669" s="16"/>
      <c r="U1669" s="16"/>
      <c r="V1669" s="16"/>
      <c r="W1669" s="17"/>
      <c r="X1669" s="17"/>
      <c r="Y1669" s="17"/>
      <c r="Z1669" s="17"/>
      <c r="AA1669" s="17"/>
      <c r="AB1669" s="17"/>
    </row>
    <row r="1670" spans="1:28">
      <c r="A1670" s="16" t="s">
        <v>8580</v>
      </c>
      <c r="B1670" s="16" t="s">
        <v>8160</v>
      </c>
      <c r="C1670" s="16" t="s">
        <v>8750</v>
      </c>
      <c r="D1670" s="16" t="s">
        <v>21</v>
      </c>
      <c r="E1670" s="36" t="s">
        <v>8444</v>
      </c>
      <c r="F1670" s="16" t="s">
        <v>125</v>
      </c>
      <c r="G1670" s="17" t="str">
        <f>Config!$B$3</f>
        <v>SCH/R_IEC.SchLib</v>
      </c>
      <c r="H1670" s="16" t="s">
        <v>419</v>
      </c>
      <c r="I1670" s="18" t="s">
        <v>7493</v>
      </c>
      <c r="J1670" s="16" t="s">
        <v>8863</v>
      </c>
      <c r="K1670" s="16"/>
      <c r="L1670" s="16"/>
      <c r="M1670" s="20">
        <v>220</v>
      </c>
      <c r="N1670" s="19" t="s">
        <v>8460</v>
      </c>
      <c r="O1670" s="16" t="s">
        <v>4414</v>
      </c>
      <c r="P1670" s="16"/>
      <c r="Q1670" s="16"/>
      <c r="R1670" s="16"/>
      <c r="S1670" s="16"/>
      <c r="T1670" s="16"/>
      <c r="U1670" s="16"/>
      <c r="V1670" s="16"/>
      <c r="W1670" s="16"/>
      <c r="X1670" s="17"/>
      <c r="Y1670" s="16"/>
      <c r="Z1670" s="17"/>
      <c r="AA1670" s="16"/>
      <c r="AB1670" s="17"/>
    </row>
    <row r="1671" spans="1:28">
      <c r="A1671" s="16" t="s">
        <v>8581</v>
      </c>
      <c r="B1671" s="16" t="s">
        <v>8161</v>
      </c>
      <c r="C1671" s="16" t="s">
        <v>8751</v>
      </c>
      <c r="D1671" s="16" t="s">
        <v>21</v>
      </c>
      <c r="E1671" s="36" t="s">
        <v>8444</v>
      </c>
      <c r="F1671" s="16" t="s">
        <v>129</v>
      </c>
      <c r="G1671" s="17" t="str">
        <f>Config!$B$3</f>
        <v>SCH/R_IEC.SchLib</v>
      </c>
      <c r="H1671" s="16" t="s">
        <v>419</v>
      </c>
      <c r="I1671" s="18" t="s">
        <v>7493</v>
      </c>
      <c r="J1671" s="16" t="s">
        <v>8863</v>
      </c>
      <c r="K1671" s="16"/>
      <c r="L1671" s="16"/>
      <c r="M1671" s="20">
        <v>240</v>
      </c>
      <c r="N1671" s="19" t="s">
        <v>8460</v>
      </c>
      <c r="O1671" s="16" t="s">
        <v>4414</v>
      </c>
      <c r="P1671" s="16"/>
      <c r="Q1671" s="16"/>
      <c r="R1671" s="16"/>
      <c r="S1671" s="16"/>
      <c r="T1671" s="16"/>
      <c r="U1671" s="16"/>
      <c r="V1671" s="16"/>
      <c r="W1671" s="17"/>
      <c r="X1671" s="17"/>
      <c r="Y1671" s="17"/>
      <c r="Z1671" s="17"/>
      <c r="AA1671" s="17"/>
      <c r="AB1671" s="17"/>
    </row>
    <row r="1672" spans="1:28">
      <c r="A1672" s="16" t="s">
        <v>8582</v>
      </c>
      <c r="B1672" s="16" t="s">
        <v>8162</v>
      </c>
      <c r="C1672" s="16" t="s">
        <v>8752</v>
      </c>
      <c r="D1672" s="16" t="s">
        <v>21</v>
      </c>
      <c r="E1672" s="36" t="s">
        <v>8444</v>
      </c>
      <c r="F1672" s="16" t="s">
        <v>131</v>
      </c>
      <c r="G1672" s="17" t="str">
        <f>Config!$B$3</f>
        <v>SCH/R_IEC.SchLib</v>
      </c>
      <c r="H1672" s="16" t="s">
        <v>419</v>
      </c>
      <c r="I1672" s="18" t="s">
        <v>7493</v>
      </c>
      <c r="J1672" s="16" t="s">
        <v>8863</v>
      </c>
      <c r="K1672" s="16"/>
      <c r="L1672" s="16"/>
      <c r="M1672" s="20">
        <v>270</v>
      </c>
      <c r="N1672" s="19" t="s">
        <v>8460</v>
      </c>
      <c r="O1672" s="16" t="s">
        <v>4414</v>
      </c>
      <c r="P1672" s="16"/>
      <c r="Q1672" s="16"/>
      <c r="R1672" s="16"/>
      <c r="S1672" s="16"/>
      <c r="T1672" s="16"/>
      <c r="U1672" s="16"/>
      <c r="V1672" s="16"/>
      <c r="W1672" s="16"/>
      <c r="X1672" s="17"/>
      <c r="Y1672" s="16"/>
      <c r="Z1672" s="17"/>
      <c r="AA1672" s="16"/>
      <c r="AB1672" s="17"/>
    </row>
    <row r="1673" spans="1:28">
      <c r="A1673" s="16" t="s">
        <v>8583</v>
      </c>
      <c r="B1673" s="16" t="s">
        <v>8163</v>
      </c>
      <c r="C1673" s="16" t="s">
        <v>8753</v>
      </c>
      <c r="D1673" s="16" t="s">
        <v>21</v>
      </c>
      <c r="E1673" s="36" t="s">
        <v>8444</v>
      </c>
      <c r="F1673" s="16" t="s">
        <v>133</v>
      </c>
      <c r="G1673" s="17" t="str">
        <f>Config!$B$3</f>
        <v>SCH/R_IEC.SchLib</v>
      </c>
      <c r="H1673" s="16" t="s">
        <v>419</v>
      </c>
      <c r="I1673" s="18" t="s">
        <v>7493</v>
      </c>
      <c r="J1673" s="16" t="s">
        <v>8863</v>
      </c>
      <c r="K1673" s="16"/>
      <c r="L1673" s="16"/>
      <c r="M1673" s="20">
        <v>300</v>
      </c>
      <c r="N1673" s="19" t="s">
        <v>8460</v>
      </c>
      <c r="O1673" s="16" t="s">
        <v>4414</v>
      </c>
      <c r="P1673" s="16"/>
      <c r="Q1673" s="16"/>
      <c r="R1673" s="16"/>
      <c r="S1673" s="16"/>
      <c r="T1673" s="16"/>
      <c r="U1673" s="16"/>
      <c r="V1673" s="16"/>
      <c r="W1673" s="17"/>
      <c r="X1673" s="17"/>
      <c r="Y1673" s="17"/>
      <c r="Z1673" s="17"/>
      <c r="AA1673" s="17"/>
      <c r="AB1673" s="17"/>
    </row>
    <row r="1674" spans="1:28">
      <c r="A1674" s="16" t="s">
        <v>8584</v>
      </c>
      <c r="B1674" s="16" t="s">
        <v>8164</v>
      </c>
      <c r="C1674" s="16" t="s">
        <v>8754</v>
      </c>
      <c r="D1674" s="16" t="s">
        <v>21</v>
      </c>
      <c r="E1674" s="36" t="s">
        <v>8444</v>
      </c>
      <c r="F1674" s="16" t="s">
        <v>137</v>
      </c>
      <c r="G1674" s="17" t="str">
        <f>Config!$B$3</f>
        <v>SCH/R_IEC.SchLib</v>
      </c>
      <c r="H1674" s="16" t="s">
        <v>419</v>
      </c>
      <c r="I1674" s="18" t="s">
        <v>7493</v>
      </c>
      <c r="J1674" s="16" t="s">
        <v>8863</v>
      </c>
      <c r="K1674" s="16"/>
      <c r="L1674" s="16"/>
      <c r="M1674" s="20">
        <v>330</v>
      </c>
      <c r="N1674" s="19" t="s">
        <v>8460</v>
      </c>
      <c r="O1674" s="16" t="s">
        <v>4414</v>
      </c>
      <c r="P1674" s="16"/>
      <c r="Q1674" s="16"/>
      <c r="R1674" s="16"/>
      <c r="S1674" s="16"/>
      <c r="T1674" s="16"/>
      <c r="U1674" s="16"/>
      <c r="V1674" s="16"/>
      <c r="W1674" s="16"/>
      <c r="X1674" s="17"/>
      <c r="Y1674" s="16"/>
      <c r="Z1674" s="17"/>
      <c r="AA1674" s="16"/>
      <c r="AB1674" s="17"/>
    </row>
    <row r="1675" spans="1:28">
      <c r="A1675" s="16" t="s">
        <v>8585</v>
      </c>
      <c r="B1675" s="16" t="s">
        <v>8165</v>
      </c>
      <c r="C1675" s="16" t="s">
        <v>8755</v>
      </c>
      <c r="D1675" s="16" t="s">
        <v>21</v>
      </c>
      <c r="E1675" s="36" t="s">
        <v>8444</v>
      </c>
      <c r="F1675" s="16" t="s">
        <v>139</v>
      </c>
      <c r="G1675" s="17" t="str">
        <f>Config!$B$3</f>
        <v>SCH/R_IEC.SchLib</v>
      </c>
      <c r="H1675" s="16" t="s">
        <v>419</v>
      </c>
      <c r="I1675" s="18" t="s">
        <v>7493</v>
      </c>
      <c r="J1675" s="16" t="s">
        <v>8863</v>
      </c>
      <c r="K1675" s="16"/>
      <c r="L1675" s="16"/>
      <c r="M1675" s="20">
        <v>360</v>
      </c>
      <c r="N1675" s="19" t="s">
        <v>8460</v>
      </c>
      <c r="O1675" s="16" t="s">
        <v>4414</v>
      </c>
      <c r="P1675" s="16"/>
      <c r="Q1675" s="16"/>
      <c r="R1675" s="16"/>
      <c r="S1675" s="16"/>
      <c r="T1675" s="16"/>
      <c r="U1675" s="16"/>
      <c r="V1675" s="16"/>
      <c r="W1675" s="17"/>
      <c r="X1675" s="17"/>
      <c r="Y1675" s="17"/>
      <c r="Z1675" s="17"/>
      <c r="AA1675" s="17"/>
      <c r="AB1675" s="17"/>
    </row>
    <row r="1676" spans="1:28">
      <c r="A1676" s="16" t="s">
        <v>8586</v>
      </c>
      <c r="B1676" s="16" t="s">
        <v>8166</v>
      </c>
      <c r="C1676" s="16" t="s">
        <v>8756</v>
      </c>
      <c r="D1676" s="16" t="s">
        <v>21</v>
      </c>
      <c r="E1676" s="36" t="s">
        <v>8444</v>
      </c>
      <c r="F1676" s="16" t="s">
        <v>141</v>
      </c>
      <c r="G1676" s="17" t="str">
        <f>Config!$B$3</f>
        <v>SCH/R_IEC.SchLib</v>
      </c>
      <c r="H1676" s="16" t="s">
        <v>419</v>
      </c>
      <c r="I1676" s="18" t="s">
        <v>7493</v>
      </c>
      <c r="J1676" s="16" t="s">
        <v>8863</v>
      </c>
      <c r="K1676" s="16"/>
      <c r="L1676" s="16"/>
      <c r="M1676" s="20">
        <v>390</v>
      </c>
      <c r="N1676" s="19" t="s">
        <v>8460</v>
      </c>
      <c r="O1676" s="16" t="s">
        <v>4414</v>
      </c>
      <c r="P1676" s="16"/>
      <c r="Q1676" s="16"/>
      <c r="R1676" s="16"/>
      <c r="S1676" s="16"/>
      <c r="T1676" s="16"/>
      <c r="U1676" s="16"/>
      <c r="V1676" s="16"/>
      <c r="W1676" s="17"/>
      <c r="X1676" s="17"/>
      <c r="Y1676" s="17"/>
      <c r="Z1676" s="17"/>
      <c r="AA1676" s="17"/>
      <c r="AB1676" s="17"/>
    </row>
    <row r="1677" spans="1:28">
      <c r="A1677" s="16" t="s">
        <v>8587</v>
      </c>
      <c r="B1677" s="16" t="s">
        <v>8167</v>
      </c>
      <c r="C1677" s="16" t="s">
        <v>8757</v>
      </c>
      <c r="D1677" s="16" t="s">
        <v>21</v>
      </c>
      <c r="E1677" s="36" t="s">
        <v>8444</v>
      </c>
      <c r="F1677" s="16" t="s">
        <v>143</v>
      </c>
      <c r="G1677" s="17" t="str">
        <f>Config!$B$3</f>
        <v>SCH/R_IEC.SchLib</v>
      </c>
      <c r="H1677" s="16" t="s">
        <v>419</v>
      </c>
      <c r="I1677" s="18" t="s">
        <v>7493</v>
      </c>
      <c r="J1677" s="16" t="s">
        <v>8863</v>
      </c>
      <c r="K1677" s="16"/>
      <c r="L1677" s="16"/>
      <c r="M1677" s="20">
        <v>430</v>
      </c>
      <c r="N1677" s="19" t="s">
        <v>8460</v>
      </c>
      <c r="O1677" s="16" t="s">
        <v>4414</v>
      </c>
      <c r="P1677" s="16"/>
      <c r="Q1677" s="16"/>
      <c r="R1677" s="16"/>
      <c r="S1677" s="16"/>
      <c r="T1677" s="16"/>
      <c r="U1677" s="16"/>
      <c r="V1677" s="16"/>
      <c r="W1677" s="17"/>
      <c r="X1677" s="17"/>
      <c r="Y1677" s="17"/>
      <c r="Z1677" s="17"/>
      <c r="AA1677" s="17"/>
      <c r="AB1677" s="17"/>
    </row>
    <row r="1678" spans="1:28">
      <c r="A1678" s="16" t="s">
        <v>8588</v>
      </c>
      <c r="B1678" s="16" t="s">
        <v>8168</v>
      </c>
      <c r="C1678" s="16" t="s">
        <v>8758</v>
      </c>
      <c r="D1678" s="16" t="s">
        <v>21</v>
      </c>
      <c r="E1678" s="36" t="s">
        <v>8444</v>
      </c>
      <c r="F1678" s="16" t="s">
        <v>145</v>
      </c>
      <c r="G1678" s="17" t="str">
        <f>Config!$B$3</f>
        <v>SCH/R_IEC.SchLib</v>
      </c>
      <c r="H1678" s="16" t="s">
        <v>419</v>
      </c>
      <c r="I1678" s="18" t="s">
        <v>7493</v>
      </c>
      <c r="J1678" s="16" t="s">
        <v>8863</v>
      </c>
      <c r="K1678" s="16"/>
      <c r="L1678" s="16"/>
      <c r="M1678" s="20">
        <v>470</v>
      </c>
      <c r="N1678" s="19" t="s">
        <v>8460</v>
      </c>
      <c r="O1678" s="16" t="s">
        <v>4414</v>
      </c>
      <c r="P1678" s="16"/>
      <c r="Q1678" s="16"/>
      <c r="R1678" s="16"/>
      <c r="S1678" s="16"/>
      <c r="T1678" s="16"/>
      <c r="U1678" s="16"/>
      <c r="V1678" s="16"/>
      <c r="W1678" s="17"/>
      <c r="X1678" s="17"/>
      <c r="Y1678" s="17"/>
      <c r="Z1678" s="17"/>
      <c r="AA1678" s="17"/>
      <c r="AB1678" s="17"/>
    </row>
    <row r="1679" spans="1:28">
      <c r="A1679" s="16" t="s">
        <v>8589</v>
      </c>
      <c r="B1679" s="16" t="s">
        <v>8169</v>
      </c>
      <c r="C1679" s="16" t="s">
        <v>8759</v>
      </c>
      <c r="D1679" s="16" t="s">
        <v>21</v>
      </c>
      <c r="E1679" s="36" t="s">
        <v>8444</v>
      </c>
      <c r="F1679" s="16" t="s">
        <v>149</v>
      </c>
      <c r="G1679" s="17" t="str">
        <f>Config!$B$3</f>
        <v>SCH/R_IEC.SchLib</v>
      </c>
      <c r="H1679" s="16" t="s">
        <v>419</v>
      </c>
      <c r="I1679" s="18" t="s">
        <v>7493</v>
      </c>
      <c r="J1679" s="16" t="s">
        <v>8863</v>
      </c>
      <c r="K1679" s="16"/>
      <c r="L1679" s="16"/>
      <c r="M1679" s="20">
        <v>510</v>
      </c>
      <c r="N1679" s="19" t="s">
        <v>8460</v>
      </c>
      <c r="O1679" s="16" t="s">
        <v>4414</v>
      </c>
      <c r="P1679" s="16"/>
      <c r="Q1679" s="16"/>
      <c r="R1679" s="16"/>
      <c r="S1679" s="16"/>
      <c r="T1679" s="16"/>
      <c r="U1679" s="16"/>
      <c r="V1679" s="16"/>
      <c r="W1679" s="17"/>
      <c r="X1679" s="17"/>
      <c r="Y1679" s="17"/>
      <c r="Z1679" s="17"/>
      <c r="AA1679" s="17"/>
      <c r="AB1679" s="17"/>
    </row>
    <row r="1680" spans="1:28">
      <c r="A1680" s="16" t="s">
        <v>8590</v>
      </c>
      <c r="B1680" s="16" t="s">
        <v>8170</v>
      </c>
      <c r="C1680" s="16" t="s">
        <v>8760</v>
      </c>
      <c r="D1680" s="16" t="s">
        <v>21</v>
      </c>
      <c r="E1680" s="36" t="s">
        <v>8444</v>
      </c>
      <c r="F1680" s="16" t="s">
        <v>151</v>
      </c>
      <c r="G1680" s="17" t="str">
        <f>Config!$B$3</f>
        <v>SCH/R_IEC.SchLib</v>
      </c>
      <c r="H1680" s="16" t="s">
        <v>419</v>
      </c>
      <c r="I1680" s="18" t="s">
        <v>7493</v>
      </c>
      <c r="J1680" s="16" t="s">
        <v>8863</v>
      </c>
      <c r="K1680" s="16"/>
      <c r="L1680" s="16"/>
      <c r="M1680" s="20">
        <v>560</v>
      </c>
      <c r="N1680" s="19" t="s">
        <v>8460</v>
      </c>
      <c r="O1680" s="16" t="s">
        <v>4414</v>
      </c>
      <c r="P1680" s="16"/>
      <c r="Q1680" s="16"/>
      <c r="R1680" s="16"/>
      <c r="S1680" s="16"/>
      <c r="T1680" s="16"/>
      <c r="U1680" s="16"/>
      <c r="V1680" s="16"/>
      <c r="W1680" s="17"/>
      <c r="X1680" s="17"/>
      <c r="Y1680" s="17"/>
      <c r="Z1680" s="17"/>
      <c r="AA1680" s="17"/>
      <c r="AB1680" s="17"/>
    </row>
    <row r="1681" spans="1:28">
      <c r="A1681" s="16" t="s">
        <v>8591</v>
      </c>
      <c r="B1681" s="16" t="s">
        <v>8171</v>
      </c>
      <c r="C1681" s="16" t="s">
        <v>8761</v>
      </c>
      <c r="D1681" s="16" t="s">
        <v>21</v>
      </c>
      <c r="E1681" s="36" t="s">
        <v>8444</v>
      </c>
      <c r="F1681" s="16" t="s">
        <v>153</v>
      </c>
      <c r="G1681" s="17" t="str">
        <f>Config!$B$3</f>
        <v>SCH/R_IEC.SchLib</v>
      </c>
      <c r="H1681" s="16" t="s">
        <v>419</v>
      </c>
      <c r="I1681" s="18" t="s">
        <v>7493</v>
      </c>
      <c r="J1681" s="16" t="s">
        <v>8863</v>
      </c>
      <c r="K1681" s="16"/>
      <c r="L1681" s="16"/>
      <c r="M1681" s="20">
        <v>620</v>
      </c>
      <c r="N1681" s="19" t="s">
        <v>8460</v>
      </c>
      <c r="O1681" s="16" t="s">
        <v>4414</v>
      </c>
      <c r="P1681" s="16"/>
      <c r="Q1681" s="16"/>
      <c r="R1681" s="16"/>
      <c r="S1681" s="16"/>
      <c r="T1681" s="16"/>
      <c r="U1681" s="16"/>
      <c r="V1681" s="16"/>
      <c r="W1681" s="17"/>
      <c r="X1681" s="17"/>
      <c r="Y1681" s="17"/>
      <c r="Z1681" s="17"/>
      <c r="AA1681" s="17"/>
      <c r="AB1681" s="17"/>
    </row>
    <row r="1682" spans="1:28">
      <c r="A1682" s="16" t="s">
        <v>8592</v>
      </c>
      <c r="B1682" s="16" t="s">
        <v>8172</v>
      </c>
      <c r="C1682" s="16" t="s">
        <v>8762</v>
      </c>
      <c r="D1682" s="16" t="s">
        <v>21</v>
      </c>
      <c r="E1682" s="36" t="s">
        <v>8444</v>
      </c>
      <c r="F1682" s="16" t="s">
        <v>155</v>
      </c>
      <c r="G1682" s="17" t="str">
        <f>Config!$B$3</f>
        <v>SCH/R_IEC.SchLib</v>
      </c>
      <c r="H1682" s="16" t="s">
        <v>419</v>
      </c>
      <c r="I1682" s="18" t="s">
        <v>7493</v>
      </c>
      <c r="J1682" s="16" t="s">
        <v>8863</v>
      </c>
      <c r="K1682" s="16"/>
      <c r="L1682" s="16"/>
      <c r="M1682" s="20">
        <v>680</v>
      </c>
      <c r="N1682" s="19" t="s">
        <v>8460</v>
      </c>
      <c r="O1682" s="16" t="s">
        <v>4414</v>
      </c>
      <c r="P1682" s="16"/>
      <c r="Q1682" s="16"/>
      <c r="R1682" s="16"/>
      <c r="S1682" s="16"/>
      <c r="T1682" s="16"/>
      <c r="U1682" s="16"/>
      <c r="V1682" s="16"/>
      <c r="W1682" s="17"/>
      <c r="X1682" s="17"/>
      <c r="Y1682" s="17"/>
      <c r="Z1682" s="17"/>
      <c r="AA1682" s="17"/>
      <c r="AB1682" s="17"/>
    </row>
    <row r="1683" spans="1:28">
      <c r="A1683" s="16" t="s">
        <v>8593</v>
      </c>
      <c r="B1683" s="16" t="s">
        <v>8173</v>
      </c>
      <c r="C1683" s="16" t="s">
        <v>8763</v>
      </c>
      <c r="D1683" s="16" t="s">
        <v>21</v>
      </c>
      <c r="E1683" s="36" t="s">
        <v>8444</v>
      </c>
      <c r="F1683" s="16" t="s">
        <v>157</v>
      </c>
      <c r="G1683" s="17" t="str">
        <f>Config!$B$3</f>
        <v>SCH/R_IEC.SchLib</v>
      </c>
      <c r="H1683" s="16" t="s">
        <v>419</v>
      </c>
      <c r="I1683" s="18" t="s">
        <v>7493</v>
      </c>
      <c r="J1683" s="16" t="s">
        <v>8863</v>
      </c>
      <c r="K1683" s="16"/>
      <c r="L1683" s="16"/>
      <c r="M1683" s="20">
        <v>750</v>
      </c>
      <c r="N1683" s="19" t="s">
        <v>8460</v>
      </c>
      <c r="O1683" s="16" t="s">
        <v>4414</v>
      </c>
      <c r="P1683" s="16"/>
      <c r="Q1683" s="16"/>
      <c r="R1683" s="16"/>
      <c r="S1683" s="16"/>
      <c r="T1683" s="16"/>
      <c r="U1683" s="16"/>
      <c r="V1683" s="16"/>
      <c r="W1683" s="17"/>
      <c r="X1683" s="17"/>
      <c r="Y1683" s="17"/>
      <c r="Z1683" s="17"/>
      <c r="AA1683" s="17"/>
      <c r="AB1683" s="17"/>
    </row>
    <row r="1684" spans="1:28">
      <c r="A1684" s="16" t="s">
        <v>8594</v>
      </c>
      <c r="B1684" s="16" t="s">
        <v>8174</v>
      </c>
      <c r="C1684" s="16" t="s">
        <v>8764</v>
      </c>
      <c r="D1684" s="16" t="s">
        <v>21</v>
      </c>
      <c r="E1684" s="36" t="s">
        <v>8444</v>
      </c>
      <c r="F1684" s="16" t="s">
        <v>159</v>
      </c>
      <c r="G1684" s="17" t="str">
        <f>Config!$B$3</f>
        <v>SCH/R_IEC.SchLib</v>
      </c>
      <c r="H1684" s="16" t="s">
        <v>419</v>
      </c>
      <c r="I1684" s="18" t="s">
        <v>7493</v>
      </c>
      <c r="J1684" s="16" t="s">
        <v>8863</v>
      </c>
      <c r="K1684" s="16"/>
      <c r="L1684" s="16"/>
      <c r="M1684" s="20">
        <v>820</v>
      </c>
      <c r="N1684" s="19" t="s">
        <v>8460</v>
      </c>
      <c r="O1684" s="16" t="s">
        <v>4414</v>
      </c>
      <c r="P1684" s="16"/>
      <c r="Q1684" s="16"/>
      <c r="R1684" s="16"/>
      <c r="S1684" s="16"/>
      <c r="T1684" s="16"/>
      <c r="U1684" s="16"/>
      <c r="V1684" s="16"/>
      <c r="W1684" s="17"/>
      <c r="X1684" s="17"/>
      <c r="Y1684" s="17"/>
      <c r="Z1684" s="17"/>
      <c r="AA1684" s="17"/>
      <c r="AB1684" s="17"/>
    </row>
    <row r="1685" spans="1:28">
      <c r="A1685" s="16" t="s">
        <v>8595</v>
      </c>
      <c r="B1685" s="16" t="s">
        <v>8175</v>
      </c>
      <c r="C1685" s="16" t="s">
        <v>8765</v>
      </c>
      <c r="D1685" s="16" t="s">
        <v>21</v>
      </c>
      <c r="E1685" s="36" t="s">
        <v>8444</v>
      </c>
      <c r="F1685" s="16" t="s">
        <v>161</v>
      </c>
      <c r="G1685" s="17" t="str">
        <f>Config!$B$3</f>
        <v>SCH/R_IEC.SchLib</v>
      </c>
      <c r="H1685" s="16" t="s">
        <v>419</v>
      </c>
      <c r="I1685" s="18" t="s">
        <v>7493</v>
      </c>
      <c r="J1685" s="16" t="s">
        <v>8863</v>
      </c>
      <c r="K1685" s="16"/>
      <c r="L1685" s="16"/>
      <c r="M1685" s="20">
        <v>910</v>
      </c>
      <c r="N1685" s="19" t="s">
        <v>8460</v>
      </c>
      <c r="O1685" s="16" t="s">
        <v>4414</v>
      </c>
      <c r="P1685" s="16"/>
      <c r="Q1685" s="16"/>
      <c r="R1685" s="16"/>
      <c r="S1685" s="16"/>
      <c r="T1685" s="16"/>
      <c r="U1685" s="16"/>
      <c r="V1685" s="16"/>
      <c r="W1685" s="17"/>
      <c r="X1685" s="17"/>
      <c r="Y1685" s="17"/>
      <c r="Z1685" s="17"/>
      <c r="AA1685" s="17"/>
      <c r="AB1685" s="17"/>
    </row>
    <row r="1686" spans="1:28">
      <c r="A1686" s="16" t="s">
        <v>8596</v>
      </c>
      <c r="B1686" s="16" t="s">
        <v>8176</v>
      </c>
      <c r="C1686" s="16" t="s">
        <v>8766</v>
      </c>
      <c r="D1686" s="16" t="s">
        <v>21</v>
      </c>
      <c r="E1686" s="36" t="s">
        <v>8444</v>
      </c>
      <c r="F1686" s="16" t="s">
        <v>163</v>
      </c>
      <c r="G1686" s="17" t="str">
        <f>Config!$B$3</f>
        <v>SCH/R_IEC.SchLib</v>
      </c>
      <c r="H1686" s="16" t="s">
        <v>419</v>
      </c>
      <c r="I1686" s="18" t="s">
        <v>7493</v>
      </c>
      <c r="J1686" s="16" t="s">
        <v>8863</v>
      </c>
      <c r="K1686" s="16"/>
      <c r="L1686" s="16"/>
      <c r="M1686" s="20">
        <v>1000</v>
      </c>
      <c r="N1686" s="19" t="s">
        <v>8460</v>
      </c>
      <c r="O1686" s="16" t="s">
        <v>4414</v>
      </c>
      <c r="P1686" s="16" t="s">
        <v>8461</v>
      </c>
      <c r="Q1686" s="16" t="s">
        <v>25</v>
      </c>
      <c r="R1686" s="16" t="s">
        <v>10579</v>
      </c>
      <c r="S1686" s="16"/>
      <c r="T1686" s="16"/>
      <c r="U1686" s="16"/>
      <c r="V1686" s="16"/>
      <c r="W1686" s="17"/>
      <c r="X1686" s="17"/>
      <c r="Y1686" s="16"/>
      <c r="Z1686" s="17"/>
      <c r="AA1686" s="17"/>
      <c r="AB1686" s="17"/>
    </row>
    <row r="1687" spans="1:28">
      <c r="A1687" s="16" t="s">
        <v>8597</v>
      </c>
      <c r="B1687" s="16" t="s">
        <v>8177</v>
      </c>
      <c r="C1687" s="16" t="s">
        <v>8767</v>
      </c>
      <c r="D1687" s="16" t="s">
        <v>21</v>
      </c>
      <c r="E1687" s="36" t="s">
        <v>8444</v>
      </c>
      <c r="F1687" s="16" t="s">
        <v>165</v>
      </c>
      <c r="G1687" s="17" t="str">
        <f>Config!$B$3</f>
        <v>SCH/R_IEC.SchLib</v>
      </c>
      <c r="H1687" s="16" t="s">
        <v>419</v>
      </c>
      <c r="I1687" s="18" t="s">
        <v>7493</v>
      </c>
      <c r="J1687" s="16" t="s">
        <v>8863</v>
      </c>
      <c r="K1687" s="16"/>
      <c r="L1687" s="16"/>
      <c r="M1687" s="20">
        <v>1100</v>
      </c>
      <c r="N1687" s="19" t="s">
        <v>8460</v>
      </c>
      <c r="O1687" s="16" t="s">
        <v>4414</v>
      </c>
      <c r="P1687" s="16"/>
      <c r="Q1687" s="16"/>
      <c r="R1687" s="16"/>
      <c r="S1687" s="16"/>
      <c r="T1687" s="16"/>
      <c r="U1687" s="16"/>
      <c r="V1687" s="16"/>
      <c r="W1687" s="17"/>
      <c r="X1687" s="17"/>
      <c r="Y1687" s="17"/>
      <c r="Z1687" s="17"/>
      <c r="AA1687" s="17"/>
      <c r="AB1687" s="17"/>
    </row>
    <row r="1688" spans="1:28">
      <c r="A1688" s="16" t="s">
        <v>8598</v>
      </c>
      <c r="B1688" s="16" t="s">
        <v>8178</v>
      </c>
      <c r="C1688" s="16" t="s">
        <v>8768</v>
      </c>
      <c r="D1688" s="16" t="s">
        <v>21</v>
      </c>
      <c r="E1688" s="36" t="s">
        <v>8444</v>
      </c>
      <c r="F1688" s="16" t="s">
        <v>167</v>
      </c>
      <c r="G1688" s="17" t="str">
        <f>Config!$B$3</f>
        <v>SCH/R_IEC.SchLib</v>
      </c>
      <c r="H1688" s="16" t="s">
        <v>419</v>
      </c>
      <c r="I1688" s="18" t="s">
        <v>7493</v>
      </c>
      <c r="J1688" s="16" t="s">
        <v>8863</v>
      </c>
      <c r="K1688" s="16"/>
      <c r="L1688" s="16"/>
      <c r="M1688" s="20">
        <v>1200</v>
      </c>
      <c r="N1688" s="19" t="s">
        <v>8460</v>
      </c>
      <c r="O1688" s="16" t="s">
        <v>4414</v>
      </c>
      <c r="P1688" s="16"/>
      <c r="Q1688" s="16"/>
      <c r="R1688" s="16"/>
      <c r="S1688" s="16"/>
      <c r="T1688" s="16"/>
      <c r="U1688" s="16"/>
      <c r="V1688" s="16"/>
      <c r="W1688" s="17"/>
      <c r="X1688" s="17"/>
      <c r="Y1688" s="17"/>
      <c r="Z1688" s="17"/>
      <c r="AA1688" s="17"/>
      <c r="AB1688" s="17"/>
    </row>
    <row r="1689" spans="1:28">
      <c r="A1689" s="16" t="s">
        <v>8599</v>
      </c>
      <c r="B1689" s="16" t="s">
        <v>8179</v>
      </c>
      <c r="C1689" s="16" t="s">
        <v>8769</v>
      </c>
      <c r="D1689" s="16" t="s">
        <v>21</v>
      </c>
      <c r="E1689" s="36" t="s">
        <v>8444</v>
      </c>
      <c r="F1689" s="16" t="s">
        <v>169</v>
      </c>
      <c r="G1689" s="17" t="str">
        <f>Config!$B$3</f>
        <v>SCH/R_IEC.SchLib</v>
      </c>
      <c r="H1689" s="16" t="s">
        <v>419</v>
      </c>
      <c r="I1689" s="18" t="s">
        <v>7493</v>
      </c>
      <c r="J1689" s="16" t="s">
        <v>8863</v>
      </c>
      <c r="K1689" s="16"/>
      <c r="L1689" s="16"/>
      <c r="M1689" s="20">
        <v>1300</v>
      </c>
      <c r="N1689" s="19" t="s">
        <v>8460</v>
      </c>
      <c r="O1689" s="16" t="s">
        <v>4414</v>
      </c>
      <c r="P1689" s="16"/>
      <c r="Q1689" s="16"/>
      <c r="R1689" s="16"/>
      <c r="S1689" s="16"/>
      <c r="T1689" s="16"/>
      <c r="U1689" s="16"/>
      <c r="V1689" s="16"/>
      <c r="W1689" s="17"/>
      <c r="X1689" s="17"/>
      <c r="Y1689" s="17"/>
      <c r="Z1689" s="17"/>
      <c r="AA1689" s="17"/>
      <c r="AB1689" s="17"/>
    </row>
    <row r="1690" spans="1:28">
      <c r="A1690" s="16" t="s">
        <v>8600</v>
      </c>
      <c r="B1690" s="16" t="s">
        <v>8180</v>
      </c>
      <c r="C1690" s="16" t="s">
        <v>8770</v>
      </c>
      <c r="D1690" s="16" t="s">
        <v>21</v>
      </c>
      <c r="E1690" s="36" t="s">
        <v>8444</v>
      </c>
      <c r="F1690" s="16" t="s">
        <v>171</v>
      </c>
      <c r="G1690" s="17" t="str">
        <f>Config!$B$3</f>
        <v>SCH/R_IEC.SchLib</v>
      </c>
      <c r="H1690" s="16" t="s">
        <v>419</v>
      </c>
      <c r="I1690" s="18" t="s">
        <v>7493</v>
      </c>
      <c r="J1690" s="16" t="s">
        <v>8863</v>
      </c>
      <c r="K1690" s="16"/>
      <c r="L1690" s="16"/>
      <c r="M1690" s="20">
        <v>1500</v>
      </c>
      <c r="N1690" s="19" t="s">
        <v>8460</v>
      </c>
      <c r="O1690" s="16" t="s">
        <v>4414</v>
      </c>
      <c r="P1690" s="16"/>
      <c r="Q1690" s="16"/>
      <c r="R1690" s="16"/>
      <c r="S1690" s="16"/>
      <c r="T1690" s="16"/>
      <c r="U1690" s="16"/>
      <c r="V1690" s="16"/>
      <c r="W1690" s="16"/>
      <c r="X1690" s="17"/>
      <c r="Y1690" s="16"/>
      <c r="Z1690" s="17"/>
      <c r="AA1690" s="16"/>
      <c r="AB1690" s="17"/>
    </row>
    <row r="1691" spans="1:28">
      <c r="A1691" s="16" t="s">
        <v>8601</v>
      </c>
      <c r="B1691" s="16" t="s">
        <v>8181</v>
      </c>
      <c r="C1691" s="16" t="s">
        <v>8771</v>
      </c>
      <c r="D1691" s="16" t="s">
        <v>21</v>
      </c>
      <c r="E1691" s="36" t="s">
        <v>8444</v>
      </c>
      <c r="F1691" s="16" t="s">
        <v>175</v>
      </c>
      <c r="G1691" s="17" t="str">
        <f>Config!$B$3</f>
        <v>SCH/R_IEC.SchLib</v>
      </c>
      <c r="H1691" s="16" t="s">
        <v>419</v>
      </c>
      <c r="I1691" s="18" t="s">
        <v>7493</v>
      </c>
      <c r="J1691" s="16" t="s">
        <v>8863</v>
      </c>
      <c r="K1691" s="16"/>
      <c r="L1691" s="16"/>
      <c r="M1691" s="20">
        <v>1600</v>
      </c>
      <c r="N1691" s="19" t="s">
        <v>8460</v>
      </c>
      <c r="O1691" s="16" t="s">
        <v>4414</v>
      </c>
      <c r="P1691" s="16"/>
      <c r="Q1691" s="16"/>
      <c r="R1691" s="16"/>
      <c r="S1691" s="16"/>
      <c r="T1691" s="16"/>
      <c r="U1691" s="16"/>
      <c r="V1691" s="16"/>
      <c r="W1691" s="17"/>
      <c r="X1691" s="17"/>
      <c r="Y1691" s="17"/>
      <c r="Z1691" s="17"/>
      <c r="AA1691" s="17"/>
      <c r="AB1691" s="17"/>
    </row>
    <row r="1692" spans="1:28">
      <c r="A1692" s="16" t="s">
        <v>8602</v>
      </c>
      <c r="B1692" s="16" t="s">
        <v>8182</v>
      </c>
      <c r="C1692" s="16" t="s">
        <v>8772</v>
      </c>
      <c r="D1692" s="16" t="s">
        <v>21</v>
      </c>
      <c r="E1692" s="36" t="s">
        <v>8444</v>
      </c>
      <c r="F1692" s="16" t="s">
        <v>181</v>
      </c>
      <c r="G1692" s="17" t="str">
        <f>Config!$B$3</f>
        <v>SCH/R_IEC.SchLib</v>
      </c>
      <c r="H1692" s="16" t="s">
        <v>419</v>
      </c>
      <c r="I1692" s="18" t="s">
        <v>7493</v>
      </c>
      <c r="J1692" s="16" t="s">
        <v>8863</v>
      </c>
      <c r="K1692" s="16"/>
      <c r="L1692" s="16"/>
      <c r="M1692" s="20">
        <v>1800</v>
      </c>
      <c r="N1692" s="19" t="s">
        <v>8460</v>
      </c>
      <c r="O1692" s="16" t="s">
        <v>4414</v>
      </c>
      <c r="P1692" s="16"/>
      <c r="Q1692" s="16"/>
      <c r="R1692" s="16"/>
      <c r="S1692" s="16"/>
      <c r="T1692" s="16"/>
      <c r="U1692" s="16"/>
      <c r="V1692" s="16"/>
      <c r="W1692" s="17"/>
      <c r="X1692" s="17"/>
      <c r="Y1692" s="17"/>
      <c r="Z1692" s="17"/>
      <c r="AA1692" s="17"/>
      <c r="AB1692" s="17"/>
    </row>
    <row r="1693" spans="1:28">
      <c r="A1693" s="16" t="s">
        <v>8603</v>
      </c>
      <c r="B1693" s="16" t="s">
        <v>8183</v>
      </c>
      <c r="C1693" s="16" t="s">
        <v>8773</v>
      </c>
      <c r="D1693" s="16" t="s">
        <v>21</v>
      </c>
      <c r="E1693" s="36" t="s">
        <v>8444</v>
      </c>
      <c r="F1693" s="16" t="s">
        <v>183</v>
      </c>
      <c r="G1693" s="17" t="str">
        <f>Config!$B$3</f>
        <v>SCH/R_IEC.SchLib</v>
      </c>
      <c r="H1693" s="16" t="s">
        <v>419</v>
      </c>
      <c r="I1693" s="18" t="s">
        <v>7493</v>
      </c>
      <c r="J1693" s="16" t="s">
        <v>8863</v>
      </c>
      <c r="K1693" s="16"/>
      <c r="L1693" s="16"/>
      <c r="M1693" s="20">
        <v>2000</v>
      </c>
      <c r="N1693" s="19" t="s">
        <v>8460</v>
      </c>
      <c r="O1693" s="16" t="s">
        <v>4414</v>
      </c>
      <c r="P1693" s="16"/>
      <c r="Q1693" s="16"/>
      <c r="R1693" s="16"/>
      <c r="S1693" s="16"/>
      <c r="T1693" s="16"/>
      <c r="U1693" s="16"/>
      <c r="V1693" s="16"/>
      <c r="W1693" s="17"/>
      <c r="X1693" s="17"/>
      <c r="Y1693" s="16"/>
      <c r="Z1693" s="17"/>
      <c r="AA1693" s="17"/>
      <c r="AB1693" s="17"/>
    </row>
    <row r="1694" spans="1:28">
      <c r="A1694" s="16" t="s">
        <v>8604</v>
      </c>
      <c r="B1694" s="16" t="s">
        <v>8184</v>
      </c>
      <c r="C1694" s="16" t="s">
        <v>8774</v>
      </c>
      <c r="D1694" s="16" t="s">
        <v>21</v>
      </c>
      <c r="E1694" s="36" t="s">
        <v>8444</v>
      </c>
      <c r="F1694" s="16" t="s">
        <v>187</v>
      </c>
      <c r="G1694" s="17" t="str">
        <f>Config!$B$3</f>
        <v>SCH/R_IEC.SchLib</v>
      </c>
      <c r="H1694" s="16" t="s">
        <v>419</v>
      </c>
      <c r="I1694" s="18" t="s">
        <v>7493</v>
      </c>
      <c r="J1694" s="16" t="s">
        <v>8863</v>
      </c>
      <c r="K1694" s="16"/>
      <c r="L1694" s="16"/>
      <c r="M1694" s="20">
        <v>2200</v>
      </c>
      <c r="N1694" s="19" t="s">
        <v>8460</v>
      </c>
      <c r="O1694" s="16" t="s">
        <v>4414</v>
      </c>
      <c r="P1694" s="16"/>
      <c r="Q1694" s="16"/>
      <c r="R1694" s="16"/>
      <c r="S1694" s="16"/>
      <c r="T1694" s="16"/>
      <c r="U1694" s="16"/>
      <c r="V1694" s="16"/>
      <c r="W1694" s="16"/>
      <c r="Y1694" s="16"/>
      <c r="AA1694" s="17"/>
      <c r="AB1694" s="17"/>
    </row>
    <row r="1695" spans="1:28">
      <c r="A1695" s="16" t="s">
        <v>8605</v>
      </c>
      <c r="B1695" s="16" t="s">
        <v>8185</v>
      </c>
      <c r="C1695" s="16" t="s">
        <v>8775</v>
      </c>
      <c r="D1695" s="16" t="s">
        <v>21</v>
      </c>
      <c r="E1695" s="36" t="s">
        <v>8444</v>
      </c>
      <c r="F1695" s="16" t="s">
        <v>191</v>
      </c>
      <c r="G1695" s="17" t="str">
        <f>Config!$B$3</f>
        <v>SCH/R_IEC.SchLib</v>
      </c>
      <c r="H1695" s="16" t="s">
        <v>419</v>
      </c>
      <c r="I1695" s="18" t="s">
        <v>7493</v>
      </c>
      <c r="J1695" s="16" t="s">
        <v>8863</v>
      </c>
      <c r="K1695" s="16"/>
      <c r="L1695" s="16"/>
      <c r="M1695" s="20">
        <v>2400</v>
      </c>
      <c r="N1695" s="19" t="s">
        <v>8460</v>
      </c>
      <c r="O1695" s="16" t="s">
        <v>4414</v>
      </c>
      <c r="P1695" s="16"/>
      <c r="Q1695" s="16"/>
      <c r="R1695" s="16"/>
      <c r="S1695" s="16"/>
      <c r="T1695" s="16"/>
      <c r="U1695" s="16"/>
      <c r="V1695" s="16"/>
      <c r="W1695" s="17"/>
      <c r="X1695" s="17"/>
      <c r="Y1695" s="17"/>
      <c r="Z1695" s="17"/>
      <c r="AA1695" s="17"/>
      <c r="AB1695" s="17"/>
    </row>
    <row r="1696" spans="1:28">
      <c r="A1696" s="16" t="s">
        <v>8606</v>
      </c>
      <c r="B1696" s="16" t="s">
        <v>8186</v>
      </c>
      <c r="C1696" s="16" t="s">
        <v>8776</v>
      </c>
      <c r="D1696" s="16" t="s">
        <v>21</v>
      </c>
      <c r="E1696" s="36" t="s">
        <v>8444</v>
      </c>
      <c r="F1696" s="16" t="s">
        <v>193</v>
      </c>
      <c r="G1696" s="17" t="str">
        <f>Config!$B$3</f>
        <v>SCH/R_IEC.SchLib</v>
      </c>
      <c r="H1696" s="16" t="s">
        <v>419</v>
      </c>
      <c r="I1696" s="18" t="s">
        <v>7493</v>
      </c>
      <c r="J1696" s="16" t="s">
        <v>8863</v>
      </c>
      <c r="K1696" s="16"/>
      <c r="L1696" s="16"/>
      <c r="M1696" s="20">
        <v>2700</v>
      </c>
      <c r="N1696" s="19" t="s">
        <v>8460</v>
      </c>
      <c r="O1696" s="16" t="s">
        <v>4414</v>
      </c>
      <c r="P1696" s="16"/>
      <c r="Q1696" s="16"/>
      <c r="R1696" s="16"/>
      <c r="S1696" s="16"/>
      <c r="T1696" s="16"/>
      <c r="U1696" s="16"/>
      <c r="V1696" s="16"/>
      <c r="W1696" s="17"/>
      <c r="X1696" s="17"/>
      <c r="Y1696" s="17"/>
      <c r="Z1696" s="17"/>
      <c r="AA1696" s="17"/>
      <c r="AB1696" s="17"/>
    </row>
    <row r="1697" spans="1:28">
      <c r="A1697" s="16" t="s">
        <v>8607</v>
      </c>
      <c r="B1697" s="16" t="s">
        <v>8187</v>
      </c>
      <c r="C1697" s="16" t="s">
        <v>8777</v>
      </c>
      <c r="D1697" s="16" t="s">
        <v>21</v>
      </c>
      <c r="E1697" s="36" t="s">
        <v>8444</v>
      </c>
      <c r="F1697" s="16" t="s">
        <v>197</v>
      </c>
      <c r="G1697" s="17" t="str">
        <f>Config!$B$3</f>
        <v>SCH/R_IEC.SchLib</v>
      </c>
      <c r="H1697" s="16" t="s">
        <v>419</v>
      </c>
      <c r="I1697" s="18" t="s">
        <v>7493</v>
      </c>
      <c r="J1697" s="16" t="s">
        <v>8863</v>
      </c>
      <c r="K1697" s="16"/>
      <c r="L1697" s="16"/>
      <c r="M1697" s="20">
        <v>3000</v>
      </c>
      <c r="N1697" s="19" t="s">
        <v>8460</v>
      </c>
      <c r="O1697" s="16" t="s">
        <v>4414</v>
      </c>
      <c r="P1697" s="16"/>
      <c r="Q1697" s="16"/>
      <c r="R1697" s="16"/>
      <c r="S1697" s="16"/>
      <c r="T1697" s="16"/>
      <c r="U1697" s="16"/>
      <c r="V1697" s="16"/>
      <c r="W1697" s="17"/>
      <c r="X1697" s="17"/>
      <c r="Y1697" s="17"/>
      <c r="Z1697" s="17"/>
      <c r="AA1697" s="17"/>
      <c r="AB1697" s="17"/>
    </row>
    <row r="1698" spans="1:28">
      <c r="A1698" s="16" t="s">
        <v>8608</v>
      </c>
      <c r="B1698" s="16" t="s">
        <v>8188</v>
      </c>
      <c r="C1698" s="16" t="s">
        <v>8778</v>
      </c>
      <c r="D1698" s="16" t="s">
        <v>21</v>
      </c>
      <c r="E1698" s="36" t="s">
        <v>8444</v>
      </c>
      <c r="F1698" s="16" t="s">
        <v>201</v>
      </c>
      <c r="G1698" s="17" t="str">
        <f>Config!$B$3</f>
        <v>SCH/R_IEC.SchLib</v>
      </c>
      <c r="H1698" s="16" t="s">
        <v>419</v>
      </c>
      <c r="I1698" s="18" t="s">
        <v>7493</v>
      </c>
      <c r="J1698" s="16" t="s">
        <v>8863</v>
      </c>
      <c r="K1698" s="16"/>
      <c r="L1698" s="16"/>
      <c r="M1698" s="20">
        <v>3300</v>
      </c>
      <c r="N1698" s="19" t="s">
        <v>8460</v>
      </c>
      <c r="O1698" s="16" t="s">
        <v>4414</v>
      </c>
      <c r="P1698" s="16"/>
      <c r="Q1698" s="16"/>
      <c r="R1698" s="16"/>
      <c r="S1698" s="16"/>
      <c r="T1698" s="16"/>
      <c r="U1698" s="16"/>
      <c r="V1698" s="16"/>
      <c r="W1698" s="17"/>
      <c r="X1698" s="17"/>
      <c r="Y1698" s="17"/>
      <c r="Z1698" s="17"/>
      <c r="AA1698" s="17"/>
      <c r="AB1698" s="17"/>
    </row>
    <row r="1699" spans="1:28">
      <c r="A1699" s="16" t="s">
        <v>8609</v>
      </c>
      <c r="B1699" s="16" t="s">
        <v>8189</v>
      </c>
      <c r="C1699" s="16" t="s">
        <v>8779</v>
      </c>
      <c r="D1699" s="16" t="s">
        <v>21</v>
      </c>
      <c r="E1699" s="36" t="s">
        <v>8444</v>
      </c>
      <c r="F1699" s="16" t="s">
        <v>203</v>
      </c>
      <c r="G1699" s="17" t="str">
        <f>Config!$B$3</f>
        <v>SCH/R_IEC.SchLib</v>
      </c>
      <c r="H1699" s="16" t="s">
        <v>419</v>
      </c>
      <c r="I1699" s="18" t="s">
        <v>7493</v>
      </c>
      <c r="J1699" s="16" t="s">
        <v>8863</v>
      </c>
      <c r="K1699" s="16"/>
      <c r="L1699" s="16"/>
      <c r="M1699" s="20">
        <v>3600</v>
      </c>
      <c r="N1699" s="19" t="s">
        <v>8460</v>
      </c>
      <c r="O1699" s="16" t="s">
        <v>4414</v>
      </c>
      <c r="P1699" s="16"/>
      <c r="Q1699" s="16"/>
      <c r="R1699" s="16"/>
      <c r="S1699" s="16"/>
      <c r="T1699" s="16"/>
      <c r="U1699" s="16"/>
      <c r="V1699" s="16"/>
      <c r="W1699" s="17"/>
      <c r="X1699" s="17"/>
      <c r="Y1699" s="17"/>
      <c r="Z1699" s="17"/>
      <c r="AA1699" s="17"/>
      <c r="AB1699" s="17"/>
    </row>
    <row r="1700" spans="1:28">
      <c r="A1700" s="16" t="s">
        <v>8610</v>
      </c>
      <c r="B1700" s="16" t="s">
        <v>8190</v>
      </c>
      <c r="C1700" s="16" t="s">
        <v>8780</v>
      </c>
      <c r="D1700" s="16" t="s">
        <v>21</v>
      </c>
      <c r="E1700" s="36" t="s">
        <v>8444</v>
      </c>
      <c r="F1700" s="16" t="s">
        <v>205</v>
      </c>
      <c r="G1700" s="17" t="str">
        <f>Config!$B$3</f>
        <v>SCH/R_IEC.SchLib</v>
      </c>
      <c r="H1700" s="16" t="s">
        <v>419</v>
      </c>
      <c r="I1700" s="18" t="s">
        <v>7493</v>
      </c>
      <c r="J1700" s="16" t="s">
        <v>8863</v>
      </c>
      <c r="K1700" s="16"/>
      <c r="L1700" s="16"/>
      <c r="M1700" s="20">
        <v>3900</v>
      </c>
      <c r="N1700" s="19" t="s">
        <v>8460</v>
      </c>
      <c r="O1700" s="16" t="s">
        <v>4414</v>
      </c>
      <c r="P1700" s="16"/>
      <c r="Q1700" s="16"/>
      <c r="R1700" s="16"/>
      <c r="S1700" s="16"/>
      <c r="T1700" s="16"/>
      <c r="U1700" s="16"/>
      <c r="V1700" s="16"/>
      <c r="W1700" s="17"/>
      <c r="X1700" s="17"/>
      <c r="Y1700" s="17"/>
      <c r="Z1700" s="17"/>
      <c r="AA1700" s="17"/>
      <c r="AB1700" s="17"/>
    </row>
    <row r="1701" spans="1:28">
      <c r="A1701" s="16" t="s">
        <v>8611</v>
      </c>
      <c r="B1701" s="16" t="s">
        <v>8191</v>
      </c>
      <c r="C1701" s="16" t="s">
        <v>8781</v>
      </c>
      <c r="D1701" s="16" t="s">
        <v>21</v>
      </c>
      <c r="E1701" s="36" t="s">
        <v>8444</v>
      </c>
      <c r="F1701" s="16" t="s">
        <v>207</v>
      </c>
      <c r="G1701" s="17" t="str">
        <f>Config!$B$3</f>
        <v>SCH/R_IEC.SchLib</v>
      </c>
      <c r="H1701" s="16" t="s">
        <v>419</v>
      </c>
      <c r="I1701" s="18" t="s">
        <v>7493</v>
      </c>
      <c r="J1701" s="16" t="s">
        <v>8863</v>
      </c>
      <c r="K1701" s="16"/>
      <c r="L1701" s="16"/>
      <c r="M1701" s="20">
        <v>4300</v>
      </c>
      <c r="N1701" s="19" t="s">
        <v>8460</v>
      </c>
      <c r="O1701" s="16" t="s">
        <v>4414</v>
      </c>
      <c r="P1701" s="16"/>
      <c r="Q1701" s="16"/>
      <c r="R1701" s="16"/>
      <c r="S1701" s="16"/>
      <c r="T1701" s="16"/>
      <c r="U1701" s="16"/>
      <c r="V1701" s="16"/>
      <c r="W1701" s="17"/>
      <c r="X1701" s="17"/>
      <c r="Y1701" s="17"/>
      <c r="Z1701" s="17"/>
      <c r="AA1701" s="17"/>
      <c r="AB1701" s="17"/>
    </row>
    <row r="1702" spans="1:28">
      <c r="A1702" s="16" t="s">
        <v>8612</v>
      </c>
      <c r="B1702" s="16" t="s">
        <v>8192</v>
      </c>
      <c r="C1702" s="16" t="s">
        <v>8782</v>
      </c>
      <c r="D1702" s="16" t="s">
        <v>21</v>
      </c>
      <c r="E1702" s="36" t="s">
        <v>8444</v>
      </c>
      <c r="F1702" s="16" t="s">
        <v>209</v>
      </c>
      <c r="G1702" s="17" t="str">
        <f>Config!$B$3</f>
        <v>SCH/R_IEC.SchLib</v>
      </c>
      <c r="H1702" s="16" t="s">
        <v>419</v>
      </c>
      <c r="I1702" s="18" t="s">
        <v>7493</v>
      </c>
      <c r="J1702" s="16" t="s">
        <v>8863</v>
      </c>
      <c r="K1702" s="16"/>
      <c r="L1702" s="16"/>
      <c r="M1702" s="20">
        <v>4700</v>
      </c>
      <c r="N1702" s="19" t="s">
        <v>8460</v>
      </c>
      <c r="O1702" s="16" t="s">
        <v>4414</v>
      </c>
      <c r="P1702" s="16"/>
      <c r="Q1702" s="16"/>
      <c r="R1702" s="16"/>
      <c r="S1702" s="16"/>
      <c r="T1702" s="16"/>
      <c r="U1702" s="16"/>
      <c r="V1702" s="16"/>
      <c r="W1702" s="16"/>
      <c r="X1702" s="17"/>
      <c r="Y1702" s="16"/>
      <c r="Z1702" s="17"/>
      <c r="AA1702" s="16"/>
      <c r="AB1702" s="17"/>
    </row>
    <row r="1703" spans="1:28">
      <c r="A1703" s="16" t="s">
        <v>8613</v>
      </c>
      <c r="B1703" s="16" t="s">
        <v>8193</v>
      </c>
      <c r="C1703" s="16" t="s">
        <v>8783</v>
      </c>
      <c r="D1703" s="16" t="s">
        <v>21</v>
      </c>
      <c r="E1703" s="36" t="s">
        <v>8444</v>
      </c>
      <c r="F1703" s="16" t="s">
        <v>213</v>
      </c>
      <c r="G1703" s="17" t="str">
        <f>Config!$B$3</f>
        <v>SCH/R_IEC.SchLib</v>
      </c>
      <c r="H1703" s="16" t="s">
        <v>419</v>
      </c>
      <c r="I1703" s="18" t="s">
        <v>7493</v>
      </c>
      <c r="J1703" s="16" t="s">
        <v>8863</v>
      </c>
      <c r="K1703" s="16"/>
      <c r="L1703" s="16"/>
      <c r="M1703" s="20">
        <v>5100</v>
      </c>
      <c r="N1703" s="19" t="s">
        <v>8460</v>
      </c>
      <c r="O1703" s="16" t="s">
        <v>4414</v>
      </c>
      <c r="P1703" s="16"/>
      <c r="Q1703" s="16"/>
      <c r="R1703" s="16"/>
      <c r="S1703" s="16"/>
      <c r="T1703" s="16"/>
      <c r="U1703" s="16"/>
      <c r="V1703" s="16"/>
      <c r="W1703" s="16"/>
      <c r="X1703" s="17"/>
      <c r="Y1703" s="16"/>
      <c r="Z1703" s="17"/>
      <c r="AA1703" s="16"/>
      <c r="AB1703" s="17"/>
    </row>
    <row r="1704" spans="1:28">
      <c r="A1704" s="16" t="s">
        <v>8614</v>
      </c>
      <c r="B1704" s="16" t="s">
        <v>8194</v>
      </c>
      <c r="C1704" s="16" t="s">
        <v>8784</v>
      </c>
      <c r="D1704" s="16" t="s">
        <v>21</v>
      </c>
      <c r="E1704" s="36" t="s">
        <v>8444</v>
      </c>
      <c r="F1704" s="16" t="s">
        <v>215</v>
      </c>
      <c r="G1704" s="17" t="str">
        <f>Config!$B$3</f>
        <v>SCH/R_IEC.SchLib</v>
      </c>
      <c r="H1704" s="16" t="s">
        <v>419</v>
      </c>
      <c r="I1704" s="18" t="s">
        <v>7493</v>
      </c>
      <c r="J1704" s="16" t="s">
        <v>8863</v>
      </c>
      <c r="K1704" s="16"/>
      <c r="L1704" s="16"/>
      <c r="M1704" s="20">
        <v>5600</v>
      </c>
      <c r="N1704" s="19" t="s">
        <v>8460</v>
      </c>
      <c r="O1704" s="16" t="s">
        <v>4414</v>
      </c>
      <c r="P1704" s="16"/>
      <c r="Q1704" s="16"/>
      <c r="R1704" s="16"/>
      <c r="S1704" s="16"/>
      <c r="T1704" s="16"/>
      <c r="U1704" s="16"/>
      <c r="V1704" s="16"/>
      <c r="W1704" s="17"/>
      <c r="X1704" s="17"/>
      <c r="Y1704" s="17"/>
      <c r="Z1704" s="17"/>
      <c r="AA1704" s="17"/>
      <c r="AB1704" s="17"/>
    </row>
    <row r="1705" spans="1:28">
      <c r="A1705" s="16" t="s">
        <v>8615</v>
      </c>
      <c r="B1705" s="16" t="s">
        <v>8195</v>
      </c>
      <c r="C1705" s="16" t="s">
        <v>8785</v>
      </c>
      <c r="D1705" s="16" t="s">
        <v>21</v>
      </c>
      <c r="E1705" s="36" t="s">
        <v>8444</v>
      </c>
      <c r="F1705" s="16" t="s">
        <v>217</v>
      </c>
      <c r="G1705" s="17" t="str">
        <f>Config!$B$3</f>
        <v>SCH/R_IEC.SchLib</v>
      </c>
      <c r="H1705" s="16" t="s">
        <v>419</v>
      </c>
      <c r="I1705" s="18" t="s">
        <v>7493</v>
      </c>
      <c r="J1705" s="16" t="s">
        <v>8863</v>
      </c>
      <c r="K1705" s="16"/>
      <c r="L1705" s="16"/>
      <c r="M1705" s="20">
        <v>6200</v>
      </c>
      <c r="N1705" s="19" t="s">
        <v>8460</v>
      </c>
      <c r="O1705" s="16" t="s">
        <v>4414</v>
      </c>
      <c r="P1705" s="16"/>
      <c r="Q1705" s="16"/>
      <c r="R1705" s="16"/>
      <c r="S1705" s="16"/>
      <c r="T1705" s="16"/>
      <c r="U1705" s="16"/>
      <c r="V1705" s="16"/>
      <c r="W1705" s="17"/>
      <c r="X1705" s="17"/>
      <c r="Y1705" s="17"/>
      <c r="Z1705" s="17"/>
      <c r="AA1705" s="17"/>
      <c r="AB1705" s="17"/>
    </row>
    <row r="1706" spans="1:28">
      <c r="A1706" s="16" t="s">
        <v>8616</v>
      </c>
      <c r="B1706" s="16" t="s">
        <v>8196</v>
      </c>
      <c r="C1706" s="16" t="s">
        <v>8786</v>
      </c>
      <c r="D1706" s="16" t="s">
        <v>21</v>
      </c>
      <c r="E1706" s="36" t="s">
        <v>8444</v>
      </c>
      <c r="F1706" s="16" t="s">
        <v>219</v>
      </c>
      <c r="G1706" s="17" t="str">
        <f>Config!$B$3</f>
        <v>SCH/R_IEC.SchLib</v>
      </c>
      <c r="H1706" s="16" t="s">
        <v>419</v>
      </c>
      <c r="I1706" s="18" t="s">
        <v>7493</v>
      </c>
      <c r="J1706" s="16" t="s">
        <v>8863</v>
      </c>
      <c r="K1706" s="16"/>
      <c r="L1706" s="16"/>
      <c r="M1706" s="20">
        <v>6800</v>
      </c>
      <c r="N1706" s="19" t="s">
        <v>8460</v>
      </c>
      <c r="O1706" s="16" t="s">
        <v>4414</v>
      </c>
      <c r="P1706" s="16"/>
      <c r="Q1706" s="16"/>
      <c r="R1706" s="16"/>
      <c r="S1706" s="16"/>
      <c r="T1706" s="16"/>
      <c r="U1706" s="16"/>
      <c r="V1706" s="16"/>
      <c r="W1706" s="17"/>
      <c r="X1706" s="17"/>
      <c r="Y1706" s="17"/>
      <c r="Z1706" s="17"/>
      <c r="AA1706" s="17"/>
      <c r="AB1706" s="17"/>
    </row>
    <row r="1707" spans="1:28">
      <c r="A1707" s="16" t="s">
        <v>8617</v>
      </c>
      <c r="B1707" s="16" t="s">
        <v>8197</v>
      </c>
      <c r="C1707" s="16" t="s">
        <v>8787</v>
      </c>
      <c r="D1707" s="16" t="s">
        <v>21</v>
      </c>
      <c r="E1707" s="36" t="s">
        <v>8444</v>
      </c>
      <c r="F1707" s="16" t="s">
        <v>221</v>
      </c>
      <c r="G1707" s="17" t="str">
        <f>Config!$B$3</f>
        <v>SCH/R_IEC.SchLib</v>
      </c>
      <c r="H1707" s="16" t="s">
        <v>419</v>
      </c>
      <c r="I1707" s="18" t="s">
        <v>7493</v>
      </c>
      <c r="J1707" s="16" t="s">
        <v>8863</v>
      </c>
      <c r="K1707" s="16"/>
      <c r="L1707" s="16"/>
      <c r="M1707" s="20">
        <v>7500</v>
      </c>
      <c r="N1707" s="19" t="s">
        <v>8460</v>
      </c>
      <c r="O1707" s="16" t="s">
        <v>4414</v>
      </c>
      <c r="P1707" s="16"/>
      <c r="Q1707" s="16"/>
      <c r="R1707" s="16"/>
      <c r="S1707" s="16"/>
      <c r="T1707" s="16"/>
      <c r="U1707" s="16"/>
      <c r="V1707" s="16"/>
      <c r="W1707" s="17"/>
      <c r="X1707" s="17"/>
      <c r="Y1707" s="17"/>
      <c r="Z1707" s="17"/>
      <c r="AA1707" s="17"/>
      <c r="AB1707" s="17"/>
    </row>
    <row r="1708" spans="1:28">
      <c r="A1708" s="16" t="s">
        <v>8618</v>
      </c>
      <c r="B1708" s="16" t="s">
        <v>8198</v>
      </c>
      <c r="C1708" s="16" t="s">
        <v>8788</v>
      </c>
      <c r="D1708" s="16" t="s">
        <v>21</v>
      </c>
      <c r="E1708" s="36" t="s">
        <v>8444</v>
      </c>
      <c r="F1708" s="16" t="s">
        <v>223</v>
      </c>
      <c r="G1708" s="17" t="str">
        <f>Config!$B$3</f>
        <v>SCH/R_IEC.SchLib</v>
      </c>
      <c r="H1708" s="16" t="s">
        <v>419</v>
      </c>
      <c r="I1708" s="18" t="s">
        <v>7493</v>
      </c>
      <c r="J1708" s="16" t="s">
        <v>8863</v>
      </c>
      <c r="K1708" s="16"/>
      <c r="L1708" s="16"/>
      <c r="M1708" s="20">
        <v>8200</v>
      </c>
      <c r="N1708" s="19" t="s">
        <v>8460</v>
      </c>
      <c r="O1708" s="16" t="s">
        <v>4414</v>
      </c>
      <c r="P1708" s="16"/>
      <c r="Q1708" s="16"/>
      <c r="R1708" s="16"/>
      <c r="S1708" s="16"/>
      <c r="T1708" s="16"/>
      <c r="U1708" s="16"/>
      <c r="V1708" s="16"/>
      <c r="W1708" s="17"/>
      <c r="X1708" s="17"/>
      <c r="Y1708" s="17"/>
      <c r="Z1708" s="17"/>
      <c r="AA1708" s="17"/>
      <c r="AB1708" s="17"/>
    </row>
    <row r="1709" spans="1:28">
      <c r="A1709" s="16" t="s">
        <v>8619</v>
      </c>
      <c r="B1709" s="16" t="s">
        <v>8199</v>
      </c>
      <c r="C1709" s="16" t="s">
        <v>8789</v>
      </c>
      <c r="D1709" s="16" t="s">
        <v>21</v>
      </c>
      <c r="E1709" s="36" t="s">
        <v>8444</v>
      </c>
      <c r="F1709" s="16" t="s">
        <v>225</v>
      </c>
      <c r="G1709" s="17" t="str">
        <f>Config!$B$3</f>
        <v>SCH/R_IEC.SchLib</v>
      </c>
      <c r="H1709" s="16" t="s">
        <v>419</v>
      </c>
      <c r="I1709" s="18" t="s">
        <v>7493</v>
      </c>
      <c r="J1709" s="16" t="s">
        <v>8863</v>
      </c>
      <c r="K1709" s="16"/>
      <c r="L1709" s="16"/>
      <c r="M1709" s="20">
        <v>9100</v>
      </c>
      <c r="N1709" s="19" t="s">
        <v>8460</v>
      </c>
      <c r="O1709" s="16" t="s">
        <v>4414</v>
      </c>
      <c r="P1709" s="16"/>
      <c r="Q1709" s="16"/>
      <c r="R1709" s="16"/>
      <c r="S1709" s="16"/>
      <c r="T1709" s="16"/>
      <c r="U1709" s="16"/>
      <c r="V1709" s="16"/>
      <c r="W1709" s="17"/>
      <c r="X1709" s="17"/>
      <c r="Y1709" s="17"/>
      <c r="Z1709" s="17"/>
      <c r="AA1709" s="17"/>
      <c r="AB1709" s="17"/>
    </row>
    <row r="1710" spans="1:28">
      <c r="A1710" s="16" t="s">
        <v>8620</v>
      </c>
      <c r="B1710" s="16" t="s">
        <v>8200</v>
      </c>
      <c r="C1710" s="16" t="s">
        <v>8790</v>
      </c>
      <c r="D1710" s="16" t="s">
        <v>21</v>
      </c>
      <c r="E1710" s="36" t="s">
        <v>8444</v>
      </c>
      <c r="F1710" s="16" t="s">
        <v>229</v>
      </c>
      <c r="G1710" s="17" t="str">
        <f>Config!$B$3</f>
        <v>SCH/R_IEC.SchLib</v>
      </c>
      <c r="H1710" s="16" t="s">
        <v>419</v>
      </c>
      <c r="I1710" s="18" t="s">
        <v>7493</v>
      </c>
      <c r="J1710" s="16" t="s">
        <v>8863</v>
      </c>
      <c r="K1710" s="16"/>
      <c r="L1710" s="16"/>
      <c r="M1710" s="20">
        <v>10000</v>
      </c>
      <c r="N1710" s="19" t="s">
        <v>8460</v>
      </c>
      <c r="O1710" s="16" t="s">
        <v>4414</v>
      </c>
      <c r="P1710" s="16" t="s">
        <v>8445</v>
      </c>
      <c r="Q1710" s="16" t="s">
        <v>25</v>
      </c>
      <c r="R1710" s="16" t="s">
        <v>10580</v>
      </c>
      <c r="S1710" s="16" t="s">
        <v>4414</v>
      </c>
      <c r="T1710" s="16" t="s">
        <v>8445</v>
      </c>
      <c r="U1710" s="16" t="s">
        <v>8447</v>
      </c>
      <c r="V1710" s="16" t="s">
        <v>8448</v>
      </c>
      <c r="W1710" s="17"/>
      <c r="X1710" s="17"/>
      <c r="Y1710" s="16"/>
      <c r="Z1710" s="17"/>
      <c r="AA1710" s="17"/>
      <c r="AB1710" s="17"/>
    </row>
    <row r="1711" spans="1:28">
      <c r="A1711" s="16" t="s">
        <v>8621</v>
      </c>
      <c r="B1711" s="16" t="s">
        <v>8201</v>
      </c>
      <c r="C1711" s="16" t="s">
        <v>8791</v>
      </c>
      <c r="D1711" s="16" t="s">
        <v>21</v>
      </c>
      <c r="E1711" s="36" t="s">
        <v>8444</v>
      </c>
      <c r="F1711" s="16" t="s">
        <v>233</v>
      </c>
      <c r="G1711" s="17" t="str">
        <f>Config!$B$3</f>
        <v>SCH/R_IEC.SchLib</v>
      </c>
      <c r="H1711" s="16" t="s">
        <v>419</v>
      </c>
      <c r="I1711" s="18" t="s">
        <v>7493</v>
      </c>
      <c r="J1711" s="16" t="s">
        <v>8863</v>
      </c>
      <c r="K1711" s="16"/>
      <c r="L1711" s="16"/>
      <c r="M1711" s="20">
        <v>11000</v>
      </c>
      <c r="N1711" s="19" t="s">
        <v>8460</v>
      </c>
      <c r="O1711" s="16" t="s">
        <v>4414</v>
      </c>
      <c r="P1711" s="16"/>
      <c r="Q1711" s="16"/>
      <c r="R1711" s="16"/>
      <c r="S1711" s="16"/>
      <c r="T1711" s="16"/>
      <c r="U1711" s="16"/>
      <c r="V1711" s="16"/>
      <c r="W1711" s="17"/>
      <c r="X1711" s="17"/>
      <c r="Y1711" s="17"/>
      <c r="Z1711" s="17"/>
      <c r="AA1711" s="17"/>
      <c r="AB1711" s="17"/>
    </row>
    <row r="1712" spans="1:28">
      <c r="A1712" s="16" t="s">
        <v>8622</v>
      </c>
      <c r="B1712" s="16" t="s">
        <v>8202</v>
      </c>
      <c r="C1712" s="16" t="s">
        <v>8792</v>
      </c>
      <c r="D1712" s="16" t="s">
        <v>21</v>
      </c>
      <c r="E1712" s="36" t="s">
        <v>8444</v>
      </c>
      <c r="F1712" s="16" t="s">
        <v>235</v>
      </c>
      <c r="G1712" s="17" t="str">
        <f>Config!$B$3</f>
        <v>SCH/R_IEC.SchLib</v>
      </c>
      <c r="H1712" s="16" t="s">
        <v>419</v>
      </c>
      <c r="I1712" s="18" t="s">
        <v>7493</v>
      </c>
      <c r="J1712" s="16" t="s">
        <v>8863</v>
      </c>
      <c r="K1712" s="16"/>
      <c r="L1712" s="16"/>
      <c r="M1712" s="20">
        <v>12000</v>
      </c>
      <c r="N1712" s="19" t="s">
        <v>8460</v>
      </c>
      <c r="O1712" s="16" t="s">
        <v>4414</v>
      </c>
      <c r="P1712" s="16"/>
      <c r="Q1712" s="16"/>
      <c r="R1712" s="16"/>
      <c r="S1712" s="16"/>
      <c r="T1712" s="16"/>
      <c r="U1712" s="16"/>
      <c r="V1712" s="16"/>
      <c r="W1712" s="17"/>
      <c r="X1712" s="17"/>
      <c r="Y1712" s="17"/>
      <c r="Z1712" s="17"/>
      <c r="AA1712" s="17"/>
      <c r="AB1712" s="17"/>
    </row>
    <row r="1713" spans="1:28">
      <c r="A1713" s="16" t="s">
        <v>8623</v>
      </c>
      <c r="B1713" s="16" t="s">
        <v>8203</v>
      </c>
      <c r="C1713" s="16" t="s">
        <v>8793</v>
      </c>
      <c r="D1713" s="16" t="s">
        <v>21</v>
      </c>
      <c r="E1713" s="36" t="s">
        <v>8444</v>
      </c>
      <c r="F1713" s="16" t="s">
        <v>239</v>
      </c>
      <c r="G1713" s="17" t="str">
        <f>Config!$B$3</f>
        <v>SCH/R_IEC.SchLib</v>
      </c>
      <c r="H1713" s="16" t="s">
        <v>419</v>
      </c>
      <c r="I1713" s="18" t="s">
        <v>7493</v>
      </c>
      <c r="J1713" s="16" t="s">
        <v>8863</v>
      </c>
      <c r="K1713" s="16"/>
      <c r="L1713" s="16"/>
      <c r="M1713" s="20">
        <v>13000</v>
      </c>
      <c r="N1713" s="19" t="s">
        <v>8460</v>
      </c>
      <c r="O1713" s="16" t="s">
        <v>4414</v>
      </c>
      <c r="P1713" s="16"/>
      <c r="Q1713" s="16"/>
      <c r="R1713" s="16"/>
      <c r="S1713" s="16"/>
      <c r="T1713" s="16"/>
      <c r="U1713" s="16"/>
      <c r="V1713" s="16"/>
      <c r="W1713" s="16"/>
      <c r="X1713" s="17"/>
      <c r="Y1713" s="16"/>
      <c r="Z1713" s="16"/>
      <c r="AA1713" s="16"/>
      <c r="AB1713" s="17"/>
    </row>
    <row r="1714" spans="1:28">
      <c r="A1714" s="16" t="s">
        <v>8624</v>
      </c>
      <c r="B1714" s="16" t="s">
        <v>8204</v>
      </c>
      <c r="C1714" s="16" t="s">
        <v>8794</v>
      </c>
      <c r="D1714" s="16" t="s">
        <v>21</v>
      </c>
      <c r="E1714" s="36" t="s">
        <v>8444</v>
      </c>
      <c r="F1714" s="16" t="s">
        <v>243</v>
      </c>
      <c r="G1714" s="17" t="str">
        <f>Config!$B$3</f>
        <v>SCH/R_IEC.SchLib</v>
      </c>
      <c r="H1714" s="16" t="s">
        <v>419</v>
      </c>
      <c r="I1714" s="18" t="s">
        <v>7493</v>
      </c>
      <c r="J1714" s="16" t="s">
        <v>8863</v>
      </c>
      <c r="K1714" s="16"/>
      <c r="L1714" s="16"/>
      <c r="M1714" s="20">
        <v>15000</v>
      </c>
      <c r="N1714" s="19" t="s">
        <v>8460</v>
      </c>
      <c r="O1714" s="16" t="s">
        <v>4414</v>
      </c>
      <c r="P1714" s="16"/>
      <c r="Q1714" s="16"/>
      <c r="R1714" s="16"/>
      <c r="S1714" s="16"/>
      <c r="T1714" s="16"/>
      <c r="U1714" s="16"/>
      <c r="V1714" s="16"/>
      <c r="W1714" s="16"/>
      <c r="Y1714" s="16"/>
      <c r="AA1714" s="16"/>
      <c r="AB1714" s="17"/>
    </row>
    <row r="1715" spans="1:28">
      <c r="A1715" s="16" t="s">
        <v>8625</v>
      </c>
      <c r="B1715" s="16" t="s">
        <v>8205</v>
      </c>
      <c r="C1715" s="16" t="s">
        <v>8795</v>
      </c>
      <c r="D1715" s="16" t="s">
        <v>21</v>
      </c>
      <c r="E1715" s="36" t="s">
        <v>8444</v>
      </c>
      <c r="F1715" s="16" t="s">
        <v>247</v>
      </c>
      <c r="G1715" s="17" t="str">
        <f>Config!$B$3</f>
        <v>SCH/R_IEC.SchLib</v>
      </c>
      <c r="H1715" s="16" t="s">
        <v>419</v>
      </c>
      <c r="I1715" s="18" t="s">
        <v>7493</v>
      </c>
      <c r="J1715" s="16" t="s">
        <v>8863</v>
      </c>
      <c r="K1715" s="16"/>
      <c r="L1715" s="16"/>
      <c r="M1715" s="20">
        <v>16000</v>
      </c>
      <c r="N1715" s="19" t="s">
        <v>8460</v>
      </c>
      <c r="O1715" s="16" t="s">
        <v>4414</v>
      </c>
      <c r="P1715" s="16"/>
      <c r="Q1715" s="16"/>
      <c r="R1715" s="16"/>
      <c r="S1715" s="16"/>
      <c r="T1715" s="16"/>
      <c r="U1715" s="16"/>
      <c r="V1715" s="16"/>
      <c r="W1715" s="17"/>
      <c r="X1715" s="17"/>
      <c r="Y1715" s="17"/>
      <c r="Z1715" s="17"/>
      <c r="AA1715" s="17"/>
      <c r="AB1715" s="17"/>
    </row>
    <row r="1716" spans="1:28">
      <c r="A1716" s="16" t="s">
        <v>8626</v>
      </c>
      <c r="B1716" s="16" t="s">
        <v>8206</v>
      </c>
      <c r="C1716" s="16" t="s">
        <v>8796</v>
      </c>
      <c r="D1716" s="16" t="s">
        <v>21</v>
      </c>
      <c r="E1716" s="36" t="s">
        <v>8444</v>
      </c>
      <c r="F1716" s="16" t="s">
        <v>251</v>
      </c>
      <c r="G1716" s="17" t="str">
        <f>Config!$B$3</f>
        <v>SCH/R_IEC.SchLib</v>
      </c>
      <c r="H1716" s="16" t="s">
        <v>419</v>
      </c>
      <c r="I1716" s="18" t="s">
        <v>7493</v>
      </c>
      <c r="J1716" s="16" t="s">
        <v>8863</v>
      </c>
      <c r="K1716" s="16"/>
      <c r="L1716" s="16"/>
      <c r="M1716" s="20">
        <v>18000</v>
      </c>
      <c r="N1716" s="19" t="s">
        <v>8460</v>
      </c>
      <c r="O1716" s="16" t="s">
        <v>4414</v>
      </c>
      <c r="P1716" s="16"/>
      <c r="Q1716" s="16"/>
      <c r="R1716" s="16"/>
      <c r="S1716" s="16"/>
      <c r="T1716" s="16"/>
      <c r="U1716" s="16"/>
      <c r="V1716" s="16"/>
      <c r="W1716" s="17"/>
      <c r="X1716" s="17"/>
      <c r="Y1716" s="17"/>
      <c r="Z1716" s="17"/>
      <c r="AA1716" s="17"/>
      <c r="AB1716" s="17"/>
    </row>
    <row r="1717" spans="1:28">
      <c r="A1717" s="16" t="s">
        <v>8627</v>
      </c>
      <c r="B1717" s="16" t="s">
        <v>8207</v>
      </c>
      <c r="C1717" s="16" t="s">
        <v>8797</v>
      </c>
      <c r="D1717" s="16" t="s">
        <v>21</v>
      </c>
      <c r="E1717" s="36" t="s">
        <v>8444</v>
      </c>
      <c r="F1717" s="16" t="s">
        <v>255</v>
      </c>
      <c r="G1717" s="17" t="str">
        <f>Config!$B$3</f>
        <v>SCH/R_IEC.SchLib</v>
      </c>
      <c r="H1717" s="16" t="s">
        <v>419</v>
      </c>
      <c r="I1717" s="18" t="s">
        <v>7493</v>
      </c>
      <c r="J1717" s="16" t="s">
        <v>8863</v>
      </c>
      <c r="K1717" s="16"/>
      <c r="L1717" s="16"/>
      <c r="M1717" s="20">
        <v>20000</v>
      </c>
      <c r="N1717" s="19" t="s">
        <v>8460</v>
      </c>
      <c r="O1717" s="16" t="s">
        <v>4414</v>
      </c>
      <c r="P1717" s="16"/>
      <c r="Q1717" s="16"/>
      <c r="R1717" s="16"/>
      <c r="S1717" s="16"/>
      <c r="T1717" s="16"/>
      <c r="U1717" s="16"/>
      <c r="V1717" s="16"/>
      <c r="W1717" s="17"/>
      <c r="X1717" s="17"/>
      <c r="Y1717" s="17"/>
      <c r="Z1717" s="17"/>
      <c r="AA1717" s="17"/>
      <c r="AB1717" s="17"/>
    </row>
    <row r="1718" spans="1:28">
      <c r="A1718" s="16" t="s">
        <v>8628</v>
      </c>
      <c r="B1718" s="16" t="s">
        <v>8208</v>
      </c>
      <c r="C1718" s="16" t="s">
        <v>8798</v>
      </c>
      <c r="D1718" s="16" t="s">
        <v>21</v>
      </c>
      <c r="E1718" s="36" t="s">
        <v>8444</v>
      </c>
      <c r="F1718" s="16" t="s">
        <v>257</v>
      </c>
      <c r="G1718" s="17" t="str">
        <f>Config!$B$3</f>
        <v>SCH/R_IEC.SchLib</v>
      </c>
      <c r="H1718" s="16" t="s">
        <v>419</v>
      </c>
      <c r="I1718" s="18" t="s">
        <v>7493</v>
      </c>
      <c r="J1718" s="16" t="s">
        <v>8863</v>
      </c>
      <c r="K1718" s="16"/>
      <c r="L1718" s="16"/>
      <c r="M1718" s="20">
        <v>22000</v>
      </c>
      <c r="N1718" s="19" t="s">
        <v>8460</v>
      </c>
      <c r="O1718" s="16" t="s">
        <v>4414</v>
      </c>
      <c r="P1718" s="16"/>
      <c r="Q1718" s="16"/>
      <c r="R1718" s="16"/>
      <c r="S1718" s="16"/>
      <c r="T1718" s="16"/>
      <c r="U1718" s="16"/>
      <c r="V1718" s="16"/>
      <c r="W1718" s="16"/>
      <c r="X1718" s="17"/>
      <c r="Y1718" s="16"/>
      <c r="Z1718" s="16"/>
      <c r="AA1718" s="16"/>
      <c r="AB1718" s="17"/>
    </row>
    <row r="1719" spans="1:28">
      <c r="A1719" s="16" t="s">
        <v>8629</v>
      </c>
      <c r="B1719" s="16" t="s">
        <v>8209</v>
      </c>
      <c r="C1719" s="16" t="s">
        <v>8799</v>
      </c>
      <c r="D1719" s="16" t="s">
        <v>21</v>
      </c>
      <c r="E1719" s="36" t="s">
        <v>8444</v>
      </c>
      <c r="F1719" s="16" t="s">
        <v>259</v>
      </c>
      <c r="G1719" s="17" t="str">
        <f>Config!$B$3</f>
        <v>SCH/R_IEC.SchLib</v>
      </c>
      <c r="H1719" s="16" t="s">
        <v>419</v>
      </c>
      <c r="I1719" s="18" t="s">
        <v>7493</v>
      </c>
      <c r="J1719" s="16" t="s">
        <v>8863</v>
      </c>
      <c r="K1719" s="16"/>
      <c r="L1719" s="16"/>
      <c r="M1719" s="20">
        <v>24000</v>
      </c>
      <c r="N1719" s="19" t="s">
        <v>8460</v>
      </c>
      <c r="O1719" s="16" t="s">
        <v>4414</v>
      </c>
      <c r="P1719" s="16"/>
      <c r="Q1719" s="16"/>
      <c r="R1719" s="16"/>
      <c r="S1719" s="16"/>
      <c r="T1719" s="16"/>
      <c r="U1719" s="16"/>
      <c r="V1719" s="16"/>
      <c r="W1719" s="17"/>
      <c r="X1719" s="17"/>
      <c r="Y1719" s="17"/>
      <c r="Z1719" s="17"/>
      <c r="AA1719" s="17"/>
      <c r="AB1719" s="17"/>
    </row>
    <row r="1720" spans="1:28">
      <c r="A1720" s="16" t="s">
        <v>8630</v>
      </c>
      <c r="B1720" s="16" t="s">
        <v>8210</v>
      </c>
      <c r="C1720" s="16" t="s">
        <v>8800</v>
      </c>
      <c r="D1720" s="16" t="s">
        <v>21</v>
      </c>
      <c r="E1720" s="36" t="s">
        <v>8444</v>
      </c>
      <c r="F1720" s="16" t="s">
        <v>263</v>
      </c>
      <c r="G1720" s="17" t="str">
        <f>Config!$B$3</f>
        <v>SCH/R_IEC.SchLib</v>
      </c>
      <c r="H1720" s="16" t="s">
        <v>419</v>
      </c>
      <c r="I1720" s="18" t="s">
        <v>7493</v>
      </c>
      <c r="J1720" s="16" t="s">
        <v>8863</v>
      </c>
      <c r="K1720" s="16"/>
      <c r="L1720" s="16"/>
      <c r="M1720" s="20">
        <v>27000</v>
      </c>
      <c r="N1720" s="19" t="s">
        <v>8460</v>
      </c>
      <c r="O1720" s="16" t="s">
        <v>4414</v>
      </c>
      <c r="P1720" s="16"/>
      <c r="Q1720" s="16"/>
      <c r="R1720" s="16"/>
      <c r="S1720" s="16"/>
      <c r="T1720" s="16"/>
      <c r="U1720" s="16"/>
      <c r="V1720" s="16"/>
      <c r="W1720" s="16"/>
      <c r="Y1720" s="16"/>
      <c r="AA1720" s="17"/>
      <c r="AB1720" s="17"/>
    </row>
    <row r="1721" spans="1:28">
      <c r="A1721" s="16" t="s">
        <v>8631</v>
      </c>
      <c r="B1721" s="16" t="s">
        <v>8211</v>
      </c>
      <c r="C1721" s="16" t="s">
        <v>8801</v>
      </c>
      <c r="D1721" s="16" t="s">
        <v>21</v>
      </c>
      <c r="E1721" s="36" t="s">
        <v>8444</v>
      </c>
      <c r="F1721" s="16" t="s">
        <v>265</v>
      </c>
      <c r="G1721" s="17" t="str">
        <f>Config!$B$3</f>
        <v>SCH/R_IEC.SchLib</v>
      </c>
      <c r="H1721" s="16" t="s">
        <v>419</v>
      </c>
      <c r="I1721" s="18" t="s">
        <v>7493</v>
      </c>
      <c r="J1721" s="16" t="s">
        <v>8863</v>
      </c>
      <c r="K1721" s="16"/>
      <c r="L1721" s="16"/>
      <c r="M1721" s="20">
        <v>30000</v>
      </c>
      <c r="N1721" s="19" t="s">
        <v>8460</v>
      </c>
      <c r="O1721" s="16" t="s">
        <v>4414</v>
      </c>
      <c r="P1721" s="16"/>
      <c r="Q1721" s="16"/>
      <c r="R1721" s="16"/>
      <c r="S1721" s="16"/>
      <c r="T1721" s="16"/>
      <c r="U1721" s="16"/>
      <c r="V1721" s="16"/>
      <c r="W1721" s="17"/>
      <c r="X1721" s="17"/>
      <c r="Y1721" s="17"/>
      <c r="Z1721" s="17"/>
      <c r="AA1721" s="17"/>
      <c r="AB1721" s="17"/>
    </row>
    <row r="1722" spans="1:28">
      <c r="A1722" s="16" t="s">
        <v>8632</v>
      </c>
      <c r="B1722" s="16" t="s">
        <v>8212</v>
      </c>
      <c r="C1722" s="16" t="s">
        <v>8802</v>
      </c>
      <c r="D1722" s="16" t="s">
        <v>21</v>
      </c>
      <c r="E1722" s="36" t="s">
        <v>8444</v>
      </c>
      <c r="F1722" s="16" t="s">
        <v>267</v>
      </c>
      <c r="G1722" s="17" t="str">
        <f>Config!$B$3</f>
        <v>SCH/R_IEC.SchLib</v>
      </c>
      <c r="H1722" s="16" t="s">
        <v>419</v>
      </c>
      <c r="I1722" s="18" t="s">
        <v>7493</v>
      </c>
      <c r="J1722" s="16" t="s">
        <v>8863</v>
      </c>
      <c r="K1722" s="16"/>
      <c r="L1722" s="16"/>
      <c r="M1722" s="20">
        <v>33000</v>
      </c>
      <c r="N1722" s="19" t="s">
        <v>8460</v>
      </c>
      <c r="O1722" s="16" t="s">
        <v>4414</v>
      </c>
      <c r="P1722" s="16"/>
      <c r="Q1722" s="16"/>
      <c r="R1722" s="16"/>
      <c r="S1722" s="16"/>
      <c r="T1722" s="16"/>
      <c r="U1722" s="16"/>
      <c r="V1722" s="16"/>
      <c r="W1722" s="17"/>
      <c r="X1722" s="17"/>
      <c r="Y1722" s="17"/>
      <c r="Z1722" s="17"/>
      <c r="AA1722" s="17"/>
      <c r="AB1722" s="17"/>
    </row>
    <row r="1723" spans="1:28">
      <c r="A1723" s="16" t="s">
        <v>8633</v>
      </c>
      <c r="B1723" s="16" t="s">
        <v>8213</v>
      </c>
      <c r="C1723" s="16" t="s">
        <v>8803</v>
      </c>
      <c r="D1723" s="16" t="s">
        <v>21</v>
      </c>
      <c r="E1723" s="36" t="s">
        <v>8444</v>
      </c>
      <c r="F1723" s="16" t="s">
        <v>269</v>
      </c>
      <c r="G1723" s="17" t="str">
        <f>Config!$B$3</f>
        <v>SCH/R_IEC.SchLib</v>
      </c>
      <c r="H1723" s="16" t="s">
        <v>419</v>
      </c>
      <c r="I1723" s="18" t="s">
        <v>7493</v>
      </c>
      <c r="J1723" s="16" t="s">
        <v>8863</v>
      </c>
      <c r="K1723" s="16"/>
      <c r="L1723" s="16"/>
      <c r="M1723" s="20">
        <v>36000</v>
      </c>
      <c r="N1723" s="19" t="s">
        <v>8460</v>
      </c>
      <c r="O1723" s="16" t="s">
        <v>4414</v>
      </c>
      <c r="P1723" s="16"/>
      <c r="Q1723" s="16"/>
      <c r="R1723" s="16"/>
      <c r="S1723" s="16"/>
      <c r="T1723" s="16"/>
      <c r="U1723" s="16"/>
      <c r="V1723" s="16"/>
      <c r="W1723" s="17"/>
      <c r="X1723" s="17"/>
      <c r="Y1723" s="17"/>
      <c r="Z1723" s="17"/>
      <c r="AA1723" s="17"/>
      <c r="AB1723" s="17"/>
    </row>
    <row r="1724" spans="1:28">
      <c r="A1724" s="16" t="s">
        <v>8634</v>
      </c>
      <c r="B1724" s="16" t="s">
        <v>8214</v>
      </c>
      <c r="C1724" s="16" t="s">
        <v>8804</v>
      </c>
      <c r="D1724" s="16" t="s">
        <v>21</v>
      </c>
      <c r="E1724" s="36" t="s">
        <v>8444</v>
      </c>
      <c r="F1724" s="16" t="s">
        <v>273</v>
      </c>
      <c r="G1724" s="17" t="str">
        <f>Config!$B$3</f>
        <v>SCH/R_IEC.SchLib</v>
      </c>
      <c r="H1724" s="16" t="s">
        <v>419</v>
      </c>
      <c r="I1724" s="18" t="s">
        <v>7493</v>
      </c>
      <c r="J1724" s="16" t="s">
        <v>8863</v>
      </c>
      <c r="K1724" s="16"/>
      <c r="L1724" s="16"/>
      <c r="M1724" s="20">
        <v>39000</v>
      </c>
      <c r="N1724" s="19" t="s">
        <v>8460</v>
      </c>
      <c r="O1724" s="16" t="s">
        <v>4414</v>
      </c>
      <c r="P1724" s="16"/>
      <c r="Q1724" s="16"/>
      <c r="R1724" s="16"/>
      <c r="S1724" s="16"/>
      <c r="T1724" s="16"/>
      <c r="U1724" s="16"/>
      <c r="V1724" s="16"/>
      <c r="W1724" s="17"/>
      <c r="X1724" s="17"/>
      <c r="Y1724" s="17"/>
      <c r="Z1724" s="17"/>
      <c r="AA1724" s="17"/>
      <c r="AB1724" s="17"/>
    </row>
    <row r="1725" spans="1:28">
      <c r="A1725" s="16" t="s">
        <v>8635</v>
      </c>
      <c r="B1725" s="16" t="s">
        <v>8215</v>
      </c>
      <c r="C1725" s="16" t="s">
        <v>8805</v>
      </c>
      <c r="D1725" s="16" t="s">
        <v>21</v>
      </c>
      <c r="E1725" s="36" t="s">
        <v>8444</v>
      </c>
      <c r="F1725" s="16" t="s">
        <v>277</v>
      </c>
      <c r="G1725" s="17" t="str">
        <f>Config!$B$3</f>
        <v>SCH/R_IEC.SchLib</v>
      </c>
      <c r="H1725" s="16" t="s">
        <v>419</v>
      </c>
      <c r="I1725" s="18" t="s">
        <v>7493</v>
      </c>
      <c r="J1725" s="16" t="s">
        <v>8863</v>
      </c>
      <c r="K1725" s="16"/>
      <c r="L1725" s="16"/>
      <c r="M1725" s="20">
        <v>43000</v>
      </c>
      <c r="N1725" s="19" t="s">
        <v>8460</v>
      </c>
      <c r="O1725" s="16" t="s">
        <v>4414</v>
      </c>
      <c r="P1725" s="16"/>
      <c r="Q1725" s="16"/>
      <c r="R1725" s="16"/>
      <c r="S1725" s="16"/>
      <c r="T1725" s="16"/>
      <c r="U1725" s="16"/>
      <c r="V1725" s="16"/>
      <c r="W1725" s="17"/>
      <c r="X1725" s="17"/>
      <c r="Y1725" s="17"/>
      <c r="Z1725" s="17"/>
      <c r="AA1725" s="17"/>
      <c r="AB1725" s="17"/>
    </row>
    <row r="1726" spans="1:28">
      <c r="A1726" s="16" t="s">
        <v>8636</v>
      </c>
      <c r="B1726" s="16" t="s">
        <v>8216</v>
      </c>
      <c r="C1726" s="16" t="s">
        <v>8806</v>
      </c>
      <c r="D1726" s="16" t="s">
        <v>21</v>
      </c>
      <c r="E1726" s="36" t="s">
        <v>8444</v>
      </c>
      <c r="F1726" s="16" t="s">
        <v>279</v>
      </c>
      <c r="G1726" s="17" t="str">
        <f>Config!$B$3</f>
        <v>SCH/R_IEC.SchLib</v>
      </c>
      <c r="H1726" s="16" t="s">
        <v>419</v>
      </c>
      <c r="I1726" s="18" t="s">
        <v>7493</v>
      </c>
      <c r="J1726" s="16" t="s">
        <v>8863</v>
      </c>
      <c r="K1726" s="16"/>
      <c r="L1726" s="16"/>
      <c r="M1726" s="20">
        <v>47000</v>
      </c>
      <c r="N1726" s="19" t="s">
        <v>8460</v>
      </c>
      <c r="O1726" s="16" t="s">
        <v>4414</v>
      </c>
      <c r="P1726" s="16"/>
      <c r="Q1726" s="16"/>
      <c r="R1726" s="16"/>
      <c r="S1726" s="16"/>
      <c r="T1726" s="16"/>
      <c r="U1726" s="16"/>
      <c r="V1726" s="16"/>
      <c r="W1726" s="16"/>
      <c r="X1726" s="17"/>
      <c r="Y1726" s="16"/>
      <c r="Z1726" s="17"/>
      <c r="AA1726" s="16"/>
      <c r="AB1726" s="17"/>
    </row>
    <row r="1727" spans="1:28">
      <c r="A1727" s="16" t="s">
        <v>8637</v>
      </c>
      <c r="B1727" s="16" t="s">
        <v>8217</v>
      </c>
      <c r="C1727" s="16" t="s">
        <v>8807</v>
      </c>
      <c r="D1727" s="16" t="s">
        <v>21</v>
      </c>
      <c r="E1727" s="36" t="s">
        <v>8444</v>
      </c>
      <c r="F1727" s="16" t="s">
        <v>283</v>
      </c>
      <c r="G1727" s="17" t="str">
        <f>Config!$B$3</f>
        <v>SCH/R_IEC.SchLib</v>
      </c>
      <c r="H1727" s="16" t="s">
        <v>419</v>
      </c>
      <c r="I1727" s="18" t="s">
        <v>7493</v>
      </c>
      <c r="J1727" s="16" t="s">
        <v>8863</v>
      </c>
      <c r="K1727" s="16"/>
      <c r="L1727" s="16"/>
      <c r="M1727" s="20">
        <v>51000</v>
      </c>
      <c r="N1727" s="19" t="s">
        <v>8460</v>
      </c>
      <c r="O1727" s="16" t="s">
        <v>4414</v>
      </c>
      <c r="P1727" s="16"/>
      <c r="Q1727" s="16"/>
      <c r="R1727" s="16"/>
      <c r="S1727" s="16"/>
      <c r="T1727" s="16"/>
      <c r="U1727" s="16"/>
      <c r="V1727" s="16"/>
      <c r="W1727" s="16"/>
      <c r="X1727" s="17"/>
      <c r="Y1727" s="16"/>
      <c r="Z1727" s="25"/>
      <c r="AA1727" s="16"/>
      <c r="AB1727" s="17"/>
    </row>
    <row r="1728" spans="1:28">
      <c r="A1728" s="16" t="s">
        <v>8638</v>
      </c>
      <c r="B1728" s="16" t="s">
        <v>8218</v>
      </c>
      <c r="C1728" s="16" t="s">
        <v>8808</v>
      </c>
      <c r="D1728" s="16" t="s">
        <v>21</v>
      </c>
      <c r="E1728" s="36" t="s">
        <v>8444</v>
      </c>
      <c r="F1728" s="16" t="s">
        <v>287</v>
      </c>
      <c r="G1728" s="17" t="str">
        <f>Config!$B$3</f>
        <v>SCH/R_IEC.SchLib</v>
      </c>
      <c r="H1728" s="16" t="s">
        <v>419</v>
      </c>
      <c r="I1728" s="18" t="s">
        <v>7493</v>
      </c>
      <c r="J1728" s="16" t="s">
        <v>8863</v>
      </c>
      <c r="K1728" s="16"/>
      <c r="L1728" s="16"/>
      <c r="M1728" s="20">
        <v>56000</v>
      </c>
      <c r="N1728" s="19" t="s">
        <v>8460</v>
      </c>
      <c r="O1728" s="16" t="s">
        <v>4414</v>
      </c>
      <c r="P1728" s="16"/>
      <c r="Q1728" s="16"/>
      <c r="R1728" s="16"/>
      <c r="S1728" s="16"/>
      <c r="T1728" s="16"/>
      <c r="U1728" s="16"/>
      <c r="V1728" s="16"/>
      <c r="W1728" s="17"/>
      <c r="X1728" s="17"/>
      <c r="Y1728" s="17"/>
      <c r="Z1728" s="17"/>
      <c r="AA1728" s="17"/>
      <c r="AB1728" s="17"/>
    </row>
    <row r="1729" spans="1:28">
      <c r="A1729" s="16" t="s">
        <v>8639</v>
      </c>
      <c r="B1729" s="16" t="s">
        <v>8219</v>
      </c>
      <c r="C1729" s="16" t="s">
        <v>8809</v>
      </c>
      <c r="D1729" s="16" t="s">
        <v>21</v>
      </c>
      <c r="E1729" s="36" t="s">
        <v>8444</v>
      </c>
      <c r="F1729" s="16" t="s">
        <v>291</v>
      </c>
      <c r="G1729" s="17" t="str">
        <f>Config!$B$3</f>
        <v>SCH/R_IEC.SchLib</v>
      </c>
      <c r="H1729" s="16" t="s">
        <v>419</v>
      </c>
      <c r="I1729" s="18" t="s">
        <v>7493</v>
      </c>
      <c r="J1729" s="16" t="s">
        <v>8863</v>
      </c>
      <c r="K1729" s="16"/>
      <c r="L1729" s="16"/>
      <c r="M1729" s="20">
        <v>62000</v>
      </c>
      <c r="N1729" s="19" t="s">
        <v>8460</v>
      </c>
      <c r="O1729" s="16" t="s">
        <v>4414</v>
      </c>
      <c r="P1729" s="16"/>
      <c r="Q1729" s="16"/>
      <c r="R1729" s="16"/>
      <c r="S1729" s="16"/>
      <c r="T1729" s="16"/>
      <c r="U1729" s="16"/>
      <c r="V1729" s="16"/>
      <c r="W1729" s="17"/>
      <c r="X1729" s="17"/>
      <c r="Y1729" s="17"/>
      <c r="Z1729" s="17"/>
      <c r="AA1729" s="17"/>
      <c r="AB1729" s="17"/>
    </row>
    <row r="1730" spans="1:28">
      <c r="A1730" s="16" t="s">
        <v>8640</v>
      </c>
      <c r="B1730" s="16" t="s">
        <v>8220</v>
      </c>
      <c r="C1730" s="16" t="s">
        <v>8810</v>
      </c>
      <c r="D1730" s="16" t="s">
        <v>21</v>
      </c>
      <c r="E1730" s="36" t="s">
        <v>8444</v>
      </c>
      <c r="F1730" s="16" t="s">
        <v>295</v>
      </c>
      <c r="G1730" s="17" t="str">
        <f>Config!$B$3</f>
        <v>SCH/R_IEC.SchLib</v>
      </c>
      <c r="H1730" s="16" t="s">
        <v>419</v>
      </c>
      <c r="I1730" s="18" t="s">
        <v>7493</v>
      </c>
      <c r="J1730" s="16" t="s">
        <v>8863</v>
      </c>
      <c r="K1730" s="16"/>
      <c r="L1730" s="16"/>
      <c r="M1730" s="20">
        <v>68000</v>
      </c>
      <c r="N1730" s="19" t="s">
        <v>8460</v>
      </c>
      <c r="O1730" s="16" t="s">
        <v>4414</v>
      </c>
      <c r="P1730" s="16"/>
      <c r="Q1730" s="16"/>
      <c r="R1730" s="16"/>
      <c r="S1730" s="16"/>
      <c r="T1730" s="16"/>
      <c r="U1730" s="16"/>
      <c r="V1730" s="16"/>
      <c r="W1730" s="16"/>
      <c r="Y1730" s="16"/>
      <c r="AA1730" s="16"/>
      <c r="AB1730" s="17"/>
    </row>
    <row r="1731" spans="1:28">
      <c r="A1731" s="16" t="s">
        <v>8641</v>
      </c>
      <c r="B1731" s="16" t="s">
        <v>8221</v>
      </c>
      <c r="C1731" s="16" t="s">
        <v>8811</v>
      </c>
      <c r="D1731" s="16" t="s">
        <v>21</v>
      </c>
      <c r="E1731" s="36" t="s">
        <v>8444</v>
      </c>
      <c r="F1731" s="16" t="s">
        <v>299</v>
      </c>
      <c r="G1731" s="17" t="str">
        <f>Config!$B$3</f>
        <v>SCH/R_IEC.SchLib</v>
      </c>
      <c r="H1731" s="16" t="s">
        <v>419</v>
      </c>
      <c r="I1731" s="18" t="s">
        <v>7493</v>
      </c>
      <c r="J1731" s="16" t="s">
        <v>8863</v>
      </c>
      <c r="K1731" s="16"/>
      <c r="L1731" s="16"/>
      <c r="M1731" s="20">
        <v>75000</v>
      </c>
      <c r="N1731" s="19" t="s">
        <v>8460</v>
      </c>
      <c r="O1731" s="16" t="s">
        <v>4414</v>
      </c>
      <c r="P1731" s="16"/>
      <c r="Q1731" s="16"/>
      <c r="R1731" s="16"/>
      <c r="S1731" s="16"/>
      <c r="T1731" s="16"/>
      <c r="U1731" s="16"/>
      <c r="V1731" s="16"/>
      <c r="W1731" s="16"/>
      <c r="Y1731" s="16"/>
      <c r="AA1731" s="16"/>
      <c r="AB1731" s="17"/>
    </row>
    <row r="1732" spans="1:28">
      <c r="A1732" s="16" t="s">
        <v>8642</v>
      </c>
      <c r="B1732" s="16" t="s">
        <v>8222</v>
      </c>
      <c r="C1732" s="16" t="s">
        <v>8812</v>
      </c>
      <c r="D1732" s="16" t="s">
        <v>21</v>
      </c>
      <c r="E1732" s="36" t="s">
        <v>8444</v>
      </c>
      <c r="F1732" s="16" t="s">
        <v>301</v>
      </c>
      <c r="G1732" s="17" t="str">
        <f>Config!$B$3</f>
        <v>SCH/R_IEC.SchLib</v>
      </c>
      <c r="H1732" s="16" t="s">
        <v>419</v>
      </c>
      <c r="I1732" s="18" t="s">
        <v>7493</v>
      </c>
      <c r="J1732" s="16" t="s">
        <v>8863</v>
      </c>
      <c r="K1732" s="16"/>
      <c r="L1732" s="16"/>
      <c r="M1732" s="20">
        <v>82000</v>
      </c>
      <c r="N1732" s="19" t="s">
        <v>8460</v>
      </c>
      <c r="O1732" s="16" t="s">
        <v>4414</v>
      </c>
      <c r="P1732" s="16"/>
      <c r="Q1732" s="16"/>
      <c r="R1732" s="16"/>
      <c r="S1732" s="16"/>
      <c r="T1732" s="16"/>
      <c r="U1732" s="16"/>
      <c r="V1732" s="16"/>
      <c r="W1732" s="17"/>
      <c r="X1732" s="17"/>
      <c r="Y1732" s="17"/>
      <c r="Z1732" s="17"/>
      <c r="AA1732" s="17"/>
      <c r="AB1732" s="17"/>
    </row>
    <row r="1733" spans="1:28">
      <c r="A1733" s="16" t="s">
        <v>8643</v>
      </c>
      <c r="B1733" s="16" t="s">
        <v>8223</v>
      </c>
      <c r="C1733" s="16" t="s">
        <v>8813</v>
      </c>
      <c r="D1733" s="16" t="s">
        <v>21</v>
      </c>
      <c r="E1733" s="36" t="s">
        <v>8444</v>
      </c>
      <c r="F1733" s="16" t="s">
        <v>303</v>
      </c>
      <c r="G1733" s="17" t="str">
        <f>Config!$B$3</f>
        <v>SCH/R_IEC.SchLib</v>
      </c>
      <c r="H1733" s="16" t="s">
        <v>419</v>
      </c>
      <c r="I1733" s="18" t="s">
        <v>7493</v>
      </c>
      <c r="J1733" s="16" t="s">
        <v>8863</v>
      </c>
      <c r="K1733" s="16"/>
      <c r="L1733" s="16"/>
      <c r="M1733" s="20">
        <v>91000</v>
      </c>
      <c r="N1733" s="19" t="s">
        <v>8460</v>
      </c>
      <c r="O1733" s="16" t="s">
        <v>4414</v>
      </c>
      <c r="P1733" s="16"/>
      <c r="Q1733" s="16"/>
      <c r="R1733" s="16"/>
      <c r="S1733" s="16"/>
      <c r="T1733" s="16"/>
      <c r="U1733" s="16"/>
      <c r="V1733" s="16"/>
      <c r="W1733" s="17"/>
      <c r="X1733" s="17"/>
      <c r="Y1733" s="17"/>
      <c r="Z1733" s="17"/>
      <c r="AA1733" s="17"/>
      <c r="AB1733" s="17"/>
    </row>
    <row r="1734" spans="1:28">
      <c r="A1734" s="16" t="s">
        <v>8644</v>
      </c>
      <c r="B1734" s="16" t="s">
        <v>8224</v>
      </c>
      <c r="C1734" s="16" t="s">
        <v>8814</v>
      </c>
      <c r="D1734" s="16" t="s">
        <v>21</v>
      </c>
      <c r="E1734" s="36" t="s">
        <v>8444</v>
      </c>
      <c r="F1734" s="16" t="s">
        <v>305</v>
      </c>
      <c r="G1734" s="17" t="str">
        <f>Config!$B$3</f>
        <v>SCH/R_IEC.SchLib</v>
      </c>
      <c r="H1734" s="16" t="s">
        <v>419</v>
      </c>
      <c r="I1734" s="18" t="s">
        <v>7493</v>
      </c>
      <c r="J1734" s="16" t="s">
        <v>8863</v>
      </c>
      <c r="K1734" s="16"/>
      <c r="L1734" s="16"/>
      <c r="M1734" s="20">
        <v>100000</v>
      </c>
      <c r="N1734" s="19" t="s">
        <v>8460</v>
      </c>
      <c r="O1734" s="16" t="s">
        <v>4414</v>
      </c>
      <c r="P1734" s="16" t="s">
        <v>8446</v>
      </c>
      <c r="Q1734" s="16" t="s">
        <v>25</v>
      </c>
      <c r="R1734" s="16" t="s">
        <v>10581</v>
      </c>
      <c r="S1734" s="16" t="s">
        <v>4414</v>
      </c>
      <c r="T1734" s="16" t="s">
        <v>8446</v>
      </c>
      <c r="U1734" s="16" t="s">
        <v>8447</v>
      </c>
      <c r="V1734" s="16" t="s">
        <v>8448</v>
      </c>
      <c r="W1734" s="16"/>
      <c r="X1734" s="17"/>
      <c r="Y1734" s="16"/>
      <c r="Z1734" s="17"/>
      <c r="AA1734" s="16"/>
      <c r="AB1734" s="17"/>
    </row>
    <row r="1735" spans="1:28">
      <c r="A1735" s="16" t="s">
        <v>8645</v>
      </c>
      <c r="B1735" s="16" t="s">
        <v>8225</v>
      </c>
      <c r="C1735" s="16" t="s">
        <v>8815</v>
      </c>
      <c r="D1735" s="16" t="s">
        <v>21</v>
      </c>
      <c r="E1735" s="36" t="s">
        <v>8444</v>
      </c>
      <c r="F1735" s="16" t="s">
        <v>309</v>
      </c>
      <c r="G1735" s="17" t="str">
        <f>Config!$B$3</f>
        <v>SCH/R_IEC.SchLib</v>
      </c>
      <c r="H1735" s="16" t="s">
        <v>419</v>
      </c>
      <c r="I1735" s="18" t="s">
        <v>7493</v>
      </c>
      <c r="J1735" s="16" t="s">
        <v>8863</v>
      </c>
      <c r="K1735" s="16"/>
      <c r="L1735" s="16"/>
      <c r="M1735" s="20">
        <v>110000</v>
      </c>
      <c r="N1735" s="19" t="s">
        <v>8460</v>
      </c>
      <c r="O1735" s="16" t="s">
        <v>4414</v>
      </c>
      <c r="P1735" s="16"/>
      <c r="Q1735" s="16"/>
      <c r="R1735" s="16"/>
      <c r="S1735" s="16"/>
      <c r="T1735" s="16"/>
      <c r="U1735" s="16"/>
      <c r="V1735" s="16"/>
      <c r="W1735" s="17"/>
      <c r="X1735" s="17"/>
      <c r="Y1735" s="17"/>
      <c r="Z1735" s="17"/>
      <c r="AA1735" s="17"/>
      <c r="AB1735" s="17"/>
    </row>
    <row r="1736" spans="1:28">
      <c r="A1736" s="16" t="s">
        <v>8646</v>
      </c>
      <c r="B1736" s="16" t="s">
        <v>8226</v>
      </c>
      <c r="C1736" s="16" t="s">
        <v>8816</v>
      </c>
      <c r="D1736" s="16" t="s">
        <v>21</v>
      </c>
      <c r="E1736" s="36" t="s">
        <v>8444</v>
      </c>
      <c r="F1736" s="16" t="s">
        <v>313</v>
      </c>
      <c r="G1736" s="17" t="str">
        <f>Config!$B$3</f>
        <v>SCH/R_IEC.SchLib</v>
      </c>
      <c r="H1736" s="16" t="s">
        <v>419</v>
      </c>
      <c r="I1736" s="18" t="s">
        <v>7493</v>
      </c>
      <c r="J1736" s="16" t="s">
        <v>8863</v>
      </c>
      <c r="K1736" s="16"/>
      <c r="L1736" s="16"/>
      <c r="M1736" s="20">
        <v>120000</v>
      </c>
      <c r="N1736" s="19" t="s">
        <v>8460</v>
      </c>
      <c r="O1736" s="16" t="s">
        <v>4414</v>
      </c>
      <c r="P1736" s="16"/>
      <c r="Q1736" s="16"/>
      <c r="R1736" s="16"/>
      <c r="S1736" s="16"/>
      <c r="T1736" s="16"/>
      <c r="U1736" s="16"/>
      <c r="V1736" s="16"/>
      <c r="W1736" s="17"/>
      <c r="X1736" s="17"/>
      <c r="Y1736" s="17"/>
      <c r="Z1736" s="17"/>
      <c r="AA1736" s="17"/>
      <c r="AB1736" s="17"/>
    </row>
    <row r="1737" spans="1:28">
      <c r="A1737" s="16" t="s">
        <v>8647</v>
      </c>
      <c r="B1737" s="16" t="s">
        <v>8227</v>
      </c>
      <c r="C1737" s="16" t="s">
        <v>8817</v>
      </c>
      <c r="D1737" s="16" t="s">
        <v>21</v>
      </c>
      <c r="E1737" s="36" t="s">
        <v>8444</v>
      </c>
      <c r="F1737" s="16" t="s">
        <v>317</v>
      </c>
      <c r="G1737" s="17" t="str">
        <f>Config!$B$3</f>
        <v>SCH/R_IEC.SchLib</v>
      </c>
      <c r="H1737" s="16" t="s">
        <v>419</v>
      </c>
      <c r="I1737" s="18" t="s">
        <v>7493</v>
      </c>
      <c r="J1737" s="16" t="s">
        <v>8863</v>
      </c>
      <c r="K1737" s="16"/>
      <c r="L1737" s="16"/>
      <c r="M1737" s="20">
        <v>130000</v>
      </c>
      <c r="N1737" s="19" t="s">
        <v>8460</v>
      </c>
      <c r="O1737" s="16" t="s">
        <v>4414</v>
      </c>
      <c r="P1737" s="16"/>
      <c r="Q1737" s="16"/>
      <c r="R1737" s="16"/>
      <c r="S1737" s="16"/>
      <c r="T1737" s="16"/>
      <c r="U1737" s="16"/>
      <c r="V1737" s="16"/>
      <c r="W1737" s="17"/>
      <c r="X1737" s="17"/>
      <c r="Y1737" s="17"/>
      <c r="Z1737" s="17"/>
      <c r="AA1737" s="17"/>
      <c r="AB1737" s="17"/>
    </row>
    <row r="1738" spans="1:28">
      <c r="A1738" s="16" t="s">
        <v>8648</v>
      </c>
      <c r="B1738" s="16" t="s">
        <v>8228</v>
      </c>
      <c r="C1738" s="16" t="s">
        <v>8818</v>
      </c>
      <c r="D1738" s="16" t="s">
        <v>21</v>
      </c>
      <c r="E1738" s="36" t="s">
        <v>8444</v>
      </c>
      <c r="F1738" s="16" t="s">
        <v>321</v>
      </c>
      <c r="G1738" s="17" t="str">
        <f>Config!$B$3</f>
        <v>SCH/R_IEC.SchLib</v>
      </c>
      <c r="H1738" s="16" t="s">
        <v>419</v>
      </c>
      <c r="I1738" s="18" t="s">
        <v>7493</v>
      </c>
      <c r="J1738" s="16" t="s">
        <v>8863</v>
      </c>
      <c r="K1738" s="16"/>
      <c r="L1738" s="16"/>
      <c r="M1738" s="20">
        <v>150000</v>
      </c>
      <c r="N1738" s="19" t="s">
        <v>8460</v>
      </c>
      <c r="O1738" s="16" t="s">
        <v>4414</v>
      </c>
      <c r="P1738" s="16"/>
      <c r="Q1738" s="16"/>
      <c r="R1738" s="16"/>
      <c r="S1738" s="16"/>
      <c r="T1738" s="16"/>
      <c r="U1738" s="16"/>
      <c r="V1738" s="16"/>
      <c r="W1738" s="16"/>
      <c r="X1738" s="17"/>
      <c r="Y1738" s="16"/>
      <c r="Z1738" s="17"/>
      <c r="AA1738" s="16"/>
      <c r="AB1738" s="17"/>
    </row>
    <row r="1739" spans="1:28">
      <c r="A1739" s="16" t="s">
        <v>8649</v>
      </c>
      <c r="B1739" s="16" t="s">
        <v>8229</v>
      </c>
      <c r="C1739" s="16" t="s">
        <v>8819</v>
      </c>
      <c r="D1739" s="16" t="s">
        <v>21</v>
      </c>
      <c r="E1739" s="36" t="s">
        <v>8444</v>
      </c>
      <c r="F1739" s="16" t="s">
        <v>323</v>
      </c>
      <c r="G1739" s="17" t="str">
        <f>Config!$B$3</f>
        <v>SCH/R_IEC.SchLib</v>
      </c>
      <c r="H1739" s="16" t="s">
        <v>419</v>
      </c>
      <c r="I1739" s="18" t="s">
        <v>7493</v>
      </c>
      <c r="J1739" s="16" t="s">
        <v>8863</v>
      </c>
      <c r="K1739" s="16"/>
      <c r="L1739" s="16"/>
      <c r="M1739" s="20">
        <v>160000</v>
      </c>
      <c r="N1739" s="19" t="s">
        <v>8460</v>
      </c>
      <c r="O1739" s="16" t="s">
        <v>4414</v>
      </c>
      <c r="P1739" s="16"/>
      <c r="Q1739" s="16"/>
      <c r="R1739" s="16"/>
      <c r="S1739" s="16"/>
      <c r="T1739" s="16"/>
      <c r="U1739" s="16"/>
      <c r="V1739" s="16"/>
      <c r="W1739" s="17"/>
      <c r="X1739" s="17"/>
      <c r="Y1739" s="17"/>
      <c r="Z1739" s="17"/>
      <c r="AA1739" s="17"/>
      <c r="AB1739" s="17"/>
    </row>
    <row r="1740" spans="1:28">
      <c r="A1740" s="16" t="s">
        <v>8650</v>
      </c>
      <c r="B1740" s="16" t="s">
        <v>8230</v>
      </c>
      <c r="C1740" s="16" t="s">
        <v>8820</v>
      </c>
      <c r="D1740" s="16" t="s">
        <v>21</v>
      </c>
      <c r="E1740" s="36" t="s">
        <v>8444</v>
      </c>
      <c r="F1740" s="16" t="s">
        <v>327</v>
      </c>
      <c r="G1740" s="17" t="str">
        <f>Config!$B$3</f>
        <v>SCH/R_IEC.SchLib</v>
      </c>
      <c r="H1740" s="16" t="s">
        <v>419</v>
      </c>
      <c r="I1740" s="18" t="s">
        <v>7493</v>
      </c>
      <c r="J1740" s="16" t="s">
        <v>8863</v>
      </c>
      <c r="K1740" s="16"/>
      <c r="L1740" s="16"/>
      <c r="M1740" s="20">
        <v>180000</v>
      </c>
      <c r="N1740" s="19" t="s">
        <v>8460</v>
      </c>
      <c r="O1740" s="16" t="s">
        <v>4414</v>
      </c>
      <c r="P1740" s="16"/>
      <c r="Q1740" s="16"/>
      <c r="R1740" s="16"/>
      <c r="S1740" s="16"/>
      <c r="T1740" s="16"/>
      <c r="U1740" s="16"/>
      <c r="V1740" s="16"/>
      <c r="W1740" s="17"/>
      <c r="X1740" s="17"/>
      <c r="Y1740" s="17"/>
      <c r="Z1740" s="17"/>
      <c r="AA1740" s="17"/>
      <c r="AB1740" s="17"/>
    </row>
    <row r="1741" spans="1:28">
      <c r="A1741" s="16" t="s">
        <v>8651</v>
      </c>
      <c r="B1741" s="16" t="s">
        <v>8231</v>
      </c>
      <c r="C1741" s="16" t="s">
        <v>8821</v>
      </c>
      <c r="D1741" s="16" t="s">
        <v>21</v>
      </c>
      <c r="E1741" s="36" t="s">
        <v>8444</v>
      </c>
      <c r="F1741" s="16" t="s">
        <v>331</v>
      </c>
      <c r="G1741" s="17" t="str">
        <f>Config!$B$3</f>
        <v>SCH/R_IEC.SchLib</v>
      </c>
      <c r="H1741" s="16" t="s">
        <v>419</v>
      </c>
      <c r="I1741" s="18" t="s">
        <v>7493</v>
      </c>
      <c r="J1741" s="16" t="s">
        <v>8863</v>
      </c>
      <c r="K1741" s="16"/>
      <c r="L1741" s="16"/>
      <c r="M1741" s="20">
        <v>200000</v>
      </c>
      <c r="N1741" s="19" t="s">
        <v>8460</v>
      </c>
      <c r="O1741" s="16" t="s">
        <v>4414</v>
      </c>
      <c r="P1741" s="16"/>
      <c r="Q1741" s="16"/>
      <c r="R1741" s="16"/>
      <c r="S1741" s="16"/>
      <c r="T1741" s="16"/>
      <c r="U1741" s="16"/>
      <c r="V1741" s="16"/>
      <c r="W1741" s="17"/>
      <c r="X1741" s="17"/>
      <c r="Y1741" s="17"/>
      <c r="Z1741" s="17"/>
      <c r="AA1741" s="17"/>
      <c r="AB1741" s="17"/>
    </row>
    <row r="1742" spans="1:28">
      <c r="A1742" s="16" t="s">
        <v>8652</v>
      </c>
      <c r="B1742" s="16" t="s">
        <v>8232</v>
      </c>
      <c r="C1742" s="16" t="s">
        <v>8822</v>
      </c>
      <c r="D1742" s="16" t="s">
        <v>21</v>
      </c>
      <c r="E1742" s="36" t="s">
        <v>8444</v>
      </c>
      <c r="F1742" s="16" t="s">
        <v>333</v>
      </c>
      <c r="G1742" s="17" t="str">
        <f>Config!$B$3</f>
        <v>SCH/R_IEC.SchLib</v>
      </c>
      <c r="H1742" s="16" t="s">
        <v>419</v>
      </c>
      <c r="I1742" s="18" t="s">
        <v>7493</v>
      </c>
      <c r="J1742" s="16" t="s">
        <v>8863</v>
      </c>
      <c r="K1742" s="16"/>
      <c r="L1742" s="16"/>
      <c r="M1742" s="20">
        <v>220000</v>
      </c>
      <c r="N1742" s="19" t="s">
        <v>8460</v>
      </c>
      <c r="O1742" s="16" t="s">
        <v>4414</v>
      </c>
      <c r="P1742" s="16"/>
      <c r="Q1742" s="16"/>
      <c r="R1742" s="16"/>
      <c r="S1742" s="16"/>
      <c r="T1742" s="16"/>
      <c r="U1742" s="16"/>
      <c r="V1742" s="16"/>
      <c r="W1742" s="16"/>
      <c r="X1742" s="17"/>
      <c r="Y1742" s="16"/>
      <c r="Z1742" s="16"/>
      <c r="AA1742" s="16"/>
      <c r="AB1742" s="17"/>
    </row>
    <row r="1743" spans="1:28">
      <c r="A1743" s="16" t="s">
        <v>8653</v>
      </c>
      <c r="B1743" s="16" t="s">
        <v>8233</v>
      </c>
      <c r="C1743" s="16" t="s">
        <v>8823</v>
      </c>
      <c r="D1743" s="16" t="s">
        <v>21</v>
      </c>
      <c r="E1743" s="36" t="s">
        <v>8444</v>
      </c>
      <c r="F1743" s="16" t="s">
        <v>335</v>
      </c>
      <c r="G1743" s="17" t="str">
        <f>Config!$B$3</f>
        <v>SCH/R_IEC.SchLib</v>
      </c>
      <c r="H1743" s="16" t="s">
        <v>419</v>
      </c>
      <c r="I1743" s="18" t="s">
        <v>7493</v>
      </c>
      <c r="J1743" s="16" t="s">
        <v>8863</v>
      </c>
      <c r="K1743" s="16"/>
      <c r="L1743" s="16"/>
      <c r="M1743" s="20">
        <v>240000</v>
      </c>
      <c r="N1743" s="19" t="s">
        <v>8460</v>
      </c>
      <c r="O1743" s="16" t="s">
        <v>4414</v>
      </c>
      <c r="P1743" s="16"/>
      <c r="Q1743" s="16"/>
      <c r="R1743" s="16"/>
      <c r="S1743" s="16"/>
      <c r="T1743" s="16"/>
      <c r="U1743" s="16"/>
      <c r="V1743" s="16"/>
      <c r="W1743" s="17"/>
      <c r="X1743" s="17"/>
      <c r="Y1743" s="17"/>
      <c r="Z1743" s="17"/>
      <c r="AA1743" s="17"/>
      <c r="AB1743" s="17"/>
    </row>
    <row r="1744" spans="1:28">
      <c r="A1744" s="16" t="s">
        <v>8654</v>
      </c>
      <c r="B1744" s="16" t="s">
        <v>8234</v>
      </c>
      <c r="C1744" s="16" t="s">
        <v>8824</v>
      </c>
      <c r="D1744" s="16" t="s">
        <v>21</v>
      </c>
      <c r="E1744" s="36" t="s">
        <v>8444</v>
      </c>
      <c r="F1744" s="16" t="s">
        <v>337</v>
      </c>
      <c r="G1744" s="17" t="str">
        <f>Config!$B$3</f>
        <v>SCH/R_IEC.SchLib</v>
      </c>
      <c r="H1744" s="16" t="s">
        <v>419</v>
      </c>
      <c r="I1744" s="18" t="s">
        <v>7493</v>
      </c>
      <c r="J1744" s="16" t="s">
        <v>8863</v>
      </c>
      <c r="K1744" s="16"/>
      <c r="L1744" s="16"/>
      <c r="M1744" s="20">
        <v>270000</v>
      </c>
      <c r="N1744" s="19" t="s">
        <v>8460</v>
      </c>
      <c r="O1744" s="16" t="s">
        <v>4414</v>
      </c>
      <c r="P1744" s="16"/>
      <c r="Q1744" s="16"/>
      <c r="R1744" s="16"/>
      <c r="S1744" s="16"/>
      <c r="T1744" s="16"/>
      <c r="U1744" s="16"/>
      <c r="V1744" s="16"/>
      <c r="W1744" s="17"/>
      <c r="X1744" s="17"/>
      <c r="Y1744" s="17"/>
      <c r="Z1744" s="17"/>
      <c r="AA1744" s="17"/>
      <c r="AB1744" s="17"/>
    </row>
    <row r="1745" spans="1:28">
      <c r="A1745" s="16" t="s">
        <v>8655</v>
      </c>
      <c r="B1745" s="16" t="s">
        <v>8235</v>
      </c>
      <c r="C1745" s="16" t="s">
        <v>8825</v>
      </c>
      <c r="D1745" s="16" t="s">
        <v>21</v>
      </c>
      <c r="E1745" s="36" t="s">
        <v>8444</v>
      </c>
      <c r="F1745" s="16" t="s">
        <v>339</v>
      </c>
      <c r="G1745" s="17" t="str">
        <f>Config!$B$3</f>
        <v>SCH/R_IEC.SchLib</v>
      </c>
      <c r="H1745" s="16" t="s">
        <v>419</v>
      </c>
      <c r="I1745" s="18" t="s">
        <v>7493</v>
      </c>
      <c r="J1745" s="16" t="s">
        <v>8863</v>
      </c>
      <c r="K1745" s="16"/>
      <c r="L1745" s="16"/>
      <c r="M1745" s="20">
        <v>300000</v>
      </c>
      <c r="N1745" s="19" t="s">
        <v>8460</v>
      </c>
      <c r="O1745" s="16" t="s">
        <v>4414</v>
      </c>
      <c r="P1745" s="16"/>
      <c r="Q1745" s="16"/>
      <c r="R1745" s="16"/>
      <c r="S1745" s="16"/>
      <c r="T1745" s="16"/>
      <c r="U1745" s="16"/>
      <c r="V1745" s="16"/>
      <c r="W1745" s="16"/>
      <c r="X1745" s="17"/>
      <c r="Y1745" s="16"/>
      <c r="AA1745" s="16"/>
      <c r="AB1745" s="17"/>
    </row>
    <row r="1746" spans="1:28">
      <c r="A1746" s="16" t="s">
        <v>8656</v>
      </c>
      <c r="B1746" s="16" t="s">
        <v>8236</v>
      </c>
      <c r="C1746" s="16" t="s">
        <v>8826</v>
      </c>
      <c r="D1746" s="16" t="s">
        <v>21</v>
      </c>
      <c r="E1746" s="36" t="s">
        <v>8444</v>
      </c>
      <c r="F1746" s="16" t="s">
        <v>341</v>
      </c>
      <c r="G1746" s="17" t="str">
        <f>Config!$B$3</f>
        <v>SCH/R_IEC.SchLib</v>
      </c>
      <c r="H1746" s="16" t="s">
        <v>419</v>
      </c>
      <c r="I1746" s="18" t="s">
        <v>7493</v>
      </c>
      <c r="J1746" s="16" t="s">
        <v>8863</v>
      </c>
      <c r="K1746" s="16"/>
      <c r="L1746" s="16"/>
      <c r="M1746" s="20">
        <v>330000</v>
      </c>
      <c r="N1746" s="19" t="s">
        <v>8460</v>
      </c>
      <c r="O1746" s="16" t="s">
        <v>4414</v>
      </c>
      <c r="P1746" s="16"/>
      <c r="Q1746" s="16"/>
      <c r="R1746" s="16"/>
      <c r="S1746" s="16"/>
      <c r="T1746" s="16"/>
      <c r="U1746" s="16"/>
      <c r="V1746" s="16"/>
      <c r="W1746" s="16"/>
      <c r="Y1746" s="16"/>
      <c r="Z1746" s="16"/>
      <c r="AA1746" s="16"/>
      <c r="AB1746" s="17"/>
    </row>
    <row r="1747" spans="1:28">
      <c r="A1747" s="16" t="s">
        <v>8657</v>
      </c>
      <c r="B1747" s="16" t="s">
        <v>8237</v>
      </c>
      <c r="C1747" s="16" t="s">
        <v>8827</v>
      </c>
      <c r="D1747" s="16" t="s">
        <v>21</v>
      </c>
      <c r="E1747" s="36" t="s">
        <v>8444</v>
      </c>
      <c r="F1747" s="16" t="s">
        <v>345</v>
      </c>
      <c r="G1747" s="17" t="str">
        <f>Config!$B$3</f>
        <v>SCH/R_IEC.SchLib</v>
      </c>
      <c r="H1747" s="16" t="s">
        <v>419</v>
      </c>
      <c r="I1747" s="18" t="s">
        <v>7493</v>
      </c>
      <c r="J1747" s="16" t="s">
        <v>8863</v>
      </c>
      <c r="K1747" s="16"/>
      <c r="L1747" s="16"/>
      <c r="M1747" s="20">
        <v>360000</v>
      </c>
      <c r="N1747" s="19" t="s">
        <v>8460</v>
      </c>
      <c r="O1747" s="16" t="s">
        <v>4414</v>
      </c>
      <c r="P1747" s="16"/>
      <c r="Q1747" s="16"/>
      <c r="R1747" s="16"/>
      <c r="S1747" s="16"/>
      <c r="T1747" s="16"/>
      <c r="U1747" s="16"/>
      <c r="V1747" s="16"/>
      <c r="W1747" s="17"/>
      <c r="X1747" s="17"/>
      <c r="Y1747" s="17"/>
      <c r="Z1747" s="17"/>
      <c r="AA1747" s="17"/>
      <c r="AB1747" s="17"/>
    </row>
    <row r="1748" spans="1:28">
      <c r="A1748" s="16" t="s">
        <v>8658</v>
      </c>
      <c r="B1748" s="16" t="s">
        <v>8238</v>
      </c>
      <c r="C1748" s="16" t="s">
        <v>8828</v>
      </c>
      <c r="D1748" s="16" t="s">
        <v>21</v>
      </c>
      <c r="E1748" s="36" t="s">
        <v>8444</v>
      </c>
      <c r="F1748" s="16" t="s">
        <v>349</v>
      </c>
      <c r="G1748" s="17" t="str">
        <f>Config!$B$3</f>
        <v>SCH/R_IEC.SchLib</v>
      </c>
      <c r="H1748" s="16" t="s">
        <v>419</v>
      </c>
      <c r="I1748" s="18" t="s">
        <v>7493</v>
      </c>
      <c r="J1748" s="16" t="s">
        <v>8863</v>
      </c>
      <c r="K1748" s="16"/>
      <c r="L1748" s="16"/>
      <c r="M1748" s="20">
        <v>390000</v>
      </c>
      <c r="N1748" s="19" t="s">
        <v>8460</v>
      </c>
      <c r="O1748" s="16" t="s">
        <v>4414</v>
      </c>
      <c r="P1748" s="16"/>
      <c r="Q1748" s="16"/>
      <c r="R1748" s="16"/>
      <c r="S1748" s="16"/>
      <c r="T1748" s="16"/>
      <c r="U1748" s="16"/>
      <c r="V1748" s="16"/>
      <c r="W1748" s="16"/>
      <c r="Y1748" s="16"/>
      <c r="AA1748" s="16"/>
      <c r="AB1748" s="17"/>
    </row>
    <row r="1749" spans="1:28">
      <c r="A1749" s="16" t="s">
        <v>8659</v>
      </c>
      <c r="B1749" s="16" t="s">
        <v>8239</v>
      </c>
      <c r="C1749" s="16" t="s">
        <v>8829</v>
      </c>
      <c r="D1749" s="16" t="s">
        <v>21</v>
      </c>
      <c r="E1749" s="36" t="s">
        <v>8444</v>
      </c>
      <c r="F1749" s="16" t="s">
        <v>351</v>
      </c>
      <c r="G1749" s="17" t="str">
        <f>Config!$B$3</f>
        <v>SCH/R_IEC.SchLib</v>
      </c>
      <c r="H1749" s="16" t="s">
        <v>419</v>
      </c>
      <c r="I1749" s="18" t="s">
        <v>7493</v>
      </c>
      <c r="J1749" s="16" t="s">
        <v>8863</v>
      </c>
      <c r="K1749" s="16"/>
      <c r="L1749" s="16"/>
      <c r="M1749" s="20">
        <v>430000</v>
      </c>
      <c r="N1749" s="19" t="s">
        <v>8460</v>
      </c>
      <c r="O1749" s="16" t="s">
        <v>4414</v>
      </c>
      <c r="P1749" s="16"/>
      <c r="Q1749" s="16"/>
      <c r="R1749" s="16"/>
      <c r="S1749" s="16"/>
      <c r="T1749" s="16"/>
      <c r="U1749" s="16"/>
      <c r="V1749" s="16"/>
      <c r="W1749" s="17"/>
      <c r="X1749" s="17"/>
      <c r="Y1749" s="17"/>
      <c r="Z1749" s="17"/>
      <c r="AA1749" s="17"/>
      <c r="AB1749" s="17"/>
    </row>
    <row r="1750" spans="1:28">
      <c r="A1750" s="16" t="s">
        <v>8660</v>
      </c>
      <c r="B1750" s="16" t="s">
        <v>8240</v>
      </c>
      <c r="C1750" s="16" t="s">
        <v>8830</v>
      </c>
      <c r="D1750" s="16" t="s">
        <v>21</v>
      </c>
      <c r="E1750" s="36" t="s">
        <v>8444</v>
      </c>
      <c r="F1750" s="16" t="s">
        <v>353</v>
      </c>
      <c r="G1750" s="17" t="str">
        <f>Config!$B$3</f>
        <v>SCH/R_IEC.SchLib</v>
      </c>
      <c r="H1750" s="16" t="s">
        <v>419</v>
      </c>
      <c r="I1750" s="18" t="s">
        <v>7493</v>
      </c>
      <c r="J1750" s="16" t="s">
        <v>8863</v>
      </c>
      <c r="K1750" s="16"/>
      <c r="L1750" s="16"/>
      <c r="M1750" s="20">
        <v>470000</v>
      </c>
      <c r="N1750" s="19" t="s">
        <v>8460</v>
      </c>
      <c r="O1750" s="16" t="s">
        <v>4414</v>
      </c>
      <c r="P1750" s="16"/>
      <c r="Q1750" s="16"/>
      <c r="R1750" s="16"/>
      <c r="S1750" s="16"/>
      <c r="T1750" s="16"/>
      <c r="U1750" s="16"/>
      <c r="V1750" s="16"/>
      <c r="W1750" s="17"/>
      <c r="X1750" s="17"/>
      <c r="Y1750" s="17"/>
      <c r="Z1750" s="17"/>
      <c r="AA1750" s="17"/>
      <c r="AB1750" s="17"/>
    </row>
    <row r="1751" spans="1:28">
      <c r="A1751" s="16" t="s">
        <v>8661</v>
      </c>
      <c r="B1751" s="16" t="s">
        <v>8241</v>
      </c>
      <c r="C1751" s="16" t="s">
        <v>8831</v>
      </c>
      <c r="D1751" s="16" t="s">
        <v>21</v>
      </c>
      <c r="E1751" s="36" t="s">
        <v>8444</v>
      </c>
      <c r="F1751" s="16" t="s">
        <v>355</v>
      </c>
      <c r="G1751" s="17" t="str">
        <f>Config!$B$3</f>
        <v>SCH/R_IEC.SchLib</v>
      </c>
      <c r="H1751" s="16" t="s">
        <v>419</v>
      </c>
      <c r="I1751" s="18" t="s">
        <v>7493</v>
      </c>
      <c r="J1751" s="16" t="s">
        <v>8863</v>
      </c>
      <c r="K1751" s="16"/>
      <c r="L1751" s="16"/>
      <c r="M1751" s="20">
        <v>510000</v>
      </c>
      <c r="N1751" s="19" t="s">
        <v>8460</v>
      </c>
      <c r="O1751" s="16" t="s">
        <v>4414</v>
      </c>
      <c r="P1751" s="16"/>
      <c r="Q1751" s="16"/>
      <c r="R1751" s="16"/>
      <c r="S1751" s="16"/>
      <c r="T1751" s="16"/>
      <c r="U1751" s="16"/>
      <c r="V1751" s="16"/>
      <c r="W1751" s="17"/>
      <c r="X1751" s="17"/>
      <c r="Y1751" s="17"/>
      <c r="Z1751" s="17"/>
      <c r="AA1751" s="17"/>
      <c r="AB1751" s="17"/>
    </row>
    <row r="1752" spans="1:28">
      <c r="A1752" s="16" t="s">
        <v>8662</v>
      </c>
      <c r="B1752" s="16" t="s">
        <v>8242</v>
      </c>
      <c r="C1752" s="16" t="s">
        <v>8832</v>
      </c>
      <c r="D1752" s="16" t="s">
        <v>21</v>
      </c>
      <c r="E1752" s="36" t="s">
        <v>8444</v>
      </c>
      <c r="F1752" s="16" t="s">
        <v>357</v>
      </c>
      <c r="G1752" s="17" t="str">
        <f>Config!$B$3</f>
        <v>SCH/R_IEC.SchLib</v>
      </c>
      <c r="H1752" s="16" t="s">
        <v>419</v>
      </c>
      <c r="I1752" s="18" t="s">
        <v>7493</v>
      </c>
      <c r="J1752" s="16" t="s">
        <v>8863</v>
      </c>
      <c r="K1752" s="16"/>
      <c r="L1752" s="16"/>
      <c r="M1752" s="20">
        <v>560000</v>
      </c>
      <c r="N1752" s="19" t="s">
        <v>8460</v>
      </c>
      <c r="O1752" s="16" t="s">
        <v>4414</v>
      </c>
      <c r="P1752" s="16"/>
      <c r="Q1752" s="16"/>
      <c r="R1752" s="16"/>
      <c r="S1752" s="16"/>
      <c r="T1752" s="16"/>
      <c r="U1752" s="16"/>
      <c r="V1752" s="16"/>
      <c r="W1752" s="17"/>
      <c r="X1752" s="17"/>
      <c r="Y1752" s="17"/>
      <c r="Z1752" s="17"/>
      <c r="AA1752" s="17"/>
      <c r="AB1752" s="17"/>
    </row>
    <row r="1753" spans="1:28">
      <c r="A1753" s="16" t="s">
        <v>8663</v>
      </c>
      <c r="B1753" s="16" t="s">
        <v>8243</v>
      </c>
      <c r="C1753" s="16" t="s">
        <v>8833</v>
      </c>
      <c r="D1753" s="16" t="s">
        <v>21</v>
      </c>
      <c r="E1753" s="36" t="s">
        <v>8444</v>
      </c>
      <c r="F1753" s="16" t="s">
        <v>359</v>
      </c>
      <c r="G1753" s="17" t="str">
        <f>Config!$B$3</f>
        <v>SCH/R_IEC.SchLib</v>
      </c>
      <c r="H1753" s="16" t="s">
        <v>419</v>
      </c>
      <c r="I1753" s="18" t="s">
        <v>7493</v>
      </c>
      <c r="J1753" s="16" t="s">
        <v>8863</v>
      </c>
      <c r="K1753" s="16"/>
      <c r="L1753" s="16"/>
      <c r="M1753" s="20">
        <v>620000</v>
      </c>
      <c r="N1753" s="19" t="s">
        <v>8460</v>
      </c>
      <c r="O1753" s="16" t="s">
        <v>4414</v>
      </c>
      <c r="P1753" s="16"/>
      <c r="Q1753" s="16"/>
      <c r="R1753" s="16"/>
      <c r="S1753" s="16"/>
      <c r="T1753" s="16"/>
      <c r="U1753" s="16"/>
      <c r="V1753" s="16"/>
      <c r="W1753" s="17"/>
      <c r="X1753" s="17"/>
      <c r="Y1753" s="17"/>
      <c r="Z1753" s="17"/>
      <c r="AA1753" s="17"/>
      <c r="AB1753" s="17"/>
    </row>
    <row r="1754" spans="1:28">
      <c r="A1754" s="16" t="s">
        <v>8664</v>
      </c>
      <c r="B1754" s="16" t="s">
        <v>8244</v>
      </c>
      <c r="C1754" s="16" t="s">
        <v>8834</v>
      </c>
      <c r="D1754" s="16" t="s">
        <v>21</v>
      </c>
      <c r="E1754" s="36" t="s">
        <v>8444</v>
      </c>
      <c r="F1754" s="16" t="s">
        <v>361</v>
      </c>
      <c r="G1754" s="17" t="str">
        <f>Config!$B$3</f>
        <v>SCH/R_IEC.SchLib</v>
      </c>
      <c r="H1754" s="16" t="s">
        <v>419</v>
      </c>
      <c r="I1754" s="18" t="s">
        <v>7493</v>
      </c>
      <c r="J1754" s="16" t="s">
        <v>8863</v>
      </c>
      <c r="K1754" s="16"/>
      <c r="L1754" s="16"/>
      <c r="M1754" s="20">
        <v>680000</v>
      </c>
      <c r="N1754" s="19" t="s">
        <v>8460</v>
      </c>
      <c r="O1754" s="16" t="s">
        <v>4414</v>
      </c>
      <c r="P1754" s="16"/>
      <c r="Q1754" s="16"/>
      <c r="R1754" s="16"/>
      <c r="S1754" s="16"/>
      <c r="T1754" s="16"/>
      <c r="U1754" s="16"/>
      <c r="V1754" s="16"/>
      <c r="W1754" s="17"/>
      <c r="X1754" s="17"/>
      <c r="Y1754" s="17"/>
      <c r="Z1754" s="17"/>
      <c r="AA1754" s="17"/>
      <c r="AB1754" s="17"/>
    </row>
    <row r="1755" spans="1:28">
      <c r="A1755" s="16" t="s">
        <v>8665</v>
      </c>
      <c r="B1755" s="16" t="s">
        <v>8245</v>
      </c>
      <c r="C1755" s="16" t="s">
        <v>8835</v>
      </c>
      <c r="D1755" s="16" t="s">
        <v>21</v>
      </c>
      <c r="E1755" s="36" t="s">
        <v>8444</v>
      </c>
      <c r="F1755" s="16" t="s">
        <v>363</v>
      </c>
      <c r="G1755" s="17" t="str">
        <f>Config!$B$3</f>
        <v>SCH/R_IEC.SchLib</v>
      </c>
      <c r="H1755" s="16" t="s">
        <v>419</v>
      </c>
      <c r="I1755" s="18" t="s">
        <v>7493</v>
      </c>
      <c r="J1755" s="16" t="s">
        <v>8863</v>
      </c>
      <c r="K1755" s="16"/>
      <c r="L1755" s="16"/>
      <c r="M1755" s="20">
        <v>750000</v>
      </c>
      <c r="N1755" s="19" t="s">
        <v>8460</v>
      </c>
      <c r="O1755" s="16" t="s">
        <v>4414</v>
      </c>
      <c r="P1755" s="16"/>
      <c r="Q1755" s="16"/>
      <c r="R1755" s="16"/>
      <c r="S1755" s="16"/>
      <c r="T1755" s="16"/>
      <c r="U1755" s="16"/>
      <c r="V1755" s="16"/>
      <c r="W1755" s="17"/>
      <c r="X1755" s="17"/>
      <c r="Y1755" s="17"/>
      <c r="Z1755" s="17"/>
      <c r="AA1755" s="17"/>
      <c r="AB1755" s="17"/>
    </row>
    <row r="1756" spans="1:28">
      <c r="A1756" s="16" t="s">
        <v>8666</v>
      </c>
      <c r="B1756" s="16" t="s">
        <v>8246</v>
      </c>
      <c r="C1756" s="16" t="s">
        <v>8836</v>
      </c>
      <c r="D1756" s="16" t="s">
        <v>21</v>
      </c>
      <c r="E1756" s="36" t="s">
        <v>8444</v>
      </c>
      <c r="F1756" s="16" t="s">
        <v>365</v>
      </c>
      <c r="G1756" s="17" t="str">
        <f>Config!$B$3</f>
        <v>SCH/R_IEC.SchLib</v>
      </c>
      <c r="H1756" s="16" t="s">
        <v>419</v>
      </c>
      <c r="I1756" s="18" t="s">
        <v>7493</v>
      </c>
      <c r="J1756" s="16" t="s">
        <v>8863</v>
      </c>
      <c r="K1756" s="16"/>
      <c r="L1756" s="16"/>
      <c r="M1756" s="20">
        <v>820000</v>
      </c>
      <c r="N1756" s="19" t="s">
        <v>8460</v>
      </c>
      <c r="O1756" s="16" t="s">
        <v>4414</v>
      </c>
      <c r="P1756" s="16"/>
      <c r="Q1756" s="16"/>
      <c r="R1756" s="16"/>
      <c r="S1756" s="16"/>
      <c r="T1756" s="16"/>
      <c r="U1756" s="16"/>
      <c r="V1756" s="16"/>
      <c r="W1756" s="17"/>
      <c r="X1756" s="17"/>
      <c r="Y1756" s="17"/>
      <c r="Z1756" s="17"/>
      <c r="AA1756" s="17"/>
      <c r="AB1756" s="17"/>
    </row>
    <row r="1757" spans="1:28">
      <c r="A1757" s="16" t="s">
        <v>8667</v>
      </c>
      <c r="B1757" s="16" t="s">
        <v>8247</v>
      </c>
      <c r="C1757" s="16" t="s">
        <v>8837</v>
      </c>
      <c r="D1757" s="16" t="s">
        <v>21</v>
      </c>
      <c r="E1757" s="36" t="s">
        <v>8444</v>
      </c>
      <c r="F1757" s="16" t="s">
        <v>367</v>
      </c>
      <c r="G1757" s="17" t="str">
        <f>Config!$B$3</f>
        <v>SCH/R_IEC.SchLib</v>
      </c>
      <c r="H1757" s="16" t="s">
        <v>419</v>
      </c>
      <c r="I1757" s="18" t="s">
        <v>7493</v>
      </c>
      <c r="J1757" s="16" t="s">
        <v>8863</v>
      </c>
      <c r="K1757" s="16"/>
      <c r="L1757" s="16"/>
      <c r="M1757" s="20">
        <v>910000</v>
      </c>
      <c r="N1757" s="19" t="s">
        <v>8460</v>
      </c>
      <c r="O1757" s="16" t="s">
        <v>4414</v>
      </c>
      <c r="P1757" s="16"/>
      <c r="Q1757" s="16"/>
      <c r="R1757" s="16"/>
      <c r="S1757" s="16"/>
      <c r="T1757" s="16"/>
      <c r="U1757" s="16"/>
      <c r="V1757" s="16"/>
      <c r="W1757" s="17"/>
      <c r="X1757" s="17"/>
      <c r="Y1757" s="17"/>
      <c r="Z1757" s="17"/>
      <c r="AA1757" s="17"/>
      <c r="AB1757" s="17"/>
    </row>
    <row r="1758" spans="1:28">
      <c r="A1758" s="16" t="s">
        <v>8668</v>
      </c>
      <c r="B1758" s="16" t="s">
        <v>8248</v>
      </c>
      <c r="C1758" s="16" t="s">
        <v>8838</v>
      </c>
      <c r="D1758" s="16" t="s">
        <v>21</v>
      </c>
      <c r="E1758" s="36" t="s">
        <v>8444</v>
      </c>
      <c r="F1758" s="16" t="s">
        <v>369</v>
      </c>
      <c r="G1758" s="17" t="str">
        <f>Config!$B$3</f>
        <v>SCH/R_IEC.SchLib</v>
      </c>
      <c r="H1758" s="16" t="s">
        <v>419</v>
      </c>
      <c r="I1758" s="18" t="s">
        <v>7493</v>
      </c>
      <c r="J1758" s="16" t="s">
        <v>8863</v>
      </c>
      <c r="K1758" s="16"/>
      <c r="L1758" s="16"/>
      <c r="M1758" s="20">
        <v>1000000</v>
      </c>
      <c r="N1758" s="19" t="s">
        <v>8460</v>
      </c>
      <c r="O1758" s="16" t="s">
        <v>4414</v>
      </c>
      <c r="P1758" s="16"/>
      <c r="Q1758" s="16"/>
      <c r="R1758" s="16"/>
      <c r="S1758" s="16"/>
      <c r="T1758" s="16"/>
      <c r="U1758" s="16"/>
      <c r="V1758" s="16"/>
      <c r="W1758" s="17"/>
      <c r="X1758" s="17"/>
      <c r="Y1758" s="17"/>
      <c r="Z1758" s="17"/>
      <c r="AA1758" s="17"/>
      <c r="AB1758" s="17"/>
    </row>
    <row r="1759" spans="1:28">
      <c r="A1759" s="16" t="s">
        <v>8669</v>
      </c>
      <c r="B1759" s="16" t="s">
        <v>8249</v>
      </c>
      <c r="C1759" s="16" t="s">
        <v>8839</v>
      </c>
      <c r="D1759" s="16" t="s">
        <v>21</v>
      </c>
      <c r="E1759" s="36" t="s">
        <v>8444</v>
      </c>
      <c r="F1759" s="16" t="s">
        <v>371</v>
      </c>
      <c r="G1759" s="17" t="str">
        <f>Config!$B$3</f>
        <v>SCH/R_IEC.SchLib</v>
      </c>
      <c r="H1759" s="16" t="s">
        <v>419</v>
      </c>
      <c r="I1759" s="18" t="s">
        <v>7493</v>
      </c>
      <c r="J1759" s="16" t="s">
        <v>8863</v>
      </c>
      <c r="K1759" s="16"/>
      <c r="L1759" s="16"/>
      <c r="M1759" s="20">
        <v>1100000</v>
      </c>
      <c r="N1759" s="19" t="s">
        <v>8460</v>
      </c>
      <c r="O1759" s="16" t="s">
        <v>4414</v>
      </c>
      <c r="P1759" s="16"/>
      <c r="Q1759" s="16"/>
      <c r="R1759" s="16"/>
      <c r="S1759" s="16"/>
      <c r="T1759" s="16"/>
      <c r="U1759" s="16"/>
      <c r="V1759" s="16"/>
      <c r="W1759" s="17"/>
      <c r="X1759" s="17"/>
      <c r="Y1759" s="17"/>
      <c r="Z1759" s="17"/>
      <c r="AA1759" s="17"/>
      <c r="AB1759" s="17"/>
    </row>
    <row r="1760" spans="1:28">
      <c r="A1760" s="16" t="s">
        <v>8670</v>
      </c>
      <c r="B1760" s="16" t="s">
        <v>8250</v>
      </c>
      <c r="C1760" s="16" t="s">
        <v>8840</v>
      </c>
      <c r="D1760" s="16" t="s">
        <v>21</v>
      </c>
      <c r="E1760" s="36" t="s">
        <v>8444</v>
      </c>
      <c r="F1760" s="16" t="s">
        <v>373</v>
      </c>
      <c r="G1760" s="17" t="str">
        <f>Config!$B$3</f>
        <v>SCH/R_IEC.SchLib</v>
      </c>
      <c r="H1760" s="16" t="s">
        <v>419</v>
      </c>
      <c r="I1760" s="18" t="s">
        <v>7493</v>
      </c>
      <c r="J1760" s="16" t="s">
        <v>8863</v>
      </c>
      <c r="K1760" s="16"/>
      <c r="L1760" s="16"/>
      <c r="M1760" s="20">
        <v>1200000</v>
      </c>
      <c r="N1760" s="19" t="s">
        <v>8460</v>
      </c>
      <c r="O1760" s="16" t="s">
        <v>4414</v>
      </c>
      <c r="P1760" s="16"/>
      <c r="Q1760" s="16"/>
      <c r="R1760" s="16"/>
      <c r="S1760" s="16"/>
      <c r="T1760" s="16"/>
      <c r="U1760" s="16"/>
      <c r="V1760" s="16"/>
      <c r="W1760" s="17"/>
      <c r="X1760" s="17"/>
      <c r="Y1760" s="17"/>
      <c r="Z1760" s="17"/>
      <c r="AA1760" s="17"/>
      <c r="AB1760" s="17"/>
    </row>
    <row r="1761" spans="1:28">
      <c r="A1761" s="16" t="s">
        <v>8671</v>
      </c>
      <c r="B1761" s="16" t="s">
        <v>8251</v>
      </c>
      <c r="C1761" s="16" t="s">
        <v>8841</v>
      </c>
      <c r="D1761" s="16" t="s">
        <v>21</v>
      </c>
      <c r="E1761" s="36" t="s">
        <v>8444</v>
      </c>
      <c r="F1761" s="16" t="s">
        <v>375</v>
      </c>
      <c r="G1761" s="17" t="str">
        <f>Config!$B$3</f>
        <v>SCH/R_IEC.SchLib</v>
      </c>
      <c r="H1761" s="16" t="s">
        <v>419</v>
      </c>
      <c r="I1761" s="18" t="s">
        <v>7493</v>
      </c>
      <c r="J1761" s="16" t="s">
        <v>8863</v>
      </c>
      <c r="K1761" s="16"/>
      <c r="L1761" s="16"/>
      <c r="M1761" s="20">
        <v>1300000</v>
      </c>
      <c r="N1761" s="19" t="s">
        <v>8460</v>
      </c>
      <c r="O1761" s="16" t="s">
        <v>4414</v>
      </c>
      <c r="P1761" s="16"/>
      <c r="Q1761" s="16"/>
      <c r="R1761" s="16"/>
      <c r="S1761" s="16"/>
      <c r="T1761" s="16"/>
      <c r="U1761" s="16"/>
      <c r="V1761" s="16"/>
      <c r="W1761" s="17"/>
      <c r="X1761" s="17"/>
      <c r="Y1761" s="17"/>
      <c r="Z1761" s="17"/>
      <c r="AA1761" s="17"/>
      <c r="AB1761" s="17"/>
    </row>
    <row r="1762" spans="1:28">
      <c r="A1762" s="16" t="s">
        <v>8672</v>
      </c>
      <c r="B1762" s="16" t="s">
        <v>8252</v>
      </c>
      <c r="C1762" s="16" t="s">
        <v>8842</v>
      </c>
      <c r="D1762" s="16" t="s">
        <v>21</v>
      </c>
      <c r="E1762" s="36" t="s">
        <v>8444</v>
      </c>
      <c r="F1762" s="16" t="s">
        <v>377</v>
      </c>
      <c r="G1762" s="17" t="str">
        <f>Config!$B$3</f>
        <v>SCH/R_IEC.SchLib</v>
      </c>
      <c r="H1762" s="16" t="s">
        <v>419</v>
      </c>
      <c r="I1762" s="18" t="s">
        <v>7493</v>
      </c>
      <c r="J1762" s="16" t="s">
        <v>8863</v>
      </c>
      <c r="K1762" s="16"/>
      <c r="L1762" s="16"/>
      <c r="M1762" s="20">
        <v>1500000</v>
      </c>
      <c r="N1762" s="19" t="s">
        <v>8460</v>
      </c>
      <c r="O1762" s="16" t="s">
        <v>4414</v>
      </c>
      <c r="P1762" s="16"/>
      <c r="Q1762" s="16"/>
      <c r="R1762" s="16"/>
      <c r="S1762" s="16"/>
      <c r="T1762" s="16"/>
      <c r="U1762" s="16"/>
      <c r="V1762" s="16"/>
      <c r="W1762" s="17"/>
      <c r="X1762" s="17"/>
      <c r="Y1762" s="17"/>
      <c r="Z1762" s="17"/>
      <c r="AA1762" s="17"/>
      <c r="AB1762" s="17"/>
    </row>
    <row r="1763" spans="1:28">
      <c r="A1763" s="16" t="s">
        <v>8673</v>
      </c>
      <c r="B1763" s="16" t="s">
        <v>8253</v>
      </c>
      <c r="C1763" s="16" t="s">
        <v>8843</v>
      </c>
      <c r="D1763" s="16" t="s">
        <v>21</v>
      </c>
      <c r="E1763" s="36" t="s">
        <v>8444</v>
      </c>
      <c r="F1763" s="16" t="s">
        <v>379</v>
      </c>
      <c r="G1763" s="17" t="str">
        <f>Config!$B$3</f>
        <v>SCH/R_IEC.SchLib</v>
      </c>
      <c r="H1763" s="16" t="s">
        <v>419</v>
      </c>
      <c r="I1763" s="18" t="s">
        <v>7493</v>
      </c>
      <c r="J1763" s="16" t="s">
        <v>8863</v>
      </c>
      <c r="K1763" s="16"/>
      <c r="L1763" s="16"/>
      <c r="M1763" s="20">
        <v>1600000</v>
      </c>
      <c r="N1763" s="19" t="s">
        <v>8460</v>
      </c>
      <c r="O1763" s="16" t="s">
        <v>4414</v>
      </c>
      <c r="P1763" s="16"/>
      <c r="Q1763" s="16"/>
      <c r="R1763" s="16"/>
      <c r="S1763" s="16"/>
      <c r="T1763" s="16"/>
      <c r="U1763" s="16"/>
      <c r="V1763" s="16"/>
      <c r="W1763" s="17"/>
      <c r="X1763" s="17"/>
      <c r="Y1763" s="17"/>
      <c r="Z1763" s="17"/>
      <c r="AA1763" s="17"/>
      <c r="AB1763" s="17"/>
    </row>
    <row r="1764" spans="1:28">
      <c r="A1764" s="16" t="s">
        <v>8674</v>
      </c>
      <c r="B1764" s="16" t="s">
        <v>8254</v>
      </c>
      <c r="C1764" s="16" t="s">
        <v>8844</v>
      </c>
      <c r="D1764" s="16" t="s">
        <v>21</v>
      </c>
      <c r="E1764" s="36" t="s">
        <v>8444</v>
      </c>
      <c r="F1764" s="16" t="s">
        <v>381</v>
      </c>
      <c r="G1764" s="17" t="str">
        <f>Config!$B$3</f>
        <v>SCH/R_IEC.SchLib</v>
      </c>
      <c r="H1764" s="16" t="s">
        <v>419</v>
      </c>
      <c r="I1764" s="18" t="s">
        <v>7493</v>
      </c>
      <c r="J1764" s="16" t="s">
        <v>8863</v>
      </c>
      <c r="K1764" s="16"/>
      <c r="L1764" s="16"/>
      <c r="M1764" s="20">
        <v>1800000</v>
      </c>
      <c r="N1764" s="19" t="s">
        <v>8460</v>
      </c>
      <c r="O1764" s="16" t="s">
        <v>4414</v>
      </c>
      <c r="P1764" s="16"/>
      <c r="Q1764" s="16"/>
      <c r="R1764" s="16"/>
      <c r="S1764" s="16"/>
      <c r="T1764" s="16"/>
      <c r="U1764" s="16"/>
      <c r="V1764" s="16"/>
      <c r="W1764" s="17"/>
      <c r="X1764" s="17"/>
      <c r="Y1764" s="17"/>
      <c r="Z1764" s="17"/>
      <c r="AA1764" s="17"/>
      <c r="AB1764" s="17"/>
    </row>
    <row r="1765" spans="1:28">
      <c r="A1765" s="16" t="s">
        <v>8675</v>
      </c>
      <c r="B1765" s="16" t="s">
        <v>8255</v>
      </c>
      <c r="C1765" s="16" t="s">
        <v>8845</v>
      </c>
      <c r="D1765" s="16" t="s">
        <v>21</v>
      </c>
      <c r="E1765" s="36" t="s">
        <v>8444</v>
      </c>
      <c r="F1765" s="16" t="s">
        <v>383</v>
      </c>
      <c r="G1765" s="17" t="str">
        <f>Config!$B$3</f>
        <v>SCH/R_IEC.SchLib</v>
      </c>
      <c r="H1765" s="16" t="s">
        <v>419</v>
      </c>
      <c r="I1765" s="18" t="s">
        <v>7493</v>
      </c>
      <c r="J1765" s="16" t="s">
        <v>8863</v>
      </c>
      <c r="K1765" s="16"/>
      <c r="L1765" s="16"/>
      <c r="M1765" s="20">
        <v>2000000</v>
      </c>
      <c r="N1765" s="19" t="s">
        <v>8460</v>
      </c>
      <c r="O1765" s="16" t="s">
        <v>4414</v>
      </c>
      <c r="P1765" s="16"/>
      <c r="Q1765" s="16"/>
      <c r="R1765" s="16"/>
      <c r="S1765" s="16"/>
      <c r="T1765" s="16"/>
      <c r="U1765" s="16"/>
      <c r="V1765" s="16"/>
      <c r="W1765" s="17"/>
      <c r="X1765" s="17"/>
      <c r="Y1765" s="17"/>
      <c r="Z1765" s="17"/>
      <c r="AA1765" s="17"/>
      <c r="AB1765" s="17"/>
    </row>
    <row r="1766" spans="1:28">
      <c r="A1766" s="16" t="s">
        <v>8676</v>
      </c>
      <c r="B1766" s="16" t="s">
        <v>8256</v>
      </c>
      <c r="C1766" s="16" t="s">
        <v>8846</v>
      </c>
      <c r="D1766" s="16" t="s">
        <v>21</v>
      </c>
      <c r="E1766" s="36" t="s">
        <v>8444</v>
      </c>
      <c r="F1766" s="16" t="s">
        <v>385</v>
      </c>
      <c r="G1766" s="17" t="str">
        <f>Config!$B$3</f>
        <v>SCH/R_IEC.SchLib</v>
      </c>
      <c r="H1766" s="16" t="s">
        <v>419</v>
      </c>
      <c r="I1766" s="18" t="s">
        <v>7493</v>
      </c>
      <c r="J1766" s="16" t="s">
        <v>8863</v>
      </c>
      <c r="K1766" s="16"/>
      <c r="L1766" s="16"/>
      <c r="M1766" s="20">
        <v>2200000</v>
      </c>
      <c r="N1766" s="19" t="s">
        <v>8460</v>
      </c>
      <c r="O1766" s="16" t="s">
        <v>4414</v>
      </c>
      <c r="P1766" s="16"/>
      <c r="Q1766" s="16"/>
      <c r="R1766" s="16"/>
      <c r="S1766" s="16"/>
      <c r="T1766" s="16"/>
      <c r="U1766" s="16"/>
      <c r="V1766" s="16"/>
      <c r="W1766" s="17"/>
      <c r="X1766" s="17"/>
      <c r="Y1766" s="17"/>
      <c r="Z1766" s="17"/>
      <c r="AA1766" s="17"/>
      <c r="AB1766" s="17"/>
    </row>
    <row r="1767" spans="1:28">
      <c r="A1767" s="16" t="s">
        <v>8677</v>
      </c>
      <c r="B1767" s="16" t="s">
        <v>8257</v>
      </c>
      <c r="C1767" s="16" t="s">
        <v>8847</v>
      </c>
      <c r="D1767" s="16" t="s">
        <v>21</v>
      </c>
      <c r="E1767" s="36" t="s">
        <v>8444</v>
      </c>
      <c r="F1767" s="16" t="s">
        <v>387</v>
      </c>
      <c r="G1767" s="17" t="str">
        <f>Config!$B$3</f>
        <v>SCH/R_IEC.SchLib</v>
      </c>
      <c r="H1767" s="16" t="s">
        <v>419</v>
      </c>
      <c r="I1767" s="18" t="s">
        <v>7493</v>
      </c>
      <c r="J1767" s="16" t="s">
        <v>8863</v>
      </c>
      <c r="K1767" s="16"/>
      <c r="L1767" s="16"/>
      <c r="M1767" s="20">
        <v>2400000</v>
      </c>
      <c r="N1767" s="19" t="s">
        <v>8460</v>
      </c>
      <c r="O1767" s="16" t="s">
        <v>4414</v>
      </c>
      <c r="P1767" s="16"/>
      <c r="Q1767" s="16"/>
      <c r="R1767" s="16"/>
      <c r="S1767" s="16"/>
      <c r="T1767" s="16"/>
      <c r="U1767" s="16"/>
      <c r="V1767" s="16"/>
      <c r="W1767" s="17"/>
      <c r="X1767" s="17"/>
      <c r="Y1767" s="17"/>
      <c r="Z1767" s="17"/>
      <c r="AA1767" s="17"/>
      <c r="AB1767" s="17"/>
    </row>
    <row r="1768" spans="1:28">
      <c r="A1768" s="16" t="s">
        <v>8678</v>
      </c>
      <c r="B1768" s="16" t="s">
        <v>8258</v>
      </c>
      <c r="C1768" s="16" t="s">
        <v>8848</v>
      </c>
      <c r="D1768" s="16" t="s">
        <v>21</v>
      </c>
      <c r="E1768" s="36" t="s">
        <v>8444</v>
      </c>
      <c r="F1768" s="16" t="s">
        <v>389</v>
      </c>
      <c r="G1768" s="17" t="str">
        <f>Config!$B$3</f>
        <v>SCH/R_IEC.SchLib</v>
      </c>
      <c r="H1768" s="16" t="s">
        <v>419</v>
      </c>
      <c r="I1768" s="18" t="s">
        <v>7493</v>
      </c>
      <c r="J1768" s="16" t="s">
        <v>8863</v>
      </c>
      <c r="K1768" s="16"/>
      <c r="L1768" s="16"/>
      <c r="M1768" s="20">
        <v>2700000</v>
      </c>
      <c r="N1768" s="19" t="s">
        <v>8460</v>
      </c>
      <c r="O1768" s="16" t="s">
        <v>4414</v>
      </c>
      <c r="P1768" s="16"/>
      <c r="Q1768" s="16"/>
      <c r="R1768" s="16"/>
      <c r="S1768" s="16"/>
      <c r="T1768" s="16"/>
      <c r="U1768" s="16"/>
      <c r="V1768" s="16"/>
      <c r="W1768" s="17"/>
      <c r="X1768" s="17"/>
      <c r="Y1768" s="17"/>
      <c r="Z1768" s="17"/>
      <c r="AA1768" s="17"/>
      <c r="AB1768" s="17"/>
    </row>
    <row r="1769" spans="1:28">
      <c r="A1769" s="16" t="s">
        <v>8679</v>
      </c>
      <c r="B1769" s="16" t="s">
        <v>8259</v>
      </c>
      <c r="C1769" s="16" t="s">
        <v>8849</v>
      </c>
      <c r="D1769" s="16" t="s">
        <v>21</v>
      </c>
      <c r="E1769" s="36" t="s">
        <v>8444</v>
      </c>
      <c r="F1769" s="16" t="s">
        <v>391</v>
      </c>
      <c r="G1769" s="17" t="str">
        <f>Config!$B$3</f>
        <v>SCH/R_IEC.SchLib</v>
      </c>
      <c r="H1769" s="16" t="s">
        <v>419</v>
      </c>
      <c r="I1769" s="18" t="s">
        <v>7493</v>
      </c>
      <c r="J1769" s="16" t="s">
        <v>8863</v>
      </c>
      <c r="K1769" s="16"/>
      <c r="L1769" s="16"/>
      <c r="M1769" s="20">
        <v>3000000</v>
      </c>
      <c r="N1769" s="19" t="s">
        <v>8460</v>
      </c>
      <c r="O1769" s="16" t="s">
        <v>4414</v>
      </c>
      <c r="P1769" s="16"/>
      <c r="Q1769" s="16"/>
      <c r="R1769" s="16"/>
      <c r="S1769" s="16"/>
      <c r="T1769" s="16"/>
      <c r="U1769" s="16"/>
      <c r="V1769" s="16"/>
      <c r="W1769" s="17"/>
      <c r="X1769" s="17"/>
      <c r="Y1769" s="17"/>
      <c r="Z1769" s="17"/>
      <c r="AA1769" s="17"/>
      <c r="AB1769" s="17"/>
    </row>
    <row r="1770" spans="1:28">
      <c r="A1770" s="16" t="s">
        <v>8680</v>
      </c>
      <c r="B1770" s="16" t="s">
        <v>8260</v>
      </c>
      <c r="C1770" s="16" t="s">
        <v>8850</v>
      </c>
      <c r="D1770" s="16" t="s">
        <v>21</v>
      </c>
      <c r="E1770" s="36" t="s">
        <v>8444</v>
      </c>
      <c r="F1770" s="16" t="s">
        <v>393</v>
      </c>
      <c r="G1770" s="17" t="str">
        <f>Config!$B$3</f>
        <v>SCH/R_IEC.SchLib</v>
      </c>
      <c r="H1770" s="16" t="s">
        <v>419</v>
      </c>
      <c r="I1770" s="18" t="s">
        <v>7493</v>
      </c>
      <c r="J1770" s="16" t="s">
        <v>8863</v>
      </c>
      <c r="K1770" s="16"/>
      <c r="L1770" s="16"/>
      <c r="M1770" s="20">
        <v>3300000</v>
      </c>
      <c r="N1770" s="19" t="s">
        <v>8460</v>
      </c>
      <c r="O1770" s="16" t="s">
        <v>4414</v>
      </c>
      <c r="P1770" s="16"/>
      <c r="Q1770" s="16"/>
      <c r="R1770" s="16"/>
      <c r="S1770" s="16"/>
      <c r="T1770" s="16"/>
      <c r="U1770" s="16"/>
      <c r="V1770" s="16"/>
      <c r="W1770" s="17"/>
      <c r="X1770" s="17"/>
      <c r="Y1770" s="17"/>
      <c r="Z1770" s="17"/>
      <c r="AA1770" s="17"/>
      <c r="AB1770" s="17"/>
    </row>
    <row r="1771" spans="1:28">
      <c r="A1771" s="16" t="s">
        <v>8681</v>
      </c>
      <c r="B1771" s="16" t="s">
        <v>8261</v>
      </c>
      <c r="C1771" s="16" t="s">
        <v>8851</v>
      </c>
      <c r="D1771" s="16" t="s">
        <v>21</v>
      </c>
      <c r="E1771" s="36" t="s">
        <v>8444</v>
      </c>
      <c r="F1771" s="16" t="s">
        <v>395</v>
      </c>
      <c r="G1771" s="17" t="str">
        <f>Config!$B$3</f>
        <v>SCH/R_IEC.SchLib</v>
      </c>
      <c r="H1771" s="16" t="s">
        <v>419</v>
      </c>
      <c r="I1771" s="18" t="s">
        <v>7493</v>
      </c>
      <c r="J1771" s="16" t="s">
        <v>8863</v>
      </c>
      <c r="K1771" s="16"/>
      <c r="L1771" s="16"/>
      <c r="M1771" s="20">
        <v>3600000</v>
      </c>
      <c r="N1771" s="19" t="s">
        <v>8460</v>
      </c>
      <c r="O1771" s="16" t="s">
        <v>4414</v>
      </c>
      <c r="P1771" s="16"/>
      <c r="Q1771" s="16"/>
      <c r="R1771" s="16"/>
      <c r="S1771" s="16"/>
      <c r="T1771" s="16"/>
      <c r="U1771" s="16"/>
      <c r="V1771" s="16"/>
      <c r="W1771" s="17"/>
      <c r="X1771" s="17"/>
      <c r="Y1771" s="17"/>
      <c r="Z1771" s="17"/>
      <c r="AA1771" s="17"/>
      <c r="AB1771" s="17"/>
    </row>
    <row r="1772" spans="1:28">
      <c r="A1772" s="16" t="s">
        <v>8682</v>
      </c>
      <c r="B1772" s="16" t="s">
        <v>8262</v>
      </c>
      <c r="C1772" s="16" t="s">
        <v>8852</v>
      </c>
      <c r="D1772" s="16" t="s">
        <v>21</v>
      </c>
      <c r="E1772" s="36" t="s">
        <v>8444</v>
      </c>
      <c r="F1772" s="16" t="s">
        <v>397</v>
      </c>
      <c r="G1772" s="17" t="str">
        <f>Config!$B$3</f>
        <v>SCH/R_IEC.SchLib</v>
      </c>
      <c r="H1772" s="16" t="s">
        <v>419</v>
      </c>
      <c r="I1772" s="18" t="s">
        <v>7493</v>
      </c>
      <c r="J1772" s="16" t="s">
        <v>8863</v>
      </c>
      <c r="K1772" s="16"/>
      <c r="L1772" s="16"/>
      <c r="M1772" s="20">
        <v>3900000</v>
      </c>
      <c r="N1772" s="19" t="s">
        <v>8460</v>
      </c>
      <c r="O1772" s="16" t="s">
        <v>4414</v>
      </c>
      <c r="P1772" s="16"/>
      <c r="Q1772" s="16"/>
      <c r="R1772" s="16"/>
      <c r="S1772" s="16"/>
      <c r="T1772" s="16"/>
      <c r="U1772" s="16"/>
      <c r="V1772" s="16"/>
      <c r="W1772" s="17"/>
      <c r="X1772" s="17"/>
      <c r="Y1772" s="17"/>
      <c r="Z1772" s="17"/>
      <c r="AA1772" s="17"/>
      <c r="AB1772" s="17"/>
    </row>
    <row r="1773" spans="1:28">
      <c r="A1773" s="16" t="s">
        <v>8683</v>
      </c>
      <c r="B1773" s="16" t="s">
        <v>8263</v>
      </c>
      <c r="C1773" s="16" t="s">
        <v>8853</v>
      </c>
      <c r="D1773" s="16" t="s">
        <v>21</v>
      </c>
      <c r="E1773" s="36" t="s">
        <v>8444</v>
      </c>
      <c r="F1773" s="16" t="s">
        <v>399</v>
      </c>
      <c r="G1773" s="17" t="str">
        <f>Config!$B$3</f>
        <v>SCH/R_IEC.SchLib</v>
      </c>
      <c r="H1773" s="16" t="s">
        <v>419</v>
      </c>
      <c r="I1773" s="18" t="s">
        <v>7493</v>
      </c>
      <c r="J1773" s="16" t="s">
        <v>8863</v>
      </c>
      <c r="K1773" s="16"/>
      <c r="L1773" s="16"/>
      <c r="M1773" s="20">
        <v>4300000</v>
      </c>
      <c r="N1773" s="19" t="s">
        <v>8460</v>
      </c>
      <c r="O1773" s="16" t="s">
        <v>4414</v>
      </c>
      <c r="P1773" s="16"/>
      <c r="Q1773" s="16"/>
      <c r="R1773" s="16"/>
      <c r="S1773" s="16"/>
      <c r="T1773" s="16"/>
      <c r="U1773" s="16"/>
      <c r="V1773" s="16"/>
      <c r="W1773" s="17"/>
      <c r="X1773" s="17"/>
      <c r="Y1773" s="17"/>
      <c r="Z1773" s="17"/>
      <c r="AA1773" s="17"/>
      <c r="AB1773" s="17"/>
    </row>
    <row r="1774" spans="1:28">
      <c r="A1774" s="16" t="s">
        <v>8684</v>
      </c>
      <c r="B1774" s="16" t="s">
        <v>8264</v>
      </c>
      <c r="C1774" s="16" t="s">
        <v>8854</v>
      </c>
      <c r="D1774" s="16" t="s">
        <v>21</v>
      </c>
      <c r="E1774" s="36" t="s">
        <v>8444</v>
      </c>
      <c r="F1774" s="16" t="s">
        <v>401</v>
      </c>
      <c r="G1774" s="17" t="str">
        <f>Config!$B$3</f>
        <v>SCH/R_IEC.SchLib</v>
      </c>
      <c r="H1774" s="16" t="s">
        <v>419</v>
      </c>
      <c r="I1774" s="18" t="s">
        <v>7493</v>
      </c>
      <c r="J1774" s="16" t="s">
        <v>8863</v>
      </c>
      <c r="K1774" s="16"/>
      <c r="L1774" s="16"/>
      <c r="M1774" s="20">
        <v>4700000</v>
      </c>
      <c r="N1774" s="19" t="s">
        <v>8460</v>
      </c>
      <c r="O1774" s="16" t="s">
        <v>4414</v>
      </c>
      <c r="P1774" s="16"/>
      <c r="Q1774" s="16"/>
      <c r="R1774" s="16"/>
      <c r="S1774" s="16"/>
      <c r="T1774" s="16"/>
      <c r="U1774" s="16"/>
      <c r="V1774" s="16"/>
      <c r="W1774" s="17"/>
      <c r="X1774" s="17"/>
      <c r="Y1774" s="17"/>
      <c r="Z1774" s="17"/>
      <c r="AA1774" s="17"/>
      <c r="AB1774" s="17"/>
    </row>
    <row r="1775" spans="1:28">
      <c r="A1775" s="16" t="s">
        <v>8685</v>
      </c>
      <c r="B1775" s="16" t="s">
        <v>8265</v>
      </c>
      <c r="C1775" s="16" t="s">
        <v>8855</v>
      </c>
      <c r="D1775" s="16" t="s">
        <v>21</v>
      </c>
      <c r="E1775" s="36" t="s">
        <v>8444</v>
      </c>
      <c r="F1775" s="16" t="s">
        <v>403</v>
      </c>
      <c r="G1775" s="17" t="str">
        <f>Config!$B$3</f>
        <v>SCH/R_IEC.SchLib</v>
      </c>
      <c r="H1775" s="16" t="s">
        <v>419</v>
      </c>
      <c r="I1775" s="18" t="s">
        <v>7493</v>
      </c>
      <c r="J1775" s="16" t="s">
        <v>8863</v>
      </c>
      <c r="K1775" s="16"/>
      <c r="L1775" s="16"/>
      <c r="M1775" s="20">
        <v>5100000</v>
      </c>
      <c r="N1775" s="19" t="s">
        <v>8460</v>
      </c>
      <c r="O1775" s="16" t="s">
        <v>4414</v>
      </c>
      <c r="P1775" s="16"/>
      <c r="Q1775" s="16"/>
      <c r="R1775" s="16"/>
      <c r="S1775" s="16"/>
      <c r="T1775" s="16"/>
      <c r="U1775" s="16"/>
      <c r="V1775" s="16"/>
      <c r="W1775" s="17"/>
      <c r="X1775" s="17"/>
      <c r="Y1775" s="17"/>
      <c r="Z1775" s="17"/>
      <c r="AA1775" s="17"/>
      <c r="AB1775" s="17"/>
    </row>
    <row r="1776" spans="1:28">
      <c r="A1776" s="16" t="s">
        <v>8686</v>
      </c>
      <c r="B1776" s="16" t="s">
        <v>8266</v>
      </c>
      <c r="C1776" s="16" t="s">
        <v>8856</v>
      </c>
      <c r="D1776" s="16" t="s">
        <v>21</v>
      </c>
      <c r="E1776" s="36" t="s">
        <v>8444</v>
      </c>
      <c r="F1776" s="16" t="s">
        <v>405</v>
      </c>
      <c r="G1776" s="17" t="str">
        <f>Config!$B$3</f>
        <v>SCH/R_IEC.SchLib</v>
      </c>
      <c r="H1776" s="16" t="s">
        <v>419</v>
      </c>
      <c r="I1776" s="18" t="s">
        <v>7493</v>
      </c>
      <c r="J1776" s="16" t="s">
        <v>8863</v>
      </c>
      <c r="K1776" s="16"/>
      <c r="L1776" s="16"/>
      <c r="M1776" s="20">
        <v>5600000</v>
      </c>
      <c r="N1776" s="19" t="s">
        <v>8460</v>
      </c>
      <c r="O1776" s="16" t="s">
        <v>4414</v>
      </c>
      <c r="P1776" s="16"/>
      <c r="Q1776" s="16"/>
      <c r="R1776" s="16"/>
      <c r="S1776" s="16"/>
      <c r="T1776" s="16"/>
      <c r="U1776" s="16"/>
      <c r="V1776" s="16"/>
      <c r="W1776" s="17"/>
      <c r="X1776" s="17"/>
      <c r="Y1776" s="17"/>
      <c r="Z1776" s="17"/>
      <c r="AA1776" s="17"/>
      <c r="AB1776" s="17"/>
    </row>
    <row r="1777" spans="1:28">
      <c r="A1777" s="16" t="s">
        <v>8687</v>
      </c>
      <c r="B1777" s="16" t="s">
        <v>8267</v>
      </c>
      <c r="C1777" s="16" t="s">
        <v>8857</v>
      </c>
      <c r="D1777" s="16" t="s">
        <v>21</v>
      </c>
      <c r="E1777" s="36" t="s">
        <v>8444</v>
      </c>
      <c r="F1777" s="16" t="s">
        <v>407</v>
      </c>
      <c r="G1777" s="17" t="str">
        <f>Config!$B$3</f>
        <v>SCH/R_IEC.SchLib</v>
      </c>
      <c r="H1777" s="16" t="s">
        <v>419</v>
      </c>
      <c r="I1777" s="18" t="s">
        <v>7493</v>
      </c>
      <c r="J1777" s="16" t="s">
        <v>8863</v>
      </c>
      <c r="K1777" s="16"/>
      <c r="L1777" s="16"/>
      <c r="M1777" s="20">
        <v>6200000</v>
      </c>
      <c r="N1777" s="19" t="s">
        <v>8460</v>
      </c>
      <c r="O1777" s="16" t="s">
        <v>4414</v>
      </c>
      <c r="P1777" s="16"/>
      <c r="Q1777" s="16"/>
      <c r="R1777" s="16"/>
      <c r="S1777" s="16"/>
      <c r="T1777" s="16"/>
      <c r="U1777" s="16"/>
      <c r="V1777" s="16"/>
      <c r="W1777" s="17"/>
      <c r="X1777" s="17"/>
      <c r="Y1777" s="17"/>
      <c r="Z1777" s="17"/>
      <c r="AA1777" s="17"/>
      <c r="AB1777" s="17"/>
    </row>
    <row r="1778" spans="1:28">
      <c r="A1778" s="16" t="s">
        <v>8688</v>
      </c>
      <c r="B1778" s="16" t="s">
        <v>8268</v>
      </c>
      <c r="C1778" s="16" t="s">
        <v>8858</v>
      </c>
      <c r="D1778" s="16" t="s">
        <v>21</v>
      </c>
      <c r="E1778" s="36" t="s">
        <v>8444</v>
      </c>
      <c r="F1778" s="16" t="s">
        <v>409</v>
      </c>
      <c r="G1778" s="17" t="str">
        <f>Config!$B$3</f>
        <v>SCH/R_IEC.SchLib</v>
      </c>
      <c r="H1778" s="16" t="s">
        <v>419</v>
      </c>
      <c r="I1778" s="18" t="s">
        <v>7493</v>
      </c>
      <c r="J1778" s="16" t="s">
        <v>8863</v>
      </c>
      <c r="K1778" s="16"/>
      <c r="L1778" s="16"/>
      <c r="M1778" s="20">
        <v>6800000</v>
      </c>
      <c r="N1778" s="19" t="s">
        <v>8460</v>
      </c>
      <c r="O1778" s="16" t="s">
        <v>4414</v>
      </c>
      <c r="P1778" s="16"/>
      <c r="Q1778" s="16"/>
      <c r="R1778" s="16"/>
      <c r="S1778" s="16"/>
      <c r="T1778" s="16"/>
      <c r="U1778" s="16"/>
      <c r="V1778" s="16"/>
      <c r="W1778" s="17"/>
      <c r="X1778" s="17"/>
      <c r="Y1778" s="17"/>
      <c r="Z1778" s="17"/>
      <c r="AA1778" s="17"/>
      <c r="AB1778" s="17"/>
    </row>
    <row r="1779" spans="1:28">
      <c r="A1779" s="16" t="s">
        <v>8689</v>
      </c>
      <c r="B1779" s="16" t="s">
        <v>8269</v>
      </c>
      <c r="C1779" s="16" t="s">
        <v>8859</v>
      </c>
      <c r="D1779" s="16" t="s">
        <v>21</v>
      </c>
      <c r="E1779" s="36" t="s">
        <v>8444</v>
      </c>
      <c r="F1779" s="16" t="s">
        <v>411</v>
      </c>
      <c r="G1779" s="17" t="str">
        <f>Config!$B$3</f>
        <v>SCH/R_IEC.SchLib</v>
      </c>
      <c r="H1779" s="16" t="s">
        <v>419</v>
      </c>
      <c r="I1779" s="18" t="s">
        <v>7493</v>
      </c>
      <c r="J1779" s="16" t="s">
        <v>8863</v>
      </c>
      <c r="K1779" s="16"/>
      <c r="L1779" s="16"/>
      <c r="M1779" s="20">
        <v>7500000</v>
      </c>
      <c r="N1779" s="19" t="s">
        <v>8460</v>
      </c>
      <c r="O1779" s="16" t="s">
        <v>4414</v>
      </c>
      <c r="P1779" s="16"/>
      <c r="Q1779" s="16"/>
      <c r="R1779" s="16"/>
      <c r="S1779" s="16"/>
      <c r="T1779" s="16"/>
      <c r="U1779" s="16"/>
      <c r="V1779" s="16"/>
      <c r="W1779" s="17"/>
      <c r="X1779" s="17"/>
      <c r="Y1779" s="17"/>
      <c r="Z1779" s="17"/>
      <c r="AA1779" s="17"/>
      <c r="AB1779" s="17"/>
    </row>
    <row r="1780" spans="1:28">
      <c r="A1780" s="17" t="s">
        <v>8690</v>
      </c>
      <c r="B1780" s="17" t="s">
        <v>8270</v>
      </c>
      <c r="C1780" s="17" t="s">
        <v>8860</v>
      </c>
      <c r="D1780" s="17" t="s">
        <v>21</v>
      </c>
      <c r="E1780" s="37" t="s">
        <v>8444</v>
      </c>
      <c r="F1780" s="17" t="s">
        <v>413</v>
      </c>
      <c r="G1780" s="17" t="str">
        <f>Config!$B$3</f>
        <v>SCH/R_IEC.SchLib</v>
      </c>
      <c r="H1780" s="17" t="s">
        <v>419</v>
      </c>
      <c r="I1780" s="18" t="s">
        <v>7493</v>
      </c>
      <c r="J1780" s="16" t="s">
        <v>8863</v>
      </c>
      <c r="K1780" s="16"/>
      <c r="L1780" s="16"/>
      <c r="M1780" s="21">
        <v>8200000</v>
      </c>
      <c r="N1780" s="19" t="s">
        <v>8460</v>
      </c>
      <c r="O1780" s="16" t="s">
        <v>4414</v>
      </c>
      <c r="P1780" s="17"/>
      <c r="Q1780" s="17"/>
      <c r="R1780" s="17"/>
      <c r="S1780" s="17"/>
      <c r="T1780" s="17"/>
      <c r="U1780" s="17"/>
      <c r="V1780" s="17"/>
      <c r="W1780" s="17"/>
      <c r="X1780" s="17"/>
      <c r="Y1780" s="17"/>
      <c r="Z1780" s="17"/>
      <c r="AA1780" s="17"/>
      <c r="AB1780" s="17"/>
    </row>
    <row r="1781" spans="1:28">
      <c r="A1781" s="17" t="s">
        <v>8691</v>
      </c>
      <c r="B1781" s="17" t="s">
        <v>8271</v>
      </c>
      <c r="C1781" s="17" t="s">
        <v>8861</v>
      </c>
      <c r="D1781" s="17" t="s">
        <v>21</v>
      </c>
      <c r="E1781" s="37" t="s">
        <v>8444</v>
      </c>
      <c r="F1781" s="17" t="s">
        <v>415</v>
      </c>
      <c r="G1781" s="17" t="str">
        <f>Config!$B$3</f>
        <v>SCH/R_IEC.SchLib</v>
      </c>
      <c r="H1781" s="17" t="s">
        <v>419</v>
      </c>
      <c r="I1781" s="18" t="s">
        <v>7493</v>
      </c>
      <c r="J1781" s="16" t="s">
        <v>8863</v>
      </c>
      <c r="K1781" s="16"/>
      <c r="L1781" s="16"/>
      <c r="M1781" s="21">
        <v>9100000</v>
      </c>
      <c r="N1781" s="19" t="s">
        <v>8460</v>
      </c>
      <c r="O1781" s="16" t="s">
        <v>4414</v>
      </c>
      <c r="P1781" s="17"/>
      <c r="Q1781" s="17"/>
      <c r="R1781" s="17"/>
      <c r="S1781" s="17"/>
      <c r="T1781" s="17"/>
      <c r="U1781" s="17"/>
      <c r="V1781" s="17"/>
      <c r="W1781" s="17"/>
      <c r="X1781" s="17"/>
      <c r="Y1781" s="17"/>
      <c r="Z1781" s="17"/>
      <c r="AA1781" s="17"/>
      <c r="AB1781" s="17"/>
    </row>
    <row r="1782" spans="1:28">
      <c r="A1782" s="17" t="s">
        <v>8692</v>
      </c>
      <c r="B1782" s="17" t="s">
        <v>8272</v>
      </c>
      <c r="C1782" s="17" t="s">
        <v>8862</v>
      </c>
      <c r="D1782" s="17" t="s">
        <v>21</v>
      </c>
      <c r="E1782" s="37" t="s">
        <v>8444</v>
      </c>
      <c r="F1782" s="17" t="s">
        <v>417</v>
      </c>
      <c r="G1782" s="17" t="str">
        <f>Config!$B$3</f>
        <v>SCH/R_IEC.SchLib</v>
      </c>
      <c r="H1782" s="17" t="s">
        <v>419</v>
      </c>
      <c r="I1782" s="18" t="s">
        <v>7493</v>
      </c>
      <c r="J1782" s="16" t="s">
        <v>8863</v>
      </c>
      <c r="K1782" s="16"/>
      <c r="L1782" s="16"/>
      <c r="M1782" s="21">
        <v>10000000</v>
      </c>
      <c r="N1782" s="19" t="s">
        <v>8460</v>
      </c>
      <c r="O1782" s="16" t="s">
        <v>4414</v>
      </c>
      <c r="P1782" s="17"/>
      <c r="Q1782" s="17"/>
      <c r="R1782" s="17"/>
      <c r="S1782" s="17"/>
      <c r="T1782" s="17"/>
      <c r="U1782" s="17"/>
      <c r="V1782" s="17"/>
      <c r="W1782" s="17"/>
      <c r="X1782" s="17"/>
      <c r="Y1782" s="17"/>
      <c r="Z1782" s="17"/>
      <c r="AA1782" s="17"/>
      <c r="AB1782" s="17"/>
    </row>
    <row r="1783" spans="1:28">
      <c r="A1783" t="s">
        <v>11641</v>
      </c>
      <c r="B1783" t="s">
        <v>11585</v>
      </c>
      <c r="C1783" t="s">
        <v>11697</v>
      </c>
      <c r="D1783" s="17" t="s">
        <v>21</v>
      </c>
      <c r="E1783" t="s">
        <v>11561</v>
      </c>
      <c r="F1783" t="s">
        <v>1116</v>
      </c>
      <c r="G1783" s="17" t="str">
        <f>Config!$B$3</f>
        <v>SCH/R_IEC.SchLib</v>
      </c>
      <c r="H1783" s="17" t="s">
        <v>419</v>
      </c>
      <c r="I1783" s="18" t="s">
        <v>7493</v>
      </c>
      <c r="J1783" t="s">
        <v>11562</v>
      </c>
      <c r="M1783" s="3">
        <v>5.0999999999999996</v>
      </c>
      <c r="N1783" t="s">
        <v>11401</v>
      </c>
      <c r="O1783" t="s">
        <v>11456</v>
      </c>
      <c r="P1783" t="s">
        <v>11506</v>
      </c>
      <c r="Q1783" t="s">
        <v>25</v>
      </c>
      <c r="R1783" t="s">
        <v>11915</v>
      </c>
    </row>
    <row r="1784" spans="1:28">
      <c r="A1784" t="s">
        <v>11646</v>
      </c>
      <c r="B1784" t="s">
        <v>11590</v>
      </c>
      <c r="C1784" t="s">
        <v>11702</v>
      </c>
      <c r="D1784" s="17" t="s">
        <v>21</v>
      </c>
      <c r="E1784" t="s">
        <v>11561</v>
      </c>
      <c r="F1784" t="s">
        <v>47</v>
      </c>
      <c r="G1784" s="17" t="str">
        <f>Config!$B$3</f>
        <v>SCH/R_IEC.SchLib</v>
      </c>
      <c r="H1784" s="17" t="s">
        <v>419</v>
      </c>
      <c r="I1784" s="18" t="s">
        <v>7493</v>
      </c>
      <c r="J1784" t="s">
        <v>11562</v>
      </c>
      <c r="M1784" s="3">
        <v>5.6</v>
      </c>
      <c r="N1784" t="s">
        <v>11408</v>
      </c>
      <c r="O1784" t="s">
        <v>11456</v>
      </c>
      <c r="P1784" t="s">
        <v>11513</v>
      </c>
      <c r="Q1784" t="s">
        <v>25</v>
      </c>
      <c r="R1784" t="s">
        <v>11922</v>
      </c>
    </row>
    <row r="1785" spans="1:28">
      <c r="A1785" t="s">
        <v>11642</v>
      </c>
      <c r="B1785" t="s">
        <v>11586</v>
      </c>
      <c r="C1785" t="s">
        <v>11698</v>
      </c>
      <c r="D1785" s="17" t="s">
        <v>21</v>
      </c>
      <c r="E1785" t="s">
        <v>11561</v>
      </c>
      <c r="F1785" t="s">
        <v>1128</v>
      </c>
      <c r="G1785" s="17" t="str">
        <f>Config!$B$3</f>
        <v>SCH/R_IEC.SchLib</v>
      </c>
      <c r="H1785" s="17" t="s">
        <v>419</v>
      </c>
      <c r="I1785" s="18" t="s">
        <v>7493</v>
      </c>
      <c r="J1785" t="s">
        <v>11562</v>
      </c>
      <c r="M1785" s="3">
        <v>6.2</v>
      </c>
      <c r="N1785" t="s">
        <v>11402</v>
      </c>
      <c r="O1785" t="s">
        <v>11456</v>
      </c>
      <c r="P1785" t="s">
        <v>11507</v>
      </c>
      <c r="Q1785" t="s">
        <v>25</v>
      </c>
      <c r="R1785" t="s">
        <v>11916</v>
      </c>
    </row>
    <row r="1786" spans="1:28">
      <c r="A1786" t="s">
        <v>11663</v>
      </c>
      <c r="B1786" t="s">
        <v>11607</v>
      </c>
      <c r="C1786" t="s">
        <v>11719</v>
      </c>
      <c r="D1786" s="17" t="s">
        <v>21</v>
      </c>
      <c r="E1786" t="s">
        <v>11561</v>
      </c>
      <c r="F1786" t="s">
        <v>49</v>
      </c>
      <c r="G1786" s="17" t="str">
        <f>Config!$B$3</f>
        <v>SCH/R_IEC.SchLib</v>
      </c>
      <c r="H1786" s="17" t="s">
        <v>419</v>
      </c>
      <c r="I1786" s="18" t="s">
        <v>7493</v>
      </c>
      <c r="J1786" t="s">
        <v>11562</v>
      </c>
      <c r="M1786" s="3">
        <v>6.8</v>
      </c>
      <c r="N1786" t="s">
        <v>11434</v>
      </c>
      <c r="O1786" t="s">
        <v>11456</v>
      </c>
      <c r="P1786" t="s">
        <v>11539</v>
      </c>
      <c r="Q1786" t="s">
        <v>25</v>
      </c>
      <c r="R1786" t="s">
        <v>11948</v>
      </c>
    </row>
    <row r="1787" spans="1:28">
      <c r="A1787" t="s">
        <v>11643</v>
      </c>
      <c r="B1787" t="s">
        <v>11587</v>
      </c>
      <c r="C1787" t="s">
        <v>11699</v>
      </c>
      <c r="D1787" s="17" t="s">
        <v>21</v>
      </c>
      <c r="E1787" t="s">
        <v>11561</v>
      </c>
      <c r="F1787" t="s">
        <v>1138</v>
      </c>
      <c r="G1787" s="17" t="str">
        <f>Config!$B$3</f>
        <v>SCH/R_IEC.SchLib</v>
      </c>
      <c r="H1787" s="17" t="s">
        <v>419</v>
      </c>
      <c r="I1787" s="18" t="s">
        <v>7493</v>
      </c>
      <c r="J1787" t="s">
        <v>11562</v>
      </c>
      <c r="M1787" s="3">
        <v>7.5</v>
      </c>
      <c r="N1787" t="s">
        <v>11403</v>
      </c>
      <c r="O1787" t="s">
        <v>11456</v>
      </c>
      <c r="P1787" t="s">
        <v>11508</v>
      </c>
      <c r="Q1787" t="s">
        <v>25</v>
      </c>
      <c r="R1787" t="s">
        <v>11917</v>
      </c>
    </row>
    <row r="1788" spans="1:28">
      <c r="A1788" t="s">
        <v>11645</v>
      </c>
      <c r="B1788" t="s">
        <v>11589</v>
      </c>
      <c r="C1788" t="s">
        <v>11701</v>
      </c>
      <c r="D1788" s="17" t="s">
        <v>21</v>
      </c>
      <c r="E1788" t="s">
        <v>11561</v>
      </c>
      <c r="F1788" t="s">
        <v>51</v>
      </c>
      <c r="G1788" s="17" t="str">
        <f>Config!$B$3</f>
        <v>SCH/R_IEC.SchLib</v>
      </c>
      <c r="H1788" s="17" t="s">
        <v>419</v>
      </c>
      <c r="I1788" s="18" t="s">
        <v>7493</v>
      </c>
      <c r="J1788" t="s">
        <v>11562</v>
      </c>
      <c r="M1788" s="3">
        <v>8.1999999999999993</v>
      </c>
      <c r="N1788" t="s">
        <v>11405</v>
      </c>
      <c r="O1788" t="s">
        <v>11456</v>
      </c>
      <c r="P1788" t="s">
        <v>11510</v>
      </c>
      <c r="Q1788" t="s">
        <v>25</v>
      </c>
      <c r="R1788" t="s">
        <v>11919</v>
      </c>
    </row>
    <row r="1789" spans="1:28">
      <c r="A1789" t="s">
        <v>11669</v>
      </c>
      <c r="B1789" t="s">
        <v>11613</v>
      </c>
      <c r="C1789" t="s">
        <v>11725</v>
      </c>
      <c r="D1789" s="17" t="s">
        <v>21</v>
      </c>
      <c r="E1789" t="s">
        <v>11561</v>
      </c>
      <c r="F1789" t="s">
        <v>1148</v>
      </c>
      <c r="G1789" s="17" t="str">
        <f>Config!$B$3</f>
        <v>SCH/R_IEC.SchLib</v>
      </c>
      <c r="H1789" s="17" t="s">
        <v>419</v>
      </c>
      <c r="I1789" s="18" t="s">
        <v>7493</v>
      </c>
      <c r="J1789" t="s">
        <v>11562</v>
      </c>
      <c r="M1789" s="3">
        <v>9.1</v>
      </c>
      <c r="N1789" t="s">
        <v>11446</v>
      </c>
      <c r="O1789" t="s">
        <v>11456</v>
      </c>
      <c r="P1789" t="s">
        <v>11551</v>
      </c>
      <c r="Q1789" t="s">
        <v>25</v>
      </c>
      <c r="R1789" t="s">
        <v>11960</v>
      </c>
    </row>
    <row r="1790" spans="1:28">
      <c r="A1790" t="s">
        <v>11756</v>
      </c>
      <c r="B1790" t="s">
        <v>11801</v>
      </c>
      <c r="C1790" t="s">
        <v>11846</v>
      </c>
      <c r="D1790" s="17" t="s">
        <v>21</v>
      </c>
      <c r="E1790" t="s">
        <v>11561</v>
      </c>
      <c r="F1790" t="s">
        <v>53</v>
      </c>
      <c r="G1790" s="17" t="str">
        <f>Config!$B$3</f>
        <v>SCH/R_IEC.SchLib</v>
      </c>
      <c r="H1790" s="17" t="s">
        <v>419</v>
      </c>
      <c r="I1790" s="18" t="s">
        <v>7493</v>
      </c>
      <c r="J1790" t="s">
        <v>11562</v>
      </c>
      <c r="M1790" s="3">
        <v>10</v>
      </c>
      <c r="N1790" t="s">
        <v>11407</v>
      </c>
      <c r="O1790" t="s">
        <v>11456</v>
      </c>
      <c r="P1790" t="s">
        <v>11512</v>
      </c>
      <c r="Q1790" t="s">
        <v>25</v>
      </c>
      <c r="R1790" t="s">
        <v>11921</v>
      </c>
    </row>
    <row r="1791" spans="1:28">
      <c r="A1791" t="s">
        <v>11773</v>
      </c>
      <c r="B1791" t="s">
        <v>11818</v>
      </c>
      <c r="C1791" t="s">
        <v>11863</v>
      </c>
      <c r="D1791" s="17" t="s">
        <v>21</v>
      </c>
      <c r="E1791" t="s">
        <v>11561</v>
      </c>
      <c r="F1791" t="s">
        <v>57</v>
      </c>
      <c r="G1791" s="17" t="str">
        <f>Config!$B$3</f>
        <v>SCH/R_IEC.SchLib</v>
      </c>
      <c r="H1791" s="17" t="s">
        <v>419</v>
      </c>
      <c r="I1791" s="18" t="s">
        <v>7493</v>
      </c>
      <c r="J1791" t="s">
        <v>11562</v>
      </c>
      <c r="M1791" s="3">
        <v>11</v>
      </c>
      <c r="N1791" t="s">
        <v>11450</v>
      </c>
      <c r="O1791" t="s">
        <v>11456</v>
      </c>
      <c r="P1791" t="s">
        <v>11555</v>
      </c>
      <c r="Q1791" t="s">
        <v>25</v>
      </c>
      <c r="R1791" t="s">
        <v>11964</v>
      </c>
    </row>
    <row r="1792" spans="1:28">
      <c r="A1792" t="s">
        <v>11767</v>
      </c>
      <c r="B1792" t="s">
        <v>11812</v>
      </c>
      <c r="C1792" t="s">
        <v>11857</v>
      </c>
      <c r="D1792" s="17" t="s">
        <v>21</v>
      </c>
      <c r="E1792" t="s">
        <v>11561</v>
      </c>
      <c r="F1792" t="s">
        <v>59</v>
      </c>
      <c r="G1792" s="17" t="str">
        <f>Config!$B$3</f>
        <v>SCH/R_IEC.SchLib</v>
      </c>
      <c r="H1792" s="17" t="s">
        <v>419</v>
      </c>
      <c r="I1792" s="18" t="s">
        <v>7493</v>
      </c>
      <c r="J1792" t="s">
        <v>11562</v>
      </c>
      <c r="M1792" s="3">
        <v>12</v>
      </c>
      <c r="N1792" t="s">
        <v>11438</v>
      </c>
      <c r="O1792" t="s">
        <v>11456</v>
      </c>
      <c r="P1792" t="s">
        <v>11543</v>
      </c>
      <c r="Q1792" t="s">
        <v>25</v>
      </c>
      <c r="R1792" t="s">
        <v>11952</v>
      </c>
    </row>
    <row r="1793" spans="1:18">
      <c r="A1793" t="s">
        <v>11772</v>
      </c>
      <c r="B1793" t="s">
        <v>11817</v>
      </c>
      <c r="C1793" t="s">
        <v>11862</v>
      </c>
      <c r="D1793" s="17" t="s">
        <v>21</v>
      </c>
      <c r="E1793" t="s">
        <v>11561</v>
      </c>
      <c r="F1793" t="s">
        <v>61</v>
      </c>
      <c r="G1793" s="17" t="str">
        <f>Config!$B$3</f>
        <v>SCH/R_IEC.SchLib</v>
      </c>
      <c r="H1793" s="17" t="s">
        <v>419</v>
      </c>
      <c r="I1793" s="18" t="s">
        <v>7493</v>
      </c>
      <c r="J1793" t="s">
        <v>11562</v>
      </c>
      <c r="M1793" s="3">
        <v>13</v>
      </c>
      <c r="N1793" t="s">
        <v>11447</v>
      </c>
      <c r="O1793" t="s">
        <v>11456</v>
      </c>
      <c r="P1793" t="s">
        <v>11552</v>
      </c>
      <c r="Q1793" t="s">
        <v>25</v>
      </c>
      <c r="R1793" t="s">
        <v>11961</v>
      </c>
    </row>
    <row r="1794" spans="1:18">
      <c r="A1794" t="s">
        <v>11735</v>
      </c>
      <c r="B1794" t="s">
        <v>11780</v>
      </c>
      <c r="C1794" t="s">
        <v>11825</v>
      </c>
      <c r="D1794" s="17" t="s">
        <v>21</v>
      </c>
      <c r="E1794" t="s">
        <v>11561</v>
      </c>
      <c r="F1794" t="s">
        <v>63</v>
      </c>
      <c r="G1794" s="17" t="str">
        <f>Config!$B$3</f>
        <v>SCH/R_IEC.SchLib</v>
      </c>
      <c r="H1794" s="17" t="s">
        <v>419</v>
      </c>
      <c r="I1794" s="18" t="s">
        <v>7493</v>
      </c>
      <c r="J1794" t="s">
        <v>11562</v>
      </c>
      <c r="M1794" s="3">
        <v>15</v>
      </c>
      <c r="N1794" t="s">
        <v>11358</v>
      </c>
      <c r="O1794" t="s">
        <v>11456</v>
      </c>
      <c r="P1794" t="s">
        <v>11463</v>
      </c>
      <c r="Q1794" t="s">
        <v>25</v>
      </c>
      <c r="R1794" t="s">
        <v>11872</v>
      </c>
    </row>
    <row r="1795" spans="1:18">
      <c r="A1795" t="s">
        <v>11740</v>
      </c>
      <c r="B1795" t="s">
        <v>11785</v>
      </c>
      <c r="C1795" t="s">
        <v>11830</v>
      </c>
      <c r="D1795" s="17" t="s">
        <v>21</v>
      </c>
      <c r="E1795" t="s">
        <v>11561</v>
      </c>
      <c r="F1795" t="s">
        <v>65</v>
      </c>
      <c r="G1795" s="17" t="str">
        <f>Config!$B$3</f>
        <v>SCH/R_IEC.SchLib</v>
      </c>
      <c r="H1795" s="17" t="s">
        <v>419</v>
      </c>
      <c r="I1795" s="18" t="s">
        <v>7493</v>
      </c>
      <c r="J1795" t="s">
        <v>11562</v>
      </c>
      <c r="M1795" s="3">
        <v>16</v>
      </c>
      <c r="N1795" t="s">
        <v>11369</v>
      </c>
      <c r="O1795" t="s">
        <v>11456</v>
      </c>
      <c r="P1795" t="s">
        <v>11474</v>
      </c>
      <c r="Q1795" t="s">
        <v>25</v>
      </c>
      <c r="R1795" t="s">
        <v>11883</v>
      </c>
    </row>
    <row r="1796" spans="1:18">
      <c r="A1796" t="s">
        <v>11746</v>
      </c>
      <c r="B1796" t="s">
        <v>11791</v>
      </c>
      <c r="C1796" t="s">
        <v>11836</v>
      </c>
      <c r="D1796" s="17" t="s">
        <v>21</v>
      </c>
      <c r="E1796" t="s">
        <v>11561</v>
      </c>
      <c r="F1796" t="s">
        <v>67</v>
      </c>
      <c r="G1796" s="17" t="str">
        <f>Config!$B$3</f>
        <v>SCH/R_IEC.SchLib</v>
      </c>
      <c r="H1796" s="17" t="s">
        <v>419</v>
      </c>
      <c r="I1796" s="18" t="s">
        <v>7493</v>
      </c>
      <c r="J1796" t="s">
        <v>11562</v>
      </c>
      <c r="M1796" s="3">
        <v>18</v>
      </c>
      <c r="N1796" t="s">
        <v>11377</v>
      </c>
      <c r="O1796" t="s">
        <v>11456</v>
      </c>
      <c r="P1796" t="s">
        <v>11482</v>
      </c>
      <c r="Q1796" t="s">
        <v>25</v>
      </c>
      <c r="R1796" t="s">
        <v>11891</v>
      </c>
    </row>
    <row r="1797" spans="1:18">
      <c r="A1797" t="s">
        <v>11749</v>
      </c>
      <c r="B1797" t="s">
        <v>11794</v>
      </c>
      <c r="C1797" t="s">
        <v>11839</v>
      </c>
      <c r="D1797" s="17" t="s">
        <v>21</v>
      </c>
      <c r="E1797" t="s">
        <v>11561</v>
      </c>
      <c r="F1797" t="s">
        <v>69</v>
      </c>
      <c r="G1797" s="17" t="str">
        <f>Config!$B$3</f>
        <v>SCH/R_IEC.SchLib</v>
      </c>
      <c r="H1797" s="17" t="s">
        <v>419</v>
      </c>
      <c r="I1797" s="18" t="s">
        <v>7493</v>
      </c>
      <c r="J1797" t="s">
        <v>11562</v>
      </c>
      <c r="M1797" s="3">
        <v>20</v>
      </c>
      <c r="N1797" t="s">
        <v>11388</v>
      </c>
      <c r="O1797" t="s">
        <v>11456</v>
      </c>
      <c r="P1797" t="s">
        <v>11493</v>
      </c>
      <c r="Q1797" t="s">
        <v>25</v>
      </c>
      <c r="R1797" t="s">
        <v>11902</v>
      </c>
    </row>
    <row r="1798" spans="1:18">
      <c r="A1798" t="s">
        <v>11762</v>
      </c>
      <c r="B1798" t="s">
        <v>11807</v>
      </c>
      <c r="C1798" t="s">
        <v>11852</v>
      </c>
      <c r="D1798" s="17" t="s">
        <v>21</v>
      </c>
      <c r="E1798" t="s">
        <v>11561</v>
      </c>
      <c r="F1798" t="s">
        <v>71</v>
      </c>
      <c r="G1798" s="17" t="str">
        <f>Config!$B$3</f>
        <v>SCH/R_IEC.SchLib</v>
      </c>
      <c r="H1798" s="17" t="s">
        <v>419</v>
      </c>
      <c r="I1798" s="18" t="s">
        <v>7493</v>
      </c>
      <c r="J1798" t="s">
        <v>11562</v>
      </c>
      <c r="M1798" s="3">
        <v>22</v>
      </c>
      <c r="N1798" t="s">
        <v>11428</v>
      </c>
      <c r="O1798" t="s">
        <v>11456</v>
      </c>
      <c r="P1798" t="s">
        <v>11533</v>
      </c>
      <c r="Q1798" t="s">
        <v>25</v>
      </c>
      <c r="R1798" t="s">
        <v>11942</v>
      </c>
    </row>
    <row r="1799" spans="1:18">
      <c r="A1799" t="s">
        <v>11771</v>
      </c>
      <c r="B1799" t="s">
        <v>11816</v>
      </c>
      <c r="C1799" t="s">
        <v>11861</v>
      </c>
      <c r="D1799" s="17" t="s">
        <v>21</v>
      </c>
      <c r="E1799" t="s">
        <v>11561</v>
      </c>
      <c r="F1799" t="s">
        <v>75</v>
      </c>
      <c r="G1799" s="17" t="str">
        <f>Config!$B$3</f>
        <v>SCH/R_IEC.SchLib</v>
      </c>
      <c r="H1799" s="17" t="s">
        <v>419</v>
      </c>
      <c r="I1799" s="18" t="s">
        <v>7493</v>
      </c>
      <c r="J1799" t="s">
        <v>11562</v>
      </c>
      <c r="M1799" s="3">
        <v>24</v>
      </c>
      <c r="N1799" t="s">
        <v>11442</v>
      </c>
      <c r="O1799" t="s">
        <v>11456</v>
      </c>
      <c r="P1799" t="s">
        <v>11547</v>
      </c>
      <c r="Q1799" t="s">
        <v>25</v>
      </c>
      <c r="R1799" t="s">
        <v>11956</v>
      </c>
    </row>
    <row r="1800" spans="1:18">
      <c r="A1800" t="s">
        <v>11737</v>
      </c>
      <c r="B1800" t="s">
        <v>11782</v>
      </c>
      <c r="C1800" t="s">
        <v>11827</v>
      </c>
      <c r="D1800" s="17" t="s">
        <v>21</v>
      </c>
      <c r="E1800" t="s">
        <v>11561</v>
      </c>
      <c r="F1800" t="s">
        <v>77</v>
      </c>
      <c r="G1800" s="17" t="str">
        <f>Config!$B$3</f>
        <v>SCH/R_IEC.SchLib</v>
      </c>
      <c r="H1800" s="17" t="s">
        <v>419</v>
      </c>
      <c r="I1800" s="18" t="s">
        <v>7493</v>
      </c>
      <c r="J1800" t="s">
        <v>11562</v>
      </c>
      <c r="M1800" s="3">
        <v>27</v>
      </c>
      <c r="N1800" t="s">
        <v>11360</v>
      </c>
      <c r="O1800" t="s">
        <v>11456</v>
      </c>
      <c r="P1800" t="s">
        <v>11465</v>
      </c>
      <c r="Q1800" t="s">
        <v>25</v>
      </c>
      <c r="R1800" t="s">
        <v>11874</v>
      </c>
    </row>
    <row r="1801" spans="1:18">
      <c r="A1801" t="s">
        <v>11755</v>
      </c>
      <c r="B1801" t="s">
        <v>11800</v>
      </c>
      <c r="C1801" t="s">
        <v>11845</v>
      </c>
      <c r="D1801" s="17" t="s">
        <v>21</v>
      </c>
      <c r="E1801" t="s">
        <v>11561</v>
      </c>
      <c r="F1801" t="s">
        <v>79</v>
      </c>
      <c r="G1801" s="17" t="str">
        <f>Config!$B$3</f>
        <v>SCH/R_IEC.SchLib</v>
      </c>
      <c r="H1801" s="17" t="s">
        <v>419</v>
      </c>
      <c r="I1801" s="18" t="s">
        <v>7493</v>
      </c>
      <c r="J1801" t="s">
        <v>11562</v>
      </c>
      <c r="M1801" s="3">
        <v>30</v>
      </c>
      <c r="N1801" t="s">
        <v>11406</v>
      </c>
      <c r="O1801" t="s">
        <v>11456</v>
      </c>
      <c r="P1801" t="s">
        <v>11511</v>
      </c>
      <c r="Q1801" t="s">
        <v>25</v>
      </c>
      <c r="R1801" t="s">
        <v>11920</v>
      </c>
    </row>
    <row r="1802" spans="1:18">
      <c r="A1802" t="s">
        <v>11758</v>
      </c>
      <c r="B1802" t="s">
        <v>11803</v>
      </c>
      <c r="C1802" t="s">
        <v>11848</v>
      </c>
      <c r="D1802" s="17" t="s">
        <v>21</v>
      </c>
      <c r="E1802" t="s">
        <v>11561</v>
      </c>
      <c r="F1802" t="s">
        <v>81</v>
      </c>
      <c r="G1802" s="17" t="str">
        <f>Config!$B$3</f>
        <v>SCH/R_IEC.SchLib</v>
      </c>
      <c r="H1802" s="17" t="s">
        <v>419</v>
      </c>
      <c r="I1802" s="18" t="s">
        <v>7493</v>
      </c>
      <c r="J1802" t="s">
        <v>11562</v>
      </c>
      <c r="M1802" s="3">
        <v>33</v>
      </c>
      <c r="N1802" t="s">
        <v>11412</v>
      </c>
      <c r="O1802" t="s">
        <v>11456</v>
      </c>
      <c r="P1802" t="s">
        <v>11517</v>
      </c>
      <c r="Q1802" t="s">
        <v>25</v>
      </c>
      <c r="R1802" t="s">
        <v>11926</v>
      </c>
    </row>
    <row r="1803" spans="1:18">
      <c r="A1803" t="s">
        <v>11774</v>
      </c>
      <c r="B1803" t="s">
        <v>11819</v>
      </c>
      <c r="C1803" t="s">
        <v>11864</v>
      </c>
      <c r="D1803" s="17" t="s">
        <v>21</v>
      </c>
      <c r="E1803" t="s">
        <v>11561</v>
      </c>
      <c r="F1803" t="s">
        <v>83</v>
      </c>
      <c r="G1803" s="17" t="str">
        <f>Config!$B$3</f>
        <v>SCH/R_IEC.SchLib</v>
      </c>
      <c r="H1803" s="17" t="s">
        <v>419</v>
      </c>
      <c r="I1803" s="18" t="s">
        <v>7493</v>
      </c>
      <c r="J1803" t="s">
        <v>11562</v>
      </c>
      <c r="M1803" s="3">
        <v>36</v>
      </c>
      <c r="N1803" t="s">
        <v>11451</v>
      </c>
      <c r="O1803" t="s">
        <v>11456</v>
      </c>
      <c r="P1803" t="s">
        <v>11556</v>
      </c>
      <c r="Q1803" t="s">
        <v>25</v>
      </c>
      <c r="R1803" t="s">
        <v>11965</v>
      </c>
    </row>
    <row r="1804" spans="1:18">
      <c r="A1804" t="s">
        <v>11770</v>
      </c>
      <c r="B1804" t="s">
        <v>11815</v>
      </c>
      <c r="C1804" t="s">
        <v>11860</v>
      </c>
      <c r="D1804" s="17" t="s">
        <v>21</v>
      </c>
      <c r="E1804" t="s">
        <v>11561</v>
      </c>
      <c r="F1804" t="s">
        <v>85</v>
      </c>
      <c r="G1804" s="17" t="str">
        <f>Config!$B$3</f>
        <v>SCH/R_IEC.SchLib</v>
      </c>
      <c r="H1804" s="17" t="s">
        <v>419</v>
      </c>
      <c r="I1804" s="18" t="s">
        <v>7493</v>
      </c>
      <c r="J1804" t="s">
        <v>11562</v>
      </c>
      <c r="M1804" s="3">
        <v>39</v>
      </c>
      <c r="N1804" t="s">
        <v>11441</v>
      </c>
      <c r="O1804" t="s">
        <v>11456</v>
      </c>
      <c r="P1804" t="s">
        <v>11546</v>
      </c>
      <c r="Q1804" t="s">
        <v>25</v>
      </c>
      <c r="R1804" t="s">
        <v>11955</v>
      </c>
    </row>
    <row r="1805" spans="1:18">
      <c r="A1805" t="s">
        <v>11753</v>
      </c>
      <c r="B1805" t="s">
        <v>11798</v>
      </c>
      <c r="C1805" t="s">
        <v>11843</v>
      </c>
      <c r="D1805" s="17" t="s">
        <v>21</v>
      </c>
      <c r="E1805" t="s">
        <v>11561</v>
      </c>
      <c r="F1805" t="s">
        <v>87</v>
      </c>
      <c r="G1805" s="17" t="str">
        <f>Config!$B$3</f>
        <v>SCH/R_IEC.SchLib</v>
      </c>
      <c r="H1805" s="17" t="s">
        <v>419</v>
      </c>
      <c r="I1805" s="18" t="s">
        <v>7493</v>
      </c>
      <c r="J1805" t="s">
        <v>11562</v>
      </c>
      <c r="M1805" s="3">
        <v>43</v>
      </c>
      <c r="N1805" t="s">
        <v>11396</v>
      </c>
      <c r="O1805" t="s">
        <v>11456</v>
      </c>
      <c r="P1805" t="s">
        <v>11501</v>
      </c>
      <c r="Q1805" t="s">
        <v>25</v>
      </c>
      <c r="R1805" t="s">
        <v>11910</v>
      </c>
    </row>
    <row r="1806" spans="1:18">
      <c r="A1806" t="s">
        <v>11970</v>
      </c>
      <c r="B1806" t="s">
        <v>11971</v>
      </c>
      <c r="C1806" t="s">
        <v>11972</v>
      </c>
      <c r="D1806" s="17" t="s">
        <v>21</v>
      </c>
      <c r="E1806" t="s">
        <v>11561</v>
      </c>
      <c r="F1806" t="s">
        <v>89</v>
      </c>
      <c r="G1806" s="17" t="str">
        <f>Config!$B$3</f>
        <v>SCH/R_IEC.SchLib</v>
      </c>
      <c r="H1806" s="17" t="s">
        <v>419</v>
      </c>
      <c r="I1806" s="18" t="s">
        <v>7493</v>
      </c>
      <c r="J1806" t="s">
        <v>11562</v>
      </c>
      <c r="M1806" s="3">
        <v>47</v>
      </c>
      <c r="N1806" t="s">
        <v>11381</v>
      </c>
      <c r="O1806" t="s">
        <v>11456</v>
      </c>
      <c r="P1806" t="s">
        <v>11486</v>
      </c>
      <c r="Q1806" t="s">
        <v>25</v>
      </c>
      <c r="R1806" t="s">
        <v>11895</v>
      </c>
    </row>
    <row r="1807" spans="1:18">
      <c r="A1807" t="s">
        <v>11731</v>
      </c>
      <c r="B1807" t="s">
        <v>11776</v>
      </c>
      <c r="C1807" t="s">
        <v>11821</v>
      </c>
      <c r="D1807" s="17" t="s">
        <v>21</v>
      </c>
      <c r="E1807" t="s">
        <v>11561</v>
      </c>
      <c r="F1807" t="s">
        <v>91</v>
      </c>
      <c r="G1807" s="17" t="str">
        <f>Config!$B$3</f>
        <v>SCH/R_IEC.SchLib</v>
      </c>
      <c r="H1807" s="17" t="s">
        <v>419</v>
      </c>
      <c r="I1807" s="18" t="s">
        <v>7493</v>
      </c>
      <c r="J1807" t="s">
        <v>11562</v>
      </c>
      <c r="M1807" s="3">
        <v>51</v>
      </c>
      <c r="N1807" t="s">
        <v>11352</v>
      </c>
      <c r="O1807" t="s">
        <v>11456</v>
      </c>
      <c r="P1807" t="s">
        <v>11457</v>
      </c>
      <c r="Q1807" t="s">
        <v>25</v>
      </c>
      <c r="R1807" t="s">
        <v>11866</v>
      </c>
    </row>
    <row r="1808" spans="1:18">
      <c r="A1808" t="s">
        <v>11973</v>
      </c>
      <c r="B1808" t="s">
        <v>11974</v>
      </c>
      <c r="C1808" t="s">
        <v>11975</v>
      </c>
      <c r="D1808" s="17" t="s">
        <v>21</v>
      </c>
      <c r="E1808" t="s">
        <v>11561</v>
      </c>
      <c r="F1808" t="s">
        <v>93</v>
      </c>
      <c r="G1808" s="17" t="str">
        <f>Config!$B$3</f>
        <v>SCH/R_IEC.SchLib</v>
      </c>
      <c r="H1808" s="17" t="s">
        <v>419</v>
      </c>
      <c r="I1808" s="18" t="s">
        <v>7493</v>
      </c>
      <c r="J1808" t="s">
        <v>11562</v>
      </c>
      <c r="M1808" s="3">
        <v>56</v>
      </c>
      <c r="N1808" t="s">
        <v>11361</v>
      </c>
      <c r="O1808" t="s">
        <v>11456</v>
      </c>
      <c r="P1808" t="s">
        <v>11466</v>
      </c>
      <c r="Q1808" t="s">
        <v>25</v>
      </c>
      <c r="R1808" t="s">
        <v>11875</v>
      </c>
    </row>
    <row r="1809" spans="1:18">
      <c r="A1809" t="s">
        <v>11732</v>
      </c>
      <c r="B1809" t="s">
        <v>11777</v>
      </c>
      <c r="C1809" t="s">
        <v>11822</v>
      </c>
      <c r="D1809" s="17" t="s">
        <v>21</v>
      </c>
      <c r="E1809" t="s">
        <v>11561</v>
      </c>
      <c r="F1809" t="s">
        <v>95</v>
      </c>
      <c r="G1809" s="17" t="str">
        <f>Config!$B$3</f>
        <v>SCH/R_IEC.SchLib</v>
      </c>
      <c r="H1809" s="17" t="s">
        <v>419</v>
      </c>
      <c r="I1809" s="18" t="s">
        <v>7493</v>
      </c>
      <c r="J1809" t="s">
        <v>11562</v>
      </c>
      <c r="M1809" s="3">
        <v>62</v>
      </c>
      <c r="N1809" t="s">
        <v>11354</v>
      </c>
      <c r="O1809" t="s">
        <v>11456</v>
      </c>
      <c r="P1809" t="s">
        <v>11459</v>
      </c>
      <c r="Q1809" t="s">
        <v>25</v>
      </c>
      <c r="R1809" t="s">
        <v>11868</v>
      </c>
    </row>
    <row r="1810" spans="1:18">
      <c r="A1810" t="s">
        <v>11769</v>
      </c>
      <c r="B1810" t="s">
        <v>11814</v>
      </c>
      <c r="C1810" t="s">
        <v>11859</v>
      </c>
      <c r="D1810" s="17" t="s">
        <v>21</v>
      </c>
      <c r="E1810" t="s">
        <v>11561</v>
      </c>
      <c r="F1810" t="s">
        <v>97</v>
      </c>
      <c r="G1810" s="17" t="str">
        <f>Config!$B$3</f>
        <v>SCH/R_IEC.SchLib</v>
      </c>
      <c r="H1810" s="17" t="s">
        <v>419</v>
      </c>
      <c r="I1810" s="18" t="s">
        <v>7493</v>
      </c>
      <c r="J1810" t="s">
        <v>11562</v>
      </c>
      <c r="M1810" s="3">
        <v>68</v>
      </c>
      <c r="N1810" t="s">
        <v>11440</v>
      </c>
      <c r="O1810" t="s">
        <v>11456</v>
      </c>
      <c r="P1810" t="s">
        <v>11545</v>
      </c>
      <c r="Q1810" t="s">
        <v>25</v>
      </c>
      <c r="R1810" t="s">
        <v>11954</v>
      </c>
    </row>
    <row r="1811" spans="1:18">
      <c r="A1811" t="s">
        <v>11976</v>
      </c>
      <c r="B1811" t="s">
        <v>11977</v>
      </c>
      <c r="C1811" t="s">
        <v>11978</v>
      </c>
      <c r="D1811" s="17" t="s">
        <v>21</v>
      </c>
      <c r="E1811" t="s">
        <v>11561</v>
      </c>
      <c r="F1811" t="s">
        <v>99</v>
      </c>
      <c r="G1811" s="17" t="str">
        <f>Config!$B$3</f>
        <v>SCH/R_IEC.SchLib</v>
      </c>
      <c r="H1811" s="17" t="s">
        <v>419</v>
      </c>
      <c r="I1811" s="18" t="s">
        <v>7493</v>
      </c>
      <c r="J1811" t="s">
        <v>11562</v>
      </c>
      <c r="M1811" s="3">
        <v>75</v>
      </c>
      <c r="N1811" t="s">
        <v>11382</v>
      </c>
      <c r="O1811" t="s">
        <v>11456</v>
      </c>
      <c r="P1811" t="s">
        <v>11487</v>
      </c>
      <c r="Q1811" t="s">
        <v>25</v>
      </c>
      <c r="R1811" t="s">
        <v>11896</v>
      </c>
    </row>
    <row r="1812" spans="1:18">
      <c r="A1812" t="s">
        <v>11763</v>
      </c>
      <c r="B1812" t="s">
        <v>11808</v>
      </c>
      <c r="C1812" t="s">
        <v>11853</v>
      </c>
      <c r="D1812" s="17" t="s">
        <v>21</v>
      </c>
      <c r="E1812" t="s">
        <v>11561</v>
      </c>
      <c r="F1812" t="s">
        <v>101</v>
      </c>
      <c r="G1812" s="17" t="str">
        <f>Config!$B$3</f>
        <v>SCH/R_IEC.SchLib</v>
      </c>
      <c r="H1812" s="17" t="s">
        <v>419</v>
      </c>
      <c r="I1812" s="18" t="s">
        <v>7493</v>
      </c>
      <c r="J1812" t="s">
        <v>11562</v>
      </c>
      <c r="M1812" s="3">
        <v>82</v>
      </c>
      <c r="N1812" t="s">
        <v>11429</v>
      </c>
      <c r="O1812" t="s">
        <v>11456</v>
      </c>
      <c r="P1812" t="s">
        <v>11534</v>
      </c>
      <c r="Q1812" t="s">
        <v>25</v>
      </c>
      <c r="R1812" t="s">
        <v>11943</v>
      </c>
    </row>
    <row r="1813" spans="1:18">
      <c r="A1813" t="s">
        <v>11768</v>
      </c>
      <c r="B1813" t="s">
        <v>11813</v>
      </c>
      <c r="C1813" t="s">
        <v>11858</v>
      </c>
      <c r="D1813" s="17" t="s">
        <v>21</v>
      </c>
      <c r="E1813" t="s">
        <v>11561</v>
      </c>
      <c r="F1813" t="s">
        <v>103</v>
      </c>
      <c r="G1813" s="17" t="str">
        <f>Config!$B$3</f>
        <v>SCH/R_IEC.SchLib</v>
      </c>
      <c r="H1813" s="17" t="s">
        <v>419</v>
      </c>
      <c r="I1813" s="18" t="s">
        <v>7493</v>
      </c>
      <c r="J1813" t="s">
        <v>11562</v>
      </c>
      <c r="M1813" s="3">
        <v>91</v>
      </c>
      <c r="N1813" t="s">
        <v>11439</v>
      </c>
      <c r="O1813" t="s">
        <v>11456</v>
      </c>
      <c r="P1813" t="s">
        <v>11544</v>
      </c>
      <c r="Q1813" t="s">
        <v>25</v>
      </c>
      <c r="R1813" t="s">
        <v>11953</v>
      </c>
    </row>
    <row r="1814" spans="1:18">
      <c r="A1814" t="s">
        <v>11734</v>
      </c>
      <c r="B1814" t="s">
        <v>11779</v>
      </c>
      <c r="C1814" t="s">
        <v>11824</v>
      </c>
      <c r="D1814" s="17" t="s">
        <v>21</v>
      </c>
      <c r="E1814" t="s">
        <v>11561</v>
      </c>
      <c r="F1814" t="s">
        <v>105</v>
      </c>
      <c r="G1814" s="17" t="str">
        <f>Config!$B$3</f>
        <v>SCH/R_IEC.SchLib</v>
      </c>
      <c r="H1814" s="17" t="s">
        <v>419</v>
      </c>
      <c r="I1814" s="18" t="s">
        <v>7493</v>
      </c>
      <c r="J1814" t="s">
        <v>11562</v>
      </c>
      <c r="M1814" s="3">
        <v>100</v>
      </c>
      <c r="N1814" t="s">
        <v>11357</v>
      </c>
      <c r="O1814" t="s">
        <v>11456</v>
      </c>
      <c r="P1814" t="s">
        <v>11462</v>
      </c>
      <c r="Q1814" t="s">
        <v>25</v>
      </c>
      <c r="R1814" t="s">
        <v>11871</v>
      </c>
    </row>
    <row r="1815" spans="1:18">
      <c r="A1815" t="s">
        <v>11741</v>
      </c>
      <c r="B1815" t="s">
        <v>11786</v>
      </c>
      <c r="C1815" t="s">
        <v>11831</v>
      </c>
      <c r="D1815" s="17" t="s">
        <v>21</v>
      </c>
      <c r="E1815" t="s">
        <v>11561</v>
      </c>
      <c r="F1815" t="s">
        <v>109</v>
      </c>
      <c r="G1815" s="17" t="str">
        <f>Config!$B$3</f>
        <v>SCH/R_IEC.SchLib</v>
      </c>
      <c r="H1815" s="17" t="s">
        <v>419</v>
      </c>
      <c r="I1815" s="18" t="s">
        <v>7493</v>
      </c>
      <c r="J1815" t="s">
        <v>11562</v>
      </c>
      <c r="M1815" s="3">
        <v>110</v>
      </c>
      <c r="N1815" t="s">
        <v>11372</v>
      </c>
      <c r="O1815" t="s">
        <v>11456</v>
      </c>
      <c r="P1815" t="s">
        <v>11477</v>
      </c>
      <c r="Q1815" t="s">
        <v>25</v>
      </c>
      <c r="R1815" t="s">
        <v>11886</v>
      </c>
    </row>
    <row r="1816" spans="1:18">
      <c r="A1816" t="s">
        <v>11745</v>
      </c>
      <c r="B1816" t="s">
        <v>11790</v>
      </c>
      <c r="C1816" t="s">
        <v>11835</v>
      </c>
      <c r="D1816" s="17" t="s">
        <v>21</v>
      </c>
      <c r="E1816" t="s">
        <v>11561</v>
      </c>
      <c r="F1816" t="s">
        <v>111</v>
      </c>
      <c r="G1816" s="17" t="str">
        <f>Config!$B$3</f>
        <v>SCH/R_IEC.SchLib</v>
      </c>
      <c r="H1816" s="17" t="s">
        <v>419</v>
      </c>
      <c r="I1816" s="18" t="s">
        <v>7493</v>
      </c>
      <c r="J1816" t="s">
        <v>11562</v>
      </c>
      <c r="M1816" s="3">
        <v>120</v>
      </c>
      <c r="N1816" t="s">
        <v>11376</v>
      </c>
      <c r="O1816" t="s">
        <v>11456</v>
      </c>
      <c r="P1816" t="s">
        <v>11481</v>
      </c>
      <c r="Q1816" t="s">
        <v>25</v>
      </c>
      <c r="R1816" t="s">
        <v>11890</v>
      </c>
    </row>
    <row r="1817" spans="1:18">
      <c r="A1817" t="s">
        <v>11747</v>
      </c>
      <c r="B1817" t="s">
        <v>11792</v>
      </c>
      <c r="C1817" t="s">
        <v>11837</v>
      </c>
      <c r="D1817" s="17" t="s">
        <v>21</v>
      </c>
      <c r="E1817" t="s">
        <v>11561</v>
      </c>
      <c r="F1817" t="s">
        <v>113</v>
      </c>
      <c r="G1817" s="17" t="str">
        <f>Config!$B$3</f>
        <v>SCH/R_IEC.SchLib</v>
      </c>
      <c r="H1817" s="17" t="s">
        <v>419</v>
      </c>
      <c r="I1817" s="18" t="s">
        <v>7493</v>
      </c>
      <c r="J1817" t="s">
        <v>11562</v>
      </c>
      <c r="M1817" s="3">
        <v>130</v>
      </c>
      <c r="N1817" t="s">
        <v>11385</v>
      </c>
      <c r="O1817" t="s">
        <v>11456</v>
      </c>
      <c r="P1817" t="s">
        <v>11490</v>
      </c>
      <c r="Q1817" t="s">
        <v>25</v>
      </c>
      <c r="R1817" t="s">
        <v>11899</v>
      </c>
    </row>
    <row r="1818" spans="1:18">
      <c r="A1818" t="s">
        <v>11764</v>
      </c>
      <c r="B1818" t="s">
        <v>11809</v>
      </c>
      <c r="C1818" t="s">
        <v>11854</v>
      </c>
      <c r="D1818" s="17" t="s">
        <v>21</v>
      </c>
      <c r="E1818" t="s">
        <v>11561</v>
      </c>
      <c r="F1818" t="s">
        <v>115</v>
      </c>
      <c r="G1818" s="17" t="str">
        <f>Config!$B$3</f>
        <v>SCH/R_IEC.SchLib</v>
      </c>
      <c r="H1818" s="17" t="s">
        <v>419</v>
      </c>
      <c r="I1818" s="18" t="s">
        <v>7493</v>
      </c>
      <c r="J1818" t="s">
        <v>11562</v>
      </c>
      <c r="M1818" s="3">
        <v>150</v>
      </c>
      <c r="N1818" t="s">
        <v>11431</v>
      </c>
      <c r="O1818" t="s">
        <v>11456</v>
      </c>
      <c r="P1818" t="s">
        <v>11536</v>
      </c>
      <c r="Q1818" t="s">
        <v>25</v>
      </c>
      <c r="R1818" t="s">
        <v>11945</v>
      </c>
    </row>
    <row r="1819" spans="1:18">
      <c r="A1819" t="s">
        <v>11748</v>
      </c>
      <c r="B1819" t="s">
        <v>11793</v>
      </c>
      <c r="C1819" t="s">
        <v>11838</v>
      </c>
      <c r="D1819" s="17" t="s">
        <v>21</v>
      </c>
      <c r="E1819" t="s">
        <v>11561</v>
      </c>
      <c r="F1819" t="s">
        <v>117</v>
      </c>
      <c r="G1819" s="17" t="str">
        <f>Config!$B$3</f>
        <v>SCH/R_IEC.SchLib</v>
      </c>
      <c r="H1819" s="17" t="s">
        <v>419</v>
      </c>
      <c r="I1819" s="18" t="s">
        <v>7493</v>
      </c>
      <c r="J1819" t="s">
        <v>11562</v>
      </c>
      <c r="M1819" s="3">
        <v>160</v>
      </c>
      <c r="N1819" t="s">
        <v>11386</v>
      </c>
      <c r="O1819" t="s">
        <v>11456</v>
      </c>
      <c r="P1819" t="s">
        <v>11491</v>
      </c>
      <c r="Q1819" t="s">
        <v>25</v>
      </c>
      <c r="R1819" t="s">
        <v>11900</v>
      </c>
    </row>
    <row r="1820" spans="1:18">
      <c r="A1820" t="s">
        <v>11751</v>
      </c>
      <c r="B1820" t="s">
        <v>11796</v>
      </c>
      <c r="C1820" t="s">
        <v>11841</v>
      </c>
      <c r="D1820" s="17" t="s">
        <v>21</v>
      </c>
      <c r="E1820" t="s">
        <v>11561</v>
      </c>
      <c r="F1820" t="s">
        <v>119</v>
      </c>
      <c r="G1820" s="17" t="str">
        <f>Config!$B$3</f>
        <v>SCH/R_IEC.SchLib</v>
      </c>
      <c r="H1820" s="17" t="s">
        <v>419</v>
      </c>
      <c r="I1820" s="18" t="s">
        <v>7493</v>
      </c>
      <c r="J1820" t="s">
        <v>11562</v>
      </c>
      <c r="M1820" s="3">
        <v>180</v>
      </c>
      <c r="N1820" t="s">
        <v>11393</v>
      </c>
      <c r="O1820" t="s">
        <v>11456</v>
      </c>
      <c r="P1820" t="s">
        <v>11498</v>
      </c>
      <c r="Q1820" t="s">
        <v>25</v>
      </c>
      <c r="R1820" t="s">
        <v>11907</v>
      </c>
    </row>
    <row r="1821" spans="1:18">
      <c r="A1821" t="s">
        <v>11742</v>
      </c>
      <c r="B1821" t="s">
        <v>11787</v>
      </c>
      <c r="C1821" t="s">
        <v>11832</v>
      </c>
      <c r="D1821" s="17" t="s">
        <v>21</v>
      </c>
      <c r="E1821" t="s">
        <v>11561</v>
      </c>
      <c r="F1821" t="s">
        <v>123</v>
      </c>
      <c r="G1821" s="17" t="str">
        <f>Config!$B$3</f>
        <v>SCH/R_IEC.SchLib</v>
      </c>
      <c r="H1821" s="17" t="s">
        <v>419</v>
      </c>
      <c r="I1821" s="18" t="s">
        <v>7493</v>
      </c>
      <c r="J1821" t="s">
        <v>11562</v>
      </c>
      <c r="M1821" s="3">
        <v>200</v>
      </c>
      <c r="N1821" t="s">
        <v>11373</v>
      </c>
      <c r="O1821" t="s">
        <v>11456</v>
      </c>
      <c r="P1821" t="s">
        <v>11478</v>
      </c>
      <c r="Q1821" t="s">
        <v>25</v>
      </c>
      <c r="R1821" t="s">
        <v>11887</v>
      </c>
    </row>
    <row r="1822" spans="1:18">
      <c r="A1822" t="s">
        <v>11736</v>
      </c>
      <c r="B1822" t="s">
        <v>11781</v>
      </c>
      <c r="C1822" t="s">
        <v>11826</v>
      </c>
      <c r="D1822" s="17" t="s">
        <v>21</v>
      </c>
      <c r="E1822" t="s">
        <v>11561</v>
      </c>
      <c r="F1822" t="s">
        <v>125</v>
      </c>
      <c r="G1822" s="17" t="str">
        <f>Config!$B$3</f>
        <v>SCH/R_IEC.SchLib</v>
      </c>
      <c r="H1822" s="17" t="s">
        <v>419</v>
      </c>
      <c r="I1822" s="18" t="s">
        <v>7493</v>
      </c>
      <c r="J1822" t="s">
        <v>11562</v>
      </c>
      <c r="M1822" s="3">
        <v>220</v>
      </c>
      <c r="N1822" t="s">
        <v>11359</v>
      </c>
      <c r="O1822" t="s">
        <v>11456</v>
      </c>
      <c r="P1822" t="s">
        <v>11464</v>
      </c>
      <c r="Q1822" t="s">
        <v>25</v>
      </c>
      <c r="R1822" t="s">
        <v>11873</v>
      </c>
    </row>
    <row r="1823" spans="1:18">
      <c r="A1823" t="s">
        <v>11733</v>
      </c>
      <c r="B1823" t="s">
        <v>11778</v>
      </c>
      <c r="C1823" t="s">
        <v>11823</v>
      </c>
      <c r="D1823" s="17" t="s">
        <v>21</v>
      </c>
      <c r="E1823" t="s">
        <v>11561</v>
      </c>
      <c r="F1823" t="s">
        <v>129</v>
      </c>
      <c r="G1823" s="17" t="str">
        <f>Config!$B$3</f>
        <v>SCH/R_IEC.SchLib</v>
      </c>
      <c r="H1823" s="17" t="s">
        <v>419</v>
      </c>
      <c r="I1823" s="18" t="s">
        <v>7493</v>
      </c>
      <c r="J1823" t="s">
        <v>11562</v>
      </c>
      <c r="M1823" s="3">
        <v>240</v>
      </c>
      <c r="N1823" t="s">
        <v>11355</v>
      </c>
      <c r="O1823" t="s">
        <v>11456</v>
      </c>
      <c r="P1823" t="s">
        <v>11460</v>
      </c>
      <c r="Q1823" t="s">
        <v>25</v>
      </c>
      <c r="R1823" t="s">
        <v>11869</v>
      </c>
    </row>
    <row r="1824" spans="1:18">
      <c r="A1824" t="s">
        <v>11739</v>
      </c>
      <c r="B1824" t="s">
        <v>11784</v>
      </c>
      <c r="C1824" t="s">
        <v>11829</v>
      </c>
      <c r="D1824" s="17" t="s">
        <v>21</v>
      </c>
      <c r="E1824" t="s">
        <v>11561</v>
      </c>
      <c r="F1824" t="s">
        <v>131</v>
      </c>
      <c r="G1824" s="17" t="str">
        <f>Config!$B$3</f>
        <v>SCH/R_IEC.SchLib</v>
      </c>
      <c r="H1824" s="17" t="s">
        <v>419</v>
      </c>
      <c r="I1824" s="18" t="s">
        <v>7493</v>
      </c>
      <c r="J1824" t="s">
        <v>11562</v>
      </c>
      <c r="M1824" s="3">
        <v>270</v>
      </c>
      <c r="N1824" t="s">
        <v>11364</v>
      </c>
      <c r="O1824" t="s">
        <v>11456</v>
      </c>
      <c r="P1824" t="s">
        <v>11469</v>
      </c>
      <c r="Q1824" t="s">
        <v>25</v>
      </c>
      <c r="R1824" t="s">
        <v>11878</v>
      </c>
    </row>
    <row r="1825" spans="1:18">
      <c r="A1825" t="s">
        <v>11761</v>
      </c>
      <c r="B1825" t="s">
        <v>11806</v>
      </c>
      <c r="C1825" t="s">
        <v>11851</v>
      </c>
      <c r="D1825" s="17" t="s">
        <v>21</v>
      </c>
      <c r="E1825" t="s">
        <v>11561</v>
      </c>
      <c r="F1825" t="s">
        <v>133</v>
      </c>
      <c r="G1825" s="17" t="str">
        <f>Config!$B$3</f>
        <v>SCH/R_IEC.SchLib</v>
      </c>
      <c r="H1825" s="17" t="s">
        <v>419</v>
      </c>
      <c r="I1825" s="18" t="s">
        <v>7493</v>
      </c>
      <c r="J1825" t="s">
        <v>11562</v>
      </c>
      <c r="M1825" s="3">
        <v>300</v>
      </c>
      <c r="N1825" t="s">
        <v>11427</v>
      </c>
      <c r="O1825" t="s">
        <v>11456</v>
      </c>
      <c r="P1825" t="s">
        <v>11532</v>
      </c>
      <c r="Q1825" t="s">
        <v>25</v>
      </c>
      <c r="R1825" t="s">
        <v>11941</v>
      </c>
    </row>
    <row r="1826" spans="1:18">
      <c r="A1826" t="s">
        <v>11743</v>
      </c>
      <c r="B1826" t="s">
        <v>11788</v>
      </c>
      <c r="C1826" t="s">
        <v>11833</v>
      </c>
      <c r="D1826" s="17" t="s">
        <v>21</v>
      </c>
      <c r="E1826" t="s">
        <v>11561</v>
      </c>
      <c r="F1826" t="s">
        <v>137</v>
      </c>
      <c r="G1826" s="17" t="str">
        <f>Config!$B$3</f>
        <v>SCH/R_IEC.SchLib</v>
      </c>
      <c r="H1826" s="17" t="s">
        <v>419</v>
      </c>
      <c r="I1826" s="18" t="s">
        <v>7493</v>
      </c>
      <c r="J1826" t="s">
        <v>11562</v>
      </c>
      <c r="M1826" s="3">
        <v>330</v>
      </c>
      <c r="N1826" t="s">
        <v>11374</v>
      </c>
      <c r="O1826" t="s">
        <v>11456</v>
      </c>
      <c r="P1826" t="s">
        <v>11479</v>
      </c>
      <c r="Q1826" t="s">
        <v>25</v>
      </c>
      <c r="R1826" t="s">
        <v>11888</v>
      </c>
    </row>
    <row r="1827" spans="1:18">
      <c r="A1827" t="s">
        <v>11752</v>
      </c>
      <c r="B1827" t="s">
        <v>11797</v>
      </c>
      <c r="C1827" t="s">
        <v>11842</v>
      </c>
      <c r="D1827" s="17" t="s">
        <v>21</v>
      </c>
      <c r="E1827" t="s">
        <v>11561</v>
      </c>
      <c r="F1827" t="s">
        <v>139</v>
      </c>
      <c r="G1827" s="17" t="str">
        <f>Config!$B$3</f>
        <v>SCH/R_IEC.SchLib</v>
      </c>
      <c r="H1827" s="17" t="s">
        <v>419</v>
      </c>
      <c r="I1827" s="18" t="s">
        <v>7493</v>
      </c>
      <c r="J1827" t="s">
        <v>11562</v>
      </c>
      <c r="M1827" s="3">
        <v>360</v>
      </c>
      <c r="N1827" t="s">
        <v>11394</v>
      </c>
      <c r="O1827" t="s">
        <v>11456</v>
      </c>
      <c r="P1827" t="s">
        <v>11499</v>
      </c>
      <c r="Q1827" t="s">
        <v>25</v>
      </c>
      <c r="R1827" t="s">
        <v>11908</v>
      </c>
    </row>
    <row r="1828" spans="1:18">
      <c r="A1828" t="s">
        <v>11750</v>
      </c>
      <c r="B1828" t="s">
        <v>11795</v>
      </c>
      <c r="C1828" t="s">
        <v>11840</v>
      </c>
      <c r="D1828" s="17" t="s">
        <v>21</v>
      </c>
      <c r="E1828" t="s">
        <v>11561</v>
      </c>
      <c r="F1828" t="s">
        <v>141</v>
      </c>
      <c r="G1828" s="17" t="str">
        <f>Config!$B$3</f>
        <v>SCH/R_IEC.SchLib</v>
      </c>
      <c r="H1828" s="17" t="s">
        <v>419</v>
      </c>
      <c r="I1828" s="18" t="s">
        <v>7493</v>
      </c>
      <c r="J1828" t="s">
        <v>11562</v>
      </c>
      <c r="M1828" s="3">
        <v>390</v>
      </c>
      <c r="N1828" t="s">
        <v>11390</v>
      </c>
      <c r="O1828" t="s">
        <v>11456</v>
      </c>
      <c r="P1828" t="s">
        <v>11495</v>
      </c>
      <c r="Q1828" t="s">
        <v>25</v>
      </c>
      <c r="R1828" t="s">
        <v>11904</v>
      </c>
    </row>
    <row r="1829" spans="1:18">
      <c r="A1829" t="s">
        <v>11775</v>
      </c>
      <c r="B1829" t="s">
        <v>11820</v>
      </c>
      <c r="C1829" t="s">
        <v>11865</v>
      </c>
      <c r="D1829" s="17" t="s">
        <v>21</v>
      </c>
      <c r="E1829" t="s">
        <v>11561</v>
      </c>
      <c r="F1829" t="s">
        <v>143</v>
      </c>
      <c r="G1829" s="17" t="str">
        <f>Config!$B$3</f>
        <v>SCH/R_IEC.SchLib</v>
      </c>
      <c r="H1829" s="17" t="s">
        <v>419</v>
      </c>
      <c r="I1829" s="18" t="s">
        <v>7493</v>
      </c>
      <c r="J1829" t="s">
        <v>11562</v>
      </c>
      <c r="M1829" s="3">
        <v>430</v>
      </c>
      <c r="N1829" t="s">
        <v>11455</v>
      </c>
      <c r="O1829" t="s">
        <v>11456</v>
      </c>
      <c r="P1829" t="s">
        <v>11560</v>
      </c>
      <c r="Q1829" t="s">
        <v>25</v>
      </c>
      <c r="R1829" t="s">
        <v>11969</v>
      </c>
    </row>
    <row r="1830" spans="1:18">
      <c r="A1830" t="s">
        <v>11738</v>
      </c>
      <c r="B1830" t="s">
        <v>11783</v>
      </c>
      <c r="C1830" t="s">
        <v>11828</v>
      </c>
      <c r="D1830" s="17" t="s">
        <v>21</v>
      </c>
      <c r="E1830" t="s">
        <v>11561</v>
      </c>
      <c r="F1830" t="s">
        <v>145</v>
      </c>
      <c r="G1830" s="17" t="str">
        <f>Config!$B$3</f>
        <v>SCH/R_IEC.SchLib</v>
      </c>
      <c r="H1830" s="17" t="s">
        <v>419</v>
      </c>
      <c r="I1830" s="18" t="s">
        <v>7493</v>
      </c>
      <c r="J1830" t="s">
        <v>11562</v>
      </c>
      <c r="M1830" s="3">
        <v>470</v>
      </c>
      <c r="N1830" t="s">
        <v>11363</v>
      </c>
      <c r="O1830" t="s">
        <v>11456</v>
      </c>
      <c r="P1830" t="s">
        <v>11468</v>
      </c>
      <c r="Q1830" t="s">
        <v>25</v>
      </c>
      <c r="R1830" t="s">
        <v>11877</v>
      </c>
    </row>
    <row r="1831" spans="1:18">
      <c r="A1831" t="s">
        <v>11754</v>
      </c>
      <c r="B1831" t="s">
        <v>11799</v>
      </c>
      <c r="C1831" t="s">
        <v>11844</v>
      </c>
      <c r="D1831" s="17" t="s">
        <v>21</v>
      </c>
      <c r="E1831" t="s">
        <v>11561</v>
      </c>
      <c r="F1831" t="s">
        <v>149</v>
      </c>
      <c r="G1831" s="17" t="str">
        <f>Config!$B$3</f>
        <v>SCH/R_IEC.SchLib</v>
      </c>
      <c r="H1831" s="17" t="s">
        <v>419</v>
      </c>
      <c r="I1831" s="18" t="s">
        <v>7493</v>
      </c>
      <c r="J1831" t="s">
        <v>11562</v>
      </c>
      <c r="M1831" s="3">
        <v>510</v>
      </c>
      <c r="N1831" t="s">
        <v>11397</v>
      </c>
      <c r="O1831" t="s">
        <v>11456</v>
      </c>
      <c r="P1831" t="s">
        <v>11502</v>
      </c>
      <c r="Q1831" t="s">
        <v>25</v>
      </c>
      <c r="R1831" t="s">
        <v>11911</v>
      </c>
    </row>
    <row r="1832" spans="1:18">
      <c r="A1832" t="s">
        <v>11757</v>
      </c>
      <c r="B1832" t="s">
        <v>11802</v>
      </c>
      <c r="C1832" t="s">
        <v>11847</v>
      </c>
      <c r="D1832" s="17" t="s">
        <v>21</v>
      </c>
      <c r="E1832" t="s">
        <v>11561</v>
      </c>
      <c r="F1832" t="s">
        <v>151</v>
      </c>
      <c r="G1832" s="17" t="str">
        <f>Config!$B$3</f>
        <v>SCH/R_IEC.SchLib</v>
      </c>
      <c r="H1832" s="17" t="s">
        <v>419</v>
      </c>
      <c r="I1832" s="18" t="s">
        <v>7493</v>
      </c>
      <c r="J1832" t="s">
        <v>11562</v>
      </c>
      <c r="M1832" s="3">
        <v>560</v>
      </c>
      <c r="N1832" t="s">
        <v>11410</v>
      </c>
      <c r="O1832" t="s">
        <v>11456</v>
      </c>
      <c r="P1832" t="s">
        <v>11515</v>
      </c>
      <c r="Q1832" t="s">
        <v>25</v>
      </c>
      <c r="R1832" t="s">
        <v>11924</v>
      </c>
    </row>
    <row r="1833" spans="1:18">
      <c r="A1833" t="s">
        <v>11744</v>
      </c>
      <c r="B1833" t="s">
        <v>11789</v>
      </c>
      <c r="C1833" t="s">
        <v>11834</v>
      </c>
      <c r="D1833" s="17" t="s">
        <v>21</v>
      </c>
      <c r="E1833" t="s">
        <v>11561</v>
      </c>
      <c r="F1833" t="s">
        <v>153</v>
      </c>
      <c r="G1833" s="17" t="str">
        <f>Config!$B$3</f>
        <v>SCH/R_IEC.SchLib</v>
      </c>
      <c r="H1833" s="17" t="s">
        <v>419</v>
      </c>
      <c r="I1833" s="18" t="s">
        <v>7493</v>
      </c>
      <c r="J1833" t="s">
        <v>11562</v>
      </c>
      <c r="M1833" s="3">
        <v>620</v>
      </c>
      <c r="N1833" t="s">
        <v>11375</v>
      </c>
      <c r="O1833" t="s">
        <v>11456</v>
      </c>
      <c r="P1833" t="s">
        <v>11480</v>
      </c>
      <c r="Q1833" t="s">
        <v>25</v>
      </c>
      <c r="R1833" t="s">
        <v>11889</v>
      </c>
    </row>
    <row r="1834" spans="1:18">
      <c r="A1834" t="s">
        <v>11766</v>
      </c>
      <c r="B1834" t="s">
        <v>11811</v>
      </c>
      <c r="C1834" t="s">
        <v>11856</v>
      </c>
      <c r="D1834" s="17" t="s">
        <v>21</v>
      </c>
      <c r="E1834" t="s">
        <v>11561</v>
      </c>
      <c r="F1834" t="s">
        <v>155</v>
      </c>
      <c r="G1834" s="17" t="str">
        <f>Config!$B$3</f>
        <v>SCH/R_IEC.SchLib</v>
      </c>
      <c r="H1834" s="17" t="s">
        <v>419</v>
      </c>
      <c r="I1834" s="18" t="s">
        <v>7493</v>
      </c>
      <c r="J1834" t="s">
        <v>11562</v>
      </c>
      <c r="M1834" s="3">
        <v>680</v>
      </c>
      <c r="N1834" t="s">
        <v>11435</v>
      </c>
      <c r="O1834" t="s">
        <v>11456</v>
      </c>
      <c r="P1834" t="s">
        <v>11540</v>
      </c>
      <c r="Q1834" t="s">
        <v>25</v>
      </c>
      <c r="R1834" t="s">
        <v>11949</v>
      </c>
    </row>
    <row r="1835" spans="1:18">
      <c r="A1835" t="s">
        <v>11760</v>
      </c>
      <c r="B1835" t="s">
        <v>11805</v>
      </c>
      <c r="C1835" t="s">
        <v>11850</v>
      </c>
      <c r="D1835" s="17" t="s">
        <v>21</v>
      </c>
      <c r="E1835" t="s">
        <v>11561</v>
      </c>
      <c r="F1835" t="s">
        <v>157</v>
      </c>
      <c r="G1835" s="17" t="str">
        <f>Config!$B$3</f>
        <v>SCH/R_IEC.SchLib</v>
      </c>
      <c r="H1835" s="17" t="s">
        <v>419</v>
      </c>
      <c r="I1835" s="18" t="s">
        <v>7493</v>
      </c>
      <c r="J1835" t="s">
        <v>11562</v>
      </c>
      <c r="M1835" s="3">
        <v>750</v>
      </c>
      <c r="N1835" t="s">
        <v>11425</v>
      </c>
      <c r="O1835" t="s">
        <v>11456</v>
      </c>
      <c r="P1835" t="s">
        <v>11530</v>
      </c>
      <c r="Q1835" t="s">
        <v>25</v>
      </c>
      <c r="R1835" t="s">
        <v>11939</v>
      </c>
    </row>
    <row r="1836" spans="1:18">
      <c r="A1836" t="s">
        <v>11765</v>
      </c>
      <c r="B1836" t="s">
        <v>11810</v>
      </c>
      <c r="C1836" t="s">
        <v>11855</v>
      </c>
      <c r="D1836" s="17" t="s">
        <v>21</v>
      </c>
      <c r="E1836" t="s">
        <v>11561</v>
      </c>
      <c r="F1836" t="s">
        <v>159</v>
      </c>
      <c r="G1836" s="17" t="str">
        <f>Config!$B$3</f>
        <v>SCH/R_IEC.SchLib</v>
      </c>
      <c r="H1836" s="17" t="s">
        <v>419</v>
      </c>
      <c r="I1836" s="18" t="s">
        <v>7493</v>
      </c>
      <c r="J1836" t="s">
        <v>11562</v>
      </c>
      <c r="M1836" s="3">
        <v>820</v>
      </c>
      <c r="N1836" t="s">
        <v>11432</v>
      </c>
      <c r="O1836" t="s">
        <v>11456</v>
      </c>
      <c r="P1836" t="s">
        <v>11537</v>
      </c>
      <c r="Q1836" t="s">
        <v>25</v>
      </c>
      <c r="R1836" t="s">
        <v>11946</v>
      </c>
    </row>
    <row r="1837" spans="1:18">
      <c r="A1837" t="s">
        <v>11759</v>
      </c>
      <c r="B1837" t="s">
        <v>11804</v>
      </c>
      <c r="C1837" t="s">
        <v>11849</v>
      </c>
      <c r="D1837" s="17" t="s">
        <v>21</v>
      </c>
      <c r="E1837" t="s">
        <v>11561</v>
      </c>
      <c r="F1837" t="s">
        <v>161</v>
      </c>
      <c r="G1837" s="17" t="str">
        <f>Config!$B$3</f>
        <v>SCH/R_IEC.SchLib</v>
      </c>
      <c r="H1837" s="17" t="s">
        <v>419</v>
      </c>
      <c r="I1837" s="18" t="s">
        <v>7493</v>
      </c>
      <c r="J1837" t="s">
        <v>11562</v>
      </c>
      <c r="M1837" s="3">
        <v>910</v>
      </c>
      <c r="N1837" t="s">
        <v>11416</v>
      </c>
      <c r="O1837" t="s">
        <v>11456</v>
      </c>
      <c r="P1837" t="s">
        <v>11521</v>
      </c>
      <c r="Q1837" t="s">
        <v>25</v>
      </c>
      <c r="R1837" t="s">
        <v>11930</v>
      </c>
    </row>
    <row r="1838" spans="1:18">
      <c r="A1838" t="s">
        <v>11628</v>
      </c>
      <c r="B1838" t="s">
        <v>11572</v>
      </c>
      <c r="C1838" t="s">
        <v>11684</v>
      </c>
      <c r="D1838" s="17" t="s">
        <v>21</v>
      </c>
      <c r="E1838" t="s">
        <v>11561</v>
      </c>
      <c r="F1838" t="s">
        <v>163</v>
      </c>
      <c r="G1838" s="17" t="str">
        <f>Config!$B$3</f>
        <v>SCH/R_IEC.SchLib</v>
      </c>
      <c r="H1838" s="17" t="s">
        <v>419</v>
      </c>
      <c r="I1838" s="18" t="s">
        <v>7493</v>
      </c>
      <c r="J1838" t="s">
        <v>11562</v>
      </c>
      <c r="M1838" s="3">
        <v>1000</v>
      </c>
      <c r="N1838" t="s">
        <v>11378</v>
      </c>
      <c r="O1838" t="s">
        <v>11456</v>
      </c>
      <c r="P1838" t="s">
        <v>11483</v>
      </c>
      <c r="Q1838" t="s">
        <v>25</v>
      </c>
      <c r="R1838" t="s">
        <v>11892</v>
      </c>
    </row>
    <row r="1839" spans="1:18">
      <c r="A1839" t="s">
        <v>11627</v>
      </c>
      <c r="B1839" t="s">
        <v>11571</v>
      </c>
      <c r="C1839" t="s">
        <v>11683</v>
      </c>
      <c r="D1839" s="17" t="s">
        <v>21</v>
      </c>
      <c r="E1839" t="s">
        <v>11561</v>
      </c>
      <c r="F1839" t="s">
        <v>165</v>
      </c>
      <c r="G1839" s="17" t="str">
        <f>Config!$B$3</f>
        <v>SCH/R_IEC.SchLib</v>
      </c>
      <c r="H1839" s="17" t="s">
        <v>419</v>
      </c>
      <c r="I1839" s="18" t="s">
        <v>7493</v>
      </c>
      <c r="J1839" t="s">
        <v>11562</v>
      </c>
      <c r="M1839" s="3">
        <v>1100</v>
      </c>
      <c r="N1839" t="s">
        <v>11371</v>
      </c>
      <c r="O1839" t="s">
        <v>11456</v>
      </c>
      <c r="P1839" t="s">
        <v>11476</v>
      </c>
      <c r="Q1839" t="s">
        <v>25</v>
      </c>
      <c r="R1839" t="s">
        <v>11885</v>
      </c>
    </row>
    <row r="1840" spans="1:18">
      <c r="A1840" t="s">
        <v>11661</v>
      </c>
      <c r="B1840" t="s">
        <v>11605</v>
      </c>
      <c r="C1840" t="s">
        <v>11717</v>
      </c>
      <c r="D1840" s="17" t="s">
        <v>21</v>
      </c>
      <c r="E1840" t="s">
        <v>11561</v>
      </c>
      <c r="F1840" t="s">
        <v>167</v>
      </c>
      <c r="G1840" s="17" t="str">
        <f>Config!$B$3</f>
        <v>SCH/R_IEC.SchLib</v>
      </c>
      <c r="H1840" s="17" t="s">
        <v>419</v>
      </c>
      <c r="I1840" s="18" t="s">
        <v>7493</v>
      </c>
      <c r="J1840" t="s">
        <v>11562</v>
      </c>
      <c r="M1840" s="3">
        <v>1200</v>
      </c>
      <c r="N1840" t="s">
        <v>11430</v>
      </c>
      <c r="O1840" t="s">
        <v>11456</v>
      </c>
      <c r="P1840" t="s">
        <v>11535</v>
      </c>
      <c r="Q1840" t="s">
        <v>25</v>
      </c>
      <c r="R1840" t="s">
        <v>11944</v>
      </c>
    </row>
    <row r="1841" spans="1:18">
      <c r="A1841" t="s">
        <v>11651</v>
      </c>
      <c r="B1841" t="s">
        <v>11595</v>
      </c>
      <c r="C1841" t="s">
        <v>11707</v>
      </c>
      <c r="D1841" s="17" t="s">
        <v>21</v>
      </c>
      <c r="E1841" t="s">
        <v>11561</v>
      </c>
      <c r="F1841" t="s">
        <v>169</v>
      </c>
      <c r="G1841" s="17" t="str">
        <f>Config!$B$3</f>
        <v>SCH/R_IEC.SchLib</v>
      </c>
      <c r="H1841" s="17" t="s">
        <v>419</v>
      </c>
      <c r="I1841" s="18" t="s">
        <v>7493</v>
      </c>
      <c r="J1841" t="s">
        <v>11562</v>
      </c>
      <c r="M1841" s="3">
        <v>1300</v>
      </c>
      <c r="N1841" t="s">
        <v>11415</v>
      </c>
      <c r="O1841" t="s">
        <v>11456</v>
      </c>
      <c r="P1841" t="s">
        <v>11520</v>
      </c>
      <c r="Q1841" t="s">
        <v>25</v>
      </c>
      <c r="R1841" t="s">
        <v>11929</v>
      </c>
    </row>
    <row r="1842" spans="1:18">
      <c r="A1842" t="s">
        <v>11659</v>
      </c>
      <c r="B1842" t="s">
        <v>11603</v>
      </c>
      <c r="C1842" t="s">
        <v>11715</v>
      </c>
      <c r="D1842" s="17" t="s">
        <v>21</v>
      </c>
      <c r="E1842" t="s">
        <v>11561</v>
      </c>
      <c r="F1842" t="s">
        <v>171</v>
      </c>
      <c r="G1842" s="17" t="str">
        <f>Config!$B$3</f>
        <v>SCH/R_IEC.SchLib</v>
      </c>
      <c r="H1842" s="17" t="s">
        <v>419</v>
      </c>
      <c r="I1842" s="18" t="s">
        <v>7493</v>
      </c>
      <c r="J1842" t="s">
        <v>11562</v>
      </c>
      <c r="M1842" s="3">
        <v>1500</v>
      </c>
      <c r="N1842" t="s">
        <v>11424</v>
      </c>
      <c r="O1842" t="s">
        <v>11456</v>
      </c>
      <c r="P1842" t="s">
        <v>11529</v>
      </c>
      <c r="Q1842" t="s">
        <v>25</v>
      </c>
      <c r="R1842" t="s">
        <v>11938</v>
      </c>
    </row>
    <row r="1843" spans="1:18">
      <c r="A1843" t="s">
        <v>11673</v>
      </c>
      <c r="B1843" t="s">
        <v>11617</v>
      </c>
      <c r="C1843" t="s">
        <v>11729</v>
      </c>
      <c r="D1843" s="17" t="s">
        <v>21</v>
      </c>
      <c r="E1843" t="s">
        <v>11561</v>
      </c>
      <c r="F1843" t="s">
        <v>175</v>
      </c>
      <c r="G1843" s="17" t="str">
        <f>Config!$B$3</f>
        <v>SCH/R_IEC.SchLib</v>
      </c>
      <c r="H1843" s="17" t="s">
        <v>419</v>
      </c>
      <c r="I1843" s="18" t="s">
        <v>7493</v>
      </c>
      <c r="J1843" t="s">
        <v>11562</v>
      </c>
      <c r="M1843" s="3">
        <v>1600</v>
      </c>
      <c r="N1843" t="s">
        <v>11453</v>
      </c>
      <c r="O1843" t="s">
        <v>11456</v>
      </c>
      <c r="P1843" t="s">
        <v>11558</v>
      </c>
      <c r="Q1843" t="s">
        <v>25</v>
      </c>
      <c r="R1843" t="s">
        <v>11967</v>
      </c>
    </row>
    <row r="1844" spans="1:18">
      <c r="A1844" t="s">
        <v>11667</v>
      </c>
      <c r="B1844" t="s">
        <v>11611</v>
      </c>
      <c r="C1844" t="s">
        <v>11723</v>
      </c>
      <c r="D1844" s="17" t="s">
        <v>21</v>
      </c>
      <c r="E1844" t="s">
        <v>11561</v>
      </c>
      <c r="F1844" t="s">
        <v>181</v>
      </c>
      <c r="G1844" s="17" t="str">
        <f>Config!$B$3</f>
        <v>SCH/R_IEC.SchLib</v>
      </c>
      <c r="H1844" s="17" t="s">
        <v>419</v>
      </c>
      <c r="I1844" s="18" t="s">
        <v>7493</v>
      </c>
      <c r="J1844" t="s">
        <v>11562</v>
      </c>
      <c r="M1844" s="3">
        <v>1800</v>
      </c>
      <c r="N1844" t="s">
        <v>11444</v>
      </c>
      <c r="O1844" t="s">
        <v>11456</v>
      </c>
      <c r="P1844" t="s">
        <v>11549</v>
      </c>
      <c r="Q1844" t="s">
        <v>25</v>
      </c>
      <c r="R1844" t="s">
        <v>11958</v>
      </c>
    </row>
    <row r="1845" spans="1:18">
      <c r="A1845" t="s">
        <v>11629</v>
      </c>
      <c r="B1845" t="s">
        <v>11573</v>
      </c>
      <c r="C1845" t="s">
        <v>11685</v>
      </c>
      <c r="D1845" s="17" t="s">
        <v>21</v>
      </c>
      <c r="E1845" t="s">
        <v>11561</v>
      </c>
      <c r="F1845" t="s">
        <v>183</v>
      </c>
      <c r="G1845" s="17" t="str">
        <f>Config!$B$3</f>
        <v>SCH/R_IEC.SchLib</v>
      </c>
      <c r="H1845" s="17" t="s">
        <v>419</v>
      </c>
      <c r="I1845" s="18" t="s">
        <v>7493</v>
      </c>
      <c r="J1845" t="s">
        <v>11562</v>
      </c>
      <c r="M1845" s="3">
        <v>2000</v>
      </c>
      <c r="N1845" t="s">
        <v>11379</v>
      </c>
      <c r="O1845" t="s">
        <v>11456</v>
      </c>
      <c r="P1845" t="s">
        <v>11484</v>
      </c>
      <c r="Q1845" t="s">
        <v>25</v>
      </c>
      <c r="R1845" t="s">
        <v>11893</v>
      </c>
    </row>
    <row r="1846" spans="1:18">
      <c r="A1846" t="s">
        <v>11635</v>
      </c>
      <c r="B1846" t="s">
        <v>11579</v>
      </c>
      <c r="C1846" t="s">
        <v>11691</v>
      </c>
      <c r="D1846" s="17" t="s">
        <v>21</v>
      </c>
      <c r="E1846" t="s">
        <v>11561</v>
      </c>
      <c r="F1846" t="s">
        <v>187</v>
      </c>
      <c r="G1846" s="17" t="str">
        <f>Config!$B$3</f>
        <v>SCH/R_IEC.SchLib</v>
      </c>
      <c r="H1846" s="17" t="s">
        <v>419</v>
      </c>
      <c r="I1846" s="18" t="s">
        <v>7493</v>
      </c>
      <c r="J1846" t="s">
        <v>11562</v>
      </c>
      <c r="M1846" s="3">
        <v>2200</v>
      </c>
      <c r="N1846" t="s">
        <v>11391</v>
      </c>
      <c r="O1846" t="s">
        <v>11456</v>
      </c>
      <c r="P1846" t="s">
        <v>11496</v>
      </c>
      <c r="Q1846" t="s">
        <v>25</v>
      </c>
      <c r="R1846" t="s">
        <v>11905</v>
      </c>
    </row>
    <row r="1847" spans="1:18">
      <c r="A1847" t="s">
        <v>11653</v>
      </c>
      <c r="B1847" t="s">
        <v>11597</v>
      </c>
      <c r="C1847" t="s">
        <v>11709</v>
      </c>
      <c r="D1847" s="17" t="s">
        <v>21</v>
      </c>
      <c r="E1847" t="s">
        <v>11561</v>
      </c>
      <c r="F1847" t="s">
        <v>191</v>
      </c>
      <c r="G1847" s="17" t="str">
        <f>Config!$B$3</f>
        <v>SCH/R_IEC.SchLib</v>
      </c>
      <c r="H1847" s="17" t="s">
        <v>419</v>
      </c>
      <c r="I1847" s="18" t="s">
        <v>7493</v>
      </c>
      <c r="J1847" t="s">
        <v>11562</v>
      </c>
      <c r="M1847" s="3">
        <v>2400</v>
      </c>
      <c r="N1847" t="s">
        <v>11418</v>
      </c>
      <c r="O1847" t="s">
        <v>11456</v>
      </c>
      <c r="P1847" t="s">
        <v>11523</v>
      </c>
      <c r="Q1847" t="s">
        <v>25</v>
      </c>
      <c r="R1847" t="s">
        <v>11932</v>
      </c>
    </row>
    <row r="1848" spans="1:18">
      <c r="A1848" t="s">
        <v>11665</v>
      </c>
      <c r="B1848" t="s">
        <v>11609</v>
      </c>
      <c r="C1848" t="s">
        <v>11721</v>
      </c>
      <c r="D1848" s="17" t="s">
        <v>21</v>
      </c>
      <c r="E1848" t="s">
        <v>11561</v>
      </c>
      <c r="F1848" t="s">
        <v>193</v>
      </c>
      <c r="G1848" s="17" t="str">
        <f>Config!$B$3</f>
        <v>SCH/R_IEC.SchLib</v>
      </c>
      <c r="H1848" s="17" t="s">
        <v>419</v>
      </c>
      <c r="I1848" s="18" t="s">
        <v>7493</v>
      </c>
      <c r="J1848" t="s">
        <v>11562</v>
      </c>
      <c r="M1848" s="3">
        <v>2700</v>
      </c>
      <c r="N1848" t="s">
        <v>11437</v>
      </c>
      <c r="O1848" t="s">
        <v>11456</v>
      </c>
      <c r="P1848" t="s">
        <v>11542</v>
      </c>
      <c r="Q1848" t="s">
        <v>25</v>
      </c>
      <c r="R1848" t="s">
        <v>11951</v>
      </c>
    </row>
    <row r="1849" spans="1:18">
      <c r="A1849" t="s">
        <v>11674</v>
      </c>
      <c r="B1849" t="s">
        <v>11618</v>
      </c>
      <c r="C1849" t="s">
        <v>11730</v>
      </c>
      <c r="D1849" s="17" t="s">
        <v>21</v>
      </c>
      <c r="E1849" t="s">
        <v>11561</v>
      </c>
      <c r="F1849" t="s">
        <v>197</v>
      </c>
      <c r="G1849" s="17" t="str">
        <f>Config!$B$3</f>
        <v>SCH/R_IEC.SchLib</v>
      </c>
      <c r="H1849" s="17" t="s">
        <v>419</v>
      </c>
      <c r="I1849" s="18" t="s">
        <v>7493</v>
      </c>
      <c r="J1849" t="s">
        <v>11562</v>
      </c>
      <c r="M1849" s="3">
        <v>3000</v>
      </c>
      <c r="N1849" t="s">
        <v>11454</v>
      </c>
      <c r="O1849" t="s">
        <v>11456</v>
      </c>
      <c r="P1849" t="s">
        <v>11559</v>
      </c>
      <c r="Q1849" t="s">
        <v>25</v>
      </c>
      <c r="R1849" t="s">
        <v>11968</v>
      </c>
    </row>
    <row r="1850" spans="1:18">
      <c r="A1850" t="s">
        <v>11670</v>
      </c>
      <c r="B1850" t="s">
        <v>11614</v>
      </c>
      <c r="C1850" t="s">
        <v>11726</v>
      </c>
      <c r="D1850" s="17" t="s">
        <v>21</v>
      </c>
      <c r="E1850" t="s">
        <v>11561</v>
      </c>
      <c r="F1850" t="s">
        <v>201</v>
      </c>
      <c r="G1850" s="17" t="str">
        <f>Config!$B$3</f>
        <v>SCH/R_IEC.SchLib</v>
      </c>
      <c r="H1850" s="17" t="s">
        <v>419</v>
      </c>
      <c r="I1850" s="18" t="s">
        <v>7493</v>
      </c>
      <c r="J1850" t="s">
        <v>11562</v>
      </c>
      <c r="M1850" s="3">
        <v>3300</v>
      </c>
      <c r="N1850" t="s">
        <v>11448</v>
      </c>
      <c r="O1850" t="s">
        <v>11456</v>
      </c>
      <c r="P1850" t="s">
        <v>11553</v>
      </c>
      <c r="Q1850" t="s">
        <v>25</v>
      </c>
      <c r="R1850" t="s">
        <v>11962</v>
      </c>
    </row>
    <row r="1851" spans="1:18">
      <c r="A1851" t="s">
        <v>11649</v>
      </c>
      <c r="B1851" t="s">
        <v>11593</v>
      </c>
      <c r="C1851" t="s">
        <v>11705</v>
      </c>
      <c r="D1851" s="17" t="s">
        <v>21</v>
      </c>
      <c r="E1851" t="s">
        <v>11561</v>
      </c>
      <c r="F1851" t="s">
        <v>203</v>
      </c>
      <c r="G1851" s="17" t="str">
        <f>Config!$B$3</f>
        <v>SCH/R_IEC.SchLib</v>
      </c>
      <c r="H1851" s="17" t="s">
        <v>419</v>
      </c>
      <c r="I1851" s="18" t="s">
        <v>7493</v>
      </c>
      <c r="J1851" t="s">
        <v>11562</v>
      </c>
      <c r="M1851" s="3">
        <v>3600</v>
      </c>
      <c r="N1851" t="s">
        <v>11413</v>
      </c>
      <c r="O1851" t="s">
        <v>11456</v>
      </c>
      <c r="P1851" t="s">
        <v>11518</v>
      </c>
      <c r="Q1851" t="s">
        <v>25</v>
      </c>
      <c r="R1851" t="s">
        <v>11927</v>
      </c>
    </row>
    <row r="1852" spans="1:18">
      <c r="A1852" t="s">
        <v>11623</v>
      </c>
      <c r="B1852" t="s">
        <v>11567</v>
      </c>
      <c r="C1852" t="s">
        <v>11679</v>
      </c>
      <c r="D1852" s="17" t="s">
        <v>21</v>
      </c>
      <c r="E1852" t="s">
        <v>11561</v>
      </c>
      <c r="F1852" t="s">
        <v>205</v>
      </c>
      <c r="G1852" s="17" t="str">
        <f>Config!$B$3</f>
        <v>SCH/R_IEC.SchLib</v>
      </c>
      <c r="H1852" s="17" t="s">
        <v>419</v>
      </c>
      <c r="I1852" s="18" t="s">
        <v>7493</v>
      </c>
      <c r="J1852" t="s">
        <v>11562</v>
      </c>
      <c r="M1852" s="3">
        <v>3900</v>
      </c>
      <c r="N1852" t="s">
        <v>11366</v>
      </c>
      <c r="O1852" t="s">
        <v>11456</v>
      </c>
      <c r="P1852" t="s">
        <v>11471</v>
      </c>
      <c r="Q1852" t="s">
        <v>25</v>
      </c>
      <c r="R1852" t="s">
        <v>11880</v>
      </c>
    </row>
    <row r="1853" spans="1:18">
      <c r="A1853" t="s">
        <v>11656</v>
      </c>
      <c r="B1853" t="s">
        <v>11600</v>
      </c>
      <c r="C1853" t="s">
        <v>11712</v>
      </c>
      <c r="D1853" s="17" t="s">
        <v>21</v>
      </c>
      <c r="E1853" t="s">
        <v>11561</v>
      </c>
      <c r="F1853" t="s">
        <v>207</v>
      </c>
      <c r="G1853" s="17" t="str">
        <f>Config!$B$3</f>
        <v>SCH/R_IEC.SchLib</v>
      </c>
      <c r="H1853" s="17" t="s">
        <v>419</v>
      </c>
      <c r="I1853" s="18" t="s">
        <v>7493</v>
      </c>
      <c r="J1853" t="s">
        <v>11562</v>
      </c>
      <c r="M1853" s="3">
        <v>4300</v>
      </c>
      <c r="N1853" t="s">
        <v>11421</v>
      </c>
      <c r="O1853" t="s">
        <v>11456</v>
      </c>
      <c r="P1853" t="s">
        <v>11526</v>
      </c>
      <c r="Q1853" t="s">
        <v>25</v>
      </c>
      <c r="R1853" t="s">
        <v>11935</v>
      </c>
    </row>
    <row r="1854" spans="1:18">
      <c r="A1854" t="s">
        <v>11631</v>
      </c>
      <c r="B1854" t="s">
        <v>11575</v>
      </c>
      <c r="C1854" t="s">
        <v>11687</v>
      </c>
      <c r="D1854" s="17" t="s">
        <v>21</v>
      </c>
      <c r="E1854" t="s">
        <v>11561</v>
      </c>
      <c r="F1854" t="s">
        <v>209</v>
      </c>
      <c r="G1854" s="17" t="str">
        <f>Config!$B$3</f>
        <v>SCH/R_IEC.SchLib</v>
      </c>
      <c r="H1854" s="17" t="s">
        <v>419</v>
      </c>
      <c r="I1854" s="18" t="s">
        <v>7493</v>
      </c>
      <c r="J1854" t="s">
        <v>11562</v>
      </c>
      <c r="M1854" s="3">
        <v>4700</v>
      </c>
      <c r="N1854" t="s">
        <v>11383</v>
      </c>
      <c r="O1854" t="s">
        <v>11456</v>
      </c>
      <c r="P1854" t="s">
        <v>11488</v>
      </c>
      <c r="Q1854" t="s">
        <v>25</v>
      </c>
      <c r="R1854" t="s">
        <v>11897</v>
      </c>
    </row>
    <row r="1855" spans="1:18">
      <c r="A1855" t="s">
        <v>11637</v>
      </c>
      <c r="B1855" t="s">
        <v>11581</v>
      </c>
      <c r="C1855" t="s">
        <v>11693</v>
      </c>
      <c r="D1855" s="17" t="s">
        <v>21</v>
      </c>
      <c r="E1855" t="s">
        <v>11561</v>
      </c>
      <c r="F1855" t="s">
        <v>213</v>
      </c>
      <c r="G1855" s="17" t="str">
        <f>Config!$B$3</f>
        <v>SCH/R_IEC.SchLib</v>
      </c>
      <c r="H1855" s="17" t="s">
        <v>419</v>
      </c>
      <c r="I1855" s="18" t="s">
        <v>7493</v>
      </c>
      <c r="J1855" t="s">
        <v>11562</v>
      </c>
      <c r="M1855" s="3">
        <v>5100</v>
      </c>
      <c r="N1855" t="s">
        <v>11395</v>
      </c>
      <c r="O1855" t="s">
        <v>11456</v>
      </c>
      <c r="P1855" t="s">
        <v>11500</v>
      </c>
      <c r="Q1855" t="s">
        <v>25</v>
      </c>
      <c r="R1855" t="s">
        <v>11909</v>
      </c>
    </row>
    <row r="1856" spans="1:18">
      <c r="A1856" t="s">
        <v>11624</v>
      </c>
      <c r="B1856" t="s">
        <v>11568</v>
      </c>
      <c r="C1856" t="s">
        <v>11680</v>
      </c>
      <c r="D1856" s="17" t="s">
        <v>21</v>
      </c>
      <c r="E1856" t="s">
        <v>11561</v>
      </c>
      <c r="F1856" t="s">
        <v>215</v>
      </c>
      <c r="G1856" s="17" t="str">
        <f>Config!$B$3</f>
        <v>SCH/R_IEC.SchLib</v>
      </c>
      <c r="H1856" s="17" t="s">
        <v>419</v>
      </c>
      <c r="I1856" s="18" t="s">
        <v>7493</v>
      </c>
      <c r="J1856" t="s">
        <v>11562</v>
      </c>
      <c r="M1856" s="3">
        <v>5600</v>
      </c>
      <c r="N1856" t="s">
        <v>11367</v>
      </c>
      <c r="O1856" t="s">
        <v>11456</v>
      </c>
      <c r="P1856" t="s">
        <v>11472</v>
      </c>
      <c r="Q1856" t="s">
        <v>25</v>
      </c>
      <c r="R1856" t="s">
        <v>11881</v>
      </c>
    </row>
    <row r="1857" spans="1:18">
      <c r="A1857" t="s">
        <v>11650</v>
      </c>
      <c r="B1857" t="s">
        <v>11594</v>
      </c>
      <c r="C1857" t="s">
        <v>11706</v>
      </c>
      <c r="D1857" s="17" t="s">
        <v>21</v>
      </c>
      <c r="E1857" t="s">
        <v>11561</v>
      </c>
      <c r="F1857" t="s">
        <v>217</v>
      </c>
      <c r="G1857" s="17" t="str">
        <f>Config!$B$3</f>
        <v>SCH/R_IEC.SchLib</v>
      </c>
      <c r="H1857" s="17" t="s">
        <v>419</v>
      </c>
      <c r="I1857" s="18" t="s">
        <v>7493</v>
      </c>
      <c r="J1857" t="s">
        <v>11562</v>
      </c>
      <c r="M1857" s="3">
        <v>6200</v>
      </c>
      <c r="N1857" t="s">
        <v>11414</v>
      </c>
      <c r="O1857" t="s">
        <v>11456</v>
      </c>
      <c r="P1857" t="s">
        <v>11519</v>
      </c>
      <c r="Q1857" t="s">
        <v>25</v>
      </c>
      <c r="R1857" t="s">
        <v>11928</v>
      </c>
    </row>
    <row r="1858" spans="1:18">
      <c r="A1858" t="s">
        <v>11630</v>
      </c>
      <c r="B1858" t="s">
        <v>11574</v>
      </c>
      <c r="C1858" t="s">
        <v>11686</v>
      </c>
      <c r="D1858" s="17" t="s">
        <v>21</v>
      </c>
      <c r="E1858" t="s">
        <v>11561</v>
      </c>
      <c r="F1858" t="s">
        <v>219</v>
      </c>
      <c r="G1858" s="17" t="str">
        <f>Config!$B$3</f>
        <v>SCH/R_IEC.SchLib</v>
      </c>
      <c r="H1858" s="17" t="s">
        <v>419</v>
      </c>
      <c r="I1858" s="18" t="s">
        <v>7493</v>
      </c>
      <c r="J1858" t="s">
        <v>11562</v>
      </c>
      <c r="M1858" s="3">
        <v>6800</v>
      </c>
      <c r="N1858" t="s">
        <v>11380</v>
      </c>
      <c r="O1858" t="s">
        <v>11456</v>
      </c>
      <c r="P1858" t="s">
        <v>11485</v>
      </c>
      <c r="Q1858" t="s">
        <v>25</v>
      </c>
      <c r="R1858" t="s">
        <v>11894</v>
      </c>
    </row>
    <row r="1859" spans="1:18">
      <c r="A1859" t="s">
        <v>11660</v>
      </c>
      <c r="B1859" t="s">
        <v>11604</v>
      </c>
      <c r="C1859" t="s">
        <v>11716</v>
      </c>
      <c r="D1859" s="17" t="s">
        <v>21</v>
      </c>
      <c r="E1859" t="s">
        <v>11561</v>
      </c>
      <c r="F1859" t="s">
        <v>221</v>
      </c>
      <c r="G1859" s="17" t="str">
        <f>Config!$B$3</f>
        <v>SCH/R_IEC.SchLib</v>
      </c>
      <c r="H1859" s="17" t="s">
        <v>419</v>
      </c>
      <c r="I1859" s="18" t="s">
        <v>7493</v>
      </c>
      <c r="J1859" t="s">
        <v>11562</v>
      </c>
      <c r="M1859" s="3">
        <v>7500</v>
      </c>
      <c r="N1859" t="s">
        <v>11426</v>
      </c>
      <c r="O1859" t="s">
        <v>11456</v>
      </c>
      <c r="P1859" t="s">
        <v>11531</v>
      </c>
      <c r="Q1859" t="s">
        <v>25</v>
      </c>
      <c r="R1859" t="s">
        <v>11940</v>
      </c>
    </row>
    <row r="1860" spans="1:18">
      <c r="A1860" t="s">
        <v>11622</v>
      </c>
      <c r="B1860" t="s">
        <v>11566</v>
      </c>
      <c r="C1860" t="s">
        <v>11678</v>
      </c>
      <c r="D1860" s="17" t="s">
        <v>21</v>
      </c>
      <c r="E1860" t="s">
        <v>11561</v>
      </c>
      <c r="F1860" t="s">
        <v>223</v>
      </c>
      <c r="G1860" s="17" t="str">
        <f>Config!$B$3</f>
        <v>SCH/R_IEC.SchLib</v>
      </c>
      <c r="H1860" s="17" t="s">
        <v>419</v>
      </c>
      <c r="I1860" s="18" t="s">
        <v>7493</v>
      </c>
      <c r="J1860" t="s">
        <v>11562</v>
      </c>
      <c r="M1860" s="3">
        <v>8200</v>
      </c>
      <c r="N1860" t="s">
        <v>11365</v>
      </c>
      <c r="O1860" t="s">
        <v>11456</v>
      </c>
      <c r="P1860" t="s">
        <v>11470</v>
      </c>
      <c r="Q1860" t="s">
        <v>25</v>
      </c>
      <c r="R1860" t="s">
        <v>11879</v>
      </c>
    </row>
    <row r="1861" spans="1:18">
      <c r="A1861" t="s">
        <v>11657</v>
      </c>
      <c r="B1861" t="s">
        <v>11601</v>
      </c>
      <c r="C1861" t="s">
        <v>11713</v>
      </c>
      <c r="D1861" s="17" t="s">
        <v>21</v>
      </c>
      <c r="E1861" t="s">
        <v>11561</v>
      </c>
      <c r="F1861" t="s">
        <v>225</v>
      </c>
      <c r="G1861" s="17" t="str">
        <f>Config!$B$3</f>
        <v>SCH/R_IEC.SchLib</v>
      </c>
      <c r="H1861" s="17" t="s">
        <v>419</v>
      </c>
      <c r="I1861" s="18" t="s">
        <v>7493</v>
      </c>
      <c r="J1861" t="s">
        <v>11562</v>
      </c>
      <c r="M1861" s="3">
        <v>9100</v>
      </c>
      <c r="N1861" t="s">
        <v>11422</v>
      </c>
      <c r="O1861" t="s">
        <v>11456</v>
      </c>
      <c r="P1861" t="s">
        <v>11527</v>
      </c>
      <c r="Q1861" t="s">
        <v>25</v>
      </c>
      <c r="R1861" t="s">
        <v>11936</v>
      </c>
    </row>
    <row r="1862" spans="1:18">
      <c r="A1862" t="s">
        <v>11640</v>
      </c>
      <c r="B1862" t="s">
        <v>11584</v>
      </c>
      <c r="C1862" t="s">
        <v>11696</v>
      </c>
      <c r="D1862" s="17" t="s">
        <v>21</v>
      </c>
      <c r="E1862" t="s">
        <v>11561</v>
      </c>
      <c r="F1862" t="s">
        <v>229</v>
      </c>
      <c r="G1862" s="17" t="str">
        <f>Config!$B$3</f>
        <v>SCH/R_IEC.SchLib</v>
      </c>
      <c r="H1862" s="17" t="s">
        <v>419</v>
      </c>
      <c r="I1862" s="18" t="s">
        <v>7493</v>
      </c>
      <c r="J1862" t="s">
        <v>11562</v>
      </c>
      <c r="M1862" s="3">
        <v>10000</v>
      </c>
      <c r="N1862" t="s">
        <v>11400</v>
      </c>
      <c r="O1862" t="s">
        <v>11456</v>
      </c>
      <c r="P1862" t="s">
        <v>11505</v>
      </c>
      <c r="Q1862" t="s">
        <v>25</v>
      </c>
      <c r="R1862" t="s">
        <v>11914</v>
      </c>
    </row>
    <row r="1863" spans="1:18">
      <c r="A1863" t="s">
        <v>11655</v>
      </c>
      <c r="B1863" t="s">
        <v>11599</v>
      </c>
      <c r="C1863" t="s">
        <v>11711</v>
      </c>
      <c r="D1863" s="17" t="s">
        <v>21</v>
      </c>
      <c r="E1863" t="s">
        <v>11561</v>
      </c>
      <c r="F1863" t="s">
        <v>233</v>
      </c>
      <c r="G1863" s="17" t="str">
        <f>Config!$B$3</f>
        <v>SCH/R_IEC.SchLib</v>
      </c>
      <c r="H1863" s="17" t="s">
        <v>419</v>
      </c>
      <c r="I1863" s="18" t="s">
        <v>7493</v>
      </c>
      <c r="J1863" t="s">
        <v>11562</v>
      </c>
      <c r="M1863" s="3">
        <v>11000</v>
      </c>
      <c r="N1863" t="s">
        <v>11420</v>
      </c>
      <c r="O1863" t="s">
        <v>11456</v>
      </c>
      <c r="P1863" t="s">
        <v>11525</v>
      </c>
      <c r="Q1863" t="s">
        <v>25</v>
      </c>
      <c r="R1863" t="s">
        <v>11934</v>
      </c>
    </row>
    <row r="1864" spans="1:18">
      <c r="A1864" t="s">
        <v>11632</v>
      </c>
      <c r="B1864" t="s">
        <v>11576</v>
      </c>
      <c r="C1864" t="s">
        <v>11688</v>
      </c>
      <c r="D1864" s="17" t="s">
        <v>21</v>
      </c>
      <c r="E1864" t="s">
        <v>11561</v>
      </c>
      <c r="F1864" t="s">
        <v>235</v>
      </c>
      <c r="G1864" s="17" t="str">
        <f>Config!$B$3</f>
        <v>SCH/R_IEC.SchLib</v>
      </c>
      <c r="H1864" s="17" t="s">
        <v>419</v>
      </c>
      <c r="I1864" s="18" t="s">
        <v>7493</v>
      </c>
      <c r="J1864" t="s">
        <v>11562</v>
      </c>
      <c r="M1864" s="3">
        <v>12000</v>
      </c>
      <c r="N1864" t="s">
        <v>11384</v>
      </c>
      <c r="O1864" t="s">
        <v>11456</v>
      </c>
      <c r="P1864" t="s">
        <v>11489</v>
      </c>
      <c r="Q1864" t="s">
        <v>25</v>
      </c>
      <c r="R1864" t="s">
        <v>11898</v>
      </c>
    </row>
    <row r="1865" spans="1:18">
      <c r="A1865" t="s">
        <v>11654</v>
      </c>
      <c r="B1865" t="s">
        <v>11598</v>
      </c>
      <c r="C1865" t="s">
        <v>11710</v>
      </c>
      <c r="D1865" s="17" t="s">
        <v>21</v>
      </c>
      <c r="E1865" t="s">
        <v>11561</v>
      </c>
      <c r="F1865" t="s">
        <v>239</v>
      </c>
      <c r="G1865" s="17" t="str">
        <f>Config!$B$3</f>
        <v>SCH/R_IEC.SchLib</v>
      </c>
      <c r="H1865" s="17" t="s">
        <v>419</v>
      </c>
      <c r="I1865" s="18" t="s">
        <v>7493</v>
      </c>
      <c r="J1865" t="s">
        <v>11562</v>
      </c>
      <c r="M1865" s="3">
        <v>13000</v>
      </c>
      <c r="N1865" t="s">
        <v>11419</v>
      </c>
      <c r="O1865" t="s">
        <v>11456</v>
      </c>
      <c r="P1865" t="s">
        <v>11524</v>
      </c>
      <c r="Q1865" t="s">
        <v>25</v>
      </c>
      <c r="R1865" t="s">
        <v>11933</v>
      </c>
    </row>
    <row r="1866" spans="1:18">
      <c r="A1866" t="s">
        <v>11634</v>
      </c>
      <c r="B1866" t="s">
        <v>11578</v>
      </c>
      <c r="C1866" t="s">
        <v>11690</v>
      </c>
      <c r="D1866" s="17" t="s">
        <v>21</v>
      </c>
      <c r="E1866" t="s">
        <v>11561</v>
      </c>
      <c r="F1866" t="s">
        <v>243</v>
      </c>
      <c r="G1866" s="17" t="str">
        <f>Config!$B$3</f>
        <v>SCH/R_IEC.SchLib</v>
      </c>
      <c r="H1866" s="17" t="s">
        <v>419</v>
      </c>
      <c r="I1866" s="18" t="s">
        <v>7493</v>
      </c>
      <c r="J1866" t="s">
        <v>11562</v>
      </c>
      <c r="M1866" s="3">
        <v>15000</v>
      </c>
      <c r="N1866" t="s">
        <v>11389</v>
      </c>
      <c r="O1866" t="s">
        <v>11456</v>
      </c>
      <c r="P1866" t="s">
        <v>11494</v>
      </c>
      <c r="Q1866" t="s">
        <v>25</v>
      </c>
      <c r="R1866" t="s">
        <v>11903</v>
      </c>
    </row>
    <row r="1867" spans="1:18">
      <c r="A1867" t="s">
        <v>11666</v>
      </c>
      <c r="B1867" t="s">
        <v>11610</v>
      </c>
      <c r="C1867" t="s">
        <v>11722</v>
      </c>
      <c r="D1867" s="17" t="s">
        <v>21</v>
      </c>
      <c r="E1867" t="s">
        <v>11561</v>
      </c>
      <c r="F1867" t="s">
        <v>247</v>
      </c>
      <c r="G1867" s="17" t="str">
        <f>Config!$B$3</f>
        <v>SCH/R_IEC.SchLib</v>
      </c>
      <c r="H1867" s="17" t="s">
        <v>419</v>
      </c>
      <c r="I1867" s="18" t="s">
        <v>7493</v>
      </c>
      <c r="J1867" t="s">
        <v>11562</v>
      </c>
      <c r="M1867" s="3">
        <v>16000</v>
      </c>
      <c r="N1867" t="s">
        <v>11443</v>
      </c>
      <c r="O1867" t="s">
        <v>11456</v>
      </c>
      <c r="P1867" t="s">
        <v>11548</v>
      </c>
      <c r="Q1867" t="s">
        <v>25</v>
      </c>
      <c r="R1867" t="s">
        <v>11957</v>
      </c>
    </row>
    <row r="1868" spans="1:18">
      <c r="A1868" t="s">
        <v>11619</v>
      </c>
      <c r="B1868" t="s">
        <v>11563</v>
      </c>
      <c r="C1868" t="s">
        <v>11675</v>
      </c>
      <c r="D1868" s="17" t="s">
        <v>21</v>
      </c>
      <c r="E1868" t="s">
        <v>11561</v>
      </c>
      <c r="F1868" t="s">
        <v>251</v>
      </c>
      <c r="G1868" s="17" t="str">
        <f>Config!$B$3</f>
        <v>SCH/R_IEC.SchLib</v>
      </c>
      <c r="H1868" s="17" t="s">
        <v>419</v>
      </c>
      <c r="I1868" s="18" t="s">
        <v>7493</v>
      </c>
      <c r="J1868" t="s">
        <v>11562</v>
      </c>
      <c r="M1868" s="3">
        <v>18000</v>
      </c>
      <c r="N1868" t="s">
        <v>11353</v>
      </c>
      <c r="O1868" t="s">
        <v>11456</v>
      </c>
      <c r="P1868" t="s">
        <v>11458</v>
      </c>
      <c r="Q1868" t="s">
        <v>25</v>
      </c>
      <c r="R1868" t="s">
        <v>11867</v>
      </c>
    </row>
    <row r="1869" spans="1:18">
      <c r="A1869" t="s">
        <v>11636</v>
      </c>
      <c r="B1869" t="s">
        <v>11580</v>
      </c>
      <c r="C1869" t="s">
        <v>11692</v>
      </c>
      <c r="D1869" s="17" t="s">
        <v>21</v>
      </c>
      <c r="E1869" t="s">
        <v>11561</v>
      </c>
      <c r="F1869" t="s">
        <v>255</v>
      </c>
      <c r="G1869" s="17" t="str">
        <f>Config!$B$3</f>
        <v>SCH/R_IEC.SchLib</v>
      </c>
      <c r="H1869" s="17" t="s">
        <v>419</v>
      </c>
      <c r="I1869" s="18" t="s">
        <v>7493</v>
      </c>
      <c r="J1869" t="s">
        <v>11562</v>
      </c>
      <c r="M1869" s="3">
        <v>20000</v>
      </c>
      <c r="N1869" t="s">
        <v>11392</v>
      </c>
      <c r="O1869" t="s">
        <v>11456</v>
      </c>
      <c r="P1869" t="s">
        <v>11497</v>
      </c>
      <c r="Q1869" t="s">
        <v>25</v>
      </c>
      <c r="R1869" t="s">
        <v>11906</v>
      </c>
    </row>
    <row r="1870" spans="1:18">
      <c r="A1870" t="s">
        <v>11658</v>
      </c>
      <c r="B1870" t="s">
        <v>11602</v>
      </c>
      <c r="C1870" t="s">
        <v>11714</v>
      </c>
      <c r="D1870" s="17" t="s">
        <v>21</v>
      </c>
      <c r="E1870" t="s">
        <v>11561</v>
      </c>
      <c r="F1870" t="s">
        <v>257</v>
      </c>
      <c r="G1870" s="17" t="str">
        <f>Config!$B$3</f>
        <v>SCH/R_IEC.SchLib</v>
      </c>
      <c r="H1870" s="17" t="s">
        <v>419</v>
      </c>
      <c r="I1870" s="18" t="s">
        <v>7493</v>
      </c>
      <c r="J1870" t="s">
        <v>11562</v>
      </c>
      <c r="M1870" s="3">
        <v>22000</v>
      </c>
      <c r="N1870" t="s">
        <v>11423</v>
      </c>
      <c r="O1870" t="s">
        <v>11456</v>
      </c>
      <c r="P1870" t="s">
        <v>11528</v>
      </c>
      <c r="Q1870" t="s">
        <v>25</v>
      </c>
      <c r="R1870" t="s">
        <v>11937</v>
      </c>
    </row>
    <row r="1871" spans="1:18">
      <c r="A1871" t="s">
        <v>11648</v>
      </c>
      <c r="B1871" t="s">
        <v>11592</v>
      </c>
      <c r="C1871" t="s">
        <v>11704</v>
      </c>
      <c r="D1871" s="17" t="s">
        <v>21</v>
      </c>
      <c r="E1871" t="s">
        <v>11561</v>
      </c>
      <c r="F1871" t="s">
        <v>259</v>
      </c>
      <c r="G1871" s="17" t="str">
        <f>Config!$B$3</f>
        <v>SCH/R_IEC.SchLib</v>
      </c>
      <c r="H1871" s="17" t="s">
        <v>419</v>
      </c>
      <c r="I1871" s="18" t="s">
        <v>7493</v>
      </c>
      <c r="J1871" t="s">
        <v>11562</v>
      </c>
      <c r="M1871" s="3">
        <v>24000</v>
      </c>
      <c r="N1871" t="s">
        <v>11411</v>
      </c>
      <c r="O1871" t="s">
        <v>11456</v>
      </c>
      <c r="P1871" t="s">
        <v>11516</v>
      </c>
      <c r="Q1871" t="s">
        <v>25</v>
      </c>
      <c r="R1871" t="s">
        <v>11925</v>
      </c>
    </row>
    <row r="1872" spans="1:18">
      <c r="A1872" t="s">
        <v>11644</v>
      </c>
      <c r="B1872" t="s">
        <v>11588</v>
      </c>
      <c r="C1872" t="s">
        <v>11700</v>
      </c>
      <c r="D1872" s="17" t="s">
        <v>21</v>
      </c>
      <c r="E1872" t="s">
        <v>11561</v>
      </c>
      <c r="F1872" t="s">
        <v>263</v>
      </c>
      <c r="G1872" s="17" t="str">
        <f>Config!$B$3</f>
        <v>SCH/R_IEC.SchLib</v>
      </c>
      <c r="H1872" s="17" t="s">
        <v>419</v>
      </c>
      <c r="I1872" s="18" t="s">
        <v>7493</v>
      </c>
      <c r="J1872" t="s">
        <v>11562</v>
      </c>
      <c r="M1872" s="3">
        <v>27000</v>
      </c>
      <c r="N1872" t="s">
        <v>11404</v>
      </c>
      <c r="O1872" t="s">
        <v>11456</v>
      </c>
      <c r="P1872" t="s">
        <v>11509</v>
      </c>
      <c r="Q1872" t="s">
        <v>25</v>
      </c>
      <c r="R1872" t="s">
        <v>11918</v>
      </c>
    </row>
    <row r="1873" spans="1:27">
      <c r="A1873" t="s">
        <v>11638</v>
      </c>
      <c r="B1873" t="s">
        <v>11582</v>
      </c>
      <c r="C1873" t="s">
        <v>11694</v>
      </c>
      <c r="D1873" s="17" t="s">
        <v>21</v>
      </c>
      <c r="E1873" t="s">
        <v>11561</v>
      </c>
      <c r="F1873" t="s">
        <v>265</v>
      </c>
      <c r="G1873" s="17" t="str">
        <f>Config!$B$3</f>
        <v>SCH/R_IEC.SchLib</v>
      </c>
      <c r="H1873" s="17" t="s">
        <v>419</v>
      </c>
      <c r="I1873" s="18" t="s">
        <v>7493</v>
      </c>
      <c r="J1873" t="s">
        <v>11562</v>
      </c>
      <c r="M1873" s="3">
        <v>30000</v>
      </c>
      <c r="N1873" t="s">
        <v>11398</v>
      </c>
      <c r="O1873" t="s">
        <v>11456</v>
      </c>
      <c r="P1873" t="s">
        <v>11503</v>
      </c>
      <c r="Q1873" t="s">
        <v>25</v>
      </c>
      <c r="R1873" t="s">
        <v>11912</v>
      </c>
    </row>
    <row r="1874" spans="1:27">
      <c r="A1874" t="s">
        <v>11626</v>
      </c>
      <c r="B1874" t="s">
        <v>11570</v>
      </c>
      <c r="C1874" t="s">
        <v>11682</v>
      </c>
      <c r="D1874" s="17" t="s">
        <v>21</v>
      </c>
      <c r="E1874" t="s">
        <v>11561</v>
      </c>
      <c r="F1874" t="s">
        <v>267</v>
      </c>
      <c r="G1874" s="17" t="str">
        <f>Config!$B$3</f>
        <v>SCH/R_IEC.SchLib</v>
      </c>
      <c r="H1874" s="17" t="s">
        <v>419</v>
      </c>
      <c r="I1874" s="18" t="s">
        <v>7493</v>
      </c>
      <c r="J1874" t="s">
        <v>11562</v>
      </c>
      <c r="M1874" s="3">
        <v>33000</v>
      </c>
      <c r="N1874" t="s">
        <v>11370</v>
      </c>
      <c r="O1874" t="s">
        <v>11456</v>
      </c>
      <c r="P1874" t="s">
        <v>11475</v>
      </c>
      <c r="Q1874" t="s">
        <v>25</v>
      </c>
      <c r="R1874" t="s">
        <v>11884</v>
      </c>
    </row>
    <row r="1875" spans="1:27">
      <c r="A1875" t="s">
        <v>11672</v>
      </c>
      <c r="B1875" t="s">
        <v>11616</v>
      </c>
      <c r="C1875" t="s">
        <v>11728</v>
      </c>
      <c r="D1875" s="17" t="s">
        <v>21</v>
      </c>
      <c r="E1875" t="s">
        <v>11561</v>
      </c>
      <c r="F1875" t="s">
        <v>269</v>
      </c>
      <c r="G1875" s="17" t="str">
        <f>Config!$B$3</f>
        <v>SCH/R_IEC.SchLib</v>
      </c>
      <c r="H1875" s="17" t="s">
        <v>419</v>
      </c>
      <c r="I1875" s="18" t="s">
        <v>7493</v>
      </c>
      <c r="J1875" t="s">
        <v>11562</v>
      </c>
      <c r="M1875" s="3">
        <v>36000</v>
      </c>
      <c r="N1875" t="s">
        <v>11452</v>
      </c>
      <c r="O1875" t="s">
        <v>11456</v>
      </c>
      <c r="P1875" t="s">
        <v>11557</v>
      </c>
      <c r="Q1875" t="s">
        <v>25</v>
      </c>
      <c r="R1875" t="s">
        <v>11966</v>
      </c>
    </row>
    <row r="1876" spans="1:27">
      <c r="A1876" t="s">
        <v>11621</v>
      </c>
      <c r="B1876" t="s">
        <v>11565</v>
      </c>
      <c r="C1876" t="s">
        <v>11677</v>
      </c>
      <c r="D1876" s="17" t="s">
        <v>21</v>
      </c>
      <c r="E1876" t="s">
        <v>11561</v>
      </c>
      <c r="F1876" t="s">
        <v>273</v>
      </c>
      <c r="G1876" s="17" t="str">
        <f>Config!$B$3</f>
        <v>SCH/R_IEC.SchLib</v>
      </c>
      <c r="H1876" s="17" t="s">
        <v>419</v>
      </c>
      <c r="I1876" s="18" t="s">
        <v>7493</v>
      </c>
      <c r="J1876" t="s">
        <v>11562</v>
      </c>
      <c r="M1876" s="3">
        <v>39000</v>
      </c>
      <c r="N1876" t="s">
        <v>11362</v>
      </c>
      <c r="O1876" t="s">
        <v>11456</v>
      </c>
      <c r="P1876" t="s">
        <v>11467</v>
      </c>
      <c r="Q1876" t="s">
        <v>25</v>
      </c>
      <c r="R1876" t="s">
        <v>11876</v>
      </c>
    </row>
    <row r="1877" spans="1:27">
      <c r="A1877" t="s">
        <v>11664</v>
      </c>
      <c r="B1877" t="s">
        <v>11608</v>
      </c>
      <c r="C1877" t="s">
        <v>11720</v>
      </c>
      <c r="D1877" s="17" t="s">
        <v>21</v>
      </c>
      <c r="E1877" t="s">
        <v>11561</v>
      </c>
      <c r="F1877" t="s">
        <v>277</v>
      </c>
      <c r="G1877" s="17" t="str">
        <f>Config!$B$3</f>
        <v>SCH/R_IEC.SchLib</v>
      </c>
      <c r="H1877" s="17" t="s">
        <v>419</v>
      </c>
      <c r="I1877" s="18" t="s">
        <v>7493</v>
      </c>
      <c r="J1877" t="s">
        <v>11562</v>
      </c>
      <c r="M1877" s="3">
        <v>43000</v>
      </c>
      <c r="N1877" t="s">
        <v>11436</v>
      </c>
      <c r="O1877" t="s">
        <v>11456</v>
      </c>
      <c r="P1877" t="s">
        <v>11541</v>
      </c>
      <c r="Q1877" t="s">
        <v>25</v>
      </c>
      <c r="R1877" t="s">
        <v>11950</v>
      </c>
    </row>
    <row r="1878" spans="1:27">
      <c r="A1878" t="s">
        <v>11620</v>
      </c>
      <c r="B1878" t="s">
        <v>11564</v>
      </c>
      <c r="C1878" t="s">
        <v>11676</v>
      </c>
      <c r="D1878" s="17" t="s">
        <v>21</v>
      </c>
      <c r="E1878" t="s">
        <v>11561</v>
      </c>
      <c r="F1878" t="s">
        <v>279</v>
      </c>
      <c r="G1878" s="17" t="str">
        <f>Config!$B$3</f>
        <v>SCH/R_IEC.SchLib</v>
      </c>
      <c r="H1878" s="17" t="s">
        <v>419</v>
      </c>
      <c r="I1878" s="18" t="s">
        <v>7493</v>
      </c>
      <c r="J1878" t="s">
        <v>11562</v>
      </c>
      <c r="M1878" s="3">
        <v>47000</v>
      </c>
      <c r="N1878" t="s">
        <v>11356</v>
      </c>
      <c r="O1878" t="s">
        <v>11456</v>
      </c>
      <c r="P1878" t="s">
        <v>11461</v>
      </c>
      <c r="Q1878" t="s">
        <v>25</v>
      </c>
      <c r="R1878" t="s">
        <v>11870</v>
      </c>
    </row>
    <row r="1879" spans="1:27">
      <c r="A1879" t="s">
        <v>11647</v>
      </c>
      <c r="B1879" t="s">
        <v>11591</v>
      </c>
      <c r="C1879" t="s">
        <v>11703</v>
      </c>
      <c r="D1879" s="17" t="s">
        <v>21</v>
      </c>
      <c r="E1879" t="s">
        <v>11561</v>
      </c>
      <c r="F1879" t="s">
        <v>283</v>
      </c>
      <c r="G1879" s="17" t="str">
        <f>Config!$B$3</f>
        <v>SCH/R_IEC.SchLib</v>
      </c>
      <c r="H1879" s="17" t="s">
        <v>419</v>
      </c>
      <c r="I1879" s="18" t="s">
        <v>7493</v>
      </c>
      <c r="J1879" t="s">
        <v>11562</v>
      </c>
      <c r="M1879" s="3">
        <v>51000</v>
      </c>
      <c r="N1879" t="s">
        <v>11409</v>
      </c>
      <c r="O1879" t="s">
        <v>11456</v>
      </c>
      <c r="P1879" t="s">
        <v>11514</v>
      </c>
      <c r="Q1879" t="s">
        <v>25</v>
      </c>
      <c r="R1879" t="s">
        <v>11923</v>
      </c>
    </row>
    <row r="1880" spans="1:27">
      <c r="A1880" t="s">
        <v>11639</v>
      </c>
      <c r="B1880" t="s">
        <v>11583</v>
      </c>
      <c r="C1880" t="s">
        <v>11695</v>
      </c>
      <c r="D1880" s="17" t="s">
        <v>21</v>
      </c>
      <c r="E1880" t="s">
        <v>11561</v>
      </c>
      <c r="F1880" t="s">
        <v>287</v>
      </c>
      <c r="G1880" s="17" t="str">
        <f>Config!$B$3</f>
        <v>SCH/R_IEC.SchLib</v>
      </c>
      <c r="H1880" s="17" t="s">
        <v>419</v>
      </c>
      <c r="I1880" s="18" t="s">
        <v>7493</v>
      </c>
      <c r="J1880" t="s">
        <v>11562</v>
      </c>
      <c r="M1880" s="3">
        <v>56000</v>
      </c>
      <c r="N1880" t="s">
        <v>11399</v>
      </c>
      <c r="O1880" t="s">
        <v>11456</v>
      </c>
      <c r="P1880" t="s">
        <v>11504</v>
      </c>
      <c r="Q1880" t="s">
        <v>25</v>
      </c>
      <c r="R1880" t="s">
        <v>11913</v>
      </c>
    </row>
    <row r="1881" spans="1:27">
      <c r="A1881" t="s">
        <v>11652</v>
      </c>
      <c r="B1881" t="s">
        <v>11596</v>
      </c>
      <c r="C1881" t="s">
        <v>11708</v>
      </c>
      <c r="D1881" s="17" t="s">
        <v>21</v>
      </c>
      <c r="E1881" t="s">
        <v>11561</v>
      </c>
      <c r="F1881" t="s">
        <v>291</v>
      </c>
      <c r="G1881" s="17" t="str">
        <f>Config!$B$3</f>
        <v>SCH/R_IEC.SchLib</v>
      </c>
      <c r="H1881" s="17" t="s">
        <v>419</v>
      </c>
      <c r="I1881" s="18" t="s">
        <v>7493</v>
      </c>
      <c r="J1881" t="s">
        <v>11562</v>
      </c>
      <c r="M1881" s="3">
        <v>62000</v>
      </c>
      <c r="N1881" t="s">
        <v>11417</v>
      </c>
      <c r="O1881" t="s">
        <v>11456</v>
      </c>
      <c r="P1881" t="s">
        <v>11522</v>
      </c>
      <c r="Q1881" t="s">
        <v>25</v>
      </c>
      <c r="R1881" t="s">
        <v>11931</v>
      </c>
    </row>
    <row r="1882" spans="1:27">
      <c r="A1882" t="s">
        <v>11633</v>
      </c>
      <c r="B1882" t="s">
        <v>11577</v>
      </c>
      <c r="C1882" t="s">
        <v>11689</v>
      </c>
      <c r="D1882" s="17" t="s">
        <v>21</v>
      </c>
      <c r="E1882" t="s">
        <v>11561</v>
      </c>
      <c r="F1882" t="s">
        <v>295</v>
      </c>
      <c r="G1882" s="17" t="str">
        <f>Config!$B$3</f>
        <v>SCH/R_IEC.SchLib</v>
      </c>
      <c r="H1882" s="17" t="s">
        <v>419</v>
      </c>
      <c r="I1882" s="18" t="s">
        <v>7493</v>
      </c>
      <c r="J1882" t="s">
        <v>11562</v>
      </c>
      <c r="M1882" s="3">
        <v>68000</v>
      </c>
      <c r="N1882" t="s">
        <v>11387</v>
      </c>
      <c r="O1882" t="s">
        <v>11456</v>
      </c>
      <c r="P1882" t="s">
        <v>11492</v>
      </c>
      <c r="Q1882" t="s">
        <v>25</v>
      </c>
      <c r="R1882" t="s">
        <v>11901</v>
      </c>
    </row>
    <row r="1883" spans="1:27">
      <c r="A1883" t="s">
        <v>11662</v>
      </c>
      <c r="B1883" t="s">
        <v>11606</v>
      </c>
      <c r="C1883" t="s">
        <v>11718</v>
      </c>
      <c r="D1883" s="17" t="s">
        <v>21</v>
      </c>
      <c r="E1883" t="s">
        <v>11561</v>
      </c>
      <c r="F1883" t="s">
        <v>299</v>
      </c>
      <c r="G1883" s="17" t="str">
        <f>Config!$B$3</f>
        <v>SCH/R_IEC.SchLib</v>
      </c>
      <c r="H1883" s="17" t="s">
        <v>419</v>
      </c>
      <c r="I1883" s="18" t="s">
        <v>7493</v>
      </c>
      <c r="J1883" t="s">
        <v>11562</v>
      </c>
      <c r="M1883" s="3">
        <v>75000</v>
      </c>
      <c r="N1883" t="s">
        <v>11433</v>
      </c>
      <c r="O1883" t="s">
        <v>11456</v>
      </c>
      <c r="P1883" t="s">
        <v>11538</v>
      </c>
      <c r="Q1883" t="s">
        <v>25</v>
      </c>
      <c r="R1883" t="s">
        <v>11947</v>
      </c>
    </row>
    <row r="1884" spans="1:27">
      <c r="A1884" t="s">
        <v>11671</v>
      </c>
      <c r="B1884" t="s">
        <v>11615</v>
      </c>
      <c r="C1884" t="s">
        <v>11727</v>
      </c>
      <c r="D1884" s="17" t="s">
        <v>21</v>
      </c>
      <c r="E1884" t="s">
        <v>11561</v>
      </c>
      <c r="F1884" t="s">
        <v>301</v>
      </c>
      <c r="G1884" s="17" t="str">
        <f>Config!$B$3</f>
        <v>SCH/R_IEC.SchLib</v>
      </c>
      <c r="H1884" s="17" t="s">
        <v>419</v>
      </c>
      <c r="I1884" s="18" t="s">
        <v>7493</v>
      </c>
      <c r="J1884" t="s">
        <v>11562</v>
      </c>
      <c r="M1884" s="3">
        <v>82000</v>
      </c>
      <c r="N1884" t="s">
        <v>11449</v>
      </c>
      <c r="O1884" t="s">
        <v>11456</v>
      </c>
      <c r="P1884" t="s">
        <v>11554</v>
      </c>
      <c r="Q1884" t="s">
        <v>25</v>
      </c>
      <c r="R1884" t="s">
        <v>11963</v>
      </c>
    </row>
    <row r="1885" spans="1:27">
      <c r="A1885" t="s">
        <v>11668</v>
      </c>
      <c r="B1885" t="s">
        <v>11612</v>
      </c>
      <c r="C1885" t="s">
        <v>11724</v>
      </c>
      <c r="D1885" s="17" t="s">
        <v>21</v>
      </c>
      <c r="E1885" t="s">
        <v>11561</v>
      </c>
      <c r="F1885" t="s">
        <v>303</v>
      </c>
      <c r="G1885" s="17" t="str">
        <f>Config!$B$3</f>
        <v>SCH/R_IEC.SchLib</v>
      </c>
      <c r="H1885" s="17" t="s">
        <v>419</v>
      </c>
      <c r="I1885" s="18" t="s">
        <v>7493</v>
      </c>
      <c r="J1885" t="s">
        <v>11562</v>
      </c>
      <c r="M1885" s="3">
        <v>91000</v>
      </c>
      <c r="N1885" t="s">
        <v>11445</v>
      </c>
      <c r="O1885" t="s">
        <v>11456</v>
      </c>
      <c r="P1885" t="s">
        <v>11550</v>
      </c>
      <c r="Q1885" t="s">
        <v>25</v>
      </c>
      <c r="R1885" t="s">
        <v>11959</v>
      </c>
    </row>
    <row r="1886" spans="1:27">
      <c r="A1886" t="s">
        <v>11625</v>
      </c>
      <c r="B1886" t="s">
        <v>11569</v>
      </c>
      <c r="C1886" t="s">
        <v>11681</v>
      </c>
      <c r="D1886" s="17" t="s">
        <v>21</v>
      </c>
      <c r="E1886" t="s">
        <v>11561</v>
      </c>
      <c r="F1886" t="s">
        <v>305</v>
      </c>
      <c r="G1886" s="17" t="str">
        <f>Config!$B$3</f>
        <v>SCH/R_IEC.SchLib</v>
      </c>
      <c r="H1886" s="17" t="s">
        <v>419</v>
      </c>
      <c r="I1886" s="18" t="s">
        <v>7493</v>
      </c>
      <c r="J1886" t="s">
        <v>11562</v>
      </c>
      <c r="M1886" s="3">
        <v>100000</v>
      </c>
      <c r="N1886" t="s">
        <v>11368</v>
      </c>
      <c r="O1886" t="s">
        <v>11456</v>
      </c>
      <c r="P1886" t="s">
        <v>11473</v>
      </c>
      <c r="Q1886" t="s">
        <v>25</v>
      </c>
      <c r="R1886" t="s">
        <v>11882</v>
      </c>
    </row>
    <row r="1887" spans="1:27">
      <c r="A1887" t="s">
        <v>16947</v>
      </c>
      <c r="B1887" t="s">
        <v>16947</v>
      </c>
      <c r="C1887" t="s">
        <v>16948</v>
      </c>
      <c r="D1887" t="s">
        <v>21</v>
      </c>
      <c r="E1887" s="14" t="s">
        <v>16949</v>
      </c>
      <c r="F1887" t="s">
        <v>29</v>
      </c>
      <c r="G1887" s="17" t="str">
        <f>Config!$B$3</f>
        <v>SCH/R_IEC.SchLib</v>
      </c>
      <c r="H1887" t="s">
        <v>419</v>
      </c>
      <c r="I1887" s="18" t="s">
        <v>461</v>
      </c>
      <c r="J1887" t="s">
        <v>17927</v>
      </c>
      <c r="M1887">
        <v>1</v>
      </c>
      <c r="N1887" t="s">
        <v>16950</v>
      </c>
      <c r="O1887" s="3" t="s">
        <v>477</v>
      </c>
      <c r="P1887" t="s">
        <v>16951</v>
      </c>
      <c r="Q1887" t="s">
        <v>25</v>
      </c>
      <c r="R1887" t="s">
        <v>16952</v>
      </c>
      <c r="W1887" t="s">
        <v>477</v>
      </c>
      <c r="X1887" t="s">
        <v>16951</v>
      </c>
      <c r="Y1887" t="s">
        <v>4559</v>
      </c>
      <c r="Z1887" t="s">
        <v>18525</v>
      </c>
      <c r="AA1887" t="s">
        <v>4727</v>
      </c>
    </row>
    <row r="1888" spans="1:27">
      <c r="A1888" t="s">
        <v>16953</v>
      </c>
      <c r="B1888" t="s">
        <v>16953</v>
      </c>
      <c r="C1888" t="s">
        <v>16954</v>
      </c>
      <c r="D1888" t="s">
        <v>21</v>
      </c>
      <c r="E1888" s="14" t="s">
        <v>16949</v>
      </c>
      <c r="F1888" t="s">
        <v>31</v>
      </c>
      <c r="G1888" s="17" t="str">
        <f>Config!$B$3</f>
        <v>SCH/R_IEC.SchLib</v>
      </c>
      <c r="H1888" t="s">
        <v>419</v>
      </c>
      <c r="I1888" s="18" t="s">
        <v>461</v>
      </c>
      <c r="J1888" t="s">
        <v>17927</v>
      </c>
      <c r="M1888">
        <v>1.2</v>
      </c>
      <c r="N1888" t="s">
        <v>16950</v>
      </c>
      <c r="O1888" s="3" t="s">
        <v>477</v>
      </c>
      <c r="P1888" t="s">
        <v>16955</v>
      </c>
      <c r="Q1888" t="s">
        <v>25</v>
      </c>
      <c r="R1888" t="s">
        <v>16956</v>
      </c>
    </row>
    <row r="1889" spans="1:18">
      <c r="A1889" t="s">
        <v>16957</v>
      </c>
      <c r="B1889" t="s">
        <v>16957</v>
      </c>
      <c r="C1889" t="s">
        <v>16958</v>
      </c>
      <c r="D1889" t="s">
        <v>21</v>
      </c>
      <c r="E1889" s="14" t="s">
        <v>16949</v>
      </c>
      <c r="F1889" t="s">
        <v>1052</v>
      </c>
      <c r="G1889" s="17" t="str">
        <f>Config!$B$3</f>
        <v>SCH/R_IEC.SchLib</v>
      </c>
      <c r="H1889" t="s">
        <v>419</v>
      </c>
      <c r="I1889" s="18" t="s">
        <v>461</v>
      </c>
      <c r="J1889" t="s">
        <v>17927</v>
      </c>
      <c r="M1889">
        <v>1.3</v>
      </c>
      <c r="N1889" t="s">
        <v>16950</v>
      </c>
      <c r="O1889" s="3" t="s">
        <v>477</v>
      </c>
      <c r="P1889" t="s">
        <v>16959</v>
      </c>
      <c r="Q1889" t="s">
        <v>25</v>
      </c>
      <c r="R1889" t="s">
        <v>16960</v>
      </c>
    </row>
    <row r="1890" spans="1:18">
      <c r="A1890" t="s">
        <v>16961</v>
      </c>
      <c r="B1890" t="s">
        <v>16961</v>
      </c>
      <c r="C1890" t="s">
        <v>16962</v>
      </c>
      <c r="D1890" t="s">
        <v>21</v>
      </c>
      <c r="E1890" s="14" t="s">
        <v>16949</v>
      </c>
      <c r="F1890" t="s">
        <v>33</v>
      </c>
      <c r="G1890" s="17" t="str">
        <f>Config!$B$3</f>
        <v>SCH/R_IEC.SchLib</v>
      </c>
      <c r="H1890" t="s">
        <v>419</v>
      </c>
      <c r="I1890" s="18" t="s">
        <v>461</v>
      </c>
      <c r="J1890" t="s">
        <v>17927</v>
      </c>
      <c r="M1890">
        <v>1.5</v>
      </c>
      <c r="N1890" t="s">
        <v>16950</v>
      </c>
      <c r="O1890" s="3" t="s">
        <v>477</v>
      </c>
      <c r="P1890" t="s">
        <v>16963</v>
      </c>
      <c r="Q1890" t="s">
        <v>25</v>
      </c>
      <c r="R1890" t="s">
        <v>16964</v>
      </c>
    </row>
    <row r="1891" spans="1:18">
      <c r="A1891" t="s">
        <v>16965</v>
      </c>
      <c r="B1891" t="s">
        <v>16965</v>
      </c>
      <c r="C1891" t="s">
        <v>16966</v>
      </c>
      <c r="D1891" t="s">
        <v>21</v>
      </c>
      <c r="E1891" s="14" t="s">
        <v>16949</v>
      </c>
      <c r="F1891" t="s">
        <v>35</v>
      </c>
      <c r="G1891" s="17" t="str">
        <f>Config!$B$3</f>
        <v>SCH/R_IEC.SchLib</v>
      </c>
      <c r="H1891" t="s">
        <v>419</v>
      </c>
      <c r="I1891" s="18" t="s">
        <v>461</v>
      </c>
      <c r="J1891" t="s">
        <v>17927</v>
      </c>
      <c r="M1891">
        <v>1.8</v>
      </c>
      <c r="N1891" t="s">
        <v>16950</v>
      </c>
      <c r="O1891" s="3" t="s">
        <v>477</v>
      </c>
      <c r="P1891" t="s">
        <v>16967</v>
      </c>
      <c r="Q1891" t="s">
        <v>25</v>
      </c>
      <c r="R1891" t="s">
        <v>16968</v>
      </c>
    </row>
    <row r="1892" spans="1:18">
      <c r="A1892" t="s">
        <v>16969</v>
      </c>
      <c r="B1892" t="s">
        <v>16969</v>
      </c>
      <c r="C1892" t="s">
        <v>16970</v>
      </c>
      <c r="D1892" t="s">
        <v>21</v>
      </c>
      <c r="E1892" s="14" t="s">
        <v>16949</v>
      </c>
      <c r="F1892" t="s">
        <v>1070</v>
      </c>
      <c r="G1892" s="17" t="str">
        <f>Config!$B$3</f>
        <v>SCH/R_IEC.SchLib</v>
      </c>
      <c r="H1892" t="s">
        <v>419</v>
      </c>
      <c r="I1892" s="18" t="s">
        <v>461</v>
      </c>
      <c r="J1892" t="s">
        <v>17927</v>
      </c>
      <c r="M1892">
        <v>2</v>
      </c>
      <c r="N1892" t="s">
        <v>16950</v>
      </c>
      <c r="O1892" s="3" t="s">
        <v>477</v>
      </c>
      <c r="P1892" t="s">
        <v>16971</v>
      </c>
      <c r="Q1892" t="s">
        <v>25</v>
      </c>
      <c r="R1892" t="s">
        <v>16972</v>
      </c>
    </row>
    <row r="1893" spans="1:18">
      <c r="A1893" t="s">
        <v>16973</v>
      </c>
      <c r="B1893" t="s">
        <v>16973</v>
      </c>
      <c r="C1893" t="s">
        <v>16974</v>
      </c>
      <c r="D1893" t="s">
        <v>21</v>
      </c>
      <c r="E1893" s="14" t="s">
        <v>16949</v>
      </c>
      <c r="F1893" t="s">
        <v>37</v>
      </c>
      <c r="G1893" s="17" t="str">
        <f>Config!$B$3</f>
        <v>SCH/R_IEC.SchLib</v>
      </c>
      <c r="H1893" t="s">
        <v>419</v>
      </c>
      <c r="I1893" s="18" t="s">
        <v>461</v>
      </c>
      <c r="J1893" t="s">
        <v>17927</v>
      </c>
      <c r="M1893">
        <v>2.2000000000000002</v>
      </c>
      <c r="N1893" t="s">
        <v>16950</v>
      </c>
      <c r="O1893" s="3" t="s">
        <v>477</v>
      </c>
      <c r="P1893" t="s">
        <v>16975</v>
      </c>
      <c r="Q1893" t="s">
        <v>25</v>
      </c>
      <c r="R1893" t="s">
        <v>16976</v>
      </c>
    </row>
    <row r="1894" spans="1:18">
      <c r="A1894" t="s">
        <v>16977</v>
      </c>
      <c r="B1894" t="s">
        <v>16977</v>
      </c>
      <c r="C1894" t="s">
        <v>16978</v>
      </c>
      <c r="D1894" t="s">
        <v>21</v>
      </c>
      <c r="E1894" s="14" t="s">
        <v>16949</v>
      </c>
      <c r="F1894" t="s">
        <v>39</v>
      </c>
      <c r="G1894" s="17" t="str">
        <f>Config!$B$3</f>
        <v>SCH/R_IEC.SchLib</v>
      </c>
      <c r="H1894" t="s">
        <v>419</v>
      </c>
      <c r="I1894" s="18" t="s">
        <v>461</v>
      </c>
      <c r="J1894" t="s">
        <v>17927</v>
      </c>
      <c r="M1894">
        <v>2.7</v>
      </c>
      <c r="N1894" t="s">
        <v>16950</v>
      </c>
      <c r="O1894" s="3" t="s">
        <v>477</v>
      </c>
      <c r="P1894" t="s">
        <v>16979</v>
      </c>
      <c r="Q1894" t="s">
        <v>25</v>
      </c>
      <c r="R1894" t="s">
        <v>16980</v>
      </c>
    </row>
    <row r="1895" spans="1:18">
      <c r="A1895" t="s">
        <v>16981</v>
      </c>
      <c r="B1895" t="s">
        <v>16981</v>
      </c>
      <c r="C1895" t="s">
        <v>16982</v>
      </c>
      <c r="D1895" t="s">
        <v>21</v>
      </c>
      <c r="E1895" s="14" t="s">
        <v>16949</v>
      </c>
      <c r="F1895" t="s">
        <v>1088</v>
      </c>
      <c r="G1895" s="17" t="str">
        <f>Config!$B$3</f>
        <v>SCH/R_IEC.SchLib</v>
      </c>
      <c r="H1895" t="s">
        <v>419</v>
      </c>
      <c r="I1895" s="18" t="s">
        <v>461</v>
      </c>
      <c r="J1895" t="s">
        <v>17927</v>
      </c>
      <c r="M1895">
        <v>3</v>
      </c>
      <c r="N1895" t="s">
        <v>16950</v>
      </c>
      <c r="O1895" s="3" t="s">
        <v>477</v>
      </c>
      <c r="P1895" t="s">
        <v>16983</v>
      </c>
      <c r="Q1895" t="s">
        <v>25</v>
      </c>
      <c r="R1895" t="s">
        <v>16984</v>
      </c>
    </row>
    <row r="1896" spans="1:18">
      <c r="A1896" t="s">
        <v>16985</v>
      </c>
      <c r="B1896" t="s">
        <v>16985</v>
      </c>
      <c r="C1896" t="s">
        <v>16986</v>
      </c>
      <c r="D1896" t="s">
        <v>21</v>
      </c>
      <c r="E1896" s="14" t="s">
        <v>16949</v>
      </c>
      <c r="F1896" t="s">
        <v>41</v>
      </c>
      <c r="G1896" s="17" t="str">
        <f>Config!$B$3</f>
        <v>SCH/R_IEC.SchLib</v>
      </c>
      <c r="H1896" t="s">
        <v>419</v>
      </c>
      <c r="I1896" s="18" t="s">
        <v>461</v>
      </c>
      <c r="J1896" t="s">
        <v>17927</v>
      </c>
      <c r="M1896">
        <v>3.3</v>
      </c>
      <c r="N1896" t="s">
        <v>16950</v>
      </c>
      <c r="O1896" s="3" t="s">
        <v>477</v>
      </c>
      <c r="P1896" t="s">
        <v>16987</v>
      </c>
      <c r="Q1896" t="s">
        <v>25</v>
      </c>
      <c r="R1896" t="s">
        <v>16988</v>
      </c>
    </row>
    <row r="1897" spans="1:18">
      <c r="A1897" t="s">
        <v>16989</v>
      </c>
      <c r="B1897" t="s">
        <v>16989</v>
      </c>
      <c r="C1897" t="s">
        <v>16990</v>
      </c>
      <c r="D1897" t="s">
        <v>21</v>
      </c>
      <c r="E1897" s="14" t="s">
        <v>16949</v>
      </c>
      <c r="F1897" t="s">
        <v>43</v>
      </c>
      <c r="G1897" s="17" t="str">
        <f>Config!$B$3</f>
        <v>SCH/R_IEC.SchLib</v>
      </c>
      <c r="H1897" t="s">
        <v>419</v>
      </c>
      <c r="I1897" s="18" t="s">
        <v>461</v>
      </c>
      <c r="J1897" t="s">
        <v>17927</v>
      </c>
      <c r="M1897">
        <v>3.9</v>
      </c>
      <c r="N1897" t="s">
        <v>16950</v>
      </c>
      <c r="O1897" s="3" t="s">
        <v>477</v>
      </c>
      <c r="P1897" t="s">
        <v>16991</v>
      </c>
      <c r="Q1897" t="s">
        <v>25</v>
      </c>
      <c r="R1897" t="s">
        <v>16992</v>
      </c>
    </row>
    <row r="1898" spans="1:18">
      <c r="A1898" t="s">
        <v>16993</v>
      </c>
      <c r="B1898" t="s">
        <v>16993</v>
      </c>
      <c r="C1898" t="s">
        <v>16994</v>
      </c>
      <c r="D1898" t="s">
        <v>21</v>
      </c>
      <c r="E1898" s="14" t="s">
        <v>16949</v>
      </c>
      <c r="F1898" t="s">
        <v>1106</v>
      </c>
      <c r="G1898" s="17" t="str">
        <f>Config!$B$3</f>
        <v>SCH/R_IEC.SchLib</v>
      </c>
      <c r="H1898" t="s">
        <v>419</v>
      </c>
      <c r="I1898" s="18" t="s">
        <v>461</v>
      </c>
      <c r="J1898" t="s">
        <v>17927</v>
      </c>
      <c r="M1898">
        <v>4.3</v>
      </c>
      <c r="N1898" t="s">
        <v>16950</v>
      </c>
      <c r="O1898" s="3" t="s">
        <v>477</v>
      </c>
      <c r="P1898" t="s">
        <v>16995</v>
      </c>
      <c r="Q1898" t="s">
        <v>25</v>
      </c>
      <c r="R1898" t="s">
        <v>16996</v>
      </c>
    </row>
    <row r="1899" spans="1:18">
      <c r="A1899" t="s">
        <v>16997</v>
      </c>
      <c r="B1899" t="s">
        <v>16997</v>
      </c>
      <c r="C1899" t="s">
        <v>16998</v>
      </c>
      <c r="D1899" t="s">
        <v>21</v>
      </c>
      <c r="E1899" s="14" t="s">
        <v>16949</v>
      </c>
      <c r="F1899" t="s">
        <v>45</v>
      </c>
      <c r="G1899" s="17" t="str">
        <f>Config!$B$3</f>
        <v>SCH/R_IEC.SchLib</v>
      </c>
      <c r="H1899" t="s">
        <v>419</v>
      </c>
      <c r="I1899" s="18" t="s">
        <v>461</v>
      </c>
      <c r="J1899" t="s">
        <v>17927</v>
      </c>
      <c r="M1899">
        <v>4.7</v>
      </c>
      <c r="N1899" t="s">
        <v>16950</v>
      </c>
      <c r="O1899" s="3" t="s">
        <v>477</v>
      </c>
      <c r="P1899" t="s">
        <v>16999</v>
      </c>
      <c r="Q1899" t="s">
        <v>25</v>
      </c>
      <c r="R1899" t="s">
        <v>17000</v>
      </c>
    </row>
    <row r="1900" spans="1:18">
      <c r="A1900" t="s">
        <v>17001</v>
      </c>
      <c r="B1900" t="s">
        <v>17001</v>
      </c>
      <c r="C1900" t="s">
        <v>17002</v>
      </c>
      <c r="D1900" t="s">
        <v>21</v>
      </c>
      <c r="E1900" s="14" t="s">
        <v>16949</v>
      </c>
      <c r="F1900" t="s">
        <v>1116</v>
      </c>
      <c r="G1900" s="17" t="str">
        <f>Config!$B$3</f>
        <v>SCH/R_IEC.SchLib</v>
      </c>
      <c r="H1900" t="s">
        <v>419</v>
      </c>
      <c r="I1900" s="18" t="s">
        <v>461</v>
      </c>
      <c r="J1900" t="s">
        <v>17927</v>
      </c>
      <c r="M1900">
        <v>5.0999999999999996</v>
      </c>
      <c r="N1900" t="s">
        <v>16950</v>
      </c>
      <c r="O1900" s="3" t="s">
        <v>477</v>
      </c>
      <c r="P1900" t="s">
        <v>17003</v>
      </c>
      <c r="Q1900" t="s">
        <v>25</v>
      </c>
      <c r="R1900" t="s">
        <v>17004</v>
      </c>
    </row>
    <row r="1901" spans="1:18">
      <c r="A1901" t="s">
        <v>17005</v>
      </c>
      <c r="B1901" t="s">
        <v>17005</v>
      </c>
      <c r="C1901" t="s">
        <v>17006</v>
      </c>
      <c r="D1901" t="s">
        <v>21</v>
      </c>
      <c r="E1901" s="14" t="s">
        <v>16949</v>
      </c>
      <c r="F1901" t="s">
        <v>47</v>
      </c>
      <c r="G1901" s="17" t="str">
        <f>Config!$B$3</f>
        <v>SCH/R_IEC.SchLib</v>
      </c>
      <c r="H1901" t="s">
        <v>419</v>
      </c>
      <c r="I1901" s="18" t="s">
        <v>461</v>
      </c>
      <c r="J1901" t="s">
        <v>17927</v>
      </c>
      <c r="M1901">
        <v>5.6</v>
      </c>
      <c r="N1901" t="s">
        <v>16950</v>
      </c>
      <c r="O1901" s="3" t="s">
        <v>477</v>
      </c>
      <c r="P1901" t="s">
        <v>17007</v>
      </c>
      <c r="Q1901" t="s">
        <v>25</v>
      </c>
      <c r="R1901" t="s">
        <v>17008</v>
      </c>
    </row>
    <row r="1902" spans="1:18">
      <c r="A1902" t="s">
        <v>17009</v>
      </c>
      <c r="B1902" t="s">
        <v>17009</v>
      </c>
      <c r="C1902" t="s">
        <v>17010</v>
      </c>
      <c r="D1902" t="s">
        <v>21</v>
      </c>
      <c r="E1902" s="14" t="s">
        <v>16949</v>
      </c>
      <c r="F1902" t="s">
        <v>1128</v>
      </c>
      <c r="G1902" s="17" t="str">
        <f>Config!$B$3</f>
        <v>SCH/R_IEC.SchLib</v>
      </c>
      <c r="H1902" t="s">
        <v>419</v>
      </c>
      <c r="I1902" s="18" t="s">
        <v>461</v>
      </c>
      <c r="J1902" t="s">
        <v>17927</v>
      </c>
      <c r="M1902">
        <v>6.2</v>
      </c>
      <c r="N1902" t="s">
        <v>16950</v>
      </c>
      <c r="O1902" s="3" t="s">
        <v>477</v>
      </c>
      <c r="P1902" t="s">
        <v>17011</v>
      </c>
      <c r="Q1902" t="s">
        <v>25</v>
      </c>
      <c r="R1902" t="s">
        <v>17012</v>
      </c>
    </row>
    <row r="1903" spans="1:18">
      <c r="A1903" t="s">
        <v>17013</v>
      </c>
      <c r="B1903" t="s">
        <v>17013</v>
      </c>
      <c r="C1903" t="s">
        <v>17014</v>
      </c>
      <c r="D1903" t="s">
        <v>21</v>
      </c>
      <c r="E1903" s="14" t="s">
        <v>16949</v>
      </c>
      <c r="F1903" t="s">
        <v>49</v>
      </c>
      <c r="G1903" s="17" t="str">
        <f>Config!$B$3</f>
        <v>SCH/R_IEC.SchLib</v>
      </c>
      <c r="H1903" t="s">
        <v>419</v>
      </c>
      <c r="I1903" s="18" t="s">
        <v>461</v>
      </c>
      <c r="J1903" t="s">
        <v>17927</v>
      </c>
      <c r="M1903">
        <v>6.8</v>
      </c>
      <c r="N1903" t="s">
        <v>16950</v>
      </c>
      <c r="O1903" s="3" t="s">
        <v>477</v>
      </c>
      <c r="P1903" t="s">
        <v>17015</v>
      </c>
      <c r="Q1903" t="s">
        <v>25</v>
      </c>
      <c r="R1903" t="s">
        <v>17016</v>
      </c>
    </row>
    <row r="1904" spans="1:18">
      <c r="A1904" t="s">
        <v>17017</v>
      </c>
      <c r="B1904" t="s">
        <v>17017</v>
      </c>
      <c r="C1904" t="s">
        <v>17018</v>
      </c>
      <c r="D1904" t="s">
        <v>21</v>
      </c>
      <c r="E1904" s="14" t="s">
        <v>16949</v>
      </c>
      <c r="F1904" t="s">
        <v>1138</v>
      </c>
      <c r="G1904" s="17" t="str">
        <f>Config!$B$3</f>
        <v>SCH/R_IEC.SchLib</v>
      </c>
      <c r="H1904" t="s">
        <v>419</v>
      </c>
      <c r="I1904" s="18" t="s">
        <v>461</v>
      </c>
      <c r="J1904" t="s">
        <v>17927</v>
      </c>
      <c r="M1904">
        <v>7.5</v>
      </c>
      <c r="N1904" t="s">
        <v>16950</v>
      </c>
      <c r="O1904" s="3" t="s">
        <v>477</v>
      </c>
      <c r="P1904" t="s">
        <v>17019</v>
      </c>
      <c r="Q1904" t="s">
        <v>25</v>
      </c>
      <c r="R1904" t="s">
        <v>17020</v>
      </c>
    </row>
    <row r="1905" spans="1:22">
      <c r="A1905" t="s">
        <v>17021</v>
      </c>
      <c r="B1905" t="s">
        <v>17021</v>
      </c>
      <c r="C1905" t="s">
        <v>17022</v>
      </c>
      <c r="D1905" t="s">
        <v>21</v>
      </c>
      <c r="E1905" s="14" t="s">
        <v>16949</v>
      </c>
      <c r="F1905" t="s">
        <v>51</v>
      </c>
      <c r="G1905" s="17" t="str">
        <f>Config!$B$3</f>
        <v>SCH/R_IEC.SchLib</v>
      </c>
      <c r="H1905" t="s">
        <v>419</v>
      </c>
      <c r="I1905" s="18" t="s">
        <v>461</v>
      </c>
      <c r="J1905" t="s">
        <v>17927</v>
      </c>
      <c r="M1905">
        <v>8.1999999999999993</v>
      </c>
      <c r="N1905" t="s">
        <v>16950</v>
      </c>
      <c r="O1905" s="3" t="s">
        <v>477</v>
      </c>
      <c r="P1905" t="s">
        <v>17023</v>
      </c>
      <c r="Q1905" t="s">
        <v>25</v>
      </c>
      <c r="R1905" t="s">
        <v>17024</v>
      </c>
    </row>
    <row r="1906" spans="1:22">
      <c r="A1906" t="s">
        <v>17025</v>
      </c>
      <c r="B1906" t="s">
        <v>17025</v>
      </c>
      <c r="C1906" t="s">
        <v>17026</v>
      </c>
      <c r="D1906" t="s">
        <v>21</v>
      </c>
      <c r="E1906" s="14" t="s">
        <v>16949</v>
      </c>
      <c r="F1906" t="s">
        <v>1148</v>
      </c>
      <c r="G1906" s="17" t="str">
        <f>Config!$B$3</f>
        <v>SCH/R_IEC.SchLib</v>
      </c>
      <c r="H1906" t="s">
        <v>419</v>
      </c>
      <c r="I1906" s="18" t="s">
        <v>461</v>
      </c>
      <c r="J1906" t="s">
        <v>17927</v>
      </c>
      <c r="M1906">
        <v>9.1</v>
      </c>
      <c r="N1906" t="s">
        <v>16950</v>
      </c>
      <c r="O1906" s="3" t="s">
        <v>477</v>
      </c>
      <c r="P1906" t="s">
        <v>17027</v>
      </c>
      <c r="Q1906" t="s">
        <v>25</v>
      </c>
      <c r="R1906" t="s">
        <v>17028</v>
      </c>
    </row>
    <row r="1907" spans="1:22">
      <c r="A1907" t="s">
        <v>17029</v>
      </c>
      <c r="B1907" t="s">
        <v>17029</v>
      </c>
      <c r="C1907" t="s">
        <v>17030</v>
      </c>
      <c r="D1907" t="s">
        <v>21</v>
      </c>
      <c r="E1907" s="14" t="s">
        <v>16949</v>
      </c>
      <c r="F1907" t="s">
        <v>53</v>
      </c>
      <c r="G1907" s="17" t="str">
        <f>Config!$B$3</f>
        <v>SCH/R_IEC.SchLib</v>
      </c>
      <c r="H1907" t="s">
        <v>419</v>
      </c>
      <c r="I1907" s="18" t="s">
        <v>461</v>
      </c>
      <c r="J1907" t="s">
        <v>17927</v>
      </c>
      <c r="M1907" s="3">
        <v>10</v>
      </c>
      <c r="N1907" t="s">
        <v>16950</v>
      </c>
      <c r="O1907" s="3" t="s">
        <v>477</v>
      </c>
      <c r="P1907" t="s">
        <v>17031</v>
      </c>
      <c r="Q1907" t="s">
        <v>25</v>
      </c>
      <c r="R1907" t="s">
        <v>17032</v>
      </c>
      <c r="S1907" t="s">
        <v>477</v>
      </c>
      <c r="T1907" t="s">
        <v>17033</v>
      </c>
      <c r="U1907" t="s">
        <v>25</v>
      </c>
      <c r="V1907" t="s">
        <v>17034</v>
      </c>
    </row>
    <row r="1908" spans="1:22">
      <c r="A1908" t="s">
        <v>17035</v>
      </c>
      <c r="B1908" t="s">
        <v>17035</v>
      </c>
      <c r="C1908" t="s">
        <v>17036</v>
      </c>
      <c r="D1908" t="s">
        <v>21</v>
      </c>
      <c r="E1908" s="14" t="s">
        <v>16949</v>
      </c>
      <c r="F1908" t="s">
        <v>57</v>
      </c>
      <c r="G1908" s="17" t="str">
        <f>Config!$B$3</f>
        <v>SCH/R_IEC.SchLib</v>
      </c>
      <c r="H1908" t="s">
        <v>419</v>
      </c>
      <c r="I1908" s="18" t="s">
        <v>461</v>
      </c>
      <c r="J1908" t="s">
        <v>17927</v>
      </c>
      <c r="M1908" s="3">
        <v>11</v>
      </c>
      <c r="N1908" t="s">
        <v>16950</v>
      </c>
      <c r="O1908" s="3" t="s">
        <v>477</v>
      </c>
      <c r="P1908" t="s">
        <v>17037</v>
      </c>
      <c r="Q1908" t="s">
        <v>25</v>
      </c>
      <c r="R1908" t="s">
        <v>17038</v>
      </c>
    </row>
    <row r="1909" spans="1:22">
      <c r="A1909" t="s">
        <v>17039</v>
      </c>
      <c r="B1909" t="s">
        <v>17039</v>
      </c>
      <c r="C1909" t="s">
        <v>17040</v>
      </c>
      <c r="D1909" t="s">
        <v>21</v>
      </c>
      <c r="E1909" s="14" t="s">
        <v>16949</v>
      </c>
      <c r="F1909" t="s">
        <v>59</v>
      </c>
      <c r="G1909" s="17" t="str">
        <f>Config!$B$3</f>
        <v>SCH/R_IEC.SchLib</v>
      </c>
      <c r="H1909" t="s">
        <v>419</v>
      </c>
      <c r="I1909" s="18" t="s">
        <v>461</v>
      </c>
      <c r="J1909" t="s">
        <v>17927</v>
      </c>
      <c r="M1909" s="3">
        <v>12</v>
      </c>
      <c r="N1909" t="s">
        <v>16950</v>
      </c>
      <c r="O1909" s="3" t="s">
        <v>477</v>
      </c>
      <c r="P1909" t="s">
        <v>17041</v>
      </c>
      <c r="Q1909" t="s">
        <v>25</v>
      </c>
      <c r="R1909" t="s">
        <v>17042</v>
      </c>
    </row>
    <row r="1910" spans="1:22">
      <c r="A1910" t="s">
        <v>17043</v>
      </c>
      <c r="B1910" t="s">
        <v>17043</v>
      </c>
      <c r="C1910" t="s">
        <v>17044</v>
      </c>
      <c r="D1910" t="s">
        <v>21</v>
      </c>
      <c r="E1910" s="14" t="s">
        <v>16949</v>
      </c>
      <c r="F1910" t="s">
        <v>61</v>
      </c>
      <c r="G1910" s="17" t="str">
        <f>Config!$B$3</f>
        <v>SCH/R_IEC.SchLib</v>
      </c>
      <c r="H1910" t="s">
        <v>419</v>
      </c>
      <c r="I1910" s="18" t="s">
        <v>461</v>
      </c>
      <c r="J1910" t="s">
        <v>17927</v>
      </c>
      <c r="M1910" s="3">
        <v>13</v>
      </c>
      <c r="N1910" t="s">
        <v>16950</v>
      </c>
      <c r="O1910" s="3" t="s">
        <v>477</v>
      </c>
      <c r="P1910" t="s">
        <v>17045</v>
      </c>
      <c r="Q1910" t="s">
        <v>25</v>
      </c>
      <c r="R1910" t="s">
        <v>17046</v>
      </c>
    </row>
    <row r="1911" spans="1:22">
      <c r="A1911" t="s">
        <v>17047</v>
      </c>
      <c r="B1911" t="s">
        <v>17047</v>
      </c>
      <c r="C1911" t="s">
        <v>17048</v>
      </c>
      <c r="D1911" t="s">
        <v>21</v>
      </c>
      <c r="E1911" s="14" t="s">
        <v>16949</v>
      </c>
      <c r="F1911" t="s">
        <v>63</v>
      </c>
      <c r="G1911" s="17" t="str">
        <f>Config!$B$3</f>
        <v>SCH/R_IEC.SchLib</v>
      </c>
      <c r="H1911" t="s">
        <v>419</v>
      </c>
      <c r="I1911" s="18" t="s">
        <v>461</v>
      </c>
      <c r="J1911" t="s">
        <v>17927</v>
      </c>
      <c r="M1911" s="3">
        <v>15</v>
      </c>
      <c r="N1911" t="s">
        <v>16950</v>
      </c>
      <c r="O1911" s="3" t="s">
        <v>477</v>
      </c>
      <c r="P1911" t="s">
        <v>17049</v>
      </c>
      <c r="Q1911" t="s">
        <v>25</v>
      </c>
      <c r="R1911" t="s">
        <v>17050</v>
      </c>
    </row>
    <row r="1912" spans="1:22">
      <c r="A1912" t="s">
        <v>17051</v>
      </c>
      <c r="B1912" t="s">
        <v>17051</v>
      </c>
      <c r="C1912" t="s">
        <v>17052</v>
      </c>
      <c r="D1912" t="s">
        <v>21</v>
      </c>
      <c r="E1912" s="14" t="s">
        <v>16949</v>
      </c>
      <c r="F1912" t="s">
        <v>65</v>
      </c>
      <c r="G1912" s="17" t="str">
        <f>Config!$B$3</f>
        <v>SCH/R_IEC.SchLib</v>
      </c>
      <c r="H1912" t="s">
        <v>419</v>
      </c>
      <c r="I1912" s="18" t="s">
        <v>461</v>
      </c>
      <c r="J1912" t="s">
        <v>17927</v>
      </c>
      <c r="M1912" s="3">
        <v>16</v>
      </c>
      <c r="N1912" t="s">
        <v>16950</v>
      </c>
      <c r="O1912" s="3" t="s">
        <v>477</v>
      </c>
      <c r="P1912" t="s">
        <v>17053</v>
      </c>
      <c r="Q1912" t="s">
        <v>25</v>
      </c>
      <c r="R1912" t="s">
        <v>17054</v>
      </c>
    </row>
    <row r="1913" spans="1:22">
      <c r="A1913" t="s">
        <v>17055</v>
      </c>
      <c r="B1913" t="s">
        <v>17055</v>
      </c>
      <c r="C1913" t="s">
        <v>17056</v>
      </c>
      <c r="D1913" t="s">
        <v>21</v>
      </c>
      <c r="E1913" s="14" t="s">
        <v>16949</v>
      </c>
      <c r="F1913" t="s">
        <v>67</v>
      </c>
      <c r="G1913" s="17" t="str">
        <f>Config!$B$3</f>
        <v>SCH/R_IEC.SchLib</v>
      </c>
      <c r="H1913" t="s">
        <v>419</v>
      </c>
      <c r="I1913" s="18" t="s">
        <v>461</v>
      </c>
      <c r="J1913" t="s">
        <v>17927</v>
      </c>
      <c r="M1913" s="3">
        <v>18</v>
      </c>
      <c r="N1913" t="s">
        <v>16950</v>
      </c>
      <c r="O1913" s="3" t="s">
        <v>477</v>
      </c>
      <c r="P1913" t="s">
        <v>17057</v>
      </c>
      <c r="Q1913" t="s">
        <v>25</v>
      </c>
      <c r="R1913" t="s">
        <v>17058</v>
      </c>
    </row>
    <row r="1914" spans="1:22">
      <c r="A1914" t="s">
        <v>17059</v>
      </c>
      <c r="B1914" t="s">
        <v>17059</v>
      </c>
      <c r="C1914" t="s">
        <v>17060</v>
      </c>
      <c r="D1914" t="s">
        <v>21</v>
      </c>
      <c r="E1914" s="14" t="s">
        <v>16949</v>
      </c>
      <c r="F1914" t="s">
        <v>69</v>
      </c>
      <c r="G1914" s="17" t="str">
        <f>Config!$B$3</f>
        <v>SCH/R_IEC.SchLib</v>
      </c>
      <c r="H1914" t="s">
        <v>419</v>
      </c>
      <c r="I1914" s="18" t="s">
        <v>461</v>
      </c>
      <c r="J1914" t="s">
        <v>17927</v>
      </c>
      <c r="M1914" s="3">
        <v>20</v>
      </c>
      <c r="N1914" t="s">
        <v>16950</v>
      </c>
      <c r="O1914" s="3" t="s">
        <v>477</v>
      </c>
      <c r="P1914" t="s">
        <v>17061</v>
      </c>
      <c r="Q1914" t="s">
        <v>25</v>
      </c>
      <c r="R1914" t="s">
        <v>17062</v>
      </c>
    </row>
    <row r="1915" spans="1:22">
      <c r="A1915" t="s">
        <v>17063</v>
      </c>
      <c r="B1915" t="s">
        <v>17063</v>
      </c>
      <c r="C1915" t="s">
        <v>17064</v>
      </c>
      <c r="D1915" t="s">
        <v>21</v>
      </c>
      <c r="E1915" s="14" t="s">
        <v>16949</v>
      </c>
      <c r="F1915" t="s">
        <v>71</v>
      </c>
      <c r="G1915" s="17" t="str">
        <f>Config!$B$3</f>
        <v>SCH/R_IEC.SchLib</v>
      </c>
      <c r="H1915" t="s">
        <v>419</v>
      </c>
      <c r="I1915" s="18" t="s">
        <v>461</v>
      </c>
      <c r="J1915" t="s">
        <v>17927</v>
      </c>
      <c r="M1915" s="3">
        <v>22</v>
      </c>
      <c r="N1915" t="s">
        <v>16950</v>
      </c>
      <c r="O1915" s="3" t="s">
        <v>477</v>
      </c>
      <c r="P1915" t="s">
        <v>17065</v>
      </c>
      <c r="Q1915" t="s">
        <v>25</v>
      </c>
      <c r="R1915" t="s">
        <v>17066</v>
      </c>
      <c r="S1915" t="s">
        <v>477</v>
      </c>
      <c r="T1915" t="s">
        <v>17067</v>
      </c>
      <c r="U1915" t="s">
        <v>25</v>
      </c>
      <c r="V1915" t="s">
        <v>17068</v>
      </c>
    </row>
    <row r="1916" spans="1:22">
      <c r="A1916" t="s">
        <v>17069</v>
      </c>
      <c r="B1916" t="s">
        <v>17069</v>
      </c>
      <c r="C1916" t="s">
        <v>17070</v>
      </c>
      <c r="D1916" t="s">
        <v>21</v>
      </c>
      <c r="E1916" s="14" t="s">
        <v>16949</v>
      </c>
      <c r="F1916" t="s">
        <v>75</v>
      </c>
      <c r="G1916" s="17" t="str">
        <f>Config!$B$3</f>
        <v>SCH/R_IEC.SchLib</v>
      </c>
      <c r="H1916" t="s">
        <v>419</v>
      </c>
      <c r="I1916" s="18" t="s">
        <v>461</v>
      </c>
      <c r="J1916" t="s">
        <v>17927</v>
      </c>
      <c r="M1916" s="3">
        <v>24</v>
      </c>
      <c r="N1916" t="s">
        <v>16950</v>
      </c>
      <c r="O1916" s="3" t="s">
        <v>477</v>
      </c>
      <c r="P1916" t="s">
        <v>17071</v>
      </c>
      <c r="Q1916" t="s">
        <v>25</v>
      </c>
      <c r="R1916" t="s">
        <v>17072</v>
      </c>
    </row>
    <row r="1917" spans="1:22">
      <c r="A1917" t="s">
        <v>17073</v>
      </c>
      <c r="B1917" t="s">
        <v>17073</v>
      </c>
      <c r="C1917" t="s">
        <v>17074</v>
      </c>
      <c r="D1917" t="s">
        <v>21</v>
      </c>
      <c r="E1917" s="14" t="s">
        <v>16949</v>
      </c>
      <c r="F1917" t="s">
        <v>77</v>
      </c>
      <c r="G1917" s="17" t="str">
        <f>Config!$B$3</f>
        <v>SCH/R_IEC.SchLib</v>
      </c>
      <c r="H1917" t="s">
        <v>419</v>
      </c>
      <c r="I1917" t="s">
        <v>461</v>
      </c>
      <c r="J1917" t="s">
        <v>17927</v>
      </c>
      <c r="M1917" s="3">
        <v>27</v>
      </c>
      <c r="N1917" t="s">
        <v>16950</v>
      </c>
      <c r="O1917" t="s">
        <v>477</v>
      </c>
      <c r="P1917" t="s">
        <v>17075</v>
      </c>
      <c r="Q1917" t="s">
        <v>25</v>
      </c>
      <c r="R1917" t="s">
        <v>17076</v>
      </c>
    </row>
    <row r="1918" spans="1:22">
      <c r="A1918" t="s">
        <v>17077</v>
      </c>
      <c r="B1918" t="s">
        <v>17077</v>
      </c>
      <c r="C1918" t="s">
        <v>17078</v>
      </c>
      <c r="D1918" t="s">
        <v>21</v>
      </c>
      <c r="E1918" s="14" t="s">
        <v>16949</v>
      </c>
      <c r="F1918" t="s">
        <v>79</v>
      </c>
      <c r="G1918" s="17" t="str">
        <f>Config!$B$3</f>
        <v>SCH/R_IEC.SchLib</v>
      </c>
      <c r="H1918" t="s">
        <v>419</v>
      </c>
      <c r="I1918" t="s">
        <v>461</v>
      </c>
      <c r="J1918" t="s">
        <v>17927</v>
      </c>
      <c r="M1918" s="3">
        <v>30</v>
      </c>
      <c r="N1918" t="s">
        <v>16950</v>
      </c>
      <c r="O1918" t="s">
        <v>477</v>
      </c>
      <c r="P1918" t="s">
        <v>17079</v>
      </c>
      <c r="Q1918" t="s">
        <v>25</v>
      </c>
      <c r="R1918" t="s">
        <v>17080</v>
      </c>
      <c r="S1918" t="s">
        <v>477</v>
      </c>
      <c r="T1918" t="s">
        <v>17081</v>
      </c>
      <c r="U1918" t="s">
        <v>25</v>
      </c>
      <c r="V1918" t="s">
        <v>17082</v>
      </c>
    </row>
    <row r="1919" spans="1:22">
      <c r="A1919" t="s">
        <v>17083</v>
      </c>
      <c r="B1919" t="s">
        <v>17083</v>
      </c>
      <c r="C1919" t="s">
        <v>17084</v>
      </c>
      <c r="D1919" t="s">
        <v>21</v>
      </c>
      <c r="E1919" s="14" t="s">
        <v>16949</v>
      </c>
      <c r="F1919" t="s">
        <v>81</v>
      </c>
      <c r="G1919" s="17" t="str">
        <f>Config!$B$3</f>
        <v>SCH/R_IEC.SchLib</v>
      </c>
      <c r="H1919" t="s">
        <v>419</v>
      </c>
      <c r="I1919" t="s">
        <v>461</v>
      </c>
      <c r="J1919" t="s">
        <v>17927</v>
      </c>
      <c r="M1919" s="3">
        <v>33</v>
      </c>
      <c r="N1919" t="s">
        <v>16950</v>
      </c>
      <c r="O1919" t="s">
        <v>477</v>
      </c>
      <c r="P1919" t="s">
        <v>17085</v>
      </c>
      <c r="Q1919" t="s">
        <v>25</v>
      </c>
      <c r="R1919" t="s">
        <v>17086</v>
      </c>
      <c r="S1919" t="s">
        <v>477</v>
      </c>
      <c r="T1919" t="s">
        <v>17087</v>
      </c>
      <c r="U1919" t="s">
        <v>25</v>
      </c>
      <c r="V1919" t="s">
        <v>17088</v>
      </c>
    </row>
    <row r="1920" spans="1:22">
      <c r="A1920" t="s">
        <v>17089</v>
      </c>
      <c r="B1920" t="s">
        <v>17089</v>
      </c>
      <c r="C1920" t="s">
        <v>17090</v>
      </c>
      <c r="D1920" t="s">
        <v>21</v>
      </c>
      <c r="E1920" s="14" t="s">
        <v>16949</v>
      </c>
      <c r="F1920" t="s">
        <v>83</v>
      </c>
      <c r="G1920" s="17" t="str">
        <f>Config!$B$3</f>
        <v>SCH/R_IEC.SchLib</v>
      </c>
      <c r="H1920" t="s">
        <v>419</v>
      </c>
      <c r="I1920" t="s">
        <v>461</v>
      </c>
      <c r="J1920" t="s">
        <v>17927</v>
      </c>
      <c r="M1920" s="3">
        <v>36</v>
      </c>
      <c r="N1920" t="s">
        <v>16950</v>
      </c>
      <c r="O1920" t="s">
        <v>477</v>
      </c>
      <c r="P1920" t="s">
        <v>17091</v>
      </c>
      <c r="Q1920" t="s">
        <v>25</v>
      </c>
      <c r="R1920" t="s">
        <v>17092</v>
      </c>
    </row>
    <row r="1921" spans="1:27">
      <c r="A1921" t="s">
        <v>17093</v>
      </c>
      <c r="B1921" t="s">
        <v>17093</v>
      </c>
      <c r="C1921" t="s">
        <v>17094</v>
      </c>
      <c r="D1921" t="s">
        <v>21</v>
      </c>
      <c r="E1921" s="14" t="s">
        <v>16949</v>
      </c>
      <c r="F1921" t="s">
        <v>85</v>
      </c>
      <c r="G1921" s="17" t="str">
        <f>Config!$B$3</f>
        <v>SCH/R_IEC.SchLib</v>
      </c>
      <c r="H1921" t="s">
        <v>419</v>
      </c>
      <c r="I1921" t="s">
        <v>461</v>
      </c>
      <c r="J1921" t="s">
        <v>17927</v>
      </c>
      <c r="M1921" s="3">
        <v>39</v>
      </c>
      <c r="N1921" t="s">
        <v>16950</v>
      </c>
      <c r="O1921" t="s">
        <v>477</v>
      </c>
      <c r="P1921" t="s">
        <v>17095</v>
      </c>
      <c r="Q1921" t="s">
        <v>25</v>
      </c>
      <c r="R1921" t="s">
        <v>17096</v>
      </c>
      <c r="S1921" t="s">
        <v>477</v>
      </c>
      <c r="T1921" t="s">
        <v>17097</v>
      </c>
      <c r="U1921" t="s">
        <v>25</v>
      </c>
      <c r="V1921" t="s">
        <v>17098</v>
      </c>
    </row>
    <row r="1922" spans="1:27">
      <c r="A1922" t="s">
        <v>17099</v>
      </c>
      <c r="B1922" t="s">
        <v>17099</v>
      </c>
      <c r="C1922" t="s">
        <v>17100</v>
      </c>
      <c r="D1922" t="s">
        <v>21</v>
      </c>
      <c r="E1922" s="14" t="s">
        <v>16949</v>
      </c>
      <c r="F1922" t="s">
        <v>87</v>
      </c>
      <c r="G1922" s="17" t="str">
        <f>Config!$B$3</f>
        <v>SCH/R_IEC.SchLib</v>
      </c>
      <c r="H1922" t="s">
        <v>419</v>
      </c>
      <c r="I1922" t="s">
        <v>461</v>
      </c>
      <c r="J1922" t="s">
        <v>17927</v>
      </c>
      <c r="M1922" s="3">
        <v>43</v>
      </c>
      <c r="N1922" t="s">
        <v>16950</v>
      </c>
      <c r="O1922" t="s">
        <v>477</v>
      </c>
      <c r="P1922" t="s">
        <v>17101</v>
      </c>
      <c r="Q1922" t="s">
        <v>25</v>
      </c>
      <c r="R1922" t="s">
        <v>17102</v>
      </c>
    </row>
    <row r="1923" spans="1:27">
      <c r="A1923" t="s">
        <v>17103</v>
      </c>
      <c r="B1923" t="s">
        <v>17103</v>
      </c>
      <c r="C1923" t="s">
        <v>17104</v>
      </c>
      <c r="D1923" t="s">
        <v>21</v>
      </c>
      <c r="E1923" s="14" t="s">
        <v>16949</v>
      </c>
      <c r="F1923" t="s">
        <v>89</v>
      </c>
      <c r="G1923" s="17" t="str">
        <f>Config!$B$3</f>
        <v>SCH/R_IEC.SchLib</v>
      </c>
      <c r="H1923" t="s">
        <v>419</v>
      </c>
      <c r="I1923" t="s">
        <v>461</v>
      </c>
      <c r="J1923" t="s">
        <v>17927</v>
      </c>
      <c r="M1923" s="3">
        <v>47</v>
      </c>
      <c r="N1923" t="s">
        <v>16950</v>
      </c>
      <c r="O1923" t="s">
        <v>477</v>
      </c>
      <c r="P1923" t="s">
        <v>17105</v>
      </c>
      <c r="Q1923" t="s">
        <v>25</v>
      </c>
      <c r="R1923" t="s">
        <v>17106</v>
      </c>
      <c r="S1923" t="s">
        <v>477</v>
      </c>
      <c r="T1923" t="s">
        <v>17107</v>
      </c>
      <c r="U1923" t="s">
        <v>25</v>
      </c>
      <c r="V1923" t="s">
        <v>17108</v>
      </c>
    </row>
    <row r="1924" spans="1:27">
      <c r="A1924" t="s">
        <v>17109</v>
      </c>
      <c r="B1924" t="s">
        <v>17109</v>
      </c>
      <c r="C1924" t="s">
        <v>17110</v>
      </c>
      <c r="D1924" t="s">
        <v>21</v>
      </c>
      <c r="E1924" s="14" t="s">
        <v>16949</v>
      </c>
      <c r="F1924" t="s">
        <v>91</v>
      </c>
      <c r="G1924" s="17" t="str">
        <f>Config!$B$3</f>
        <v>SCH/R_IEC.SchLib</v>
      </c>
      <c r="H1924" t="s">
        <v>419</v>
      </c>
      <c r="I1924" t="s">
        <v>461</v>
      </c>
      <c r="J1924" t="s">
        <v>17927</v>
      </c>
      <c r="M1924" s="3">
        <v>51</v>
      </c>
      <c r="N1924" t="s">
        <v>16950</v>
      </c>
      <c r="O1924" t="s">
        <v>477</v>
      </c>
      <c r="P1924" t="s">
        <v>17111</v>
      </c>
      <c r="Q1924" t="s">
        <v>25</v>
      </c>
      <c r="R1924" t="s">
        <v>17112</v>
      </c>
    </row>
    <row r="1925" spans="1:27">
      <c r="A1925" t="s">
        <v>17113</v>
      </c>
      <c r="B1925" t="s">
        <v>17113</v>
      </c>
      <c r="C1925" t="s">
        <v>17114</v>
      </c>
      <c r="D1925" t="s">
        <v>21</v>
      </c>
      <c r="E1925" s="14" t="s">
        <v>16949</v>
      </c>
      <c r="F1925" t="s">
        <v>93</v>
      </c>
      <c r="G1925" s="17" t="str">
        <f>Config!$B$3</f>
        <v>SCH/R_IEC.SchLib</v>
      </c>
      <c r="H1925" t="s">
        <v>419</v>
      </c>
      <c r="I1925" t="s">
        <v>461</v>
      </c>
      <c r="J1925" t="s">
        <v>17927</v>
      </c>
      <c r="M1925" s="3">
        <v>56</v>
      </c>
      <c r="N1925" t="s">
        <v>16950</v>
      </c>
      <c r="O1925" t="s">
        <v>477</v>
      </c>
      <c r="P1925" t="s">
        <v>17115</v>
      </c>
      <c r="Q1925" t="s">
        <v>25</v>
      </c>
      <c r="R1925" t="s">
        <v>17116</v>
      </c>
    </row>
    <row r="1926" spans="1:27">
      <c r="A1926" t="s">
        <v>17117</v>
      </c>
      <c r="B1926" t="s">
        <v>17117</v>
      </c>
      <c r="C1926" t="s">
        <v>17118</v>
      </c>
      <c r="D1926" t="s">
        <v>21</v>
      </c>
      <c r="E1926" s="14" t="s">
        <v>16949</v>
      </c>
      <c r="F1926" t="s">
        <v>95</v>
      </c>
      <c r="G1926" s="17" t="str">
        <f>Config!$B$3</f>
        <v>SCH/R_IEC.SchLib</v>
      </c>
      <c r="H1926" t="s">
        <v>419</v>
      </c>
      <c r="I1926" t="s">
        <v>461</v>
      </c>
      <c r="J1926" t="s">
        <v>17927</v>
      </c>
      <c r="M1926" s="3">
        <v>62</v>
      </c>
      <c r="N1926" t="s">
        <v>16950</v>
      </c>
      <c r="O1926" t="s">
        <v>477</v>
      </c>
      <c r="P1926" t="s">
        <v>17119</v>
      </c>
      <c r="Q1926" t="s">
        <v>25</v>
      </c>
      <c r="R1926" t="s">
        <v>17120</v>
      </c>
    </row>
    <row r="1927" spans="1:27">
      <c r="A1927" t="s">
        <v>17121</v>
      </c>
      <c r="B1927" t="s">
        <v>17121</v>
      </c>
      <c r="C1927" t="s">
        <v>17122</v>
      </c>
      <c r="D1927" t="s">
        <v>21</v>
      </c>
      <c r="E1927" s="14" t="s">
        <v>16949</v>
      </c>
      <c r="F1927" t="s">
        <v>97</v>
      </c>
      <c r="G1927" s="17" t="str">
        <f>Config!$B$3</f>
        <v>SCH/R_IEC.SchLib</v>
      </c>
      <c r="H1927" t="s">
        <v>419</v>
      </c>
      <c r="I1927" t="s">
        <v>461</v>
      </c>
      <c r="J1927" t="s">
        <v>17927</v>
      </c>
      <c r="M1927" s="3">
        <v>68</v>
      </c>
      <c r="N1927" t="s">
        <v>16950</v>
      </c>
      <c r="O1927" t="s">
        <v>477</v>
      </c>
      <c r="P1927" t="s">
        <v>17123</v>
      </c>
      <c r="Q1927" t="s">
        <v>25</v>
      </c>
      <c r="R1927" t="s">
        <v>17124</v>
      </c>
    </row>
    <row r="1928" spans="1:27">
      <c r="A1928" t="s">
        <v>17125</v>
      </c>
      <c r="B1928" t="s">
        <v>17125</v>
      </c>
      <c r="C1928" t="s">
        <v>17126</v>
      </c>
      <c r="D1928" t="s">
        <v>21</v>
      </c>
      <c r="E1928" s="14" t="s">
        <v>16949</v>
      </c>
      <c r="F1928" t="s">
        <v>99</v>
      </c>
      <c r="G1928" s="17" t="str">
        <f>Config!$B$3</f>
        <v>SCH/R_IEC.SchLib</v>
      </c>
      <c r="H1928" t="s">
        <v>419</v>
      </c>
      <c r="I1928" t="s">
        <v>461</v>
      </c>
      <c r="J1928" t="s">
        <v>17927</v>
      </c>
      <c r="M1928" s="3">
        <v>75</v>
      </c>
      <c r="N1928" t="s">
        <v>16950</v>
      </c>
      <c r="O1928" t="s">
        <v>477</v>
      </c>
      <c r="P1928" t="s">
        <v>17127</v>
      </c>
      <c r="Q1928" t="s">
        <v>25</v>
      </c>
      <c r="R1928" t="s">
        <v>17128</v>
      </c>
    </row>
    <row r="1929" spans="1:27">
      <c r="A1929" t="s">
        <v>17129</v>
      </c>
      <c r="B1929" t="s">
        <v>17129</v>
      </c>
      <c r="C1929" t="s">
        <v>17130</v>
      </c>
      <c r="D1929" t="s">
        <v>21</v>
      </c>
      <c r="E1929" s="14" t="s">
        <v>16949</v>
      </c>
      <c r="F1929" t="s">
        <v>101</v>
      </c>
      <c r="G1929" s="17" t="str">
        <f>Config!$B$3</f>
        <v>SCH/R_IEC.SchLib</v>
      </c>
      <c r="H1929" t="s">
        <v>419</v>
      </c>
      <c r="I1929" t="s">
        <v>461</v>
      </c>
      <c r="J1929" t="s">
        <v>17927</v>
      </c>
      <c r="M1929" s="3">
        <v>82</v>
      </c>
      <c r="N1929" t="s">
        <v>16950</v>
      </c>
      <c r="O1929" t="s">
        <v>477</v>
      </c>
      <c r="P1929" t="s">
        <v>17131</v>
      </c>
      <c r="Q1929" t="s">
        <v>25</v>
      </c>
      <c r="R1929" t="s">
        <v>17132</v>
      </c>
    </row>
    <row r="1930" spans="1:27">
      <c r="A1930" t="s">
        <v>17133</v>
      </c>
      <c r="B1930" t="s">
        <v>17133</v>
      </c>
      <c r="C1930" t="s">
        <v>17134</v>
      </c>
      <c r="D1930" t="s">
        <v>21</v>
      </c>
      <c r="E1930" s="14" t="s">
        <v>16949</v>
      </c>
      <c r="F1930" t="s">
        <v>103</v>
      </c>
      <c r="G1930" s="17" t="str">
        <f>Config!$B$3</f>
        <v>SCH/R_IEC.SchLib</v>
      </c>
      <c r="H1930" t="s">
        <v>419</v>
      </c>
      <c r="I1930" t="s">
        <v>461</v>
      </c>
      <c r="J1930" t="s">
        <v>17927</v>
      </c>
      <c r="M1930" s="3">
        <v>91</v>
      </c>
      <c r="N1930" t="s">
        <v>16950</v>
      </c>
      <c r="O1930" t="s">
        <v>477</v>
      </c>
      <c r="P1930" t="s">
        <v>17135</v>
      </c>
      <c r="Q1930" t="s">
        <v>25</v>
      </c>
      <c r="R1930" t="s">
        <v>17136</v>
      </c>
    </row>
    <row r="1931" spans="1:27">
      <c r="A1931" t="s">
        <v>17137</v>
      </c>
      <c r="B1931" t="s">
        <v>17137</v>
      </c>
      <c r="C1931" t="s">
        <v>17138</v>
      </c>
      <c r="D1931" t="s">
        <v>21</v>
      </c>
      <c r="E1931" s="14" t="s">
        <v>16949</v>
      </c>
      <c r="F1931" t="s">
        <v>105</v>
      </c>
      <c r="G1931" s="17" t="str">
        <f>Config!$B$3</f>
        <v>SCH/R_IEC.SchLib</v>
      </c>
      <c r="H1931" t="s">
        <v>419</v>
      </c>
      <c r="I1931" t="s">
        <v>461</v>
      </c>
      <c r="J1931" t="s">
        <v>17927</v>
      </c>
      <c r="M1931" s="3">
        <v>100</v>
      </c>
      <c r="N1931" t="s">
        <v>16950</v>
      </c>
      <c r="O1931" t="s">
        <v>477</v>
      </c>
      <c r="P1931" t="s">
        <v>17139</v>
      </c>
      <c r="Q1931" t="s">
        <v>25</v>
      </c>
      <c r="R1931" t="s">
        <v>17140</v>
      </c>
      <c r="S1931" t="s">
        <v>477</v>
      </c>
      <c r="T1931" t="s">
        <v>17141</v>
      </c>
      <c r="U1931" t="s">
        <v>25</v>
      </c>
      <c r="V1931" t="s">
        <v>17142</v>
      </c>
    </row>
    <row r="1932" spans="1:27">
      <c r="A1932" t="s">
        <v>17143</v>
      </c>
      <c r="B1932" t="s">
        <v>17143</v>
      </c>
      <c r="C1932" t="s">
        <v>17144</v>
      </c>
      <c r="D1932" t="s">
        <v>21</v>
      </c>
      <c r="E1932" s="14" t="s">
        <v>16949</v>
      </c>
      <c r="F1932" t="s">
        <v>109</v>
      </c>
      <c r="G1932" s="17" t="str">
        <f>Config!$B$3</f>
        <v>SCH/R_IEC.SchLib</v>
      </c>
      <c r="H1932" t="s">
        <v>419</v>
      </c>
      <c r="I1932" t="s">
        <v>461</v>
      </c>
      <c r="J1932" t="s">
        <v>17927</v>
      </c>
      <c r="M1932" s="3">
        <v>110</v>
      </c>
      <c r="N1932" t="s">
        <v>16950</v>
      </c>
      <c r="O1932" t="s">
        <v>477</v>
      </c>
      <c r="P1932" t="s">
        <v>17145</v>
      </c>
      <c r="Q1932" t="s">
        <v>25</v>
      </c>
      <c r="R1932" t="s">
        <v>17146</v>
      </c>
    </row>
    <row r="1933" spans="1:27">
      <c r="A1933" t="s">
        <v>17147</v>
      </c>
      <c r="B1933" t="s">
        <v>17147</v>
      </c>
      <c r="C1933" t="s">
        <v>17148</v>
      </c>
      <c r="D1933" t="s">
        <v>21</v>
      </c>
      <c r="E1933" s="14" t="s">
        <v>16949</v>
      </c>
      <c r="F1933" t="s">
        <v>111</v>
      </c>
      <c r="G1933" s="17" t="str">
        <f>Config!$B$3</f>
        <v>SCH/R_IEC.SchLib</v>
      </c>
      <c r="H1933" t="s">
        <v>419</v>
      </c>
      <c r="I1933" t="s">
        <v>461</v>
      </c>
      <c r="J1933" t="s">
        <v>17927</v>
      </c>
      <c r="M1933" s="3">
        <v>120</v>
      </c>
      <c r="N1933" t="s">
        <v>16950</v>
      </c>
      <c r="O1933" t="s">
        <v>477</v>
      </c>
      <c r="P1933" t="s">
        <v>17149</v>
      </c>
      <c r="Q1933" t="s">
        <v>25</v>
      </c>
      <c r="R1933" t="s">
        <v>17150</v>
      </c>
      <c r="S1933" t="s">
        <v>477</v>
      </c>
      <c r="T1933" t="s">
        <v>17151</v>
      </c>
      <c r="U1933" t="s">
        <v>25</v>
      </c>
      <c r="V1933" t="s">
        <v>17152</v>
      </c>
    </row>
    <row r="1934" spans="1:27">
      <c r="A1934" t="s">
        <v>17153</v>
      </c>
      <c r="B1934" t="s">
        <v>17153</v>
      </c>
      <c r="C1934" t="s">
        <v>17154</v>
      </c>
      <c r="D1934" t="s">
        <v>21</v>
      </c>
      <c r="E1934" s="14" t="s">
        <v>16949</v>
      </c>
      <c r="F1934" t="s">
        <v>113</v>
      </c>
      <c r="G1934" s="17" t="str">
        <f>Config!$B$3</f>
        <v>SCH/R_IEC.SchLib</v>
      </c>
      <c r="H1934" t="s">
        <v>419</v>
      </c>
      <c r="I1934" t="s">
        <v>461</v>
      </c>
      <c r="J1934" t="s">
        <v>17927</v>
      </c>
      <c r="M1934" s="3">
        <v>130</v>
      </c>
      <c r="N1934" t="s">
        <v>16950</v>
      </c>
      <c r="O1934" t="s">
        <v>477</v>
      </c>
      <c r="P1934" t="s">
        <v>17155</v>
      </c>
      <c r="Q1934" t="s">
        <v>25</v>
      </c>
      <c r="R1934" t="s">
        <v>17156</v>
      </c>
    </row>
    <row r="1935" spans="1:27">
      <c r="A1935" t="s">
        <v>17157</v>
      </c>
      <c r="B1935" t="s">
        <v>17157</v>
      </c>
      <c r="C1935" t="s">
        <v>17158</v>
      </c>
      <c r="D1935" t="s">
        <v>21</v>
      </c>
      <c r="E1935" s="14" t="s">
        <v>16949</v>
      </c>
      <c r="F1935" t="s">
        <v>115</v>
      </c>
      <c r="G1935" s="17" t="str">
        <f>Config!$B$3</f>
        <v>SCH/R_IEC.SchLib</v>
      </c>
      <c r="H1935" t="s">
        <v>419</v>
      </c>
      <c r="I1935" t="s">
        <v>461</v>
      </c>
      <c r="J1935" t="s">
        <v>17927</v>
      </c>
      <c r="M1935" s="3">
        <v>150</v>
      </c>
      <c r="N1935" t="s">
        <v>16950</v>
      </c>
      <c r="O1935" t="s">
        <v>477</v>
      </c>
      <c r="P1935" t="s">
        <v>17159</v>
      </c>
      <c r="Q1935" t="s">
        <v>25</v>
      </c>
      <c r="R1935" t="s">
        <v>17160</v>
      </c>
      <c r="S1935" t="s">
        <v>477</v>
      </c>
      <c r="T1935" t="s">
        <v>17161</v>
      </c>
      <c r="U1935" t="s">
        <v>25</v>
      </c>
      <c r="V1935" t="s">
        <v>17162</v>
      </c>
    </row>
    <row r="1936" spans="1:27">
      <c r="A1936" t="s">
        <v>17163</v>
      </c>
      <c r="B1936" t="s">
        <v>17163</v>
      </c>
      <c r="C1936" t="s">
        <v>17164</v>
      </c>
      <c r="D1936" t="s">
        <v>21</v>
      </c>
      <c r="E1936" s="14" t="s">
        <v>16949</v>
      </c>
      <c r="F1936" t="s">
        <v>117</v>
      </c>
      <c r="G1936" s="17" t="str">
        <f>Config!$B$3</f>
        <v>SCH/R_IEC.SchLib</v>
      </c>
      <c r="H1936" t="s">
        <v>419</v>
      </c>
      <c r="I1936" t="s">
        <v>461</v>
      </c>
      <c r="J1936" t="s">
        <v>17927</v>
      </c>
      <c r="M1936" s="3">
        <v>160</v>
      </c>
      <c r="N1936" t="s">
        <v>16950</v>
      </c>
      <c r="O1936" t="s">
        <v>477</v>
      </c>
      <c r="P1936" t="s">
        <v>17165</v>
      </c>
      <c r="Q1936" t="s">
        <v>25</v>
      </c>
      <c r="R1936" t="s">
        <v>17166</v>
      </c>
      <c r="W1936" t="s">
        <v>477</v>
      </c>
      <c r="X1936" t="s">
        <v>17165</v>
      </c>
      <c r="Y1936" t="s">
        <v>4559</v>
      </c>
      <c r="Z1936" t="s">
        <v>18526</v>
      </c>
      <c r="AA1936" t="s">
        <v>4727</v>
      </c>
    </row>
    <row r="1937" spans="1:22">
      <c r="A1937" t="s">
        <v>17167</v>
      </c>
      <c r="B1937" t="s">
        <v>17167</v>
      </c>
      <c r="C1937" t="s">
        <v>17168</v>
      </c>
      <c r="D1937" t="s">
        <v>21</v>
      </c>
      <c r="E1937" s="14" t="s">
        <v>16949</v>
      </c>
      <c r="F1937" t="s">
        <v>119</v>
      </c>
      <c r="G1937" s="17" t="str">
        <f>Config!$B$3</f>
        <v>SCH/R_IEC.SchLib</v>
      </c>
      <c r="H1937" t="s">
        <v>419</v>
      </c>
      <c r="I1937" t="s">
        <v>461</v>
      </c>
      <c r="J1937" t="s">
        <v>17927</v>
      </c>
      <c r="M1937" s="3">
        <v>180</v>
      </c>
      <c r="N1937" t="s">
        <v>16950</v>
      </c>
      <c r="O1937" t="s">
        <v>477</v>
      </c>
      <c r="P1937" t="s">
        <v>17169</v>
      </c>
      <c r="Q1937" t="s">
        <v>25</v>
      </c>
      <c r="R1937" t="s">
        <v>17170</v>
      </c>
    </row>
    <row r="1938" spans="1:22">
      <c r="A1938" t="s">
        <v>17171</v>
      </c>
      <c r="B1938" t="s">
        <v>17171</v>
      </c>
      <c r="C1938" t="s">
        <v>17172</v>
      </c>
      <c r="D1938" t="s">
        <v>21</v>
      </c>
      <c r="E1938" s="14" t="s">
        <v>16949</v>
      </c>
      <c r="F1938" t="s">
        <v>123</v>
      </c>
      <c r="G1938" s="17" t="str">
        <f>Config!$B$3</f>
        <v>SCH/R_IEC.SchLib</v>
      </c>
      <c r="H1938" t="s">
        <v>419</v>
      </c>
      <c r="I1938" t="s">
        <v>461</v>
      </c>
      <c r="J1938" t="s">
        <v>17927</v>
      </c>
      <c r="M1938" s="3">
        <v>200</v>
      </c>
      <c r="N1938" t="s">
        <v>16950</v>
      </c>
      <c r="O1938" t="s">
        <v>477</v>
      </c>
      <c r="P1938" t="s">
        <v>17173</v>
      </c>
      <c r="Q1938" t="s">
        <v>25</v>
      </c>
      <c r="R1938" t="s">
        <v>17174</v>
      </c>
      <c r="S1938" t="s">
        <v>477</v>
      </c>
      <c r="T1938" t="s">
        <v>17175</v>
      </c>
      <c r="U1938" t="s">
        <v>25</v>
      </c>
      <c r="V1938" t="s">
        <v>17176</v>
      </c>
    </row>
    <row r="1939" spans="1:22">
      <c r="A1939" t="s">
        <v>17177</v>
      </c>
      <c r="B1939" t="s">
        <v>17177</v>
      </c>
      <c r="C1939" t="s">
        <v>17178</v>
      </c>
      <c r="D1939" t="s">
        <v>21</v>
      </c>
      <c r="E1939" s="14" t="s">
        <v>16949</v>
      </c>
      <c r="F1939" t="s">
        <v>125</v>
      </c>
      <c r="G1939" s="17" t="str">
        <f>Config!$B$3</f>
        <v>SCH/R_IEC.SchLib</v>
      </c>
      <c r="H1939" t="s">
        <v>419</v>
      </c>
      <c r="I1939" t="s">
        <v>461</v>
      </c>
      <c r="J1939" t="s">
        <v>17927</v>
      </c>
      <c r="M1939" s="3">
        <v>220</v>
      </c>
      <c r="N1939" t="s">
        <v>16950</v>
      </c>
      <c r="O1939" t="s">
        <v>477</v>
      </c>
      <c r="P1939" t="s">
        <v>17179</v>
      </c>
      <c r="Q1939" t="s">
        <v>25</v>
      </c>
      <c r="R1939" t="s">
        <v>17180</v>
      </c>
      <c r="S1939" t="s">
        <v>477</v>
      </c>
      <c r="T1939" t="s">
        <v>17181</v>
      </c>
      <c r="U1939" t="s">
        <v>25</v>
      </c>
      <c r="V1939" t="s">
        <v>17182</v>
      </c>
    </row>
    <row r="1940" spans="1:22">
      <c r="A1940" t="s">
        <v>17183</v>
      </c>
      <c r="B1940" t="s">
        <v>17183</v>
      </c>
      <c r="C1940" t="s">
        <v>17184</v>
      </c>
      <c r="D1940" t="s">
        <v>21</v>
      </c>
      <c r="E1940" s="14" t="s">
        <v>16949</v>
      </c>
      <c r="F1940" t="s">
        <v>129</v>
      </c>
      <c r="G1940" s="17" t="str">
        <f>Config!$B$3</f>
        <v>SCH/R_IEC.SchLib</v>
      </c>
      <c r="H1940" t="s">
        <v>419</v>
      </c>
      <c r="I1940" t="s">
        <v>461</v>
      </c>
      <c r="J1940" t="s">
        <v>17927</v>
      </c>
      <c r="M1940" s="3">
        <v>240</v>
      </c>
      <c r="N1940" t="s">
        <v>16950</v>
      </c>
      <c r="O1940" t="s">
        <v>477</v>
      </c>
      <c r="P1940" t="s">
        <v>17185</v>
      </c>
      <c r="Q1940" t="s">
        <v>25</v>
      </c>
      <c r="R1940" t="s">
        <v>17186</v>
      </c>
      <c r="S1940" t="s">
        <v>477</v>
      </c>
      <c r="T1940" t="s">
        <v>17187</v>
      </c>
      <c r="U1940" t="s">
        <v>25</v>
      </c>
      <c r="V1940" t="s">
        <v>17188</v>
      </c>
    </row>
    <row r="1941" spans="1:22">
      <c r="A1941" t="s">
        <v>17189</v>
      </c>
      <c r="B1941" t="s">
        <v>17189</v>
      </c>
      <c r="C1941" t="s">
        <v>17190</v>
      </c>
      <c r="D1941" t="s">
        <v>21</v>
      </c>
      <c r="E1941" s="14" t="s">
        <v>16949</v>
      </c>
      <c r="F1941" t="s">
        <v>131</v>
      </c>
      <c r="G1941" s="17" t="str">
        <f>Config!$B$3</f>
        <v>SCH/R_IEC.SchLib</v>
      </c>
      <c r="H1941" t="s">
        <v>419</v>
      </c>
      <c r="I1941" t="s">
        <v>461</v>
      </c>
      <c r="J1941" t="s">
        <v>17927</v>
      </c>
      <c r="M1941" s="3">
        <v>270</v>
      </c>
      <c r="N1941" t="s">
        <v>16950</v>
      </c>
      <c r="O1941" t="s">
        <v>477</v>
      </c>
      <c r="P1941" t="s">
        <v>17191</v>
      </c>
      <c r="Q1941" t="s">
        <v>25</v>
      </c>
      <c r="R1941" t="s">
        <v>17192</v>
      </c>
    </row>
    <row r="1942" spans="1:22">
      <c r="A1942" t="s">
        <v>17193</v>
      </c>
      <c r="B1942" t="s">
        <v>17193</v>
      </c>
      <c r="C1942" t="s">
        <v>17194</v>
      </c>
      <c r="D1942" t="s">
        <v>21</v>
      </c>
      <c r="E1942" s="14" t="s">
        <v>16949</v>
      </c>
      <c r="F1942" t="s">
        <v>133</v>
      </c>
      <c r="G1942" s="17" t="str">
        <f>Config!$B$3</f>
        <v>SCH/R_IEC.SchLib</v>
      </c>
      <c r="H1942" t="s">
        <v>419</v>
      </c>
      <c r="I1942" t="s">
        <v>461</v>
      </c>
      <c r="J1942" t="s">
        <v>17927</v>
      </c>
      <c r="M1942" s="3">
        <v>300</v>
      </c>
      <c r="N1942" t="s">
        <v>16950</v>
      </c>
      <c r="O1942" t="s">
        <v>477</v>
      </c>
      <c r="P1942" t="s">
        <v>17195</v>
      </c>
      <c r="Q1942" t="s">
        <v>25</v>
      </c>
      <c r="R1942" t="s">
        <v>17196</v>
      </c>
      <c r="S1942" t="s">
        <v>477</v>
      </c>
      <c r="T1942" t="s">
        <v>17197</v>
      </c>
      <c r="U1942" t="s">
        <v>25</v>
      </c>
      <c r="V1942" t="s">
        <v>17198</v>
      </c>
    </row>
    <row r="1943" spans="1:22">
      <c r="A1943" t="s">
        <v>17199</v>
      </c>
      <c r="B1943" t="s">
        <v>17199</v>
      </c>
      <c r="C1943" t="s">
        <v>17200</v>
      </c>
      <c r="D1943" t="s">
        <v>21</v>
      </c>
      <c r="E1943" s="14" t="s">
        <v>16949</v>
      </c>
      <c r="F1943" t="s">
        <v>137</v>
      </c>
      <c r="G1943" s="17" t="str">
        <f>Config!$B$3</f>
        <v>SCH/R_IEC.SchLib</v>
      </c>
      <c r="H1943" t="s">
        <v>419</v>
      </c>
      <c r="I1943" t="s">
        <v>461</v>
      </c>
      <c r="J1943" t="s">
        <v>17927</v>
      </c>
      <c r="M1943" s="3">
        <v>330</v>
      </c>
      <c r="N1943" t="s">
        <v>16950</v>
      </c>
      <c r="O1943" t="s">
        <v>477</v>
      </c>
      <c r="P1943" t="s">
        <v>17201</v>
      </c>
      <c r="Q1943" t="s">
        <v>25</v>
      </c>
      <c r="R1943" t="s">
        <v>17202</v>
      </c>
    </row>
    <row r="1944" spans="1:22">
      <c r="A1944" t="s">
        <v>17203</v>
      </c>
      <c r="B1944" t="s">
        <v>17203</v>
      </c>
      <c r="C1944" t="s">
        <v>17204</v>
      </c>
      <c r="D1944" t="s">
        <v>21</v>
      </c>
      <c r="E1944" s="14" t="s">
        <v>16949</v>
      </c>
      <c r="F1944" t="s">
        <v>139</v>
      </c>
      <c r="G1944" s="17" t="str">
        <f>Config!$B$3</f>
        <v>SCH/R_IEC.SchLib</v>
      </c>
      <c r="H1944" t="s">
        <v>419</v>
      </c>
      <c r="I1944" t="s">
        <v>461</v>
      </c>
      <c r="J1944" t="s">
        <v>17927</v>
      </c>
      <c r="M1944" s="3">
        <v>360</v>
      </c>
      <c r="N1944" t="s">
        <v>16950</v>
      </c>
      <c r="O1944" t="s">
        <v>477</v>
      </c>
      <c r="P1944" t="s">
        <v>17205</v>
      </c>
      <c r="Q1944" t="s">
        <v>25</v>
      </c>
      <c r="R1944" t="s">
        <v>17206</v>
      </c>
    </row>
    <row r="1945" spans="1:22">
      <c r="A1945" t="s">
        <v>17207</v>
      </c>
      <c r="B1945" t="s">
        <v>17207</v>
      </c>
      <c r="C1945" t="s">
        <v>17208</v>
      </c>
      <c r="D1945" t="s">
        <v>21</v>
      </c>
      <c r="E1945" s="14" t="s">
        <v>16949</v>
      </c>
      <c r="F1945" t="s">
        <v>141</v>
      </c>
      <c r="G1945" s="17" t="str">
        <f>Config!$B$3</f>
        <v>SCH/R_IEC.SchLib</v>
      </c>
      <c r="H1945" t="s">
        <v>419</v>
      </c>
      <c r="I1945" t="s">
        <v>461</v>
      </c>
      <c r="J1945" t="s">
        <v>17927</v>
      </c>
      <c r="M1945" s="3">
        <v>390</v>
      </c>
      <c r="N1945" t="s">
        <v>16950</v>
      </c>
      <c r="O1945" t="s">
        <v>477</v>
      </c>
      <c r="P1945" t="s">
        <v>17209</v>
      </c>
      <c r="Q1945" t="s">
        <v>25</v>
      </c>
      <c r="R1945" t="s">
        <v>17210</v>
      </c>
      <c r="S1945" t="s">
        <v>477</v>
      </c>
      <c r="T1945" t="s">
        <v>17211</v>
      </c>
      <c r="U1945" t="s">
        <v>25</v>
      </c>
      <c r="V1945" t="s">
        <v>17212</v>
      </c>
    </row>
    <row r="1946" spans="1:22">
      <c r="A1946" t="s">
        <v>17213</v>
      </c>
      <c r="B1946" t="s">
        <v>17213</v>
      </c>
      <c r="C1946" t="s">
        <v>17214</v>
      </c>
      <c r="D1946" t="s">
        <v>21</v>
      </c>
      <c r="E1946" s="14" t="s">
        <v>16949</v>
      </c>
      <c r="F1946" t="s">
        <v>143</v>
      </c>
      <c r="G1946" s="17" t="str">
        <f>Config!$B$3</f>
        <v>SCH/R_IEC.SchLib</v>
      </c>
      <c r="H1946" t="s">
        <v>419</v>
      </c>
      <c r="I1946" t="s">
        <v>461</v>
      </c>
      <c r="J1946" t="s">
        <v>17927</v>
      </c>
      <c r="M1946" s="3">
        <v>430</v>
      </c>
      <c r="N1946" t="s">
        <v>16950</v>
      </c>
      <c r="O1946" t="s">
        <v>477</v>
      </c>
      <c r="P1946" t="s">
        <v>17215</v>
      </c>
      <c r="Q1946" t="s">
        <v>25</v>
      </c>
      <c r="R1946" t="s">
        <v>17216</v>
      </c>
    </row>
    <row r="1947" spans="1:22">
      <c r="A1947" t="s">
        <v>17217</v>
      </c>
      <c r="B1947" t="s">
        <v>17217</v>
      </c>
      <c r="C1947" t="s">
        <v>17218</v>
      </c>
      <c r="D1947" t="s">
        <v>21</v>
      </c>
      <c r="E1947" s="14" t="s">
        <v>16949</v>
      </c>
      <c r="F1947" t="s">
        <v>145</v>
      </c>
      <c r="G1947" s="17" t="str">
        <f>Config!$B$3</f>
        <v>SCH/R_IEC.SchLib</v>
      </c>
      <c r="H1947" t="s">
        <v>419</v>
      </c>
      <c r="I1947" t="s">
        <v>461</v>
      </c>
      <c r="J1947" t="s">
        <v>17927</v>
      </c>
      <c r="M1947" s="3">
        <v>470</v>
      </c>
      <c r="N1947" t="s">
        <v>16950</v>
      </c>
      <c r="O1947" t="s">
        <v>477</v>
      </c>
      <c r="P1947" t="s">
        <v>17219</v>
      </c>
      <c r="Q1947" t="s">
        <v>25</v>
      </c>
      <c r="R1947" t="s">
        <v>17220</v>
      </c>
      <c r="S1947" t="s">
        <v>477</v>
      </c>
      <c r="T1947" t="s">
        <v>17221</v>
      </c>
      <c r="U1947" t="s">
        <v>25</v>
      </c>
      <c r="V1947" t="s">
        <v>17222</v>
      </c>
    </row>
    <row r="1948" spans="1:22">
      <c r="A1948" t="s">
        <v>17223</v>
      </c>
      <c r="B1948" t="s">
        <v>17223</v>
      </c>
      <c r="C1948" t="s">
        <v>17224</v>
      </c>
      <c r="D1948" t="s">
        <v>21</v>
      </c>
      <c r="E1948" s="14" t="s">
        <v>16949</v>
      </c>
      <c r="F1948" t="s">
        <v>149</v>
      </c>
      <c r="G1948" s="17" t="str">
        <f>Config!$B$3</f>
        <v>SCH/R_IEC.SchLib</v>
      </c>
      <c r="H1948" t="s">
        <v>419</v>
      </c>
      <c r="I1948" t="s">
        <v>461</v>
      </c>
      <c r="J1948" t="s">
        <v>17927</v>
      </c>
      <c r="M1948" s="3">
        <v>510</v>
      </c>
      <c r="N1948" t="s">
        <v>16950</v>
      </c>
      <c r="O1948" t="s">
        <v>477</v>
      </c>
      <c r="P1948" t="s">
        <v>17225</v>
      </c>
      <c r="Q1948" t="s">
        <v>25</v>
      </c>
      <c r="R1948" t="s">
        <v>17226</v>
      </c>
    </row>
    <row r="1949" spans="1:22">
      <c r="A1949" t="s">
        <v>17227</v>
      </c>
      <c r="B1949" t="s">
        <v>17227</v>
      </c>
      <c r="C1949" t="s">
        <v>17228</v>
      </c>
      <c r="D1949" t="s">
        <v>21</v>
      </c>
      <c r="E1949" s="14" t="s">
        <v>16949</v>
      </c>
      <c r="F1949" t="s">
        <v>151</v>
      </c>
      <c r="G1949" s="17" t="str">
        <f>Config!$B$3</f>
        <v>SCH/R_IEC.SchLib</v>
      </c>
      <c r="H1949" t="s">
        <v>419</v>
      </c>
      <c r="I1949" t="s">
        <v>461</v>
      </c>
      <c r="J1949" t="s">
        <v>17927</v>
      </c>
      <c r="M1949" s="3">
        <v>560</v>
      </c>
      <c r="N1949" t="s">
        <v>16950</v>
      </c>
      <c r="O1949" t="s">
        <v>477</v>
      </c>
      <c r="P1949" t="s">
        <v>17229</v>
      </c>
      <c r="Q1949" t="s">
        <v>25</v>
      </c>
      <c r="R1949" t="s">
        <v>17230</v>
      </c>
    </row>
    <row r="1950" spans="1:22">
      <c r="A1950" t="s">
        <v>17231</v>
      </c>
      <c r="B1950" t="s">
        <v>17231</v>
      </c>
      <c r="C1950" t="s">
        <v>17232</v>
      </c>
      <c r="D1950" t="s">
        <v>21</v>
      </c>
      <c r="E1950" s="14" t="s">
        <v>16949</v>
      </c>
      <c r="F1950" t="s">
        <v>153</v>
      </c>
      <c r="G1950" s="17" t="str">
        <f>Config!$B$3</f>
        <v>SCH/R_IEC.SchLib</v>
      </c>
      <c r="H1950" t="s">
        <v>419</v>
      </c>
      <c r="I1950" t="s">
        <v>461</v>
      </c>
      <c r="J1950" t="s">
        <v>17927</v>
      </c>
      <c r="M1950" s="3">
        <v>620</v>
      </c>
      <c r="N1950" t="s">
        <v>16950</v>
      </c>
      <c r="O1950" t="s">
        <v>477</v>
      </c>
      <c r="P1950" t="s">
        <v>17233</v>
      </c>
      <c r="Q1950" t="s">
        <v>25</v>
      </c>
      <c r="R1950" t="s">
        <v>17234</v>
      </c>
    </row>
    <row r="1951" spans="1:22">
      <c r="A1951" t="s">
        <v>17235</v>
      </c>
      <c r="B1951" t="s">
        <v>17235</v>
      </c>
      <c r="C1951" t="s">
        <v>17236</v>
      </c>
      <c r="D1951" t="s">
        <v>21</v>
      </c>
      <c r="E1951" s="14" t="s">
        <v>16949</v>
      </c>
      <c r="F1951" t="s">
        <v>155</v>
      </c>
      <c r="G1951" s="17" t="str">
        <f>Config!$B$3</f>
        <v>SCH/R_IEC.SchLib</v>
      </c>
      <c r="H1951" t="s">
        <v>419</v>
      </c>
      <c r="I1951" t="s">
        <v>461</v>
      </c>
      <c r="J1951" t="s">
        <v>17927</v>
      </c>
      <c r="M1951" s="3">
        <v>680</v>
      </c>
      <c r="N1951" t="s">
        <v>16950</v>
      </c>
      <c r="O1951" t="s">
        <v>477</v>
      </c>
      <c r="P1951" t="s">
        <v>17237</v>
      </c>
      <c r="Q1951" t="s">
        <v>25</v>
      </c>
      <c r="R1951" t="s">
        <v>17238</v>
      </c>
    </row>
    <row r="1952" spans="1:22">
      <c r="A1952" t="s">
        <v>17239</v>
      </c>
      <c r="B1952" t="s">
        <v>17239</v>
      </c>
      <c r="C1952" t="s">
        <v>17240</v>
      </c>
      <c r="D1952" t="s">
        <v>21</v>
      </c>
      <c r="E1952" s="14" t="s">
        <v>16949</v>
      </c>
      <c r="F1952" t="s">
        <v>157</v>
      </c>
      <c r="G1952" s="17" t="str">
        <f>Config!$B$3</f>
        <v>SCH/R_IEC.SchLib</v>
      </c>
      <c r="H1952" t="s">
        <v>419</v>
      </c>
      <c r="I1952" t="s">
        <v>461</v>
      </c>
      <c r="J1952" t="s">
        <v>17927</v>
      </c>
      <c r="M1952" s="3">
        <v>750</v>
      </c>
      <c r="N1952" t="s">
        <v>16950</v>
      </c>
      <c r="O1952" t="s">
        <v>477</v>
      </c>
      <c r="P1952" t="s">
        <v>17241</v>
      </c>
      <c r="Q1952" t="s">
        <v>25</v>
      </c>
      <c r="R1952" t="s">
        <v>17242</v>
      </c>
    </row>
    <row r="1953" spans="1:27">
      <c r="A1953" t="s">
        <v>17243</v>
      </c>
      <c r="B1953" t="s">
        <v>17243</v>
      </c>
      <c r="C1953" t="s">
        <v>17244</v>
      </c>
      <c r="D1953" t="s">
        <v>21</v>
      </c>
      <c r="E1953" s="14" t="s">
        <v>16949</v>
      </c>
      <c r="F1953" t="s">
        <v>159</v>
      </c>
      <c r="G1953" s="17" t="str">
        <f>Config!$B$3</f>
        <v>SCH/R_IEC.SchLib</v>
      </c>
      <c r="H1953" t="s">
        <v>419</v>
      </c>
      <c r="I1953" t="s">
        <v>461</v>
      </c>
      <c r="J1953" t="s">
        <v>17927</v>
      </c>
      <c r="M1953" s="3">
        <v>820</v>
      </c>
      <c r="N1953" t="s">
        <v>16950</v>
      </c>
      <c r="O1953" t="s">
        <v>477</v>
      </c>
      <c r="P1953" t="s">
        <v>17245</v>
      </c>
      <c r="Q1953" t="s">
        <v>25</v>
      </c>
      <c r="R1953" t="s">
        <v>17246</v>
      </c>
    </row>
    <row r="1954" spans="1:27">
      <c r="A1954" t="s">
        <v>17247</v>
      </c>
      <c r="B1954" t="s">
        <v>17247</v>
      </c>
      <c r="C1954" t="s">
        <v>17248</v>
      </c>
      <c r="D1954" t="s">
        <v>21</v>
      </c>
      <c r="E1954" s="14" t="s">
        <v>16949</v>
      </c>
      <c r="F1954" t="s">
        <v>161</v>
      </c>
      <c r="G1954" s="17" t="str">
        <f>Config!$B$3</f>
        <v>SCH/R_IEC.SchLib</v>
      </c>
      <c r="H1954" t="s">
        <v>419</v>
      </c>
      <c r="I1954" t="s">
        <v>461</v>
      </c>
      <c r="J1954" t="s">
        <v>17927</v>
      </c>
      <c r="M1954" s="3">
        <v>910</v>
      </c>
      <c r="N1954" t="s">
        <v>16950</v>
      </c>
      <c r="O1954" t="s">
        <v>477</v>
      </c>
      <c r="P1954" t="s">
        <v>17249</v>
      </c>
      <c r="Q1954" t="s">
        <v>25</v>
      </c>
      <c r="R1954" t="s">
        <v>17250</v>
      </c>
    </row>
    <row r="1955" spans="1:27">
      <c r="A1955" t="s">
        <v>17251</v>
      </c>
      <c r="B1955" t="s">
        <v>17251</v>
      </c>
      <c r="C1955" t="s">
        <v>17252</v>
      </c>
      <c r="D1955" t="s">
        <v>21</v>
      </c>
      <c r="E1955" s="14" t="s">
        <v>16949</v>
      </c>
      <c r="F1955" t="s">
        <v>163</v>
      </c>
      <c r="G1955" s="17" t="str">
        <f>Config!$B$3</f>
        <v>SCH/R_IEC.SchLib</v>
      </c>
      <c r="H1955" t="s">
        <v>419</v>
      </c>
      <c r="I1955" t="s">
        <v>461</v>
      </c>
      <c r="J1955" t="s">
        <v>17927</v>
      </c>
      <c r="M1955" s="3">
        <v>1000</v>
      </c>
      <c r="N1955" t="s">
        <v>16950</v>
      </c>
      <c r="O1955" t="s">
        <v>477</v>
      </c>
      <c r="P1955" t="s">
        <v>17253</v>
      </c>
      <c r="Q1955" t="s">
        <v>25</v>
      </c>
      <c r="R1955" t="s">
        <v>17254</v>
      </c>
      <c r="S1955" t="s">
        <v>477</v>
      </c>
      <c r="T1955" t="s">
        <v>17255</v>
      </c>
      <c r="U1955" t="s">
        <v>25</v>
      </c>
      <c r="V1955" t="s">
        <v>17256</v>
      </c>
      <c r="W1955" t="s">
        <v>477</v>
      </c>
      <c r="X1955" t="s">
        <v>17253</v>
      </c>
      <c r="Y1955" t="s">
        <v>4559</v>
      </c>
      <c r="Z1955" t="s">
        <v>18522</v>
      </c>
      <c r="AA1955" t="s">
        <v>4727</v>
      </c>
    </row>
    <row r="1956" spans="1:27">
      <c r="A1956" t="s">
        <v>17257</v>
      </c>
      <c r="B1956" t="s">
        <v>17257</v>
      </c>
      <c r="C1956" t="s">
        <v>17258</v>
      </c>
      <c r="D1956" t="s">
        <v>21</v>
      </c>
      <c r="E1956" s="14" t="s">
        <v>16949</v>
      </c>
      <c r="F1956" t="s">
        <v>165</v>
      </c>
      <c r="G1956" s="17" t="str">
        <f>Config!$B$3</f>
        <v>SCH/R_IEC.SchLib</v>
      </c>
      <c r="H1956" t="s">
        <v>419</v>
      </c>
      <c r="I1956" t="s">
        <v>461</v>
      </c>
      <c r="J1956" t="s">
        <v>17927</v>
      </c>
      <c r="M1956" s="3">
        <v>1100</v>
      </c>
      <c r="N1956" t="s">
        <v>16950</v>
      </c>
      <c r="O1956" t="s">
        <v>477</v>
      </c>
      <c r="P1956" t="s">
        <v>17259</v>
      </c>
      <c r="Q1956" t="s">
        <v>25</v>
      </c>
      <c r="R1956" t="s">
        <v>17260</v>
      </c>
      <c r="S1956" t="s">
        <v>477</v>
      </c>
      <c r="T1956" t="s">
        <v>17261</v>
      </c>
      <c r="U1956" t="s">
        <v>25</v>
      </c>
      <c r="V1956" t="s">
        <v>17262</v>
      </c>
    </row>
    <row r="1957" spans="1:27">
      <c r="A1957" t="s">
        <v>17263</v>
      </c>
      <c r="B1957" t="s">
        <v>17263</v>
      </c>
      <c r="C1957" t="s">
        <v>17264</v>
      </c>
      <c r="D1957" t="s">
        <v>21</v>
      </c>
      <c r="E1957" s="14" t="s">
        <v>16949</v>
      </c>
      <c r="F1957" t="s">
        <v>167</v>
      </c>
      <c r="G1957" s="17" t="str">
        <f>Config!$B$3</f>
        <v>SCH/R_IEC.SchLib</v>
      </c>
      <c r="H1957" t="s">
        <v>419</v>
      </c>
      <c r="I1957" t="s">
        <v>461</v>
      </c>
      <c r="J1957" t="s">
        <v>17927</v>
      </c>
      <c r="M1957" s="3">
        <v>1200</v>
      </c>
      <c r="N1957" t="s">
        <v>16950</v>
      </c>
      <c r="O1957" t="s">
        <v>477</v>
      </c>
      <c r="P1957" t="s">
        <v>17265</v>
      </c>
      <c r="Q1957" t="s">
        <v>25</v>
      </c>
      <c r="R1957" t="s">
        <v>17266</v>
      </c>
      <c r="W1957" t="s">
        <v>477</v>
      </c>
      <c r="X1957" t="s">
        <v>17265</v>
      </c>
      <c r="Y1957" t="s">
        <v>4559</v>
      </c>
      <c r="Z1957" t="s">
        <v>18533</v>
      </c>
      <c r="AA1957" t="s">
        <v>4727</v>
      </c>
    </row>
    <row r="1958" spans="1:27">
      <c r="A1958" t="s">
        <v>17267</v>
      </c>
      <c r="B1958" t="s">
        <v>17267</v>
      </c>
      <c r="C1958" t="s">
        <v>17268</v>
      </c>
      <c r="D1958" t="s">
        <v>21</v>
      </c>
      <c r="E1958" s="14" t="s">
        <v>16949</v>
      </c>
      <c r="F1958" t="s">
        <v>169</v>
      </c>
      <c r="G1958" s="17" t="str">
        <f>Config!$B$3</f>
        <v>SCH/R_IEC.SchLib</v>
      </c>
      <c r="H1958" t="s">
        <v>419</v>
      </c>
      <c r="I1958" t="s">
        <v>461</v>
      </c>
      <c r="J1958" t="s">
        <v>17927</v>
      </c>
      <c r="M1958" s="3">
        <v>1300</v>
      </c>
      <c r="N1958" t="s">
        <v>16950</v>
      </c>
      <c r="O1958" t="s">
        <v>477</v>
      </c>
      <c r="P1958" t="s">
        <v>17269</v>
      </c>
      <c r="Q1958" t="s">
        <v>25</v>
      </c>
      <c r="R1958" t="s">
        <v>17270</v>
      </c>
    </row>
    <row r="1959" spans="1:27">
      <c r="A1959" t="s">
        <v>17271</v>
      </c>
      <c r="B1959" t="s">
        <v>17271</v>
      </c>
      <c r="C1959" t="s">
        <v>17272</v>
      </c>
      <c r="D1959" t="s">
        <v>21</v>
      </c>
      <c r="E1959" s="14" t="s">
        <v>16949</v>
      </c>
      <c r="F1959" t="s">
        <v>171</v>
      </c>
      <c r="G1959" s="17" t="str">
        <f>Config!$B$3</f>
        <v>SCH/R_IEC.SchLib</v>
      </c>
      <c r="H1959" t="s">
        <v>419</v>
      </c>
      <c r="I1959" t="s">
        <v>461</v>
      </c>
      <c r="J1959" t="s">
        <v>17927</v>
      </c>
      <c r="M1959" s="3">
        <v>1500</v>
      </c>
      <c r="N1959" t="s">
        <v>16950</v>
      </c>
      <c r="O1959" t="s">
        <v>477</v>
      </c>
      <c r="P1959" t="s">
        <v>17273</v>
      </c>
      <c r="Q1959" t="s">
        <v>25</v>
      </c>
      <c r="R1959" t="s">
        <v>17274</v>
      </c>
      <c r="S1959" t="s">
        <v>477</v>
      </c>
      <c r="T1959" t="s">
        <v>17275</v>
      </c>
      <c r="U1959" t="s">
        <v>25</v>
      </c>
      <c r="V1959" t="s">
        <v>17276</v>
      </c>
      <c r="W1959" t="s">
        <v>477</v>
      </c>
      <c r="X1959" t="s">
        <v>17273</v>
      </c>
      <c r="Y1959" t="s">
        <v>4559</v>
      </c>
      <c r="Z1959" t="s">
        <v>18536</v>
      </c>
      <c r="AA1959" t="s">
        <v>4727</v>
      </c>
    </row>
    <row r="1960" spans="1:27">
      <c r="A1960" t="s">
        <v>17277</v>
      </c>
      <c r="B1960" t="s">
        <v>17277</v>
      </c>
      <c r="C1960" t="s">
        <v>17278</v>
      </c>
      <c r="D1960" t="s">
        <v>21</v>
      </c>
      <c r="E1960" s="14" t="s">
        <v>16949</v>
      </c>
      <c r="F1960" t="s">
        <v>175</v>
      </c>
      <c r="G1960" s="17" t="str">
        <f>Config!$B$3</f>
        <v>SCH/R_IEC.SchLib</v>
      </c>
      <c r="H1960" t="s">
        <v>419</v>
      </c>
      <c r="I1960" t="s">
        <v>461</v>
      </c>
      <c r="J1960" t="s">
        <v>17927</v>
      </c>
      <c r="M1960" s="3">
        <v>1600</v>
      </c>
      <c r="N1960" t="s">
        <v>16950</v>
      </c>
      <c r="O1960" t="s">
        <v>477</v>
      </c>
      <c r="P1960" t="s">
        <v>17279</v>
      </c>
      <c r="Q1960" t="s">
        <v>25</v>
      </c>
      <c r="R1960" t="s">
        <v>17280</v>
      </c>
    </row>
    <row r="1961" spans="1:27">
      <c r="A1961" t="s">
        <v>17281</v>
      </c>
      <c r="B1961" t="s">
        <v>17281</v>
      </c>
      <c r="C1961" t="s">
        <v>17282</v>
      </c>
      <c r="D1961" t="s">
        <v>21</v>
      </c>
      <c r="E1961" s="14" t="s">
        <v>16949</v>
      </c>
      <c r="F1961" t="s">
        <v>181</v>
      </c>
      <c r="G1961" s="17" t="str">
        <f>Config!$B$3</f>
        <v>SCH/R_IEC.SchLib</v>
      </c>
      <c r="H1961" t="s">
        <v>419</v>
      </c>
      <c r="I1961" t="s">
        <v>461</v>
      </c>
      <c r="J1961" t="s">
        <v>17927</v>
      </c>
      <c r="M1961" s="3">
        <v>1800</v>
      </c>
      <c r="N1961" t="s">
        <v>16950</v>
      </c>
      <c r="O1961" t="s">
        <v>477</v>
      </c>
      <c r="P1961" t="s">
        <v>17283</v>
      </c>
      <c r="Q1961" t="s">
        <v>25</v>
      </c>
      <c r="R1961" t="s">
        <v>17284</v>
      </c>
    </row>
    <row r="1962" spans="1:27">
      <c r="A1962" t="s">
        <v>17285</v>
      </c>
      <c r="B1962" t="s">
        <v>17285</v>
      </c>
      <c r="C1962" t="s">
        <v>17286</v>
      </c>
      <c r="D1962" t="s">
        <v>21</v>
      </c>
      <c r="E1962" s="14" t="s">
        <v>16949</v>
      </c>
      <c r="F1962" t="s">
        <v>183</v>
      </c>
      <c r="G1962" s="17" t="str">
        <f>Config!$B$3</f>
        <v>SCH/R_IEC.SchLib</v>
      </c>
      <c r="H1962" t="s">
        <v>419</v>
      </c>
      <c r="I1962" t="s">
        <v>461</v>
      </c>
      <c r="J1962" t="s">
        <v>17927</v>
      </c>
      <c r="M1962" s="3">
        <v>2000</v>
      </c>
      <c r="N1962" t="s">
        <v>16950</v>
      </c>
      <c r="O1962" t="s">
        <v>477</v>
      </c>
      <c r="P1962" t="s">
        <v>17287</v>
      </c>
      <c r="Q1962" t="s">
        <v>25</v>
      </c>
      <c r="R1962" t="s">
        <v>17288</v>
      </c>
      <c r="S1962" t="s">
        <v>477</v>
      </c>
      <c r="T1962" t="s">
        <v>17289</v>
      </c>
      <c r="U1962" t="s">
        <v>25</v>
      </c>
      <c r="V1962" t="s">
        <v>17290</v>
      </c>
      <c r="W1962" t="s">
        <v>477</v>
      </c>
      <c r="X1962" t="s">
        <v>18517</v>
      </c>
      <c r="Y1962" t="s">
        <v>4559</v>
      </c>
      <c r="Z1962" t="s">
        <v>18518</v>
      </c>
      <c r="AA1962" t="s">
        <v>4727</v>
      </c>
    </row>
    <row r="1963" spans="1:27">
      <c r="A1963" t="s">
        <v>17291</v>
      </c>
      <c r="B1963" t="s">
        <v>17291</v>
      </c>
      <c r="C1963" t="s">
        <v>17292</v>
      </c>
      <c r="D1963" t="s">
        <v>21</v>
      </c>
      <c r="E1963" s="14" t="s">
        <v>16949</v>
      </c>
      <c r="F1963" t="s">
        <v>187</v>
      </c>
      <c r="G1963" s="17" t="str">
        <f>Config!$B$3</f>
        <v>SCH/R_IEC.SchLib</v>
      </c>
      <c r="H1963" t="s">
        <v>419</v>
      </c>
      <c r="I1963" t="s">
        <v>461</v>
      </c>
      <c r="J1963" t="s">
        <v>17927</v>
      </c>
      <c r="M1963" s="3">
        <v>2200</v>
      </c>
      <c r="N1963" t="s">
        <v>16950</v>
      </c>
      <c r="O1963" t="s">
        <v>477</v>
      </c>
      <c r="P1963" t="s">
        <v>17293</v>
      </c>
      <c r="Q1963" t="s">
        <v>25</v>
      </c>
      <c r="R1963" t="s">
        <v>17294</v>
      </c>
      <c r="S1963" t="s">
        <v>477</v>
      </c>
      <c r="T1963" t="s">
        <v>17295</v>
      </c>
      <c r="U1963" t="s">
        <v>25</v>
      </c>
      <c r="V1963" t="s">
        <v>17296</v>
      </c>
    </row>
    <row r="1964" spans="1:27">
      <c r="A1964" t="s">
        <v>17297</v>
      </c>
      <c r="B1964" t="s">
        <v>17297</v>
      </c>
      <c r="C1964" t="s">
        <v>17298</v>
      </c>
      <c r="D1964" t="s">
        <v>21</v>
      </c>
      <c r="E1964" s="14" t="s">
        <v>16949</v>
      </c>
      <c r="F1964" t="s">
        <v>191</v>
      </c>
      <c r="G1964" s="17" t="str">
        <f>Config!$B$3</f>
        <v>SCH/R_IEC.SchLib</v>
      </c>
      <c r="H1964" t="s">
        <v>419</v>
      </c>
      <c r="I1964" t="s">
        <v>461</v>
      </c>
      <c r="J1964" t="s">
        <v>17927</v>
      </c>
      <c r="M1964" s="3">
        <v>2400</v>
      </c>
      <c r="N1964" t="s">
        <v>16950</v>
      </c>
      <c r="O1964" t="s">
        <v>477</v>
      </c>
      <c r="P1964" t="s">
        <v>17299</v>
      </c>
      <c r="Q1964" t="s">
        <v>25</v>
      </c>
      <c r="R1964" t="s">
        <v>17300</v>
      </c>
    </row>
    <row r="1965" spans="1:27">
      <c r="A1965" t="s">
        <v>17301</v>
      </c>
      <c r="B1965" t="s">
        <v>17301</v>
      </c>
      <c r="C1965" t="s">
        <v>17302</v>
      </c>
      <c r="D1965" t="s">
        <v>21</v>
      </c>
      <c r="E1965" s="14" t="s">
        <v>16949</v>
      </c>
      <c r="F1965" t="s">
        <v>193</v>
      </c>
      <c r="G1965" s="17" t="str">
        <f>Config!$B$3</f>
        <v>SCH/R_IEC.SchLib</v>
      </c>
      <c r="H1965" t="s">
        <v>419</v>
      </c>
      <c r="I1965" t="s">
        <v>461</v>
      </c>
      <c r="J1965" t="s">
        <v>17927</v>
      </c>
      <c r="M1965" s="3">
        <v>2700</v>
      </c>
      <c r="N1965" t="s">
        <v>16950</v>
      </c>
      <c r="O1965" t="s">
        <v>477</v>
      </c>
      <c r="P1965" t="s">
        <v>17303</v>
      </c>
      <c r="Q1965" t="s">
        <v>25</v>
      </c>
      <c r="R1965" t="s">
        <v>17304</v>
      </c>
    </row>
    <row r="1966" spans="1:27">
      <c r="A1966" t="s">
        <v>17305</v>
      </c>
      <c r="B1966" t="s">
        <v>17305</v>
      </c>
      <c r="C1966" t="s">
        <v>17306</v>
      </c>
      <c r="D1966" t="s">
        <v>21</v>
      </c>
      <c r="E1966" s="14" t="s">
        <v>16949</v>
      </c>
      <c r="F1966" t="s">
        <v>197</v>
      </c>
      <c r="G1966" s="17" t="str">
        <f>Config!$B$3</f>
        <v>SCH/R_IEC.SchLib</v>
      </c>
      <c r="H1966" t="s">
        <v>419</v>
      </c>
      <c r="I1966" t="s">
        <v>461</v>
      </c>
      <c r="J1966" t="s">
        <v>17927</v>
      </c>
      <c r="M1966" s="3">
        <v>3000</v>
      </c>
      <c r="N1966" t="s">
        <v>16950</v>
      </c>
      <c r="O1966" t="s">
        <v>477</v>
      </c>
      <c r="P1966" t="s">
        <v>17307</v>
      </c>
      <c r="Q1966" t="s">
        <v>25</v>
      </c>
      <c r="R1966" t="s">
        <v>17308</v>
      </c>
    </row>
    <row r="1967" spans="1:27">
      <c r="A1967" t="s">
        <v>17309</v>
      </c>
      <c r="B1967" t="s">
        <v>17309</v>
      </c>
      <c r="C1967" t="s">
        <v>17310</v>
      </c>
      <c r="D1967" t="s">
        <v>21</v>
      </c>
      <c r="E1967" s="14" t="s">
        <v>16949</v>
      </c>
      <c r="F1967" t="s">
        <v>201</v>
      </c>
      <c r="G1967" s="17" t="str">
        <f>Config!$B$3</f>
        <v>SCH/R_IEC.SchLib</v>
      </c>
      <c r="H1967" t="s">
        <v>419</v>
      </c>
      <c r="I1967" t="s">
        <v>461</v>
      </c>
      <c r="J1967" t="s">
        <v>17927</v>
      </c>
      <c r="M1967" s="3">
        <v>3300</v>
      </c>
      <c r="N1967" t="s">
        <v>16950</v>
      </c>
      <c r="O1967" t="s">
        <v>477</v>
      </c>
      <c r="P1967" t="s">
        <v>17311</v>
      </c>
      <c r="Q1967" t="s">
        <v>25</v>
      </c>
      <c r="R1967" t="s">
        <v>17312</v>
      </c>
      <c r="S1967" t="s">
        <v>477</v>
      </c>
      <c r="T1967" t="s">
        <v>17313</v>
      </c>
      <c r="U1967" t="s">
        <v>25</v>
      </c>
      <c r="V1967" t="s">
        <v>17314</v>
      </c>
    </row>
    <row r="1968" spans="1:27">
      <c r="A1968" t="s">
        <v>17315</v>
      </c>
      <c r="B1968" t="s">
        <v>17315</v>
      </c>
      <c r="C1968" t="s">
        <v>17316</v>
      </c>
      <c r="D1968" t="s">
        <v>21</v>
      </c>
      <c r="E1968" s="14" t="s">
        <v>16949</v>
      </c>
      <c r="F1968" t="s">
        <v>203</v>
      </c>
      <c r="G1968" s="17" t="str">
        <f>Config!$B$3</f>
        <v>SCH/R_IEC.SchLib</v>
      </c>
      <c r="H1968" t="s">
        <v>419</v>
      </c>
      <c r="I1968" t="s">
        <v>461</v>
      </c>
      <c r="J1968" t="s">
        <v>17927</v>
      </c>
      <c r="M1968" s="3">
        <v>3600</v>
      </c>
      <c r="N1968" t="s">
        <v>16950</v>
      </c>
      <c r="O1968" t="s">
        <v>477</v>
      </c>
      <c r="P1968" t="s">
        <v>17317</v>
      </c>
      <c r="Q1968" t="s">
        <v>25</v>
      </c>
      <c r="R1968" t="s">
        <v>17318</v>
      </c>
    </row>
    <row r="1969" spans="1:27">
      <c r="A1969" t="s">
        <v>17319</v>
      </c>
      <c r="B1969" t="s">
        <v>17319</v>
      </c>
      <c r="C1969" t="s">
        <v>17320</v>
      </c>
      <c r="D1969" t="s">
        <v>21</v>
      </c>
      <c r="E1969" s="14" t="s">
        <v>16949</v>
      </c>
      <c r="F1969" t="s">
        <v>205</v>
      </c>
      <c r="G1969" s="17" t="str">
        <f>Config!$B$3</f>
        <v>SCH/R_IEC.SchLib</v>
      </c>
      <c r="H1969" t="s">
        <v>419</v>
      </c>
      <c r="I1969" t="s">
        <v>461</v>
      </c>
      <c r="J1969" t="s">
        <v>17927</v>
      </c>
      <c r="M1969" s="3">
        <v>3900</v>
      </c>
      <c r="N1969" t="s">
        <v>16950</v>
      </c>
      <c r="O1969" t="s">
        <v>477</v>
      </c>
      <c r="P1969" t="s">
        <v>17321</v>
      </c>
      <c r="Q1969" t="s">
        <v>25</v>
      </c>
      <c r="R1969" t="s">
        <v>17322</v>
      </c>
    </row>
    <row r="1970" spans="1:27">
      <c r="A1970" t="s">
        <v>17323</v>
      </c>
      <c r="B1970" t="s">
        <v>17323</v>
      </c>
      <c r="C1970" t="s">
        <v>17324</v>
      </c>
      <c r="D1970" t="s">
        <v>21</v>
      </c>
      <c r="E1970" s="14" t="s">
        <v>16949</v>
      </c>
      <c r="F1970" t="s">
        <v>207</v>
      </c>
      <c r="G1970" s="17" t="str">
        <f>Config!$B$3</f>
        <v>SCH/R_IEC.SchLib</v>
      </c>
      <c r="H1970" t="s">
        <v>419</v>
      </c>
      <c r="I1970" t="s">
        <v>461</v>
      </c>
      <c r="J1970" t="s">
        <v>17927</v>
      </c>
      <c r="M1970" s="3">
        <v>4300</v>
      </c>
      <c r="N1970" t="s">
        <v>16950</v>
      </c>
      <c r="O1970" t="s">
        <v>477</v>
      </c>
      <c r="P1970" t="s">
        <v>17325</v>
      </c>
      <c r="Q1970" t="s">
        <v>25</v>
      </c>
      <c r="R1970" t="s">
        <v>17326</v>
      </c>
    </row>
    <row r="1971" spans="1:27">
      <c r="A1971" t="s">
        <v>17327</v>
      </c>
      <c r="B1971" t="s">
        <v>17327</v>
      </c>
      <c r="C1971" t="s">
        <v>17328</v>
      </c>
      <c r="D1971" t="s">
        <v>21</v>
      </c>
      <c r="E1971" s="14" t="s">
        <v>16949</v>
      </c>
      <c r="F1971" t="s">
        <v>209</v>
      </c>
      <c r="G1971" s="17" t="str">
        <f>Config!$B$3</f>
        <v>SCH/R_IEC.SchLib</v>
      </c>
      <c r="H1971" t="s">
        <v>419</v>
      </c>
      <c r="I1971" t="s">
        <v>461</v>
      </c>
      <c r="J1971" t="s">
        <v>17927</v>
      </c>
      <c r="M1971" s="3">
        <v>4700</v>
      </c>
      <c r="N1971" t="s">
        <v>16950</v>
      </c>
      <c r="O1971" t="s">
        <v>477</v>
      </c>
      <c r="P1971" t="s">
        <v>17329</v>
      </c>
      <c r="Q1971" t="s">
        <v>25</v>
      </c>
      <c r="R1971" t="s">
        <v>17330</v>
      </c>
      <c r="S1971" t="s">
        <v>477</v>
      </c>
      <c r="T1971" t="s">
        <v>17331</v>
      </c>
      <c r="U1971" t="s">
        <v>25</v>
      </c>
      <c r="V1971" t="s">
        <v>17332</v>
      </c>
    </row>
    <row r="1972" spans="1:27">
      <c r="A1972" t="s">
        <v>17333</v>
      </c>
      <c r="B1972" t="s">
        <v>17333</v>
      </c>
      <c r="C1972" t="s">
        <v>17334</v>
      </c>
      <c r="D1972" t="s">
        <v>21</v>
      </c>
      <c r="E1972" s="14" t="s">
        <v>16949</v>
      </c>
      <c r="F1972" t="s">
        <v>213</v>
      </c>
      <c r="G1972" s="17" t="str">
        <f>Config!$B$3</f>
        <v>SCH/R_IEC.SchLib</v>
      </c>
      <c r="H1972" t="s">
        <v>419</v>
      </c>
      <c r="I1972" t="s">
        <v>461</v>
      </c>
      <c r="J1972" t="s">
        <v>17927</v>
      </c>
      <c r="M1972" s="3">
        <v>5100</v>
      </c>
      <c r="N1972" t="s">
        <v>16950</v>
      </c>
      <c r="O1972" t="s">
        <v>477</v>
      </c>
      <c r="P1972" t="s">
        <v>17335</v>
      </c>
      <c r="Q1972" t="s">
        <v>25</v>
      </c>
      <c r="R1972" t="s">
        <v>17336</v>
      </c>
      <c r="S1972" t="s">
        <v>477</v>
      </c>
      <c r="T1972" t="s">
        <v>17337</v>
      </c>
      <c r="U1972" t="s">
        <v>25</v>
      </c>
      <c r="V1972" t="s">
        <v>17338</v>
      </c>
    </row>
    <row r="1973" spans="1:27">
      <c r="A1973" t="s">
        <v>17339</v>
      </c>
      <c r="B1973" t="s">
        <v>17339</v>
      </c>
      <c r="C1973" t="s">
        <v>17340</v>
      </c>
      <c r="D1973" t="s">
        <v>21</v>
      </c>
      <c r="E1973" s="14" t="s">
        <v>16949</v>
      </c>
      <c r="F1973" t="s">
        <v>215</v>
      </c>
      <c r="G1973" s="17" t="str">
        <f>Config!$B$3</f>
        <v>SCH/R_IEC.SchLib</v>
      </c>
      <c r="H1973" t="s">
        <v>419</v>
      </c>
      <c r="I1973" t="s">
        <v>461</v>
      </c>
      <c r="J1973" t="s">
        <v>17927</v>
      </c>
      <c r="M1973" s="3">
        <v>5600</v>
      </c>
      <c r="N1973" t="s">
        <v>16950</v>
      </c>
      <c r="O1973" t="s">
        <v>477</v>
      </c>
      <c r="P1973" t="s">
        <v>17341</v>
      </c>
      <c r="Q1973" t="s">
        <v>25</v>
      </c>
      <c r="R1973" t="s">
        <v>17342</v>
      </c>
      <c r="S1973" t="s">
        <v>477</v>
      </c>
      <c r="T1973" t="s">
        <v>17343</v>
      </c>
      <c r="U1973" t="s">
        <v>25</v>
      </c>
      <c r="V1973" t="s">
        <v>17344</v>
      </c>
    </row>
    <row r="1974" spans="1:27">
      <c r="A1974" t="s">
        <v>17345</v>
      </c>
      <c r="B1974" t="s">
        <v>17345</v>
      </c>
      <c r="C1974" t="s">
        <v>17346</v>
      </c>
      <c r="D1974" t="s">
        <v>21</v>
      </c>
      <c r="E1974" s="14" t="s">
        <v>16949</v>
      </c>
      <c r="F1974" t="s">
        <v>217</v>
      </c>
      <c r="G1974" s="17" t="str">
        <f>Config!$B$3</f>
        <v>SCH/R_IEC.SchLib</v>
      </c>
      <c r="H1974" t="s">
        <v>419</v>
      </c>
      <c r="I1974" t="s">
        <v>461</v>
      </c>
      <c r="J1974" t="s">
        <v>17927</v>
      </c>
      <c r="M1974" s="3">
        <v>6200</v>
      </c>
      <c r="N1974" t="s">
        <v>16950</v>
      </c>
      <c r="O1974" t="s">
        <v>477</v>
      </c>
      <c r="P1974" t="s">
        <v>17347</v>
      </c>
      <c r="Q1974" t="s">
        <v>25</v>
      </c>
      <c r="R1974" t="s">
        <v>17348</v>
      </c>
    </row>
    <row r="1975" spans="1:27">
      <c r="A1975" t="s">
        <v>17349</v>
      </c>
      <c r="B1975" t="s">
        <v>17349</v>
      </c>
      <c r="C1975" t="s">
        <v>17350</v>
      </c>
      <c r="D1975" t="s">
        <v>21</v>
      </c>
      <c r="E1975" s="14" t="s">
        <v>16949</v>
      </c>
      <c r="F1975" t="s">
        <v>219</v>
      </c>
      <c r="G1975" s="17" t="str">
        <f>Config!$B$3</f>
        <v>SCH/R_IEC.SchLib</v>
      </c>
      <c r="H1975" t="s">
        <v>419</v>
      </c>
      <c r="I1975" t="s">
        <v>461</v>
      </c>
      <c r="J1975" t="s">
        <v>17927</v>
      </c>
      <c r="M1975" s="3">
        <v>6800</v>
      </c>
      <c r="N1975" t="s">
        <v>16950</v>
      </c>
      <c r="O1975" t="s">
        <v>477</v>
      </c>
      <c r="P1975" t="s">
        <v>17351</v>
      </c>
      <c r="Q1975" t="s">
        <v>25</v>
      </c>
      <c r="R1975" t="s">
        <v>17352</v>
      </c>
      <c r="W1975" t="s">
        <v>477</v>
      </c>
      <c r="X1975" t="s">
        <v>17351</v>
      </c>
      <c r="Y1975" t="s">
        <v>4559</v>
      </c>
      <c r="Z1975" t="s">
        <v>18535</v>
      </c>
      <c r="AA1975" t="s">
        <v>4727</v>
      </c>
    </row>
    <row r="1976" spans="1:27">
      <c r="A1976" t="s">
        <v>17353</v>
      </c>
      <c r="B1976" t="s">
        <v>17353</v>
      </c>
      <c r="C1976" t="s">
        <v>17354</v>
      </c>
      <c r="D1976" t="s">
        <v>21</v>
      </c>
      <c r="E1976" s="14" t="s">
        <v>16949</v>
      </c>
      <c r="F1976" t="s">
        <v>221</v>
      </c>
      <c r="G1976" s="17" t="str">
        <f>Config!$B$3</f>
        <v>SCH/R_IEC.SchLib</v>
      </c>
      <c r="H1976" t="s">
        <v>419</v>
      </c>
      <c r="I1976" t="s">
        <v>461</v>
      </c>
      <c r="J1976" t="s">
        <v>17927</v>
      </c>
      <c r="M1976" s="3">
        <v>7500</v>
      </c>
      <c r="N1976" t="s">
        <v>16950</v>
      </c>
      <c r="O1976" t="s">
        <v>477</v>
      </c>
      <c r="P1976" t="s">
        <v>17355</v>
      </c>
      <c r="Q1976" t="s">
        <v>25</v>
      </c>
      <c r="R1976" t="s">
        <v>17356</v>
      </c>
      <c r="W1976" t="s">
        <v>477</v>
      </c>
      <c r="X1976" t="s">
        <v>17355</v>
      </c>
      <c r="Y1976" t="s">
        <v>4559</v>
      </c>
      <c r="Z1976" t="s">
        <v>18534</v>
      </c>
      <c r="AA1976" t="s">
        <v>4727</v>
      </c>
    </row>
    <row r="1977" spans="1:27">
      <c r="A1977" t="s">
        <v>17357</v>
      </c>
      <c r="B1977" t="s">
        <v>17357</v>
      </c>
      <c r="C1977" t="s">
        <v>17358</v>
      </c>
      <c r="D1977" t="s">
        <v>21</v>
      </c>
      <c r="E1977" s="14" t="s">
        <v>16949</v>
      </c>
      <c r="F1977" t="s">
        <v>223</v>
      </c>
      <c r="G1977" s="17" t="str">
        <f>Config!$B$3</f>
        <v>SCH/R_IEC.SchLib</v>
      </c>
      <c r="H1977" t="s">
        <v>419</v>
      </c>
      <c r="I1977" t="s">
        <v>461</v>
      </c>
      <c r="J1977" t="s">
        <v>17927</v>
      </c>
      <c r="M1977" s="3">
        <v>8200</v>
      </c>
      <c r="N1977" t="s">
        <v>16950</v>
      </c>
      <c r="O1977" t="s">
        <v>477</v>
      </c>
      <c r="P1977" t="s">
        <v>17359</v>
      </c>
      <c r="Q1977" t="s">
        <v>25</v>
      </c>
      <c r="R1977" t="s">
        <v>17360</v>
      </c>
    </row>
    <row r="1978" spans="1:27">
      <c r="A1978" t="s">
        <v>17361</v>
      </c>
      <c r="B1978" t="s">
        <v>17361</v>
      </c>
      <c r="C1978" t="s">
        <v>17362</v>
      </c>
      <c r="D1978" t="s">
        <v>21</v>
      </c>
      <c r="E1978" s="14" t="s">
        <v>16949</v>
      </c>
      <c r="F1978" t="s">
        <v>225</v>
      </c>
      <c r="G1978" s="17" t="str">
        <f>Config!$B$3</f>
        <v>SCH/R_IEC.SchLib</v>
      </c>
      <c r="H1978" t="s">
        <v>419</v>
      </c>
      <c r="I1978" t="s">
        <v>461</v>
      </c>
      <c r="J1978" t="s">
        <v>17927</v>
      </c>
      <c r="M1978" s="3">
        <v>9100</v>
      </c>
      <c r="N1978" t="s">
        <v>16950</v>
      </c>
      <c r="O1978" t="s">
        <v>477</v>
      </c>
      <c r="P1978" t="s">
        <v>17363</v>
      </c>
      <c r="Q1978" t="s">
        <v>25</v>
      </c>
      <c r="R1978" t="s">
        <v>17364</v>
      </c>
    </row>
    <row r="1979" spans="1:27">
      <c r="A1979" t="s">
        <v>17365</v>
      </c>
      <c r="B1979" t="s">
        <v>17365</v>
      </c>
      <c r="C1979" t="s">
        <v>17366</v>
      </c>
      <c r="D1979" t="s">
        <v>21</v>
      </c>
      <c r="E1979" s="14" t="s">
        <v>16949</v>
      </c>
      <c r="F1979" t="s">
        <v>229</v>
      </c>
      <c r="G1979" s="17" t="str">
        <f>Config!$B$3</f>
        <v>SCH/R_IEC.SchLib</v>
      </c>
      <c r="H1979" t="s">
        <v>419</v>
      </c>
      <c r="I1979" t="s">
        <v>461</v>
      </c>
      <c r="J1979" t="s">
        <v>17927</v>
      </c>
      <c r="M1979" s="3">
        <v>10000</v>
      </c>
      <c r="N1979" t="s">
        <v>16950</v>
      </c>
      <c r="O1979" t="s">
        <v>477</v>
      </c>
      <c r="P1979" t="s">
        <v>17367</v>
      </c>
      <c r="Q1979" t="s">
        <v>25</v>
      </c>
      <c r="R1979" t="s">
        <v>17368</v>
      </c>
      <c r="S1979" t="s">
        <v>477</v>
      </c>
      <c r="T1979" t="s">
        <v>17369</v>
      </c>
      <c r="U1979" t="s">
        <v>25</v>
      </c>
      <c r="V1979" t="s">
        <v>17370</v>
      </c>
      <c r="W1979" t="s">
        <v>477</v>
      </c>
      <c r="X1979" t="s">
        <v>17367</v>
      </c>
      <c r="Y1979" t="s">
        <v>4559</v>
      </c>
      <c r="Z1979" t="s">
        <v>18524</v>
      </c>
      <c r="AA1979" t="s">
        <v>4727</v>
      </c>
    </row>
    <row r="1980" spans="1:27">
      <c r="A1980" t="s">
        <v>17371</v>
      </c>
      <c r="B1980" t="s">
        <v>17371</v>
      </c>
      <c r="C1980" t="s">
        <v>17372</v>
      </c>
      <c r="D1980" t="s">
        <v>21</v>
      </c>
      <c r="E1980" s="14" t="s">
        <v>16949</v>
      </c>
      <c r="F1980" t="s">
        <v>233</v>
      </c>
      <c r="G1980" s="17" t="str">
        <f>Config!$B$3</f>
        <v>SCH/R_IEC.SchLib</v>
      </c>
      <c r="H1980" t="s">
        <v>419</v>
      </c>
      <c r="I1980" t="s">
        <v>461</v>
      </c>
      <c r="J1980" t="s">
        <v>17927</v>
      </c>
      <c r="M1980" s="3">
        <v>11000</v>
      </c>
      <c r="N1980" t="s">
        <v>16950</v>
      </c>
      <c r="O1980" t="s">
        <v>477</v>
      </c>
      <c r="P1980" t="s">
        <v>17373</v>
      </c>
      <c r="Q1980" t="s">
        <v>25</v>
      </c>
      <c r="R1980" t="s">
        <v>17374</v>
      </c>
      <c r="W1980" t="s">
        <v>477</v>
      </c>
      <c r="X1980" t="s">
        <v>17373</v>
      </c>
      <c r="Y1980" t="s">
        <v>4559</v>
      </c>
      <c r="Z1980" t="s">
        <v>18537</v>
      </c>
      <c r="AA1980" t="s">
        <v>4727</v>
      </c>
    </row>
    <row r="1981" spans="1:27">
      <c r="A1981" t="s">
        <v>17375</v>
      </c>
      <c r="B1981" t="s">
        <v>17375</v>
      </c>
      <c r="C1981" t="s">
        <v>17376</v>
      </c>
      <c r="D1981" t="s">
        <v>21</v>
      </c>
      <c r="E1981" s="14" t="s">
        <v>16949</v>
      </c>
      <c r="F1981" t="s">
        <v>235</v>
      </c>
      <c r="G1981" s="17" t="str">
        <f>Config!$B$3</f>
        <v>SCH/R_IEC.SchLib</v>
      </c>
      <c r="H1981" t="s">
        <v>419</v>
      </c>
      <c r="I1981" t="s">
        <v>461</v>
      </c>
      <c r="J1981" t="s">
        <v>17927</v>
      </c>
      <c r="M1981" s="3">
        <v>12000</v>
      </c>
      <c r="N1981" t="s">
        <v>16950</v>
      </c>
      <c r="O1981" t="s">
        <v>477</v>
      </c>
      <c r="P1981" t="s">
        <v>17377</v>
      </c>
      <c r="Q1981" t="s">
        <v>25</v>
      </c>
      <c r="R1981" t="s">
        <v>17378</v>
      </c>
    </row>
    <row r="1982" spans="1:27">
      <c r="A1982" t="s">
        <v>17379</v>
      </c>
      <c r="B1982" t="s">
        <v>17379</v>
      </c>
      <c r="C1982" t="s">
        <v>17380</v>
      </c>
      <c r="D1982" t="s">
        <v>21</v>
      </c>
      <c r="E1982" s="14" t="s">
        <v>16949</v>
      </c>
      <c r="F1982" t="s">
        <v>239</v>
      </c>
      <c r="G1982" s="17" t="str">
        <f>Config!$B$3</f>
        <v>SCH/R_IEC.SchLib</v>
      </c>
      <c r="H1982" t="s">
        <v>419</v>
      </c>
      <c r="I1982" t="s">
        <v>461</v>
      </c>
      <c r="J1982" t="s">
        <v>17927</v>
      </c>
      <c r="M1982" s="3">
        <v>13000</v>
      </c>
      <c r="N1982" t="s">
        <v>16950</v>
      </c>
      <c r="O1982" t="s">
        <v>477</v>
      </c>
      <c r="P1982" t="s">
        <v>17381</v>
      </c>
      <c r="Q1982" t="s">
        <v>25</v>
      </c>
      <c r="R1982" t="s">
        <v>17382</v>
      </c>
    </row>
    <row r="1983" spans="1:27">
      <c r="A1983" t="s">
        <v>17383</v>
      </c>
      <c r="B1983" t="s">
        <v>17383</v>
      </c>
      <c r="C1983" t="s">
        <v>17384</v>
      </c>
      <c r="D1983" t="s">
        <v>21</v>
      </c>
      <c r="E1983" s="14" t="s">
        <v>16949</v>
      </c>
      <c r="F1983" t="s">
        <v>243</v>
      </c>
      <c r="G1983" s="17" t="str">
        <f>Config!$B$3</f>
        <v>SCH/R_IEC.SchLib</v>
      </c>
      <c r="H1983" t="s">
        <v>419</v>
      </c>
      <c r="I1983" t="s">
        <v>461</v>
      </c>
      <c r="J1983" t="s">
        <v>17927</v>
      </c>
      <c r="M1983" s="3">
        <v>15000</v>
      </c>
      <c r="N1983" t="s">
        <v>16950</v>
      </c>
      <c r="O1983" t="s">
        <v>477</v>
      </c>
      <c r="P1983" t="s">
        <v>17385</v>
      </c>
      <c r="Q1983" t="s">
        <v>25</v>
      </c>
      <c r="R1983" t="s">
        <v>17386</v>
      </c>
      <c r="S1983" t="s">
        <v>477</v>
      </c>
      <c r="T1983" t="s">
        <v>17387</v>
      </c>
      <c r="U1983" t="s">
        <v>25</v>
      </c>
      <c r="V1983" t="s">
        <v>17388</v>
      </c>
      <c r="W1983" t="s">
        <v>477</v>
      </c>
      <c r="X1983" t="s">
        <v>17385</v>
      </c>
      <c r="Y1983" t="s">
        <v>4559</v>
      </c>
      <c r="Z1983" t="s">
        <v>18538</v>
      </c>
      <c r="AA1983" t="s">
        <v>4727</v>
      </c>
    </row>
    <row r="1984" spans="1:27">
      <c r="A1984" t="s">
        <v>17389</v>
      </c>
      <c r="B1984" t="s">
        <v>17389</v>
      </c>
      <c r="C1984" t="s">
        <v>17390</v>
      </c>
      <c r="D1984" t="s">
        <v>21</v>
      </c>
      <c r="E1984" s="14" t="s">
        <v>16949</v>
      </c>
      <c r="F1984" t="s">
        <v>247</v>
      </c>
      <c r="G1984" s="17" t="str">
        <f>Config!$B$3</f>
        <v>SCH/R_IEC.SchLib</v>
      </c>
      <c r="H1984" t="s">
        <v>419</v>
      </c>
      <c r="I1984" t="s">
        <v>461</v>
      </c>
      <c r="J1984" t="s">
        <v>17927</v>
      </c>
      <c r="M1984" s="3">
        <v>16000</v>
      </c>
      <c r="N1984" t="s">
        <v>16950</v>
      </c>
      <c r="O1984" t="s">
        <v>477</v>
      </c>
      <c r="P1984" t="s">
        <v>17391</v>
      </c>
      <c r="Q1984" t="s">
        <v>25</v>
      </c>
      <c r="R1984" t="s">
        <v>17392</v>
      </c>
    </row>
    <row r="1985" spans="1:27">
      <c r="A1985" t="s">
        <v>17393</v>
      </c>
      <c r="B1985" t="s">
        <v>17393</v>
      </c>
      <c r="C1985" t="s">
        <v>17394</v>
      </c>
      <c r="D1985" t="s">
        <v>21</v>
      </c>
      <c r="E1985" s="14" t="s">
        <v>16949</v>
      </c>
      <c r="F1985" t="s">
        <v>251</v>
      </c>
      <c r="G1985" s="17" t="str">
        <f>Config!$B$3</f>
        <v>SCH/R_IEC.SchLib</v>
      </c>
      <c r="H1985" t="s">
        <v>419</v>
      </c>
      <c r="I1985" t="s">
        <v>461</v>
      </c>
      <c r="J1985" t="s">
        <v>17927</v>
      </c>
      <c r="M1985" s="3">
        <v>18000</v>
      </c>
      <c r="N1985" t="s">
        <v>16950</v>
      </c>
      <c r="O1985" t="s">
        <v>477</v>
      </c>
      <c r="P1985" t="s">
        <v>17395</v>
      </c>
      <c r="Q1985" t="s">
        <v>25</v>
      </c>
      <c r="R1985" t="s">
        <v>17396</v>
      </c>
    </row>
    <row r="1986" spans="1:27">
      <c r="A1986" t="s">
        <v>17397</v>
      </c>
      <c r="B1986" t="s">
        <v>17397</v>
      </c>
      <c r="C1986" t="s">
        <v>17398</v>
      </c>
      <c r="D1986" t="s">
        <v>21</v>
      </c>
      <c r="E1986" s="14" t="s">
        <v>16949</v>
      </c>
      <c r="F1986" t="s">
        <v>255</v>
      </c>
      <c r="G1986" s="17" t="str">
        <f>Config!$B$3</f>
        <v>SCH/R_IEC.SchLib</v>
      </c>
      <c r="H1986" t="s">
        <v>419</v>
      </c>
      <c r="I1986" t="s">
        <v>461</v>
      </c>
      <c r="J1986" t="s">
        <v>17927</v>
      </c>
      <c r="M1986" s="3">
        <v>20000</v>
      </c>
      <c r="N1986" t="s">
        <v>16950</v>
      </c>
      <c r="O1986" t="s">
        <v>477</v>
      </c>
      <c r="P1986" t="s">
        <v>17399</v>
      </c>
      <c r="Q1986" t="s">
        <v>25</v>
      </c>
      <c r="R1986" t="s">
        <v>17400</v>
      </c>
      <c r="S1986" t="s">
        <v>477</v>
      </c>
      <c r="T1986" t="s">
        <v>17401</v>
      </c>
      <c r="U1986" t="s">
        <v>25</v>
      </c>
      <c r="V1986" t="s">
        <v>17402</v>
      </c>
    </row>
    <row r="1987" spans="1:27">
      <c r="A1987" t="s">
        <v>17403</v>
      </c>
      <c r="B1987" t="s">
        <v>17403</v>
      </c>
      <c r="C1987" t="s">
        <v>17404</v>
      </c>
      <c r="D1987" t="s">
        <v>21</v>
      </c>
      <c r="E1987" s="14" t="s">
        <v>16949</v>
      </c>
      <c r="F1987" t="s">
        <v>257</v>
      </c>
      <c r="G1987" s="17" t="str">
        <f>Config!$B$3</f>
        <v>SCH/R_IEC.SchLib</v>
      </c>
      <c r="H1987" t="s">
        <v>419</v>
      </c>
      <c r="I1987" t="s">
        <v>461</v>
      </c>
      <c r="J1987" t="s">
        <v>17927</v>
      </c>
      <c r="M1987" s="3">
        <v>22000</v>
      </c>
      <c r="N1987" t="s">
        <v>16950</v>
      </c>
      <c r="O1987" t="s">
        <v>477</v>
      </c>
      <c r="P1987" t="s">
        <v>17405</v>
      </c>
      <c r="Q1987" t="s">
        <v>25</v>
      </c>
      <c r="R1987" t="s">
        <v>17406</v>
      </c>
      <c r="S1987" t="s">
        <v>477</v>
      </c>
      <c r="T1987" t="s">
        <v>17407</v>
      </c>
      <c r="U1987" t="s">
        <v>25</v>
      </c>
      <c r="V1987" t="s">
        <v>17408</v>
      </c>
      <c r="W1987" t="s">
        <v>477</v>
      </c>
      <c r="X1987" t="s">
        <v>17405</v>
      </c>
      <c r="Y1987" t="s">
        <v>4559</v>
      </c>
      <c r="Z1987" t="s">
        <v>18523</v>
      </c>
      <c r="AA1987" t="s">
        <v>4727</v>
      </c>
    </row>
    <row r="1988" spans="1:27">
      <c r="A1988" t="s">
        <v>17409</v>
      </c>
      <c r="B1988" t="s">
        <v>17409</v>
      </c>
      <c r="C1988" t="s">
        <v>17410</v>
      </c>
      <c r="D1988" t="s">
        <v>21</v>
      </c>
      <c r="E1988" s="14" t="s">
        <v>16949</v>
      </c>
      <c r="F1988" t="s">
        <v>259</v>
      </c>
      <c r="G1988" s="17" t="str">
        <f>Config!$B$3</f>
        <v>SCH/R_IEC.SchLib</v>
      </c>
      <c r="H1988" t="s">
        <v>419</v>
      </c>
      <c r="I1988" t="s">
        <v>461</v>
      </c>
      <c r="J1988" t="s">
        <v>17927</v>
      </c>
      <c r="M1988" s="3">
        <v>24000</v>
      </c>
      <c r="N1988" t="s">
        <v>16950</v>
      </c>
      <c r="O1988" t="s">
        <v>477</v>
      </c>
      <c r="P1988" t="s">
        <v>17411</v>
      </c>
      <c r="Q1988" t="s">
        <v>25</v>
      </c>
      <c r="R1988" t="s">
        <v>17412</v>
      </c>
    </row>
    <row r="1989" spans="1:27">
      <c r="A1989" t="s">
        <v>17413</v>
      </c>
      <c r="B1989" t="s">
        <v>17413</v>
      </c>
      <c r="C1989" t="s">
        <v>17414</v>
      </c>
      <c r="D1989" t="s">
        <v>21</v>
      </c>
      <c r="E1989" s="14" t="s">
        <v>16949</v>
      </c>
      <c r="F1989" t="s">
        <v>263</v>
      </c>
      <c r="G1989" s="17" t="str">
        <f>Config!$B$3</f>
        <v>SCH/R_IEC.SchLib</v>
      </c>
      <c r="H1989" t="s">
        <v>419</v>
      </c>
      <c r="I1989" t="s">
        <v>461</v>
      </c>
      <c r="J1989" t="s">
        <v>17927</v>
      </c>
      <c r="M1989" s="3">
        <v>27000</v>
      </c>
      <c r="N1989" t="s">
        <v>16950</v>
      </c>
      <c r="O1989" t="s">
        <v>477</v>
      </c>
      <c r="P1989" t="s">
        <v>17415</v>
      </c>
      <c r="Q1989" t="s">
        <v>25</v>
      </c>
      <c r="R1989" t="s">
        <v>17416</v>
      </c>
      <c r="S1989" t="s">
        <v>477</v>
      </c>
      <c r="T1989" t="s">
        <v>17417</v>
      </c>
      <c r="U1989" t="s">
        <v>25</v>
      </c>
      <c r="V1989" t="s">
        <v>17418</v>
      </c>
    </row>
    <row r="1990" spans="1:27">
      <c r="A1990" t="s">
        <v>17419</v>
      </c>
      <c r="B1990" t="s">
        <v>17419</v>
      </c>
      <c r="C1990" t="s">
        <v>17420</v>
      </c>
      <c r="D1990" t="s">
        <v>21</v>
      </c>
      <c r="E1990" s="14" t="s">
        <v>16949</v>
      </c>
      <c r="F1990" t="s">
        <v>265</v>
      </c>
      <c r="G1990" s="17" t="str">
        <f>Config!$B$3</f>
        <v>SCH/R_IEC.SchLib</v>
      </c>
      <c r="H1990" t="s">
        <v>419</v>
      </c>
      <c r="I1990" t="s">
        <v>461</v>
      </c>
      <c r="J1990" t="s">
        <v>17927</v>
      </c>
      <c r="M1990" s="3">
        <v>30000</v>
      </c>
      <c r="N1990" t="s">
        <v>16950</v>
      </c>
      <c r="O1990" t="s">
        <v>477</v>
      </c>
      <c r="P1990" t="s">
        <v>17421</v>
      </c>
      <c r="Q1990" t="s">
        <v>25</v>
      </c>
      <c r="R1990" t="s">
        <v>17422</v>
      </c>
      <c r="S1990" t="s">
        <v>477</v>
      </c>
      <c r="T1990" t="s">
        <v>17423</v>
      </c>
      <c r="U1990" t="s">
        <v>25</v>
      </c>
      <c r="V1990" t="s">
        <v>17424</v>
      </c>
    </row>
    <row r="1991" spans="1:27">
      <c r="A1991" t="s">
        <v>17425</v>
      </c>
      <c r="B1991" t="s">
        <v>17425</v>
      </c>
      <c r="C1991" t="s">
        <v>17426</v>
      </c>
      <c r="D1991" t="s">
        <v>21</v>
      </c>
      <c r="E1991" s="14" t="s">
        <v>16949</v>
      </c>
      <c r="F1991" t="s">
        <v>267</v>
      </c>
      <c r="G1991" s="17" t="str">
        <f>Config!$B$3</f>
        <v>SCH/R_IEC.SchLib</v>
      </c>
      <c r="H1991" t="s">
        <v>419</v>
      </c>
      <c r="I1991" t="s">
        <v>461</v>
      </c>
      <c r="J1991" t="s">
        <v>17927</v>
      </c>
      <c r="M1991" s="3">
        <v>33000</v>
      </c>
      <c r="N1991" t="s">
        <v>16950</v>
      </c>
      <c r="O1991" t="s">
        <v>477</v>
      </c>
      <c r="P1991" t="s">
        <v>17427</v>
      </c>
      <c r="Q1991" t="s">
        <v>25</v>
      </c>
      <c r="R1991" t="s">
        <v>17428</v>
      </c>
      <c r="S1991" t="s">
        <v>477</v>
      </c>
      <c r="T1991" t="s">
        <v>17429</v>
      </c>
      <c r="U1991" t="s">
        <v>25</v>
      </c>
      <c r="V1991" t="s">
        <v>17430</v>
      </c>
    </row>
    <row r="1992" spans="1:27">
      <c r="A1992" t="s">
        <v>17431</v>
      </c>
      <c r="B1992" t="s">
        <v>17431</v>
      </c>
      <c r="C1992" t="s">
        <v>17432</v>
      </c>
      <c r="D1992" t="s">
        <v>21</v>
      </c>
      <c r="E1992" s="14" t="s">
        <v>16949</v>
      </c>
      <c r="F1992" t="s">
        <v>269</v>
      </c>
      <c r="G1992" s="17" t="str">
        <f>Config!$B$3</f>
        <v>SCH/R_IEC.SchLib</v>
      </c>
      <c r="H1992" t="s">
        <v>419</v>
      </c>
      <c r="I1992" t="s">
        <v>461</v>
      </c>
      <c r="J1992" t="s">
        <v>17927</v>
      </c>
      <c r="M1992" s="3">
        <v>36000</v>
      </c>
      <c r="N1992" t="s">
        <v>16950</v>
      </c>
      <c r="O1992" t="s">
        <v>477</v>
      </c>
      <c r="P1992" t="s">
        <v>17433</v>
      </c>
      <c r="Q1992" t="s">
        <v>25</v>
      </c>
      <c r="R1992" t="s">
        <v>17434</v>
      </c>
    </row>
    <row r="1993" spans="1:27">
      <c r="A1993" t="s">
        <v>17435</v>
      </c>
      <c r="B1993" t="s">
        <v>17435</v>
      </c>
      <c r="C1993" t="s">
        <v>17436</v>
      </c>
      <c r="D1993" t="s">
        <v>21</v>
      </c>
      <c r="E1993" s="14" t="s">
        <v>16949</v>
      </c>
      <c r="F1993" t="s">
        <v>273</v>
      </c>
      <c r="G1993" s="17" t="str">
        <f>Config!$B$3</f>
        <v>SCH/R_IEC.SchLib</v>
      </c>
      <c r="H1993" t="s">
        <v>419</v>
      </c>
      <c r="I1993" t="s">
        <v>461</v>
      </c>
      <c r="J1993" t="s">
        <v>17927</v>
      </c>
      <c r="M1993" s="3">
        <v>39000</v>
      </c>
      <c r="N1993" t="s">
        <v>16950</v>
      </c>
      <c r="O1993" t="s">
        <v>477</v>
      </c>
      <c r="P1993" t="s">
        <v>17437</v>
      </c>
      <c r="Q1993" t="s">
        <v>25</v>
      </c>
      <c r="R1993" t="s">
        <v>17438</v>
      </c>
      <c r="S1993" t="s">
        <v>477</v>
      </c>
      <c r="T1993" t="s">
        <v>17439</v>
      </c>
      <c r="U1993" t="s">
        <v>25</v>
      </c>
      <c r="V1993" t="s">
        <v>17440</v>
      </c>
    </row>
    <row r="1994" spans="1:27">
      <c r="A1994" t="s">
        <v>17441</v>
      </c>
      <c r="B1994" t="s">
        <v>17441</v>
      </c>
      <c r="C1994" t="s">
        <v>17442</v>
      </c>
      <c r="D1994" t="s">
        <v>21</v>
      </c>
      <c r="E1994" s="14" t="s">
        <v>16949</v>
      </c>
      <c r="F1994" t="s">
        <v>277</v>
      </c>
      <c r="G1994" s="17" t="str">
        <f>Config!$B$3</f>
        <v>SCH/R_IEC.SchLib</v>
      </c>
      <c r="H1994" t="s">
        <v>419</v>
      </c>
      <c r="I1994" t="s">
        <v>461</v>
      </c>
      <c r="J1994" t="s">
        <v>17927</v>
      </c>
      <c r="M1994" s="3">
        <v>43000</v>
      </c>
      <c r="N1994" t="s">
        <v>16950</v>
      </c>
      <c r="O1994" t="s">
        <v>477</v>
      </c>
      <c r="P1994" t="s">
        <v>17443</v>
      </c>
      <c r="Q1994" t="s">
        <v>25</v>
      </c>
      <c r="R1994" t="s">
        <v>17444</v>
      </c>
    </row>
    <row r="1995" spans="1:27">
      <c r="A1995" t="s">
        <v>17445</v>
      </c>
      <c r="B1995" t="s">
        <v>17445</v>
      </c>
      <c r="C1995" t="s">
        <v>17446</v>
      </c>
      <c r="D1995" t="s">
        <v>21</v>
      </c>
      <c r="E1995" s="14" t="s">
        <v>16949</v>
      </c>
      <c r="F1995" t="s">
        <v>279</v>
      </c>
      <c r="G1995" s="17" t="str">
        <f>Config!$B$3</f>
        <v>SCH/R_IEC.SchLib</v>
      </c>
      <c r="H1995" t="s">
        <v>419</v>
      </c>
      <c r="I1995" t="s">
        <v>461</v>
      </c>
      <c r="J1995" t="s">
        <v>17927</v>
      </c>
      <c r="M1995" s="3">
        <v>47000</v>
      </c>
      <c r="N1995" t="s">
        <v>16950</v>
      </c>
      <c r="O1995" t="s">
        <v>477</v>
      </c>
      <c r="P1995" t="s">
        <v>17447</v>
      </c>
      <c r="Q1995" t="s">
        <v>25</v>
      </c>
      <c r="R1995" t="s">
        <v>17448</v>
      </c>
      <c r="S1995" t="s">
        <v>477</v>
      </c>
      <c r="T1995" t="s">
        <v>17449</v>
      </c>
      <c r="U1995" t="s">
        <v>25</v>
      </c>
      <c r="V1995" t="s">
        <v>17450</v>
      </c>
    </row>
    <row r="1996" spans="1:27">
      <c r="A1996" t="s">
        <v>17451</v>
      </c>
      <c r="B1996" t="s">
        <v>17451</v>
      </c>
      <c r="C1996" t="s">
        <v>17452</v>
      </c>
      <c r="D1996" t="s">
        <v>21</v>
      </c>
      <c r="E1996" s="14" t="s">
        <v>16949</v>
      </c>
      <c r="F1996" t="s">
        <v>283</v>
      </c>
      <c r="G1996" s="17" t="str">
        <f>Config!$B$3</f>
        <v>SCH/R_IEC.SchLib</v>
      </c>
      <c r="H1996" t="s">
        <v>419</v>
      </c>
      <c r="I1996" t="s">
        <v>461</v>
      </c>
      <c r="J1996" t="s">
        <v>17927</v>
      </c>
      <c r="M1996" s="3">
        <v>51000</v>
      </c>
      <c r="N1996" t="s">
        <v>16950</v>
      </c>
      <c r="O1996" t="s">
        <v>477</v>
      </c>
      <c r="P1996" t="s">
        <v>17453</v>
      </c>
      <c r="Q1996" t="s">
        <v>25</v>
      </c>
      <c r="R1996" t="s">
        <v>17454</v>
      </c>
      <c r="S1996" t="s">
        <v>477</v>
      </c>
      <c r="T1996" t="s">
        <v>17455</v>
      </c>
      <c r="U1996" t="s">
        <v>25</v>
      </c>
      <c r="V1996" t="s">
        <v>17456</v>
      </c>
    </row>
    <row r="1997" spans="1:27">
      <c r="A1997" t="s">
        <v>17457</v>
      </c>
      <c r="B1997" t="s">
        <v>17457</v>
      </c>
      <c r="C1997" t="s">
        <v>17458</v>
      </c>
      <c r="D1997" t="s">
        <v>21</v>
      </c>
      <c r="E1997" s="14" t="s">
        <v>16949</v>
      </c>
      <c r="F1997" t="s">
        <v>287</v>
      </c>
      <c r="G1997" s="17" t="str">
        <f>Config!$B$3</f>
        <v>SCH/R_IEC.SchLib</v>
      </c>
      <c r="H1997" t="s">
        <v>419</v>
      </c>
      <c r="I1997" t="s">
        <v>461</v>
      </c>
      <c r="J1997" t="s">
        <v>17927</v>
      </c>
      <c r="M1997" s="3">
        <v>56000</v>
      </c>
      <c r="N1997" t="s">
        <v>16950</v>
      </c>
      <c r="O1997" t="s">
        <v>477</v>
      </c>
      <c r="P1997" t="s">
        <v>17459</v>
      </c>
      <c r="Q1997" t="s">
        <v>25</v>
      </c>
      <c r="R1997" t="s">
        <v>17460</v>
      </c>
      <c r="S1997" t="s">
        <v>477</v>
      </c>
      <c r="T1997" t="s">
        <v>17461</v>
      </c>
      <c r="U1997" t="s">
        <v>25</v>
      </c>
      <c r="V1997" t="s">
        <v>17462</v>
      </c>
    </row>
    <row r="1998" spans="1:27">
      <c r="A1998" t="s">
        <v>17463</v>
      </c>
      <c r="B1998" t="s">
        <v>17463</v>
      </c>
      <c r="C1998" t="s">
        <v>17464</v>
      </c>
      <c r="D1998" t="s">
        <v>21</v>
      </c>
      <c r="E1998" s="14" t="s">
        <v>16949</v>
      </c>
      <c r="F1998" t="s">
        <v>291</v>
      </c>
      <c r="G1998" s="17" t="str">
        <f>Config!$B$3</f>
        <v>SCH/R_IEC.SchLib</v>
      </c>
      <c r="H1998" t="s">
        <v>419</v>
      </c>
      <c r="I1998" t="s">
        <v>461</v>
      </c>
      <c r="J1998" t="s">
        <v>17927</v>
      </c>
      <c r="M1998" s="3">
        <v>62000</v>
      </c>
      <c r="N1998" t="s">
        <v>16950</v>
      </c>
      <c r="O1998" t="s">
        <v>477</v>
      </c>
      <c r="P1998" t="s">
        <v>17465</v>
      </c>
      <c r="Q1998" t="s">
        <v>25</v>
      </c>
      <c r="R1998" t="s">
        <v>17466</v>
      </c>
    </row>
    <row r="1999" spans="1:27">
      <c r="A1999" t="s">
        <v>17467</v>
      </c>
      <c r="B1999" t="s">
        <v>17467</v>
      </c>
      <c r="C1999" t="s">
        <v>17468</v>
      </c>
      <c r="D1999" t="s">
        <v>21</v>
      </c>
      <c r="E1999" s="14" t="s">
        <v>16949</v>
      </c>
      <c r="F1999" t="s">
        <v>295</v>
      </c>
      <c r="G1999" s="17" t="str">
        <f>Config!$B$3</f>
        <v>SCH/R_IEC.SchLib</v>
      </c>
      <c r="H1999" t="s">
        <v>419</v>
      </c>
      <c r="I1999" t="s">
        <v>461</v>
      </c>
      <c r="J1999" t="s">
        <v>17927</v>
      </c>
      <c r="M1999" s="3">
        <v>68000</v>
      </c>
      <c r="N1999" t="s">
        <v>16950</v>
      </c>
      <c r="O1999" t="s">
        <v>477</v>
      </c>
      <c r="P1999" t="s">
        <v>17469</v>
      </c>
      <c r="Q1999" t="s">
        <v>25</v>
      </c>
      <c r="R1999" t="s">
        <v>17470</v>
      </c>
      <c r="S1999" t="s">
        <v>477</v>
      </c>
      <c r="T1999" t="s">
        <v>17471</v>
      </c>
      <c r="U1999" t="s">
        <v>25</v>
      </c>
      <c r="V1999" t="s">
        <v>17472</v>
      </c>
    </row>
    <row r="2000" spans="1:27">
      <c r="A2000" t="s">
        <v>17473</v>
      </c>
      <c r="B2000" t="s">
        <v>17473</v>
      </c>
      <c r="C2000" t="s">
        <v>17474</v>
      </c>
      <c r="D2000" t="s">
        <v>21</v>
      </c>
      <c r="E2000" s="14" t="s">
        <v>16949</v>
      </c>
      <c r="F2000" t="s">
        <v>299</v>
      </c>
      <c r="G2000" s="17" t="str">
        <f>Config!$B$3</f>
        <v>SCH/R_IEC.SchLib</v>
      </c>
      <c r="H2000" t="s">
        <v>419</v>
      </c>
      <c r="I2000" t="s">
        <v>461</v>
      </c>
      <c r="J2000" t="s">
        <v>17927</v>
      </c>
      <c r="M2000" s="3">
        <v>75000</v>
      </c>
      <c r="N2000" t="s">
        <v>16950</v>
      </c>
      <c r="O2000" t="s">
        <v>477</v>
      </c>
      <c r="P2000" t="s">
        <v>17475</v>
      </c>
      <c r="Q2000" t="s">
        <v>25</v>
      </c>
      <c r="R2000" t="s">
        <v>17476</v>
      </c>
      <c r="S2000" t="s">
        <v>477</v>
      </c>
      <c r="T2000" t="s">
        <v>17477</v>
      </c>
      <c r="U2000" t="s">
        <v>25</v>
      </c>
      <c r="V2000" t="s">
        <v>17478</v>
      </c>
    </row>
    <row r="2001" spans="1:27">
      <c r="A2001" t="s">
        <v>17479</v>
      </c>
      <c r="B2001" t="s">
        <v>17479</v>
      </c>
      <c r="C2001" t="s">
        <v>17480</v>
      </c>
      <c r="D2001" t="s">
        <v>21</v>
      </c>
      <c r="E2001" s="14" t="s">
        <v>16949</v>
      </c>
      <c r="F2001" t="s">
        <v>301</v>
      </c>
      <c r="G2001" s="17" t="str">
        <f>Config!$B$3</f>
        <v>SCH/R_IEC.SchLib</v>
      </c>
      <c r="H2001" t="s">
        <v>419</v>
      </c>
      <c r="I2001" t="s">
        <v>461</v>
      </c>
      <c r="J2001" t="s">
        <v>17927</v>
      </c>
      <c r="M2001" s="3">
        <v>82000</v>
      </c>
      <c r="N2001" t="s">
        <v>16950</v>
      </c>
      <c r="O2001" t="s">
        <v>477</v>
      </c>
      <c r="P2001" t="s">
        <v>17481</v>
      </c>
      <c r="Q2001" t="s">
        <v>25</v>
      </c>
      <c r="R2001" t="s">
        <v>17482</v>
      </c>
    </row>
    <row r="2002" spans="1:27">
      <c r="A2002" t="s">
        <v>17483</v>
      </c>
      <c r="B2002" t="s">
        <v>17483</v>
      </c>
      <c r="C2002" t="s">
        <v>17484</v>
      </c>
      <c r="D2002" t="s">
        <v>21</v>
      </c>
      <c r="E2002" s="14" t="s">
        <v>16949</v>
      </c>
      <c r="F2002" t="s">
        <v>303</v>
      </c>
      <c r="G2002" s="17" t="str">
        <f>Config!$B$3</f>
        <v>SCH/R_IEC.SchLib</v>
      </c>
      <c r="H2002" t="s">
        <v>419</v>
      </c>
      <c r="I2002" t="s">
        <v>461</v>
      </c>
      <c r="J2002" t="s">
        <v>17927</v>
      </c>
      <c r="M2002" s="3">
        <v>91000</v>
      </c>
      <c r="N2002" t="s">
        <v>16950</v>
      </c>
      <c r="O2002" t="s">
        <v>477</v>
      </c>
      <c r="P2002" t="s">
        <v>17485</v>
      </c>
      <c r="Q2002" t="s">
        <v>25</v>
      </c>
      <c r="R2002" t="s">
        <v>17486</v>
      </c>
    </row>
    <row r="2003" spans="1:27">
      <c r="A2003" t="s">
        <v>17487</v>
      </c>
      <c r="B2003" t="s">
        <v>17487</v>
      </c>
      <c r="C2003" t="s">
        <v>17488</v>
      </c>
      <c r="D2003" t="s">
        <v>21</v>
      </c>
      <c r="E2003" s="14" t="s">
        <v>16949</v>
      </c>
      <c r="F2003" t="s">
        <v>305</v>
      </c>
      <c r="G2003" s="17" t="str">
        <f>Config!$B$3</f>
        <v>SCH/R_IEC.SchLib</v>
      </c>
      <c r="H2003" t="s">
        <v>419</v>
      </c>
      <c r="I2003" t="s">
        <v>461</v>
      </c>
      <c r="J2003" t="s">
        <v>17927</v>
      </c>
      <c r="M2003" s="3">
        <v>100000</v>
      </c>
      <c r="N2003" t="s">
        <v>16950</v>
      </c>
      <c r="O2003" t="s">
        <v>477</v>
      </c>
      <c r="P2003" t="s">
        <v>17489</v>
      </c>
      <c r="Q2003" t="s">
        <v>25</v>
      </c>
      <c r="R2003" t="s">
        <v>17490</v>
      </c>
      <c r="S2003" t="s">
        <v>477</v>
      </c>
      <c r="T2003" t="s">
        <v>17491</v>
      </c>
      <c r="U2003" t="s">
        <v>25</v>
      </c>
      <c r="V2003" t="s">
        <v>17492</v>
      </c>
      <c r="W2003" t="s">
        <v>477</v>
      </c>
      <c r="X2003" t="s">
        <v>17489</v>
      </c>
      <c r="Y2003" t="s">
        <v>4559</v>
      </c>
      <c r="Z2003" t="s">
        <v>18519</v>
      </c>
      <c r="AA2003" t="s">
        <v>4727</v>
      </c>
    </row>
    <row r="2004" spans="1:27">
      <c r="A2004" t="s">
        <v>17493</v>
      </c>
      <c r="B2004" t="s">
        <v>17493</v>
      </c>
      <c r="C2004" t="s">
        <v>17494</v>
      </c>
      <c r="D2004" t="s">
        <v>21</v>
      </c>
      <c r="E2004" s="14" t="s">
        <v>16949</v>
      </c>
      <c r="F2004" t="s">
        <v>309</v>
      </c>
      <c r="G2004" s="17" t="str">
        <f>Config!$B$3</f>
        <v>SCH/R_IEC.SchLib</v>
      </c>
      <c r="H2004" t="s">
        <v>419</v>
      </c>
      <c r="I2004" t="s">
        <v>461</v>
      </c>
      <c r="J2004" t="s">
        <v>17927</v>
      </c>
      <c r="M2004" s="3">
        <v>110000</v>
      </c>
      <c r="N2004" t="s">
        <v>16950</v>
      </c>
      <c r="O2004" t="s">
        <v>477</v>
      </c>
      <c r="P2004" t="s">
        <v>17495</v>
      </c>
      <c r="Q2004" t="s">
        <v>25</v>
      </c>
      <c r="R2004" t="s">
        <v>17496</v>
      </c>
    </row>
    <row r="2005" spans="1:27">
      <c r="A2005" t="s">
        <v>17497</v>
      </c>
      <c r="B2005" t="s">
        <v>17497</v>
      </c>
      <c r="C2005" t="s">
        <v>17498</v>
      </c>
      <c r="D2005" t="s">
        <v>21</v>
      </c>
      <c r="E2005" s="14" t="s">
        <v>16949</v>
      </c>
      <c r="F2005" t="s">
        <v>313</v>
      </c>
      <c r="G2005" s="17" t="str">
        <f>Config!$B$3</f>
        <v>SCH/R_IEC.SchLib</v>
      </c>
      <c r="H2005" t="s">
        <v>419</v>
      </c>
      <c r="I2005" t="s">
        <v>461</v>
      </c>
      <c r="J2005" t="s">
        <v>17927</v>
      </c>
      <c r="M2005" s="3">
        <v>120000</v>
      </c>
      <c r="N2005" t="s">
        <v>16950</v>
      </c>
      <c r="O2005" t="s">
        <v>477</v>
      </c>
      <c r="P2005" t="s">
        <v>17499</v>
      </c>
      <c r="Q2005" t="s">
        <v>25</v>
      </c>
      <c r="R2005" t="s">
        <v>17500</v>
      </c>
      <c r="S2005" t="s">
        <v>477</v>
      </c>
      <c r="T2005" t="s">
        <v>17501</v>
      </c>
      <c r="U2005" t="s">
        <v>25</v>
      </c>
      <c r="V2005" t="s">
        <v>17502</v>
      </c>
    </row>
    <row r="2006" spans="1:27">
      <c r="A2006" t="s">
        <v>17503</v>
      </c>
      <c r="B2006" t="s">
        <v>17503</v>
      </c>
      <c r="C2006" t="s">
        <v>17504</v>
      </c>
      <c r="D2006" t="s">
        <v>21</v>
      </c>
      <c r="E2006" s="14" t="s">
        <v>16949</v>
      </c>
      <c r="F2006" t="s">
        <v>317</v>
      </c>
      <c r="G2006" s="17" t="str">
        <f>Config!$B$3</f>
        <v>SCH/R_IEC.SchLib</v>
      </c>
      <c r="H2006" t="s">
        <v>419</v>
      </c>
      <c r="I2006" t="s">
        <v>461</v>
      </c>
      <c r="J2006" t="s">
        <v>17927</v>
      </c>
      <c r="M2006" s="3">
        <v>130000</v>
      </c>
      <c r="N2006" t="s">
        <v>16950</v>
      </c>
      <c r="O2006" t="s">
        <v>477</v>
      </c>
      <c r="P2006" t="s">
        <v>17505</v>
      </c>
      <c r="Q2006" t="s">
        <v>25</v>
      </c>
      <c r="R2006" t="s">
        <v>17506</v>
      </c>
    </row>
    <row r="2007" spans="1:27">
      <c r="A2007" t="s">
        <v>17507</v>
      </c>
      <c r="B2007" t="s">
        <v>17507</v>
      </c>
      <c r="C2007" t="s">
        <v>17508</v>
      </c>
      <c r="D2007" t="s">
        <v>21</v>
      </c>
      <c r="E2007" s="14" t="s">
        <v>16949</v>
      </c>
      <c r="F2007" t="s">
        <v>321</v>
      </c>
      <c r="G2007" s="17" t="str">
        <f>Config!$B$3</f>
        <v>SCH/R_IEC.SchLib</v>
      </c>
      <c r="H2007" t="s">
        <v>419</v>
      </c>
      <c r="I2007" t="s">
        <v>461</v>
      </c>
      <c r="J2007" t="s">
        <v>17927</v>
      </c>
      <c r="M2007" s="3">
        <v>150000</v>
      </c>
      <c r="N2007" t="s">
        <v>16950</v>
      </c>
      <c r="O2007" t="s">
        <v>477</v>
      </c>
      <c r="P2007" t="s">
        <v>17509</v>
      </c>
      <c r="Q2007" t="s">
        <v>25</v>
      </c>
      <c r="R2007" t="s">
        <v>17510</v>
      </c>
      <c r="S2007" t="s">
        <v>477</v>
      </c>
      <c r="T2007" t="s">
        <v>17511</v>
      </c>
      <c r="U2007" t="s">
        <v>25</v>
      </c>
      <c r="V2007" t="s">
        <v>17512</v>
      </c>
    </row>
    <row r="2008" spans="1:27">
      <c r="A2008" t="s">
        <v>17513</v>
      </c>
      <c r="B2008" t="s">
        <v>17513</v>
      </c>
      <c r="C2008" t="s">
        <v>17514</v>
      </c>
      <c r="D2008" t="s">
        <v>21</v>
      </c>
      <c r="E2008" s="14" t="s">
        <v>16949</v>
      </c>
      <c r="F2008" t="s">
        <v>323</v>
      </c>
      <c r="G2008" s="17" t="str">
        <f>Config!$B$3</f>
        <v>SCH/R_IEC.SchLib</v>
      </c>
      <c r="H2008" t="s">
        <v>419</v>
      </c>
      <c r="I2008" t="s">
        <v>461</v>
      </c>
      <c r="J2008" t="s">
        <v>17927</v>
      </c>
      <c r="M2008" s="3">
        <v>160000</v>
      </c>
      <c r="N2008" t="s">
        <v>16950</v>
      </c>
      <c r="O2008" t="s">
        <v>477</v>
      </c>
      <c r="P2008" t="s">
        <v>17515</v>
      </c>
      <c r="Q2008" t="s">
        <v>25</v>
      </c>
      <c r="R2008" t="s">
        <v>17516</v>
      </c>
    </row>
    <row r="2009" spans="1:27">
      <c r="A2009" t="s">
        <v>17517</v>
      </c>
      <c r="B2009" t="s">
        <v>17517</v>
      </c>
      <c r="C2009" t="s">
        <v>17518</v>
      </c>
      <c r="D2009" t="s">
        <v>21</v>
      </c>
      <c r="E2009" s="14" t="s">
        <v>16949</v>
      </c>
      <c r="F2009" t="s">
        <v>327</v>
      </c>
      <c r="G2009" s="17" t="str">
        <f>Config!$B$3</f>
        <v>SCH/R_IEC.SchLib</v>
      </c>
      <c r="H2009" t="s">
        <v>419</v>
      </c>
      <c r="I2009" t="s">
        <v>461</v>
      </c>
      <c r="J2009" t="s">
        <v>17927</v>
      </c>
      <c r="M2009" s="3">
        <v>180000</v>
      </c>
      <c r="N2009" t="s">
        <v>16950</v>
      </c>
      <c r="O2009" t="s">
        <v>477</v>
      </c>
      <c r="P2009" t="s">
        <v>17519</v>
      </c>
      <c r="Q2009" t="s">
        <v>25</v>
      </c>
      <c r="R2009" t="s">
        <v>17520</v>
      </c>
    </row>
    <row r="2010" spans="1:27">
      <c r="A2010" t="s">
        <v>17521</v>
      </c>
      <c r="B2010" t="s">
        <v>17521</v>
      </c>
      <c r="C2010" t="s">
        <v>17522</v>
      </c>
      <c r="D2010" t="s">
        <v>21</v>
      </c>
      <c r="E2010" s="14" t="s">
        <v>16949</v>
      </c>
      <c r="F2010" t="s">
        <v>331</v>
      </c>
      <c r="G2010" s="17" t="str">
        <f>Config!$B$3</f>
        <v>SCH/R_IEC.SchLib</v>
      </c>
      <c r="H2010" t="s">
        <v>419</v>
      </c>
      <c r="I2010" t="s">
        <v>461</v>
      </c>
      <c r="J2010" t="s">
        <v>17927</v>
      </c>
      <c r="M2010" s="3">
        <v>200000</v>
      </c>
      <c r="N2010" t="s">
        <v>16950</v>
      </c>
      <c r="O2010" t="s">
        <v>477</v>
      </c>
      <c r="P2010" t="s">
        <v>17523</v>
      </c>
      <c r="Q2010" t="s">
        <v>25</v>
      </c>
      <c r="R2010" t="s">
        <v>17524</v>
      </c>
      <c r="S2010" t="s">
        <v>477</v>
      </c>
      <c r="T2010" t="s">
        <v>17525</v>
      </c>
      <c r="U2010" t="s">
        <v>25</v>
      </c>
      <c r="V2010" t="s">
        <v>17526</v>
      </c>
    </row>
    <row r="2011" spans="1:27">
      <c r="A2011" t="s">
        <v>17527</v>
      </c>
      <c r="B2011" t="s">
        <v>17527</v>
      </c>
      <c r="C2011" t="s">
        <v>17528</v>
      </c>
      <c r="D2011" t="s">
        <v>21</v>
      </c>
      <c r="E2011" s="14" t="s">
        <v>16949</v>
      </c>
      <c r="F2011" t="s">
        <v>333</v>
      </c>
      <c r="G2011" s="17" t="str">
        <f>Config!$B$3</f>
        <v>SCH/R_IEC.SchLib</v>
      </c>
      <c r="H2011" t="s">
        <v>419</v>
      </c>
      <c r="I2011" t="s">
        <v>461</v>
      </c>
      <c r="J2011" t="s">
        <v>17927</v>
      </c>
      <c r="M2011" s="3">
        <v>220000</v>
      </c>
      <c r="N2011" t="s">
        <v>16950</v>
      </c>
      <c r="O2011" t="s">
        <v>477</v>
      </c>
      <c r="P2011" t="s">
        <v>17529</v>
      </c>
      <c r="Q2011" t="s">
        <v>25</v>
      </c>
      <c r="R2011" t="s">
        <v>17530</v>
      </c>
    </row>
    <row r="2012" spans="1:27">
      <c r="A2012" t="s">
        <v>17531</v>
      </c>
      <c r="B2012" t="s">
        <v>17531</v>
      </c>
      <c r="C2012" t="s">
        <v>17532</v>
      </c>
      <c r="D2012" t="s">
        <v>21</v>
      </c>
      <c r="E2012" s="14" t="s">
        <v>16949</v>
      </c>
      <c r="F2012" t="s">
        <v>335</v>
      </c>
      <c r="G2012" s="17" t="str">
        <f>Config!$B$3</f>
        <v>SCH/R_IEC.SchLib</v>
      </c>
      <c r="H2012" t="s">
        <v>419</v>
      </c>
      <c r="I2012" t="s">
        <v>461</v>
      </c>
      <c r="J2012" t="s">
        <v>17927</v>
      </c>
      <c r="M2012" s="3">
        <v>240000</v>
      </c>
      <c r="N2012" t="s">
        <v>16950</v>
      </c>
      <c r="O2012" t="s">
        <v>477</v>
      </c>
      <c r="P2012" t="s">
        <v>17533</v>
      </c>
      <c r="Q2012" t="s">
        <v>25</v>
      </c>
      <c r="R2012" t="s">
        <v>17534</v>
      </c>
    </row>
    <row r="2013" spans="1:27">
      <c r="A2013" t="s">
        <v>17535</v>
      </c>
      <c r="B2013" t="s">
        <v>17535</v>
      </c>
      <c r="C2013" t="s">
        <v>17536</v>
      </c>
      <c r="D2013" t="s">
        <v>21</v>
      </c>
      <c r="E2013" s="14" t="s">
        <v>16949</v>
      </c>
      <c r="F2013" t="s">
        <v>337</v>
      </c>
      <c r="G2013" s="17" t="str">
        <f>Config!$B$3</f>
        <v>SCH/R_IEC.SchLib</v>
      </c>
      <c r="H2013" t="s">
        <v>419</v>
      </c>
      <c r="I2013" t="s">
        <v>461</v>
      </c>
      <c r="J2013" t="s">
        <v>17927</v>
      </c>
      <c r="M2013" s="3">
        <v>270000</v>
      </c>
      <c r="N2013" t="s">
        <v>16950</v>
      </c>
      <c r="O2013" t="s">
        <v>477</v>
      </c>
      <c r="P2013" t="s">
        <v>17537</v>
      </c>
      <c r="Q2013" t="s">
        <v>25</v>
      </c>
      <c r="R2013" t="s">
        <v>17538</v>
      </c>
    </row>
    <row r="2014" spans="1:27">
      <c r="A2014" t="s">
        <v>17539</v>
      </c>
      <c r="B2014" t="s">
        <v>17539</v>
      </c>
      <c r="C2014" t="s">
        <v>17540</v>
      </c>
      <c r="D2014" t="s">
        <v>21</v>
      </c>
      <c r="E2014" s="14" t="s">
        <v>16949</v>
      </c>
      <c r="F2014" t="s">
        <v>339</v>
      </c>
      <c r="G2014" s="17" t="str">
        <f>Config!$B$3</f>
        <v>SCH/R_IEC.SchLib</v>
      </c>
      <c r="H2014" t="s">
        <v>419</v>
      </c>
      <c r="I2014" t="s">
        <v>461</v>
      </c>
      <c r="J2014" t="s">
        <v>17927</v>
      </c>
      <c r="M2014" s="3">
        <v>300000</v>
      </c>
      <c r="N2014" t="s">
        <v>16950</v>
      </c>
      <c r="O2014" t="s">
        <v>477</v>
      </c>
      <c r="P2014" t="s">
        <v>17541</v>
      </c>
      <c r="Q2014" t="s">
        <v>25</v>
      </c>
      <c r="R2014" t="s">
        <v>17542</v>
      </c>
    </row>
    <row r="2015" spans="1:27">
      <c r="A2015" t="s">
        <v>17543</v>
      </c>
      <c r="B2015" t="s">
        <v>17543</v>
      </c>
      <c r="C2015" t="s">
        <v>17544</v>
      </c>
      <c r="D2015" t="s">
        <v>21</v>
      </c>
      <c r="E2015" s="14" t="s">
        <v>16949</v>
      </c>
      <c r="F2015" t="s">
        <v>341</v>
      </c>
      <c r="G2015" s="17" t="str">
        <f>Config!$B$3</f>
        <v>SCH/R_IEC.SchLib</v>
      </c>
      <c r="H2015" t="s">
        <v>419</v>
      </c>
      <c r="I2015" t="s">
        <v>461</v>
      </c>
      <c r="J2015" t="s">
        <v>17927</v>
      </c>
      <c r="M2015" s="3">
        <v>330000</v>
      </c>
      <c r="N2015" t="s">
        <v>16950</v>
      </c>
      <c r="O2015" t="s">
        <v>477</v>
      </c>
      <c r="P2015" t="s">
        <v>17545</v>
      </c>
      <c r="Q2015" t="s">
        <v>25</v>
      </c>
      <c r="R2015" t="s">
        <v>17546</v>
      </c>
    </row>
    <row r="2016" spans="1:27">
      <c r="A2016" t="s">
        <v>17547</v>
      </c>
      <c r="B2016" t="s">
        <v>17547</v>
      </c>
      <c r="C2016" t="s">
        <v>17548</v>
      </c>
      <c r="D2016" t="s">
        <v>21</v>
      </c>
      <c r="E2016" s="14" t="s">
        <v>16949</v>
      </c>
      <c r="F2016" t="s">
        <v>345</v>
      </c>
      <c r="G2016" s="17" t="str">
        <f>Config!$B$3</f>
        <v>SCH/R_IEC.SchLib</v>
      </c>
      <c r="H2016" t="s">
        <v>419</v>
      </c>
      <c r="I2016" t="s">
        <v>461</v>
      </c>
      <c r="J2016" t="s">
        <v>17927</v>
      </c>
      <c r="M2016" s="3">
        <v>360000</v>
      </c>
      <c r="N2016" t="s">
        <v>16950</v>
      </c>
      <c r="O2016" t="s">
        <v>477</v>
      </c>
      <c r="P2016" t="s">
        <v>17549</v>
      </c>
      <c r="Q2016" t="s">
        <v>25</v>
      </c>
      <c r="R2016" t="s">
        <v>17550</v>
      </c>
    </row>
    <row r="2017" spans="1:27">
      <c r="A2017" t="s">
        <v>17551</v>
      </c>
      <c r="B2017" t="s">
        <v>17551</v>
      </c>
      <c r="C2017" t="s">
        <v>17552</v>
      </c>
      <c r="D2017" t="s">
        <v>21</v>
      </c>
      <c r="E2017" s="14" t="s">
        <v>16949</v>
      </c>
      <c r="F2017" t="s">
        <v>349</v>
      </c>
      <c r="G2017" s="17" t="str">
        <f>Config!$B$3</f>
        <v>SCH/R_IEC.SchLib</v>
      </c>
      <c r="H2017" t="s">
        <v>419</v>
      </c>
      <c r="I2017" t="s">
        <v>461</v>
      </c>
      <c r="J2017" t="s">
        <v>17927</v>
      </c>
      <c r="M2017" s="3">
        <v>390000</v>
      </c>
      <c r="N2017" t="s">
        <v>16950</v>
      </c>
      <c r="O2017" t="s">
        <v>477</v>
      </c>
      <c r="P2017" t="s">
        <v>17553</v>
      </c>
      <c r="Q2017" t="s">
        <v>25</v>
      </c>
      <c r="R2017" t="s">
        <v>17554</v>
      </c>
    </row>
    <row r="2018" spans="1:27">
      <c r="A2018" t="s">
        <v>17555</v>
      </c>
      <c r="B2018" t="s">
        <v>17555</v>
      </c>
      <c r="C2018" t="s">
        <v>17556</v>
      </c>
      <c r="D2018" t="s">
        <v>21</v>
      </c>
      <c r="E2018" s="14" t="s">
        <v>16949</v>
      </c>
      <c r="F2018" t="s">
        <v>351</v>
      </c>
      <c r="G2018" s="17" t="str">
        <f>Config!$B$3</f>
        <v>SCH/R_IEC.SchLib</v>
      </c>
      <c r="H2018" t="s">
        <v>419</v>
      </c>
      <c r="I2018" t="s">
        <v>461</v>
      </c>
      <c r="J2018" t="s">
        <v>17927</v>
      </c>
      <c r="M2018" s="3">
        <v>430000</v>
      </c>
      <c r="N2018" t="s">
        <v>16950</v>
      </c>
      <c r="O2018" t="s">
        <v>477</v>
      </c>
      <c r="P2018" t="s">
        <v>17557</v>
      </c>
      <c r="Q2018" t="s">
        <v>25</v>
      </c>
      <c r="R2018" t="s">
        <v>17558</v>
      </c>
    </row>
    <row r="2019" spans="1:27">
      <c r="A2019" t="s">
        <v>17559</v>
      </c>
      <c r="B2019" t="s">
        <v>17559</v>
      </c>
      <c r="C2019" t="s">
        <v>17560</v>
      </c>
      <c r="D2019" t="s">
        <v>21</v>
      </c>
      <c r="E2019" s="14" t="s">
        <v>16949</v>
      </c>
      <c r="F2019" t="s">
        <v>353</v>
      </c>
      <c r="G2019" s="17" t="str">
        <f>Config!$B$3</f>
        <v>SCH/R_IEC.SchLib</v>
      </c>
      <c r="H2019" t="s">
        <v>419</v>
      </c>
      <c r="I2019" t="s">
        <v>461</v>
      </c>
      <c r="J2019" t="s">
        <v>17927</v>
      </c>
      <c r="M2019" s="3">
        <v>470000</v>
      </c>
      <c r="N2019" t="s">
        <v>16950</v>
      </c>
      <c r="O2019" t="s">
        <v>477</v>
      </c>
      <c r="P2019" t="s">
        <v>17561</v>
      </c>
      <c r="Q2019" t="s">
        <v>25</v>
      </c>
      <c r="R2019" t="s">
        <v>17562</v>
      </c>
      <c r="S2019" t="s">
        <v>477</v>
      </c>
      <c r="T2019" t="s">
        <v>17563</v>
      </c>
      <c r="U2019" t="s">
        <v>25</v>
      </c>
      <c r="V2019" t="s">
        <v>17564</v>
      </c>
    </row>
    <row r="2020" spans="1:27">
      <c r="A2020" t="s">
        <v>17565</v>
      </c>
      <c r="B2020" t="s">
        <v>17565</v>
      </c>
      <c r="C2020" t="s">
        <v>17566</v>
      </c>
      <c r="D2020" t="s">
        <v>21</v>
      </c>
      <c r="E2020" s="14" t="s">
        <v>16949</v>
      </c>
      <c r="F2020" t="s">
        <v>355</v>
      </c>
      <c r="G2020" s="17" t="str">
        <f>Config!$B$3</f>
        <v>SCH/R_IEC.SchLib</v>
      </c>
      <c r="H2020" t="s">
        <v>419</v>
      </c>
      <c r="I2020" t="s">
        <v>461</v>
      </c>
      <c r="J2020" t="s">
        <v>17927</v>
      </c>
      <c r="M2020" s="3">
        <v>510000</v>
      </c>
      <c r="N2020" t="s">
        <v>16950</v>
      </c>
      <c r="O2020" t="s">
        <v>477</v>
      </c>
      <c r="P2020" t="s">
        <v>17567</v>
      </c>
      <c r="Q2020" t="s">
        <v>25</v>
      </c>
      <c r="R2020" t="s">
        <v>17568</v>
      </c>
    </row>
    <row r="2021" spans="1:27">
      <c r="A2021" t="s">
        <v>17569</v>
      </c>
      <c r="B2021" t="s">
        <v>17569</v>
      </c>
      <c r="C2021" t="s">
        <v>17570</v>
      </c>
      <c r="D2021" t="s">
        <v>21</v>
      </c>
      <c r="E2021" s="14" t="s">
        <v>16949</v>
      </c>
      <c r="F2021" t="s">
        <v>357</v>
      </c>
      <c r="G2021" s="17" t="str">
        <f>Config!$B$3</f>
        <v>SCH/R_IEC.SchLib</v>
      </c>
      <c r="H2021" t="s">
        <v>419</v>
      </c>
      <c r="I2021" t="s">
        <v>461</v>
      </c>
      <c r="J2021" t="s">
        <v>17927</v>
      </c>
      <c r="M2021" s="3">
        <v>560000</v>
      </c>
      <c r="N2021" t="s">
        <v>16950</v>
      </c>
      <c r="O2021" t="s">
        <v>477</v>
      </c>
      <c r="P2021" t="s">
        <v>17571</v>
      </c>
      <c r="Q2021" t="s">
        <v>25</v>
      </c>
      <c r="R2021" t="s">
        <v>17572</v>
      </c>
    </row>
    <row r="2022" spans="1:27">
      <c r="A2022" t="s">
        <v>17573</v>
      </c>
      <c r="B2022" t="s">
        <v>17573</v>
      </c>
      <c r="C2022" t="s">
        <v>17574</v>
      </c>
      <c r="D2022" t="s">
        <v>21</v>
      </c>
      <c r="E2022" s="14" t="s">
        <v>16949</v>
      </c>
      <c r="F2022" t="s">
        <v>359</v>
      </c>
      <c r="G2022" s="17" t="str">
        <f>Config!$B$3</f>
        <v>SCH/R_IEC.SchLib</v>
      </c>
      <c r="H2022" t="s">
        <v>419</v>
      </c>
      <c r="I2022" t="s">
        <v>461</v>
      </c>
      <c r="J2022" t="s">
        <v>17927</v>
      </c>
      <c r="M2022" s="3">
        <v>620000</v>
      </c>
      <c r="N2022" t="s">
        <v>16950</v>
      </c>
      <c r="O2022" t="s">
        <v>477</v>
      </c>
      <c r="P2022" t="s">
        <v>17575</v>
      </c>
      <c r="Q2022" t="s">
        <v>25</v>
      </c>
      <c r="R2022" t="s">
        <v>17576</v>
      </c>
    </row>
    <row r="2023" spans="1:27">
      <c r="A2023" t="s">
        <v>17577</v>
      </c>
      <c r="B2023" t="s">
        <v>17577</v>
      </c>
      <c r="C2023" t="s">
        <v>17578</v>
      </c>
      <c r="D2023" t="s">
        <v>21</v>
      </c>
      <c r="E2023" s="14" t="s">
        <v>16949</v>
      </c>
      <c r="F2023" t="s">
        <v>361</v>
      </c>
      <c r="G2023" s="17" t="str">
        <f>Config!$B$3</f>
        <v>SCH/R_IEC.SchLib</v>
      </c>
      <c r="H2023" t="s">
        <v>419</v>
      </c>
      <c r="I2023" t="s">
        <v>461</v>
      </c>
      <c r="J2023" t="s">
        <v>17927</v>
      </c>
      <c r="M2023" s="3">
        <v>680000</v>
      </c>
      <c r="N2023" t="s">
        <v>16950</v>
      </c>
      <c r="O2023" t="s">
        <v>477</v>
      </c>
      <c r="P2023" t="s">
        <v>17579</v>
      </c>
      <c r="Q2023" t="s">
        <v>25</v>
      </c>
      <c r="R2023" t="s">
        <v>17580</v>
      </c>
    </row>
    <row r="2024" spans="1:27">
      <c r="A2024" t="s">
        <v>17581</v>
      </c>
      <c r="B2024" t="s">
        <v>17581</v>
      </c>
      <c r="C2024" t="s">
        <v>17582</v>
      </c>
      <c r="D2024" t="s">
        <v>21</v>
      </c>
      <c r="E2024" s="14" t="s">
        <v>16949</v>
      </c>
      <c r="F2024" t="s">
        <v>363</v>
      </c>
      <c r="G2024" s="17" t="str">
        <f>Config!$B$3</f>
        <v>SCH/R_IEC.SchLib</v>
      </c>
      <c r="H2024" t="s">
        <v>419</v>
      </c>
      <c r="I2024" t="s">
        <v>461</v>
      </c>
      <c r="J2024" t="s">
        <v>17927</v>
      </c>
      <c r="M2024" s="3">
        <v>750000</v>
      </c>
      <c r="N2024" t="s">
        <v>16950</v>
      </c>
      <c r="O2024" t="s">
        <v>477</v>
      </c>
      <c r="P2024" t="s">
        <v>17583</v>
      </c>
      <c r="Q2024" t="s">
        <v>25</v>
      </c>
      <c r="R2024" t="s">
        <v>17584</v>
      </c>
    </row>
    <row r="2025" spans="1:27">
      <c r="A2025" t="s">
        <v>17585</v>
      </c>
      <c r="B2025" t="s">
        <v>17585</v>
      </c>
      <c r="C2025" t="s">
        <v>17586</v>
      </c>
      <c r="D2025" t="s">
        <v>21</v>
      </c>
      <c r="E2025" s="14" t="s">
        <v>16949</v>
      </c>
      <c r="F2025" t="s">
        <v>365</v>
      </c>
      <c r="G2025" s="17" t="str">
        <f>Config!$B$3</f>
        <v>SCH/R_IEC.SchLib</v>
      </c>
      <c r="H2025" t="s">
        <v>419</v>
      </c>
      <c r="I2025" t="s">
        <v>461</v>
      </c>
      <c r="J2025" t="s">
        <v>17927</v>
      </c>
      <c r="M2025" s="3">
        <v>820000</v>
      </c>
      <c r="N2025" t="s">
        <v>16950</v>
      </c>
      <c r="O2025" t="s">
        <v>477</v>
      </c>
      <c r="P2025" t="s">
        <v>17587</v>
      </c>
      <c r="Q2025" t="s">
        <v>25</v>
      </c>
      <c r="R2025" t="s">
        <v>17588</v>
      </c>
    </row>
    <row r="2026" spans="1:27">
      <c r="A2026" t="s">
        <v>17589</v>
      </c>
      <c r="B2026" t="s">
        <v>17589</v>
      </c>
      <c r="C2026" t="s">
        <v>17590</v>
      </c>
      <c r="D2026" t="s">
        <v>21</v>
      </c>
      <c r="E2026" s="14" t="s">
        <v>16949</v>
      </c>
      <c r="F2026" t="s">
        <v>367</v>
      </c>
      <c r="G2026" s="17" t="str">
        <f>Config!$B$3</f>
        <v>SCH/R_IEC.SchLib</v>
      </c>
      <c r="H2026" t="s">
        <v>419</v>
      </c>
      <c r="I2026" t="s">
        <v>461</v>
      </c>
      <c r="J2026" t="s">
        <v>17927</v>
      </c>
      <c r="M2026" s="3">
        <v>910000</v>
      </c>
      <c r="N2026" t="s">
        <v>16950</v>
      </c>
      <c r="O2026" t="s">
        <v>477</v>
      </c>
      <c r="P2026" t="s">
        <v>17591</v>
      </c>
      <c r="Q2026" t="s">
        <v>25</v>
      </c>
      <c r="R2026" t="s">
        <v>17592</v>
      </c>
    </row>
    <row r="2027" spans="1:27">
      <c r="A2027" t="s">
        <v>17593</v>
      </c>
      <c r="B2027" t="s">
        <v>17593</v>
      </c>
      <c r="C2027" t="s">
        <v>17594</v>
      </c>
      <c r="D2027" t="s">
        <v>21</v>
      </c>
      <c r="E2027" s="14" t="s">
        <v>16949</v>
      </c>
      <c r="F2027" t="s">
        <v>369</v>
      </c>
      <c r="G2027" s="17" t="str">
        <f>Config!$B$3</f>
        <v>SCH/R_IEC.SchLib</v>
      </c>
      <c r="H2027" t="s">
        <v>419</v>
      </c>
      <c r="I2027" t="s">
        <v>461</v>
      </c>
      <c r="J2027" t="s">
        <v>17927</v>
      </c>
      <c r="M2027" s="3">
        <v>1000000</v>
      </c>
      <c r="N2027" t="s">
        <v>16950</v>
      </c>
      <c r="O2027" t="s">
        <v>477</v>
      </c>
      <c r="P2027" t="s">
        <v>17595</v>
      </c>
      <c r="Q2027" t="s">
        <v>25</v>
      </c>
      <c r="R2027" t="s">
        <v>17596</v>
      </c>
      <c r="S2027" t="s">
        <v>477</v>
      </c>
      <c r="T2027" t="s">
        <v>17597</v>
      </c>
      <c r="U2027" t="s">
        <v>25</v>
      </c>
      <c r="V2027" t="s">
        <v>17598</v>
      </c>
      <c r="W2027" t="s">
        <v>477</v>
      </c>
      <c r="X2027" t="s">
        <v>18520</v>
      </c>
      <c r="Y2027" t="s">
        <v>4559</v>
      </c>
      <c r="Z2027" t="s">
        <v>18521</v>
      </c>
      <c r="AA2027" t="s">
        <v>4727</v>
      </c>
    </row>
    <row r="2028" spans="1:27">
      <c r="A2028" t="s">
        <v>17599</v>
      </c>
      <c r="B2028" t="s">
        <v>17599</v>
      </c>
      <c r="C2028" t="s">
        <v>17600</v>
      </c>
      <c r="D2028" t="s">
        <v>21</v>
      </c>
      <c r="E2028" s="14" t="s">
        <v>16949</v>
      </c>
      <c r="F2028" t="s">
        <v>371</v>
      </c>
      <c r="G2028" s="17" t="str">
        <f>Config!$B$3</f>
        <v>SCH/R_IEC.SchLib</v>
      </c>
      <c r="H2028" t="s">
        <v>419</v>
      </c>
      <c r="I2028" t="s">
        <v>461</v>
      </c>
      <c r="J2028" t="s">
        <v>17927</v>
      </c>
      <c r="M2028" s="3">
        <v>1100000</v>
      </c>
      <c r="N2028" t="s">
        <v>16950</v>
      </c>
      <c r="O2028" t="s">
        <v>477</v>
      </c>
      <c r="P2028" t="s">
        <v>17601</v>
      </c>
      <c r="Q2028" t="s">
        <v>25</v>
      </c>
      <c r="R2028" t="s">
        <v>17602</v>
      </c>
    </row>
    <row r="2029" spans="1:27">
      <c r="A2029" t="s">
        <v>17603</v>
      </c>
      <c r="B2029" t="s">
        <v>17603</v>
      </c>
      <c r="C2029" t="s">
        <v>17604</v>
      </c>
      <c r="D2029" t="s">
        <v>21</v>
      </c>
      <c r="E2029" s="14" t="s">
        <v>16949</v>
      </c>
      <c r="F2029" t="s">
        <v>373</v>
      </c>
      <c r="G2029" s="17" t="str">
        <f>Config!$B$3</f>
        <v>SCH/R_IEC.SchLib</v>
      </c>
      <c r="H2029" t="s">
        <v>419</v>
      </c>
      <c r="I2029" t="s">
        <v>461</v>
      </c>
      <c r="J2029" t="s">
        <v>17927</v>
      </c>
      <c r="M2029" s="3">
        <v>1200000</v>
      </c>
      <c r="N2029" t="s">
        <v>16950</v>
      </c>
      <c r="O2029" t="s">
        <v>477</v>
      </c>
      <c r="P2029" t="s">
        <v>17605</v>
      </c>
      <c r="Q2029" t="s">
        <v>25</v>
      </c>
      <c r="R2029" t="s">
        <v>17606</v>
      </c>
    </row>
    <row r="2030" spans="1:27">
      <c r="A2030" t="s">
        <v>17607</v>
      </c>
      <c r="B2030" t="s">
        <v>17607</v>
      </c>
      <c r="C2030" t="s">
        <v>17608</v>
      </c>
      <c r="D2030" t="s">
        <v>21</v>
      </c>
      <c r="E2030" s="14" t="s">
        <v>16949</v>
      </c>
      <c r="F2030" t="s">
        <v>375</v>
      </c>
      <c r="G2030" s="17" t="str">
        <f>Config!$B$3</f>
        <v>SCH/R_IEC.SchLib</v>
      </c>
      <c r="H2030" t="s">
        <v>419</v>
      </c>
      <c r="I2030" t="s">
        <v>461</v>
      </c>
      <c r="J2030" t="s">
        <v>17927</v>
      </c>
      <c r="M2030" s="3">
        <v>1300000</v>
      </c>
      <c r="N2030" t="s">
        <v>16950</v>
      </c>
      <c r="O2030" t="s">
        <v>477</v>
      </c>
      <c r="P2030" t="s">
        <v>17609</v>
      </c>
      <c r="Q2030" t="s">
        <v>25</v>
      </c>
      <c r="R2030" t="s">
        <v>17610</v>
      </c>
    </row>
    <row r="2031" spans="1:27">
      <c r="A2031" t="s">
        <v>17611</v>
      </c>
      <c r="B2031" t="s">
        <v>17611</v>
      </c>
      <c r="C2031" t="s">
        <v>17612</v>
      </c>
      <c r="D2031" t="s">
        <v>21</v>
      </c>
      <c r="E2031" s="14" t="s">
        <v>16949</v>
      </c>
      <c r="F2031" t="s">
        <v>377</v>
      </c>
      <c r="G2031" s="17" t="str">
        <f>Config!$B$3</f>
        <v>SCH/R_IEC.SchLib</v>
      </c>
      <c r="H2031" t="s">
        <v>419</v>
      </c>
      <c r="I2031" t="s">
        <v>461</v>
      </c>
      <c r="J2031" t="s">
        <v>17927</v>
      </c>
      <c r="M2031" s="3">
        <v>1500000</v>
      </c>
      <c r="N2031" t="s">
        <v>16950</v>
      </c>
      <c r="O2031" t="s">
        <v>477</v>
      </c>
      <c r="P2031" t="s">
        <v>17613</v>
      </c>
      <c r="Q2031" t="s">
        <v>25</v>
      </c>
      <c r="R2031" t="s">
        <v>17614</v>
      </c>
    </row>
    <row r="2032" spans="1:27">
      <c r="A2032" t="s">
        <v>17615</v>
      </c>
      <c r="B2032" t="s">
        <v>17615</v>
      </c>
      <c r="C2032" t="s">
        <v>17616</v>
      </c>
      <c r="D2032" t="s">
        <v>21</v>
      </c>
      <c r="E2032" s="14" t="s">
        <v>16949</v>
      </c>
      <c r="F2032" t="s">
        <v>381</v>
      </c>
      <c r="G2032" s="17" t="str">
        <f>Config!$B$3</f>
        <v>SCH/R_IEC.SchLib</v>
      </c>
      <c r="H2032" t="s">
        <v>419</v>
      </c>
      <c r="I2032" t="s">
        <v>461</v>
      </c>
      <c r="J2032" t="s">
        <v>17927</v>
      </c>
      <c r="M2032" s="3">
        <v>1800000</v>
      </c>
      <c r="N2032" t="s">
        <v>16950</v>
      </c>
      <c r="O2032" t="s">
        <v>477</v>
      </c>
      <c r="P2032" t="s">
        <v>17617</v>
      </c>
      <c r="Q2032" t="s">
        <v>25</v>
      </c>
      <c r="R2032" t="s">
        <v>17618</v>
      </c>
    </row>
    <row r="2033" spans="1:18">
      <c r="A2033" t="s">
        <v>17619</v>
      </c>
      <c r="B2033" t="s">
        <v>17619</v>
      </c>
      <c r="C2033" t="s">
        <v>17620</v>
      </c>
      <c r="D2033" t="s">
        <v>21</v>
      </c>
      <c r="E2033" s="14" t="s">
        <v>16949</v>
      </c>
      <c r="F2033" t="s">
        <v>383</v>
      </c>
      <c r="G2033" s="17" t="str">
        <f>Config!$B$3</f>
        <v>SCH/R_IEC.SchLib</v>
      </c>
      <c r="H2033" t="s">
        <v>419</v>
      </c>
      <c r="I2033" t="s">
        <v>461</v>
      </c>
      <c r="J2033" t="s">
        <v>17927</v>
      </c>
      <c r="M2033" s="3">
        <v>2000000</v>
      </c>
      <c r="N2033" t="s">
        <v>16950</v>
      </c>
      <c r="O2033" t="s">
        <v>477</v>
      </c>
      <c r="P2033" t="s">
        <v>17621</v>
      </c>
      <c r="Q2033" t="s">
        <v>25</v>
      </c>
      <c r="R2033" t="s">
        <v>17622</v>
      </c>
    </row>
    <row r="2034" spans="1:18">
      <c r="A2034" t="s">
        <v>17623</v>
      </c>
      <c r="B2034" t="s">
        <v>17623</v>
      </c>
      <c r="C2034" t="s">
        <v>17624</v>
      </c>
      <c r="D2034" t="s">
        <v>21</v>
      </c>
      <c r="E2034" s="14" t="s">
        <v>16949</v>
      </c>
      <c r="F2034" t="s">
        <v>385</v>
      </c>
      <c r="G2034" s="17" t="str">
        <f>Config!$B$3</f>
        <v>SCH/R_IEC.SchLib</v>
      </c>
      <c r="H2034" t="s">
        <v>419</v>
      </c>
      <c r="I2034" t="s">
        <v>461</v>
      </c>
      <c r="J2034" t="s">
        <v>17927</v>
      </c>
      <c r="M2034" s="3">
        <v>2200000</v>
      </c>
      <c r="N2034" t="s">
        <v>16950</v>
      </c>
      <c r="O2034" t="s">
        <v>477</v>
      </c>
      <c r="P2034" t="s">
        <v>17625</v>
      </c>
      <c r="Q2034" t="s">
        <v>25</v>
      </c>
      <c r="R2034" t="s">
        <v>17626</v>
      </c>
    </row>
    <row r="2035" spans="1:18">
      <c r="A2035" t="s">
        <v>17627</v>
      </c>
      <c r="B2035" t="s">
        <v>17627</v>
      </c>
      <c r="C2035" t="s">
        <v>17628</v>
      </c>
      <c r="D2035" t="s">
        <v>21</v>
      </c>
      <c r="E2035" s="14" t="s">
        <v>16949</v>
      </c>
      <c r="F2035" t="s">
        <v>387</v>
      </c>
      <c r="G2035" s="17" t="str">
        <f>Config!$B$3</f>
        <v>SCH/R_IEC.SchLib</v>
      </c>
      <c r="H2035" t="s">
        <v>419</v>
      </c>
      <c r="I2035" t="s">
        <v>461</v>
      </c>
      <c r="J2035" t="s">
        <v>17927</v>
      </c>
      <c r="M2035" s="3">
        <v>2400000</v>
      </c>
      <c r="N2035" t="s">
        <v>16950</v>
      </c>
      <c r="O2035" t="s">
        <v>477</v>
      </c>
      <c r="P2035" t="s">
        <v>17629</v>
      </c>
      <c r="Q2035" t="s">
        <v>25</v>
      </c>
      <c r="R2035" t="s">
        <v>17630</v>
      </c>
    </row>
    <row r="2036" spans="1:18">
      <c r="A2036" t="s">
        <v>17631</v>
      </c>
      <c r="B2036" t="s">
        <v>17631</v>
      </c>
      <c r="C2036" t="s">
        <v>17632</v>
      </c>
      <c r="D2036" t="s">
        <v>21</v>
      </c>
      <c r="E2036" s="14" t="s">
        <v>16949</v>
      </c>
      <c r="F2036" t="s">
        <v>389</v>
      </c>
      <c r="G2036" s="17" t="str">
        <f>Config!$B$3</f>
        <v>SCH/R_IEC.SchLib</v>
      </c>
      <c r="H2036" t="s">
        <v>419</v>
      </c>
      <c r="I2036" t="s">
        <v>461</v>
      </c>
      <c r="J2036" t="s">
        <v>17927</v>
      </c>
      <c r="M2036" s="3">
        <v>2700000</v>
      </c>
      <c r="N2036" t="s">
        <v>16950</v>
      </c>
      <c r="O2036" t="s">
        <v>477</v>
      </c>
      <c r="P2036" t="s">
        <v>17633</v>
      </c>
      <c r="Q2036" t="s">
        <v>25</v>
      </c>
      <c r="R2036" t="s">
        <v>17634</v>
      </c>
    </row>
    <row r="2037" spans="1:18">
      <c r="A2037" t="s">
        <v>17635</v>
      </c>
      <c r="B2037" t="s">
        <v>17635</v>
      </c>
      <c r="C2037" t="s">
        <v>17636</v>
      </c>
      <c r="D2037" t="s">
        <v>21</v>
      </c>
      <c r="E2037" s="14" t="s">
        <v>16949</v>
      </c>
      <c r="F2037" t="s">
        <v>391</v>
      </c>
      <c r="G2037" s="17" t="str">
        <f>Config!$B$3</f>
        <v>SCH/R_IEC.SchLib</v>
      </c>
      <c r="H2037" t="s">
        <v>419</v>
      </c>
      <c r="I2037" t="s">
        <v>461</v>
      </c>
      <c r="J2037" t="s">
        <v>17927</v>
      </c>
      <c r="M2037" s="3">
        <v>3000000</v>
      </c>
      <c r="N2037" t="s">
        <v>16950</v>
      </c>
      <c r="O2037" t="s">
        <v>477</v>
      </c>
      <c r="P2037" t="s">
        <v>17637</v>
      </c>
      <c r="Q2037" t="s">
        <v>25</v>
      </c>
      <c r="R2037" t="s">
        <v>17638</v>
      </c>
    </row>
    <row r="2038" spans="1:18">
      <c r="A2038" t="s">
        <v>17639</v>
      </c>
      <c r="B2038" t="s">
        <v>17639</v>
      </c>
      <c r="C2038" t="s">
        <v>17640</v>
      </c>
      <c r="D2038" t="s">
        <v>21</v>
      </c>
      <c r="E2038" s="14" t="s">
        <v>16949</v>
      </c>
      <c r="F2038" t="s">
        <v>393</v>
      </c>
      <c r="G2038" s="17" t="str">
        <f>Config!$B$3</f>
        <v>SCH/R_IEC.SchLib</v>
      </c>
      <c r="H2038" t="s">
        <v>419</v>
      </c>
      <c r="I2038" t="s">
        <v>461</v>
      </c>
      <c r="J2038" t="s">
        <v>17927</v>
      </c>
      <c r="M2038" s="3">
        <v>3300000</v>
      </c>
      <c r="N2038" t="s">
        <v>16950</v>
      </c>
      <c r="O2038" t="s">
        <v>477</v>
      </c>
      <c r="P2038" t="s">
        <v>17641</v>
      </c>
      <c r="Q2038" t="s">
        <v>25</v>
      </c>
      <c r="R2038" t="s">
        <v>17642</v>
      </c>
    </row>
    <row r="2039" spans="1:18">
      <c r="A2039" t="s">
        <v>17643</v>
      </c>
      <c r="B2039" t="s">
        <v>17643</v>
      </c>
      <c r="C2039" t="s">
        <v>17644</v>
      </c>
      <c r="D2039" t="s">
        <v>21</v>
      </c>
      <c r="E2039" s="14" t="s">
        <v>16949</v>
      </c>
      <c r="F2039" t="s">
        <v>395</v>
      </c>
      <c r="G2039" s="17" t="str">
        <f>Config!$B$3</f>
        <v>SCH/R_IEC.SchLib</v>
      </c>
      <c r="H2039" t="s">
        <v>419</v>
      </c>
      <c r="I2039" t="s">
        <v>461</v>
      </c>
      <c r="J2039" t="s">
        <v>17927</v>
      </c>
      <c r="M2039" s="3">
        <v>3600000</v>
      </c>
      <c r="N2039" t="s">
        <v>16950</v>
      </c>
      <c r="O2039" t="s">
        <v>477</v>
      </c>
      <c r="P2039" t="s">
        <v>17645</v>
      </c>
      <c r="Q2039" t="s">
        <v>25</v>
      </c>
      <c r="R2039" t="s">
        <v>17646</v>
      </c>
    </row>
    <row r="2040" spans="1:18">
      <c r="A2040" t="s">
        <v>17647</v>
      </c>
      <c r="B2040" t="s">
        <v>17647</v>
      </c>
      <c r="C2040" t="s">
        <v>17648</v>
      </c>
      <c r="D2040" t="s">
        <v>21</v>
      </c>
      <c r="E2040" s="14" t="s">
        <v>16949</v>
      </c>
      <c r="F2040" t="s">
        <v>397</v>
      </c>
      <c r="G2040" s="17" t="str">
        <f>Config!$B$3</f>
        <v>SCH/R_IEC.SchLib</v>
      </c>
      <c r="H2040" t="s">
        <v>419</v>
      </c>
      <c r="I2040" t="s">
        <v>461</v>
      </c>
      <c r="J2040" t="s">
        <v>17927</v>
      </c>
      <c r="M2040" s="3">
        <v>3900000</v>
      </c>
      <c r="N2040" t="s">
        <v>16950</v>
      </c>
      <c r="O2040" t="s">
        <v>477</v>
      </c>
      <c r="P2040" t="s">
        <v>17649</v>
      </c>
      <c r="Q2040" t="s">
        <v>25</v>
      </c>
      <c r="R2040" t="s">
        <v>17650</v>
      </c>
    </row>
    <row r="2041" spans="1:18">
      <c r="A2041" t="s">
        <v>17651</v>
      </c>
      <c r="B2041" t="s">
        <v>17651</v>
      </c>
      <c r="C2041" t="s">
        <v>17652</v>
      </c>
      <c r="D2041" t="s">
        <v>21</v>
      </c>
      <c r="E2041" s="14" t="s">
        <v>16949</v>
      </c>
      <c r="F2041" t="s">
        <v>399</v>
      </c>
      <c r="G2041" s="17" t="str">
        <f>Config!$B$3</f>
        <v>SCH/R_IEC.SchLib</v>
      </c>
      <c r="H2041" t="s">
        <v>419</v>
      </c>
      <c r="I2041" t="s">
        <v>461</v>
      </c>
      <c r="J2041" t="s">
        <v>17927</v>
      </c>
      <c r="M2041" s="3">
        <v>4300000</v>
      </c>
      <c r="N2041" t="s">
        <v>16950</v>
      </c>
      <c r="O2041" t="s">
        <v>477</v>
      </c>
      <c r="P2041" t="s">
        <v>17653</v>
      </c>
      <c r="Q2041" t="s">
        <v>25</v>
      </c>
      <c r="R2041" t="s">
        <v>17654</v>
      </c>
    </row>
    <row r="2042" spans="1:18">
      <c r="A2042" t="s">
        <v>17655</v>
      </c>
      <c r="B2042" t="s">
        <v>17655</v>
      </c>
      <c r="C2042" t="s">
        <v>17656</v>
      </c>
      <c r="D2042" t="s">
        <v>21</v>
      </c>
      <c r="E2042" s="14" t="s">
        <v>16949</v>
      </c>
      <c r="F2042" t="s">
        <v>401</v>
      </c>
      <c r="G2042" s="17" t="str">
        <f>Config!$B$3</f>
        <v>SCH/R_IEC.SchLib</v>
      </c>
      <c r="H2042" t="s">
        <v>419</v>
      </c>
      <c r="I2042" t="s">
        <v>461</v>
      </c>
      <c r="J2042" t="s">
        <v>17927</v>
      </c>
      <c r="M2042" s="3">
        <v>4700000</v>
      </c>
      <c r="N2042" t="s">
        <v>16950</v>
      </c>
      <c r="O2042" t="s">
        <v>477</v>
      </c>
      <c r="P2042" t="s">
        <v>17657</v>
      </c>
      <c r="Q2042" t="s">
        <v>25</v>
      </c>
      <c r="R2042" t="s">
        <v>17658</v>
      </c>
    </row>
    <row r="2043" spans="1:18">
      <c r="A2043" t="s">
        <v>17659</v>
      </c>
      <c r="B2043" t="s">
        <v>17659</v>
      </c>
      <c r="C2043" t="s">
        <v>17660</v>
      </c>
      <c r="D2043" t="s">
        <v>21</v>
      </c>
      <c r="E2043" s="14" t="s">
        <v>16949</v>
      </c>
      <c r="F2043" t="s">
        <v>403</v>
      </c>
      <c r="G2043" s="17" t="str">
        <f>Config!$B$3</f>
        <v>SCH/R_IEC.SchLib</v>
      </c>
      <c r="H2043" t="s">
        <v>419</v>
      </c>
      <c r="I2043" t="s">
        <v>461</v>
      </c>
      <c r="J2043" t="s">
        <v>17927</v>
      </c>
      <c r="M2043" s="3">
        <v>5100000</v>
      </c>
      <c r="N2043" t="s">
        <v>16950</v>
      </c>
      <c r="O2043" t="s">
        <v>477</v>
      </c>
      <c r="P2043" t="s">
        <v>17661</v>
      </c>
      <c r="Q2043" t="s">
        <v>25</v>
      </c>
      <c r="R2043" t="s">
        <v>17662</v>
      </c>
    </row>
    <row r="2044" spans="1:18">
      <c r="A2044" t="s">
        <v>17663</v>
      </c>
      <c r="B2044" t="s">
        <v>17663</v>
      </c>
      <c r="C2044" t="s">
        <v>17664</v>
      </c>
      <c r="D2044" t="s">
        <v>21</v>
      </c>
      <c r="E2044" s="14" t="s">
        <v>16949</v>
      </c>
      <c r="F2044" t="s">
        <v>405</v>
      </c>
      <c r="G2044" s="17" t="str">
        <f>Config!$B$3</f>
        <v>SCH/R_IEC.SchLib</v>
      </c>
      <c r="H2044" t="s">
        <v>419</v>
      </c>
      <c r="I2044" t="s">
        <v>461</v>
      </c>
      <c r="J2044" t="s">
        <v>17927</v>
      </c>
      <c r="M2044" s="3">
        <v>5600000</v>
      </c>
      <c r="N2044" t="s">
        <v>16950</v>
      </c>
      <c r="O2044" t="s">
        <v>477</v>
      </c>
      <c r="P2044" t="s">
        <v>17665</v>
      </c>
      <c r="Q2044" t="s">
        <v>25</v>
      </c>
      <c r="R2044" t="s">
        <v>17666</v>
      </c>
    </row>
    <row r="2045" spans="1:18">
      <c r="A2045" t="s">
        <v>17667</v>
      </c>
      <c r="B2045" t="s">
        <v>17667</v>
      </c>
      <c r="C2045" t="s">
        <v>17668</v>
      </c>
      <c r="D2045" t="s">
        <v>21</v>
      </c>
      <c r="E2045" s="14" t="s">
        <v>16949</v>
      </c>
      <c r="F2045" t="s">
        <v>415</v>
      </c>
      <c r="G2045" s="17" t="str">
        <f>Config!$B$3</f>
        <v>SCH/R_IEC.SchLib</v>
      </c>
      <c r="H2045" t="s">
        <v>419</v>
      </c>
      <c r="I2045" t="s">
        <v>461</v>
      </c>
      <c r="J2045" t="s">
        <v>17927</v>
      </c>
      <c r="M2045" s="3">
        <v>9100000</v>
      </c>
      <c r="N2045" t="s">
        <v>16950</v>
      </c>
      <c r="O2045" t="s">
        <v>477</v>
      </c>
      <c r="P2045" t="s">
        <v>17669</v>
      </c>
      <c r="Q2045" t="s">
        <v>25</v>
      </c>
      <c r="R2045" t="s">
        <v>17670</v>
      </c>
    </row>
    <row r="2046" spans="1:18">
      <c r="A2046" t="s">
        <v>17671</v>
      </c>
      <c r="B2046" t="s">
        <v>17671</v>
      </c>
      <c r="C2046" t="s">
        <v>17672</v>
      </c>
      <c r="D2046" t="s">
        <v>21</v>
      </c>
      <c r="E2046" s="14" t="s">
        <v>16949</v>
      </c>
      <c r="F2046" t="s">
        <v>417</v>
      </c>
      <c r="G2046" s="17" t="str">
        <f>Config!$B$3</f>
        <v>SCH/R_IEC.SchLib</v>
      </c>
      <c r="H2046" t="s">
        <v>419</v>
      </c>
      <c r="I2046" t="s">
        <v>461</v>
      </c>
      <c r="J2046" t="s">
        <v>17927</v>
      </c>
      <c r="M2046" s="3">
        <v>10000000</v>
      </c>
      <c r="N2046" t="s">
        <v>16950</v>
      </c>
      <c r="O2046" t="s">
        <v>477</v>
      </c>
      <c r="P2046" t="s">
        <v>17673</v>
      </c>
      <c r="Q2046" t="s">
        <v>25</v>
      </c>
      <c r="R2046" t="s">
        <v>17674</v>
      </c>
    </row>
    <row r="2047" spans="1:18">
      <c r="A2047" t="s">
        <v>18744</v>
      </c>
      <c r="B2047" t="s">
        <v>18744</v>
      </c>
      <c r="C2047" t="s">
        <v>18745</v>
      </c>
      <c r="D2047" t="s">
        <v>21</v>
      </c>
      <c r="E2047" s="14" t="s">
        <v>22</v>
      </c>
      <c r="F2047" t="s">
        <v>18734</v>
      </c>
      <c r="G2047" s="17" t="str">
        <f>Config!$B$3</f>
        <v>SCH/R_IEC.SchLib</v>
      </c>
      <c r="H2047" t="s">
        <v>419</v>
      </c>
      <c r="I2047" t="s">
        <v>461</v>
      </c>
      <c r="J2047" s="16" t="s">
        <v>462</v>
      </c>
      <c r="M2047" s="3">
        <v>2E-3</v>
      </c>
      <c r="N2047" t="s">
        <v>18735</v>
      </c>
      <c r="O2047" t="s">
        <v>18736</v>
      </c>
      <c r="P2047" t="s">
        <v>18737</v>
      </c>
      <c r="Q2047" t="s">
        <v>25</v>
      </c>
      <c r="R2047" t="s">
        <v>18738</v>
      </c>
    </row>
    <row r="2048" spans="1:18">
      <c r="A2048" t="s">
        <v>18739</v>
      </c>
      <c r="B2048" t="s">
        <v>18739</v>
      </c>
      <c r="C2048" t="s">
        <v>18740</v>
      </c>
      <c r="D2048" t="s">
        <v>21</v>
      </c>
      <c r="E2048" s="14" t="s">
        <v>6447</v>
      </c>
      <c r="F2048" t="s">
        <v>18741</v>
      </c>
      <c r="G2048" s="17" t="str">
        <f>Config!$B$3</f>
        <v>SCH/R_IEC.SchLib</v>
      </c>
      <c r="H2048" t="s">
        <v>419</v>
      </c>
      <c r="I2048" t="s">
        <v>461</v>
      </c>
      <c r="J2048" s="17" t="s">
        <v>4821</v>
      </c>
      <c r="M2048" s="3">
        <v>1620</v>
      </c>
      <c r="N2048" t="s">
        <v>16950</v>
      </c>
      <c r="O2048" t="s">
        <v>477</v>
      </c>
      <c r="P2048" t="s">
        <v>18743</v>
      </c>
      <c r="Q2048" t="s">
        <v>25</v>
      </c>
      <c r="R2048" t="s">
        <v>18742</v>
      </c>
    </row>
  </sheetData>
  <phoneticPr fontId="2" type="noConversion"/>
  <conditionalFormatting sqref="G2:G1048576">
    <cfRule type="expression" dxfId="6" priority="1">
      <formula>AND(NOT(ISBLANK(G2)),NOT(_xlfn.ISFORMULA(G2)))</formula>
    </cfRule>
  </conditionalFormatting>
  <hyperlinks>
    <hyperlink ref="W1392" r:id="rId1" display="https://www.lcsc.com/brand-detail/111.html" xr:uid="{D1F73D38-97E7-4193-911A-B7DA160312CB}"/>
    <hyperlink ref="N1394" r:id="rId2" xr:uid="{AC285E63-2C6B-4B42-AB35-DC4C22C3409A}"/>
    <hyperlink ref="N1402" r:id="rId3" xr:uid="{4B89F9F3-6532-44BA-832A-68A491748768}"/>
    <hyperlink ref="N1403" r:id="rId4" xr:uid="{E766E7B9-A1A0-45B5-A379-85455B7C99A4}"/>
  </hyperlinks>
  <pageMargins left="0.7" right="0.7" top="0.78740157499999996" bottom="0.78740157499999996" header="0.3" footer="0.3"/>
  <pageSetup paperSize="9" orientation="portrait"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A1AAB-C407-4ADB-8694-9A4B002D9EDF}">
  <dimension ref="A1:Z278"/>
  <sheetViews>
    <sheetView zoomScaleNormal="100" workbookViewId="0">
      <pane xSplit="2" ySplit="1" topLeftCell="R261" activePane="bottomRight" state="frozen"/>
      <selection pane="topRight" activeCell="C1" sqref="C1"/>
      <selection pane="bottomLeft" activeCell="A2" sqref="A2"/>
      <selection pane="bottomRight" activeCell="X277" sqref="X277"/>
    </sheetView>
  </sheetViews>
  <sheetFormatPr defaultColWidth="11.5703125" defaultRowHeight="15"/>
  <cols>
    <col min="1" max="2" width="18" bestFit="1" customWidth="1"/>
    <col min="3" max="3" width="25.28515625" bestFit="1" customWidth="1"/>
    <col min="4" max="4" width="13.7109375" bestFit="1" customWidth="1"/>
    <col min="5" max="5" width="8.42578125" style="14" bestFit="1" customWidth="1"/>
    <col min="6" max="6" width="6.42578125" bestFit="1" customWidth="1"/>
    <col min="7" max="7" width="15.42578125" bestFit="1" customWidth="1"/>
    <col min="8" max="8" width="10.7109375" bestFit="1" customWidth="1"/>
    <col min="9" max="9" width="21.5703125" bestFit="1" customWidth="1"/>
    <col min="10" max="10" width="14.28515625" bestFit="1" customWidth="1"/>
    <col min="11" max="11" width="15.42578125" bestFit="1" customWidth="1"/>
    <col min="12" max="12" width="96.42578125" bestFit="1" customWidth="1"/>
    <col min="13" max="13" width="15.5703125" bestFit="1" customWidth="1"/>
    <col min="14" max="14" width="28.42578125" bestFit="1" customWidth="1"/>
    <col min="15" max="15" width="10.42578125" bestFit="1" customWidth="1"/>
    <col min="16" max="16" width="27.5703125" bestFit="1" customWidth="1"/>
    <col min="17" max="17" width="15.5703125" bestFit="1" customWidth="1"/>
    <col min="18" max="18" width="28.42578125" bestFit="1" customWidth="1"/>
    <col min="19" max="19" width="20" bestFit="1" customWidth="1"/>
    <col min="20" max="20" width="23.28515625" bestFit="1" customWidth="1"/>
    <col min="21" max="21" width="28.42578125" bestFit="1" customWidth="1"/>
  </cols>
  <sheetData>
    <row r="1" spans="1:26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4593</v>
      </c>
      <c r="V1" s="1" t="s">
        <v>4594</v>
      </c>
      <c r="W1" s="1" t="s">
        <v>4595</v>
      </c>
      <c r="X1" s="1" t="s">
        <v>4596</v>
      </c>
      <c r="Y1" s="1" t="s">
        <v>4726</v>
      </c>
      <c r="Z1" s="16" t="s">
        <v>6443</v>
      </c>
    </row>
    <row r="2" spans="1:26" ht="15.75">
      <c r="A2" t="s">
        <v>10593</v>
      </c>
      <c r="B2" t="s">
        <v>10593</v>
      </c>
      <c r="C2" t="s">
        <v>473</v>
      </c>
      <c r="D2" t="s">
        <v>21</v>
      </c>
      <c r="E2" s="14" t="s">
        <v>22</v>
      </c>
      <c r="F2" t="s">
        <v>474</v>
      </c>
      <c r="G2" t="str">
        <f>Config!$B$4</f>
        <v>SCH/C_IEC.SchLib</v>
      </c>
      <c r="H2" t="s">
        <v>425</v>
      </c>
      <c r="I2" s="2" t="s">
        <v>461</v>
      </c>
      <c r="J2" s="1" t="s">
        <v>475</v>
      </c>
      <c r="K2" s="3">
        <v>9.9999999999999998E-13</v>
      </c>
      <c r="L2" t="s">
        <v>476</v>
      </c>
      <c r="M2" t="s">
        <v>477</v>
      </c>
      <c r="N2" t="s">
        <v>478</v>
      </c>
      <c r="O2" t="s">
        <v>25</v>
      </c>
      <c r="P2" t="s">
        <v>479</v>
      </c>
      <c r="Q2" t="s">
        <v>477</v>
      </c>
      <c r="R2" t="s">
        <v>480</v>
      </c>
      <c r="S2" t="s">
        <v>25</v>
      </c>
      <c r="T2" t="s">
        <v>481</v>
      </c>
      <c r="U2" s="3"/>
      <c r="Z2" t="s">
        <v>6486</v>
      </c>
    </row>
    <row r="3" spans="1:26">
      <c r="A3" t="s">
        <v>10582</v>
      </c>
      <c r="B3" t="s">
        <v>10582</v>
      </c>
      <c r="C3" t="s">
        <v>482</v>
      </c>
      <c r="D3" t="s">
        <v>21</v>
      </c>
      <c r="E3" s="14" t="s">
        <v>22</v>
      </c>
      <c r="F3" t="s">
        <v>483</v>
      </c>
      <c r="G3" t="str">
        <f>Config!$B$4</f>
        <v>SCH/C_IEC.SchLib</v>
      </c>
      <c r="H3" t="s">
        <v>425</v>
      </c>
      <c r="I3" t="s">
        <v>461</v>
      </c>
      <c r="J3" t="s">
        <v>475</v>
      </c>
      <c r="K3" s="3">
        <v>1.2000000000000001E-12</v>
      </c>
      <c r="L3" t="s">
        <v>476</v>
      </c>
      <c r="M3" t="s">
        <v>477</v>
      </c>
      <c r="N3" t="s">
        <v>484</v>
      </c>
      <c r="O3" t="s">
        <v>25</v>
      </c>
      <c r="P3" t="s">
        <v>485</v>
      </c>
      <c r="Q3" t="s">
        <v>477</v>
      </c>
      <c r="R3" t="s">
        <v>486</v>
      </c>
      <c r="S3" t="s">
        <v>25</v>
      </c>
      <c r="T3" t="s">
        <v>487</v>
      </c>
      <c r="U3" s="3"/>
      <c r="Z3" t="s">
        <v>6487</v>
      </c>
    </row>
    <row r="4" spans="1:26">
      <c r="A4" t="s">
        <v>10583</v>
      </c>
      <c r="B4" t="s">
        <v>10583</v>
      </c>
      <c r="C4" t="s">
        <v>488</v>
      </c>
      <c r="D4" t="s">
        <v>21</v>
      </c>
      <c r="E4" s="14" t="s">
        <v>22</v>
      </c>
      <c r="F4" t="s">
        <v>489</v>
      </c>
      <c r="G4" t="str">
        <f>Config!$B$4</f>
        <v>SCH/C_IEC.SchLib</v>
      </c>
      <c r="H4" t="s">
        <v>425</v>
      </c>
      <c r="I4" t="s">
        <v>461</v>
      </c>
      <c r="J4" t="s">
        <v>475</v>
      </c>
      <c r="K4" s="3">
        <v>1.5000000000000001E-12</v>
      </c>
      <c r="L4" t="s">
        <v>476</v>
      </c>
      <c r="M4" t="s">
        <v>477</v>
      </c>
      <c r="N4" t="s">
        <v>490</v>
      </c>
      <c r="O4" t="s">
        <v>25</v>
      </c>
      <c r="P4" t="s">
        <v>491</v>
      </c>
      <c r="Q4" t="s">
        <v>477</v>
      </c>
      <c r="R4" t="s">
        <v>492</v>
      </c>
      <c r="S4" t="s">
        <v>25</v>
      </c>
      <c r="T4" t="s">
        <v>493</v>
      </c>
      <c r="U4" s="3"/>
      <c r="Z4" t="s">
        <v>6488</v>
      </c>
    </row>
    <row r="5" spans="1:26">
      <c r="A5" t="s">
        <v>10584</v>
      </c>
      <c r="B5" t="s">
        <v>10584</v>
      </c>
      <c r="C5" t="s">
        <v>494</v>
      </c>
      <c r="D5" t="s">
        <v>21</v>
      </c>
      <c r="E5" s="14" t="s">
        <v>22</v>
      </c>
      <c r="F5" t="s">
        <v>495</v>
      </c>
      <c r="G5" t="str">
        <f>Config!$B$4</f>
        <v>SCH/C_IEC.SchLib</v>
      </c>
      <c r="H5" t="s">
        <v>425</v>
      </c>
      <c r="I5" t="s">
        <v>461</v>
      </c>
      <c r="J5" t="s">
        <v>475</v>
      </c>
      <c r="K5" s="3">
        <v>1.8E-12</v>
      </c>
      <c r="L5" t="s">
        <v>476</v>
      </c>
      <c r="M5" t="s">
        <v>477</v>
      </c>
      <c r="N5" t="s">
        <v>496</v>
      </c>
      <c r="O5" t="s">
        <v>25</v>
      </c>
      <c r="P5" t="s">
        <v>497</v>
      </c>
      <c r="Q5" t="s">
        <v>477</v>
      </c>
      <c r="R5" t="s">
        <v>498</v>
      </c>
      <c r="S5" t="s">
        <v>25</v>
      </c>
      <c r="T5" t="s">
        <v>499</v>
      </c>
      <c r="U5" s="3"/>
      <c r="Z5" t="s">
        <v>6489</v>
      </c>
    </row>
    <row r="6" spans="1:26">
      <c r="A6" t="s">
        <v>10585</v>
      </c>
      <c r="B6" t="s">
        <v>10585</v>
      </c>
      <c r="C6" t="s">
        <v>500</v>
      </c>
      <c r="D6" t="s">
        <v>21</v>
      </c>
      <c r="E6" s="14" t="s">
        <v>22</v>
      </c>
      <c r="F6" t="s">
        <v>501</v>
      </c>
      <c r="G6" t="str">
        <f>Config!$B$4</f>
        <v>SCH/C_IEC.SchLib</v>
      </c>
      <c r="H6" t="s">
        <v>425</v>
      </c>
      <c r="I6" t="s">
        <v>461</v>
      </c>
      <c r="J6" t="s">
        <v>475</v>
      </c>
      <c r="K6" s="3">
        <v>2.2000000000000003E-12</v>
      </c>
      <c r="L6" t="s">
        <v>476</v>
      </c>
      <c r="M6" t="s">
        <v>477</v>
      </c>
      <c r="N6" t="s">
        <v>502</v>
      </c>
      <c r="O6" t="s">
        <v>25</v>
      </c>
      <c r="P6" t="s">
        <v>503</v>
      </c>
      <c r="Q6" t="s">
        <v>477</v>
      </c>
      <c r="R6" t="s">
        <v>504</v>
      </c>
      <c r="S6" t="s">
        <v>25</v>
      </c>
      <c r="T6" t="s">
        <v>505</v>
      </c>
      <c r="U6" s="3"/>
      <c r="Z6" t="s">
        <v>6490</v>
      </c>
    </row>
    <row r="7" spans="1:26">
      <c r="A7" t="s">
        <v>10586</v>
      </c>
      <c r="B7" t="s">
        <v>10586</v>
      </c>
      <c r="C7" t="s">
        <v>506</v>
      </c>
      <c r="D7" t="s">
        <v>21</v>
      </c>
      <c r="E7" s="14" t="s">
        <v>22</v>
      </c>
      <c r="F7" t="s">
        <v>507</v>
      </c>
      <c r="G7" t="str">
        <f>Config!$B$4</f>
        <v>SCH/C_IEC.SchLib</v>
      </c>
      <c r="H7" t="s">
        <v>425</v>
      </c>
      <c r="I7" t="s">
        <v>461</v>
      </c>
      <c r="J7" t="s">
        <v>475</v>
      </c>
      <c r="K7" s="3">
        <v>2.7000000000000002E-12</v>
      </c>
      <c r="L7" t="s">
        <v>476</v>
      </c>
      <c r="M7" t="s">
        <v>477</v>
      </c>
      <c r="N7" t="s">
        <v>508</v>
      </c>
      <c r="O7" t="s">
        <v>25</v>
      </c>
      <c r="P7" t="s">
        <v>509</v>
      </c>
      <c r="Q7" t="s">
        <v>477</v>
      </c>
      <c r="R7" t="s">
        <v>510</v>
      </c>
      <c r="S7" t="s">
        <v>25</v>
      </c>
      <c r="T7" t="s">
        <v>511</v>
      </c>
      <c r="U7" s="3"/>
      <c r="Z7" t="s">
        <v>6491</v>
      </c>
    </row>
    <row r="8" spans="1:26">
      <c r="A8" t="s">
        <v>10587</v>
      </c>
      <c r="B8" t="s">
        <v>10587</v>
      </c>
      <c r="C8" t="s">
        <v>512</v>
      </c>
      <c r="D8" t="s">
        <v>21</v>
      </c>
      <c r="E8" s="14" t="s">
        <v>22</v>
      </c>
      <c r="F8" t="s">
        <v>513</v>
      </c>
      <c r="G8" t="str">
        <f>Config!$B$4</f>
        <v>SCH/C_IEC.SchLib</v>
      </c>
      <c r="H8" t="s">
        <v>425</v>
      </c>
      <c r="I8" t="s">
        <v>461</v>
      </c>
      <c r="J8" t="s">
        <v>475</v>
      </c>
      <c r="K8" s="3">
        <v>3.3000000000000001E-12</v>
      </c>
      <c r="L8" t="s">
        <v>476</v>
      </c>
      <c r="M8" t="s">
        <v>477</v>
      </c>
      <c r="N8" t="s">
        <v>514</v>
      </c>
      <c r="O8" t="s">
        <v>25</v>
      </c>
      <c r="P8" t="s">
        <v>515</v>
      </c>
      <c r="Q8" t="s">
        <v>477</v>
      </c>
      <c r="R8" t="s">
        <v>516</v>
      </c>
      <c r="S8" t="s">
        <v>25</v>
      </c>
      <c r="T8" t="s">
        <v>517</v>
      </c>
      <c r="U8" s="3"/>
      <c r="Z8" t="s">
        <v>6492</v>
      </c>
    </row>
    <row r="9" spans="1:26">
      <c r="A9" t="s">
        <v>10588</v>
      </c>
      <c r="B9" t="s">
        <v>10588</v>
      </c>
      <c r="C9" t="s">
        <v>518</v>
      </c>
      <c r="D9" t="s">
        <v>21</v>
      </c>
      <c r="E9" s="14" t="s">
        <v>22</v>
      </c>
      <c r="F9" t="s">
        <v>519</v>
      </c>
      <c r="G9" t="str">
        <f>Config!$B$4</f>
        <v>SCH/C_IEC.SchLib</v>
      </c>
      <c r="H9" t="s">
        <v>425</v>
      </c>
      <c r="I9" t="s">
        <v>461</v>
      </c>
      <c r="J9" t="s">
        <v>475</v>
      </c>
      <c r="K9" s="3">
        <v>3.8999999999999999E-12</v>
      </c>
      <c r="L9" t="s">
        <v>476</v>
      </c>
      <c r="M9" t="s">
        <v>477</v>
      </c>
      <c r="N9" t="s">
        <v>520</v>
      </c>
      <c r="O9" t="s">
        <v>25</v>
      </c>
      <c r="P9" t="s">
        <v>521</v>
      </c>
      <c r="Q9" t="s">
        <v>477</v>
      </c>
      <c r="R9" t="s">
        <v>522</v>
      </c>
      <c r="S9" t="s">
        <v>25</v>
      </c>
      <c r="T9" t="s">
        <v>523</v>
      </c>
      <c r="U9" s="3"/>
      <c r="Z9" t="s">
        <v>6493</v>
      </c>
    </row>
    <row r="10" spans="1:26" ht="16.5">
      <c r="A10" t="s">
        <v>10589</v>
      </c>
      <c r="B10" t="s">
        <v>10589</v>
      </c>
      <c r="C10" t="s">
        <v>524</v>
      </c>
      <c r="D10" t="s">
        <v>21</v>
      </c>
      <c r="E10" s="14" t="s">
        <v>22</v>
      </c>
      <c r="F10" t="s">
        <v>525</v>
      </c>
      <c r="G10" t="str">
        <f>Config!$B$4</f>
        <v>SCH/C_IEC.SchLib</v>
      </c>
      <c r="H10" t="s">
        <v>425</v>
      </c>
      <c r="I10" t="s">
        <v>461</v>
      </c>
      <c r="J10" t="s">
        <v>475</v>
      </c>
      <c r="K10" s="3">
        <v>4.6999999999999998E-12</v>
      </c>
      <c r="L10" t="s">
        <v>476</v>
      </c>
      <c r="M10" t="s">
        <v>477</v>
      </c>
      <c r="N10" t="s">
        <v>526</v>
      </c>
      <c r="O10" t="s">
        <v>25</v>
      </c>
      <c r="P10" t="s">
        <v>527</v>
      </c>
      <c r="Q10" t="s">
        <v>477</v>
      </c>
      <c r="R10" t="s">
        <v>528</v>
      </c>
      <c r="S10" t="s">
        <v>25</v>
      </c>
      <c r="T10" t="s">
        <v>529</v>
      </c>
      <c r="U10" s="9" t="s">
        <v>6173</v>
      </c>
      <c r="V10" s="43" t="s">
        <v>13578</v>
      </c>
      <c r="W10" t="s">
        <v>4559</v>
      </c>
      <c r="X10" s="9" t="s">
        <v>13577</v>
      </c>
      <c r="Z10" t="s">
        <v>6494</v>
      </c>
    </row>
    <row r="11" spans="1:26">
      <c r="A11" t="s">
        <v>10590</v>
      </c>
      <c r="B11" t="s">
        <v>10590</v>
      </c>
      <c r="C11" t="s">
        <v>530</v>
      </c>
      <c r="D11" t="s">
        <v>21</v>
      </c>
      <c r="E11" s="14" t="s">
        <v>22</v>
      </c>
      <c r="F11" t="s">
        <v>531</v>
      </c>
      <c r="G11" t="str">
        <f>Config!$B$4</f>
        <v>SCH/C_IEC.SchLib</v>
      </c>
      <c r="H11" t="s">
        <v>425</v>
      </c>
      <c r="I11" t="s">
        <v>461</v>
      </c>
      <c r="J11" t="s">
        <v>475</v>
      </c>
      <c r="K11" s="3">
        <v>5.6000000000000004E-12</v>
      </c>
      <c r="L11" t="s">
        <v>476</v>
      </c>
      <c r="M11" t="s">
        <v>477</v>
      </c>
      <c r="N11" t="s">
        <v>532</v>
      </c>
      <c r="O11" t="s">
        <v>25</v>
      </c>
      <c r="P11" t="s">
        <v>533</v>
      </c>
      <c r="Q11" t="s">
        <v>477</v>
      </c>
      <c r="R11" t="s">
        <v>534</v>
      </c>
      <c r="S11" t="s">
        <v>25</v>
      </c>
      <c r="T11" t="s">
        <v>535</v>
      </c>
      <c r="U11" s="3"/>
      <c r="Z11" t="s">
        <v>6495</v>
      </c>
    </row>
    <row r="12" spans="1:26">
      <c r="A12" t="s">
        <v>10591</v>
      </c>
      <c r="B12" t="s">
        <v>10591</v>
      </c>
      <c r="C12" t="s">
        <v>536</v>
      </c>
      <c r="D12" t="s">
        <v>21</v>
      </c>
      <c r="E12" s="14" t="s">
        <v>22</v>
      </c>
      <c r="F12" t="s">
        <v>537</v>
      </c>
      <c r="G12" t="str">
        <f>Config!$B$4</f>
        <v>SCH/C_IEC.SchLib</v>
      </c>
      <c r="H12" t="s">
        <v>425</v>
      </c>
      <c r="I12" t="s">
        <v>461</v>
      </c>
      <c r="J12" t="s">
        <v>475</v>
      </c>
      <c r="K12" s="3">
        <v>6.8000000000000001E-12</v>
      </c>
      <c r="L12" t="s">
        <v>476</v>
      </c>
      <c r="M12" t="s">
        <v>477</v>
      </c>
      <c r="N12" t="s">
        <v>538</v>
      </c>
      <c r="O12" t="s">
        <v>25</v>
      </c>
      <c r="P12" t="s">
        <v>539</v>
      </c>
      <c r="Q12" t="s">
        <v>477</v>
      </c>
      <c r="R12" t="s">
        <v>540</v>
      </c>
      <c r="S12" t="s">
        <v>25</v>
      </c>
      <c r="T12" t="s">
        <v>541</v>
      </c>
      <c r="U12" s="3"/>
      <c r="Z12" t="s">
        <v>6496</v>
      </c>
    </row>
    <row r="13" spans="1:26">
      <c r="A13" t="s">
        <v>10592</v>
      </c>
      <c r="B13" t="s">
        <v>10592</v>
      </c>
      <c r="C13" t="s">
        <v>542</v>
      </c>
      <c r="D13" t="s">
        <v>21</v>
      </c>
      <c r="E13" s="14" t="s">
        <v>22</v>
      </c>
      <c r="F13" t="s">
        <v>543</v>
      </c>
      <c r="G13" t="str">
        <f>Config!$B$4</f>
        <v>SCH/C_IEC.SchLib</v>
      </c>
      <c r="H13" t="s">
        <v>425</v>
      </c>
      <c r="I13" t="s">
        <v>461</v>
      </c>
      <c r="J13" t="s">
        <v>475</v>
      </c>
      <c r="K13" s="3">
        <v>8.1999999999999998E-12</v>
      </c>
      <c r="L13" t="s">
        <v>476</v>
      </c>
      <c r="M13" t="s">
        <v>477</v>
      </c>
      <c r="N13" t="s">
        <v>544</v>
      </c>
      <c r="O13" t="s">
        <v>25</v>
      </c>
      <c r="P13" t="s">
        <v>545</v>
      </c>
      <c r="Q13" t="s">
        <v>477</v>
      </c>
      <c r="R13" t="s">
        <v>546</v>
      </c>
      <c r="S13" t="s">
        <v>25</v>
      </c>
      <c r="T13" t="s">
        <v>547</v>
      </c>
      <c r="U13" s="3"/>
      <c r="Z13" t="s">
        <v>6497</v>
      </c>
    </row>
    <row r="14" spans="1:26" ht="15.75">
      <c r="A14" t="s">
        <v>548</v>
      </c>
      <c r="B14" t="s">
        <v>548</v>
      </c>
      <c r="C14" t="s">
        <v>549</v>
      </c>
      <c r="D14" t="s">
        <v>21</v>
      </c>
      <c r="E14" s="14" t="s">
        <v>22</v>
      </c>
      <c r="F14" t="s">
        <v>550</v>
      </c>
      <c r="G14" t="str">
        <f>Config!$B$4</f>
        <v>SCH/C_IEC.SchLib</v>
      </c>
      <c r="H14" t="s">
        <v>425</v>
      </c>
      <c r="I14" t="s">
        <v>461</v>
      </c>
      <c r="J14" t="s">
        <v>475</v>
      </c>
      <c r="K14" s="3">
        <v>1.0000000000000001E-11</v>
      </c>
      <c r="L14" t="s">
        <v>476</v>
      </c>
      <c r="M14" t="s">
        <v>477</v>
      </c>
      <c r="N14" t="s">
        <v>551</v>
      </c>
      <c r="O14" t="s">
        <v>25</v>
      </c>
      <c r="P14" t="s">
        <v>552</v>
      </c>
      <c r="Q14" t="s">
        <v>477</v>
      </c>
      <c r="R14" t="s">
        <v>553</v>
      </c>
      <c r="S14" t="s">
        <v>25</v>
      </c>
      <c r="T14" t="s">
        <v>554</v>
      </c>
      <c r="U14" s="42" t="s">
        <v>1032</v>
      </c>
      <c r="V14" s="8" t="s">
        <v>13462</v>
      </c>
      <c r="W14" t="s">
        <v>4559</v>
      </c>
      <c r="X14" s="8" t="s">
        <v>13461</v>
      </c>
      <c r="Z14" t="s">
        <v>6498</v>
      </c>
    </row>
    <row r="15" spans="1:26">
      <c r="A15" t="s">
        <v>555</v>
      </c>
      <c r="B15" t="s">
        <v>555</v>
      </c>
      <c r="C15" t="s">
        <v>556</v>
      </c>
      <c r="D15" t="s">
        <v>21</v>
      </c>
      <c r="E15" s="14" t="s">
        <v>22</v>
      </c>
      <c r="F15" t="s">
        <v>557</v>
      </c>
      <c r="G15" t="str">
        <f>Config!$B$4</f>
        <v>SCH/C_IEC.SchLib</v>
      </c>
      <c r="H15" t="s">
        <v>425</v>
      </c>
      <c r="I15" t="s">
        <v>461</v>
      </c>
      <c r="J15" t="s">
        <v>475</v>
      </c>
      <c r="K15" s="3">
        <v>1.2000000000000001E-11</v>
      </c>
      <c r="L15" t="s">
        <v>476</v>
      </c>
      <c r="M15" t="s">
        <v>477</v>
      </c>
      <c r="N15" t="s">
        <v>558</v>
      </c>
      <c r="O15" t="s">
        <v>25</v>
      </c>
      <c r="P15" t="s">
        <v>559</v>
      </c>
      <c r="Q15" t="s">
        <v>477</v>
      </c>
      <c r="R15" t="s">
        <v>560</v>
      </c>
      <c r="S15" t="s">
        <v>25</v>
      </c>
      <c r="T15" t="s">
        <v>561</v>
      </c>
      <c r="U15" s="3"/>
      <c r="Z15" t="s">
        <v>6499</v>
      </c>
    </row>
    <row r="16" spans="1:26">
      <c r="A16" t="s">
        <v>562</v>
      </c>
      <c r="B16" t="s">
        <v>562</v>
      </c>
      <c r="C16" t="s">
        <v>563</v>
      </c>
      <c r="D16" t="s">
        <v>21</v>
      </c>
      <c r="E16" s="14" t="s">
        <v>22</v>
      </c>
      <c r="F16" t="s">
        <v>564</v>
      </c>
      <c r="G16" t="str">
        <f>Config!$B$4</f>
        <v>SCH/C_IEC.SchLib</v>
      </c>
      <c r="H16" t="s">
        <v>425</v>
      </c>
      <c r="I16" t="s">
        <v>461</v>
      </c>
      <c r="J16" t="s">
        <v>475</v>
      </c>
      <c r="K16" s="3">
        <v>1.5E-11</v>
      </c>
      <c r="L16" t="s">
        <v>476</v>
      </c>
      <c r="M16" t="s">
        <v>477</v>
      </c>
      <c r="N16" t="s">
        <v>565</v>
      </c>
      <c r="O16" t="s">
        <v>25</v>
      </c>
      <c r="P16" t="s">
        <v>566</v>
      </c>
      <c r="Q16" t="s">
        <v>477</v>
      </c>
      <c r="R16" t="s">
        <v>567</v>
      </c>
      <c r="S16" t="s">
        <v>25</v>
      </c>
      <c r="T16" t="s">
        <v>568</v>
      </c>
      <c r="U16" s="3" t="s">
        <v>1032</v>
      </c>
      <c r="V16" t="s">
        <v>1032</v>
      </c>
      <c r="W16" t="s">
        <v>4559</v>
      </c>
      <c r="X16" t="s">
        <v>16730</v>
      </c>
      <c r="Y16" t="s">
        <v>4728</v>
      </c>
      <c r="Z16" t="s">
        <v>6500</v>
      </c>
    </row>
    <row r="17" spans="1:26">
      <c r="A17" t="s">
        <v>569</v>
      </c>
      <c r="B17" t="s">
        <v>569</v>
      </c>
      <c r="C17" t="s">
        <v>570</v>
      </c>
      <c r="D17" t="s">
        <v>21</v>
      </c>
      <c r="E17" s="14" t="s">
        <v>22</v>
      </c>
      <c r="F17" t="s">
        <v>571</v>
      </c>
      <c r="G17" t="str">
        <f>Config!$B$4</f>
        <v>SCH/C_IEC.SchLib</v>
      </c>
      <c r="H17" t="s">
        <v>425</v>
      </c>
      <c r="I17" t="s">
        <v>461</v>
      </c>
      <c r="J17" t="s">
        <v>475</v>
      </c>
      <c r="K17" s="3">
        <v>1.7999999999999999E-11</v>
      </c>
      <c r="L17" t="s">
        <v>476</v>
      </c>
      <c r="M17" t="s">
        <v>477</v>
      </c>
      <c r="N17" t="s">
        <v>572</v>
      </c>
      <c r="O17" t="s">
        <v>25</v>
      </c>
      <c r="P17" t="s">
        <v>573</v>
      </c>
      <c r="Q17" t="s">
        <v>477</v>
      </c>
      <c r="R17" t="s">
        <v>574</v>
      </c>
      <c r="S17" t="s">
        <v>25</v>
      </c>
      <c r="T17" t="s">
        <v>575</v>
      </c>
      <c r="U17" s="3"/>
      <c r="Z17" t="s">
        <v>6501</v>
      </c>
    </row>
    <row r="18" spans="1:26">
      <c r="A18" t="s">
        <v>576</v>
      </c>
      <c r="B18" t="s">
        <v>576</v>
      </c>
      <c r="C18" t="s">
        <v>577</v>
      </c>
      <c r="D18" t="s">
        <v>21</v>
      </c>
      <c r="E18" s="14" t="s">
        <v>22</v>
      </c>
      <c r="F18" t="s">
        <v>578</v>
      </c>
      <c r="G18" t="str">
        <f>Config!$B$4</f>
        <v>SCH/C_IEC.SchLib</v>
      </c>
      <c r="H18" t="s">
        <v>425</v>
      </c>
      <c r="I18" t="s">
        <v>461</v>
      </c>
      <c r="J18" t="s">
        <v>475</v>
      </c>
      <c r="K18" s="3">
        <v>2.1999999999999998E-11</v>
      </c>
      <c r="L18" t="s">
        <v>476</v>
      </c>
      <c r="M18" t="s">
        <v>477</v>
      </c>
      <c r="N18" t="s">
        <v>579</v>
      </c>
      <c r="O18" t="s">
        <v>25</v>
      </c>
      <c r="P18" t="s">
        <v>580</v>
      </c>
      <c r="Q18" t="s">
        <v>477</v>
      </c>
      <c r="R18" t="s">
        <v>581</v>
      </c>
      <c r="S18" t="s">
        <v>25</v>
      </c>
      <c r="T18" t="s">
        <v>582</v>
      </c>
      <c r="U18" s="3"/>
      <c r="Z18" t="s">
        <v>6502</v>
      </c>
    </row>
    <row r="19" spans="1:26">
      <c r="A19" t="s">
        <v>583</v>
      </c>
      <c r="B19" t="s">
        <v>583</v>
      </c>
      <c r="C19" t="s">
        <v>584</v>
      </c>
      <c r="D19" t="s">
        <v>21</v>
      </c>
      <c r="E19" s="14" t="s">
        <v>22</v>
      </c>
      <c r="F19" t="s">
        <v>585</v>
      </c>
      <c r="G19" t="str">
        <f>Config!$B$4</f>
        <v>SCH/C_IEC.SchLib</v>
      </c>
      <c r="H19" t="s">
        <v>425</v>
      </c>
      <c r="I19" t="s">
        <v>461</v>
      </c>
      <c r="J19" t="s">
        <v>475</v>
      </c>
      <c r="K19" s="3">
        <v>2.7E-11</v>
      </c>
      <c r="L19" t="s">
        <v>476</v>
      </c>
      <c r="M19" t="s">
        <v>477</v>
      </c>
      <c r="N19" t="s">
        <v>586</v>
      </c>
      <c r="O19" t="s">
        <v>25</v>
      </c>
      <c r="P19" t="s">
        <v>587</v>
      </c>
      <c r="Q19" t="s">
        <v>477</v>
      </c>
      <c r="R19" t="s">
        <v>588</v>
      </c>
      <c r="S19" t="s">
        <v>25</v>
      </c>
      <c r="T19" t="s">
        <v>589</v>
      </c>
      <c r="U19" s="3"/>
      <c r="Z19" t="s">
        <v>6503</v>
      </c>
    </row>
    <row r="20" spans="1:26">
      <c r="A20" t="s">
        <v>590</v>
      </c>
      <c r="B20" t="s">
        <v>590</v>
      </c>
      <c r="C20" t="s">
        <v>591</v>
      </c>
      <c r="D20" t="s">
        <v>21</v>
      </c>
      <c r="E20" s="14" t="s">
        <v>22</v>
      </c>
      <c r="F20" t="s">
        <v>592</v>
      </c>
      <c r="G20" t="str">
        <f>Config!$B$4</f>
        <v>SCH/C_IEC.SchLib</v>
      </c>
      <c r="H20" t="s">
        <v>425</v>
      </c>
      <c r="I20" t="s">
        <v>461</v>
      </c>
      <c r="J20" t="s">
        <v>475</v>
      </c>
      <c r="K20" s="3">
        <v>3.3000000000000002E-11</v>
      </c>
      <c r="L20" t="s">
        <v>476</v>
      </c>
      <c r="M20" t="s">
        <v>477</v>
      </c>
      <c r="N20" t="s">
        <v>593</v>
      </c>
      <c r="O20" t="s">
        <v>25</v>
      </c>
      <c r="P20" t="s">
        <v>594</v>
      </c>
      <c r="Q20" t="s">
        <v>477</v>
      </c>
      <c r="R20" t="s">
        <v>595</v>
      </c>
      <c r="S20" t="s">
        <v>25</v>
      </c>
      <c r="T20" t="s">
        <v>596</v>
      </c>
      <c r="U20" s="3"/>
      <c r="Z20" t="s">
        <v>6504</v>
      </c>
    </row>
    <row r="21" spans="1:26">
      <c r="A21" t="s">
        <v>597</v>
      </c>
      <c r="B21" t="s">
        <v>597</v>
      </c>
      <c r="C21" t="s">
        <v>598</v>
      </c>
      <c r="D21" t="s">
        <v>21</v>
      </c>
      <c r="E21" s="14" t="s">
        <v>22</v>
      </c>
      <c r="F21" t="s">
        <v>599</v>
      </c>
      <c r="G21" t="str">
        <f>Config!$B$4</f>
        <v>SCH/C_IEC.SchLib</v>
      </c>
      <c r="H21" t="s">
        <v>425</v>
      </c>
      <c r="I21" t="s">
        <v>461</v>
      </c>
      <c r="J21" t="s">
        <v>475</v>
      </c>
      <c r="K21" s="3">
        <v>3.9000000000000001E-11</v>
      </c>
      <c r="L21" t="s">
        <v>476</v>
      </c>
      <c r="M21" t="s">
        <v>477</v>
      </c>
      <c r="N21" t="s">
        <v>600</v>
      </c>
      <c r="O21" t="s">
        <v>25</v>
      </c>
      <c r="P21" t="s">
        <v>601</v>
      </c>
      <c r="Q21" t="s">
        <v>477</v>
      </c>
      <c r="R21" t="s">
        <v>602</v>
      </c>
      <c r="S21" t="s">
        <v>25</v>
      </c>
      <c r="T21" t="s">
        <v>603</v>
      </c>
      <c r="U21" s="3"/>
      <c r="Z21" t="s">
        <v>6505</v>
      </c>
    </row>
    <row r="22" spans="1:26" ht="15.75">
      <c r="A22" t="s">
        <v>604</v>
      </c>
      <c r="B22" t="s">
        <v>604</v>
      </c>
      <c r="C22" t="s">
        <v>605</v>
      </c>
      <c r="D22" t="s">
        <v>21</v>
      </c>
      <c r="E22" s="14" t="s">
        <v>22</v>
      </c>
      <c r="F22" t="s">
        <v>606</v>
      </c>
      <c r="G22" t="str">
        <f>Config!$B$4</f>
        <v>SCH/C_IEC.SchLib</v>
      </c>
      <c r="H22" t="s">
        <v>425</v>
      </c>
      <c r="I22" t="s">
        <v>461</v>
      </c>
      <c r="J22" t="s">
        <v>475</v>
      </c>
      <c r="K22" s="3">
        <v>4.7000000000000006E-11</v>
      </c>
      <c r="L22" t="s">
        <v>476</v>
      </c>
      <c r="M22" t="s">
        <v>477</v>
      </c>
      <c r="N22" t="s">
        <v>607</v>
      </c>
      <c r="O22" t="s">
        <v>25</v>
      </c>
      <c r="P22" t="s">
        <v>608</v>
      </c>
      <c r="Q22" t="s">
        <v>477</v>
      </c>
      <c r="R22" t="s">
        <v>609</v>
      </c>
      <c r="S22" t="s">
        <v>25</v>
      </c>
      <c r="T22" t="s">
        <v>610</v>
      </c>
      <c r="U22" s="42" t="s">
        <v>1032</v>
      </c>
      <c r="V22" s="8" t="s">
        <v>13460</v>
      </c>
      <c r="W22" t="s">
        <v>4559</v>
      </c>
      <c r="X22" s="8" t="s">
        <v>13459</v>
      </c>
      <c r="Y22" t="s">
        <v>4728</v>
      </c>
      <c r="Z22" t="s">
        <v>6506</v>
      </c>
    </row>
    <row r="23" spans="1:26">
      <c r="A23" t="s">
        <v>611</v>
      </c>
      <c r="B23" t="s">
        <v>611</v>
      </c>
      <c r="C23" t="s">
        <v>612</v>
      </c>
      <c r="D23" t="s">
        <v>21</v>
      </c>
      <c r="E23" s="14" t="s">
        <v>22</v>
      </c>
      <c r="F23" t="s">
        <v>613</v>
      </c>
      <c r="G23" t="str">
        <f>Config!$B$4</f>
        <v>SCH/C_IEC.SchLib</v>
      </c>
      <c r="H23" t="s">
        <v>425</v>
      </c>
      <c r="I23" t="s">
        <v>461</v>
      </c>
      <c r="J23" t="s">
        <v>475</v>
      </c>
      <c r="K23" s="3">
        <v>5.6E-11</v>
      </c>
      <c r="L23" t="s">
        <v>476</v>
      </c>
      <c r="M23" t="s">
        <v>477</v>
      </c>
      <c r="N23" t="s">
        <v>614</v>
      </c>
      <c r="O23" t="s">
        <v>25</v>
      </c>
      <c r="P23" t="s">
        <v>615</v>
      </c>
      <c r="Q23" t="s">
        <v>477</v>
      </c>
      <c r="R23" t="s">
        <v>616</v>
      </c>
      <c r="S23" t="s">
        <v>25</v>
      </c>
      <c r="T23" t="s">
        <v>617</v>
      </c>
      <c r="U23" s="3"/>
      <c r="Z23" t="s">
        <v>6507</v>
      </c>
    </row>
    <row r="24" spans="1:26">
      <c r="A24" t="s">
        <v>618</v>
      </c>
      <c r="B24" t="s">
        <v>618</v>
      </c>
      <c r="C24" t="s">
        <v>619</v>
      </c>
      <c r="D24" t="s">
        <v>21</v>
      </c>
      <c r="E24" s="14" t="s">
        <v>22</v>
      </c>
      <c r="F24" t="s">
        <v>620</v>
      </c>
      <c r="G24" t="str">
        <f>Config!$B$4</f>
        <v>SCH/C_IEC.SchLib</v>
      </c>
      <c r="H24" t="s">
        <v>425</v>
      </c>
      <c r="I24" t="s">
        <v>461</v>
      </c>
      <c r="J24" t="s">
        <v>475</v>
      </c>
      <c r="K24" s="3">
        <v>6.7999999999999998E-11</v>
      </c>
      <c r="L24" t="s">
        <v>476</v>
      </c>
      <c r="M24" t="s">
        <v>477</v>
      </c>
      <c r="N24" t="s">
        <v>621</v>
      </c>
      <c r="O24" t="s">
        <v>25</v>
      </c>
      <c r="P24" t="s">
        <v>622</v>
      </c>
      <c r="Q24" t="s">
        <v>477</v>
      </c>
      <c r="R24" t="s">
        <v>623</v>
      </c>
      <c r="S24" t="s">
        <v>25</v>
      </c>
      <c r="T24" t="s">
        <v>624</v>
      </c>
      <c r="U24" s="3"/>
      <c r="Z24" t="s">
        <v>6508</v>
      </c>
    </row>
    <row r="25" spans="1:26">
      <c r="A25" t="s">
        <v>625</v>
      </c>
      <c r="B25" t="s">
        <v>625</v>
      </c>
      <c r="C25" t="s">
        <v>626</v>
      </c>
      <c r="D25" t="s">
        <v>21</v>
      </c>
      <c r="E25" s="14" t="s">
        <v>22</v>
      </c>
      <c r="F25" t="s">
        <v>627</v>
      </c>
      <c r="G25" t="str">
        <f>Config!$B$4</f>
        <v>SCH/C_IEC.SchLib</v>
      </c>
      <c r="H25" t="s">
        <v>425</v>
      </c>
      <c r="I25" t="s">
        <v>461</v>
      </c>
      <c r="J25" t="s">
        <v>475</v>
      </c>
      <c r="K25" s="3">
        <v>8.2000000000000001E-11</v>
      </c>
      <c r="L25" t="s">
        <v>476</v>
      </c>
      <c r="M25" t="s">
        <v>477</v>
      </c>
      <c r="N25" t="s">
        <v>628</v>
      </c>
      <c r="O25" t="s">
        <v>25</v>
      </c>
      <c r="P25" t="s">
        <v>629</v>
      </c>
      <c r="Q25" t="s">
        <v>477</v>
      </c>
      <c r="R25" t="s">
        <v>630</v>
      </c>
      <c r="S25" t="s">
        <v>25</v>
      </c>
      <c r="T25" t="s">
        <v>631</v>
      </c>
      <c r="U25" s="3"/>
      <c r="Z25" t="s">
        <v>6509</v>
      </c>
    </row>
    <row r="26" spans="1:26">
      <c r="A26" t="s">
        <v>632</v>
      </c>
      <c r="B26" t="s">
        <v>632</v>
      </c>
      <c r="C26" t="s">
        <v>633</v>
      </c>
      <c r="D26" t="s">
        <v>21</v>
      </c>
      <c r="E26" s="14" t="s">
        <v>22</v>
      </c>
      <c r="F26" t="s">
        <v>634</v>
      </c>
      <c r="G26" t="str">
        <f>Config!$B$4</f>
        <v>SCH/C_IEC.SchLib</v>
      </c>
      <c r="H26" t="s">
        <v>425</v>
      </c>
      <c r="I26" t="s">
        <v>461</v>
      </c>
      <c r="J26" t="s">
        <v>475</v>
      </c>
      <c r="K26" s="3">
        <v>1E-10</v>
      </c>
      <c r="L26" t="s">
        <v>476</v>
      </c>
      <c r="M26" t="s">
        <v>477</v>
      </c>
      <c r="N26" t="s">
        <v>635</v>
      </c>
      <c r="O26" t="s">
        <v>25</v>
      </c>
      <c r="P26" t="s">
        <v>636</v>
      </c>
      <c r="Q26" t="s">
        <v>477</v>
      </c>
      <c r="R26" t="s">
        <v>637</v>
      </c>
      <c r="S26" t="s">
        <v>25</v>
      </c>
      <c r="T26" t="s">
        <v>638</v>
      </c>
      <c r="U26" s="3" t="s">
        <v>1032</v>
      </c>
      <c r="V26" t="s">
        <v>13593</v>
      </c>
      <c r="W26" t="s">
        <v>4559</v>
      </c>
      <c r="X26" t="s">
        <v>13594</v>
      </c>
      <c r="Y26" t="s">
        <v>4728</v>
      </c>
      <c r="Z26" t="s">
        <v>6510</v>
      </c>
    </row>
    <row r="27" spans="1:26">
      <c r="A27" t="s">
        <v>639</v>
      </c>
      <c r="B27" t="s">
        <v>639</v>
      </c>
      <c r="C27" t="s">
        <v>640</v>
      </c>
      <c r="D27" t="s">
        <v>21</v>
      </c>
      <c r="E27" s="14" t="s">
        <v>22</v>
      </c>
      <c r="F27" t="s">
        <v>641</v>
      </c>
      <c r="G27" t="str">
        <f>Config!$B$4</f>
        <v>SCH/C_IEC.SchLib</v>
      </c>
      <c r="H27" t="s">
        <v>425</v>
      </c>
      <c r="I27" t="s">
        <v>461</v>
      </c>
      <c r="J27" t="s">
        <v>475</v>
      </c>
      <c r="K27" s="3">
        <v>1.2E-10</v>
      </c>
      <c r="L27" t="s">
        <v>476</v>
      </c>
      <c r="M27" t="s">
        <v>477</v>
      </c>
      <c r="N27" t="s">
        <v>642</v>
      </c>
      <c r="O27" t="s">
        <v>25</v>
      </c>
      <c r="P27" t="s">
        <v>643</v>
      </c>
      <c r="Q27" t="s">
        <v>477</v>
      </c>
      <c r="R27" t="s">
        <v>644</v>
      </c>
      <c r="S27" t="s">
        <v>25</v>
      </c>
      <c r="T27" t="s">
        <v>645</v>
      </c>
      <c r="U27" s="3"/>
      <c r="Z27" t="s">
        <v>6511</v>
      </c>
    </row>
    <row r="28" spans="1:26">
      <c r="A28" t="s">
        <v>646</v>
      </c>
      <c r="B28" t="s">
        <v>646</v>
      </c>
      <c r="C28" t="s">
        <v>647</v>
      </c>
      <c r="D28" t="s">
        <v>21</v>
      </c>
      <c r="E28" s="14" t="s">
        <v>22</v>
      </c>
      <c r="F28" t="s">
        <v>648</v>
      </c>
      <c r="G28" t="str">
        <f>Config!$B$4</f>
        <v>SCH/C_IEC.SchLib</v>
      </c>
      <c r="H28" t="s">
        <v>425</v>
      </c>
      <c r="I28" t="s">
        <v>461</v>
      </c>
      <c r="J28" t="s">
        <v>475</v>
      </c>
      <c r="K28" s="3">
        <v>1.5E-10</v>
      </c>
      <c r="L28" t="s">
        <v>476</v>
      </c>
      <c r="M28" t="s">
        <v>477</v>
      </c>
      <c r="N28" t="s">
        <v>649</v>
      </c>
      <c r="O28" t="s">
        <v>25</v>
      </c>
      <c r="P28" t="s">
        <v>650</v>
      </c>
      <c r="Q28" t="s">
        <v>477</v>
      </c>
      <c r="R28" t="s">
        <v>651</v>
      </c>
      <c r="S28" t="s">
        <v>25</v>
      </c>
      <c r="T28" t="s">
        <v>652</v>
      </c>
      <c r="U28" s="3"/>
      <c r="Z28" t="s">
        <v>6512</v>
      </c>
    </row>
    <row r="29" spans="1:26">
      <c r="A29" t="s">
        <v>653</v>
      </c>
      <c r="B29" t="s">
        <v>653</v>
      </c>
      <c r="C29" t="s">
        <v>654</v>
      </c>
      <c r="D29" t="s">
        <v>21</v>
      </c>
      <c r="E29" s="14" t="s">
        <v>22</v>
      </c>
      <c r="F29" t="s">
        <v>655</v>
      </c>
      <c r="G29" t="str">
        <f>Config!$B$4</f>
        <v>SCH/C_IEC.SchLib</v>
      </c>
      <c r="H29" t="s">
        <v>425</v>
      </c>
      <c r="I29" t="s">
        <v>461</v>
      </c>
      <c r="J29" t="s">
        <v>475</v>
      </c>
      <c r="K29" s="3">
        <v>1.8E-10</v>
      </c>
      <c r="L29" t="s">
        <v>476</v>
      </c>
      <c r="M29" t="s">
        <v>477</v>
      </c>
      <c r="N29" t="s">
        <v>656</v>
      </c>
      <c r="O29" t="s">
        <v>25</v>
      </c>
      <c r="P29" t="s">
        <v>657</v>
      </c>
      <c r="Q29" t="s">
        <v>477</v>
      </c>
      <c r="R29" t="s">
        <v>658</v>
      </c>
      <c r="S29" t="s">
        <v>25</v>
      </c>
      <c r="T29" t="s">
        <v>659</v>
      </c>
      <c r="U29" s="3"/>
      <c r="Z29" t="s">
        <v>6513</v>
      </c>
    </row>
    <row r="30" spans="1:26">
      <c r="A30" t="s">
        <v>660</v>
      </c>
      <c r="B30" t="s">
        <v>660</v>
      </c>
      <c r="C30" t="s">
        <v>661</v>
      </c>
      <c r="D30" t="s">
        <v>21</v>
      </c>
      <c r="E30" s="14" t="s">
        <v>22</v>
      </c>
      <c r="F30" t="s">
        <v>662</v>
      </c>
      <c r="G30" t="str">
        <f>Config!$B$4</f>
        <v>SCH/C_IEC.SchLib</v>
      </c>
      <c r="H30" t="s">
        <v>425</v>
      </c>
      <c r="I30" t="s">
        <v>461</v>
      </c>
      <c r="J30" t="s">
        <v>475</v>
      </c>
      <c r="K30" s="3">
        <v>2.1999999999999999E-10</v>
      </c>
      <c r="L30" t="s">
        <v>476</v>
      </c>
      <c r="M30" t="s">
        <v>477</v>
      </c>
      <c r="N30" t="s">
        <v>663</v>
      </c>
      <c r="O30" t="s">
        <v>25</v>
      </c>
      <c r="P30" t="s">
        <v>664</v>
      </c>
      <c r="Q30" t="s">
        <v>477</v>
      </c>
      <c r="R30" t="s">
        <v>665</v>
      </c>
      <c r="S30" t="s">
        <v>25</v>
      </c>
      <c r="T30" t="s">
        <v>666</v>
      </c>
      <c r="U30" s="3"/>
      <c r="Z30" t="s">
        <v>6514</v>
      </c>
    </row>
    <row r="31" spans="1:26">
      <c r="A31" t="s">
        <v>667</v>
      </c>
      <c r="B31" t="s">
        <v>667</v>
      </c>
      <c r="C31" t="s">
        <v>668</v>
      </c>
      <c r="D31" t="s">
        <v>21</v>
      </c>
      <c r="E31" s="14" t="s">
        <v>22</v>
      </c>
      <c r="F31" t="s">
        <v>669</v>
      </c>
      <c r="G31" t="str">
        <f>Config!$B$4</f>
        <v>SCH/C_IEC.SchLib</v>
      </c>
      <c r="H31" t="s">
        <v>425</v>
      </c>
      <c r="I31" t="s">
        <v>461</v>
      </c>
      <c r="J31" t="s">
        <v>475</v>
      </c>
      <c r="K31" s="3">
        <v>2.7E-10</v>
      </c>
      <c r="L31" t="s">
        <v>476</v>
      </c>
      <c r="M31" t="s">
        <v>477</v>
      </c>
      <c r="N31" t="s">
        <v>670</v>
      </c>
      <c r="O31" t="s">
        <v>25</v>
      </c>
      <c r="P31" t="s">
        <v>671</v>
      </c>
      <c r="Q31" t="s">
        <v>477</v>
      </c>
      <c r="R31" t="s">
        <v>672</v>
      </c>
      <c r="S31" t="s">
        <v>25</v>
      </c>
      <c r="T31" t="s">
        <v>673</v>
      </c>
      <c r="U31" s="3"/>
      <c r="Z31" t="s">
        <v>6515</v>
      </c>
    </row>
    <row r="32" spans="1:26">
      <c r="A32" t="s">
        <v>674</v>
      </c>
      <c r="B32" t="s">
        <v>674</v>
      </c>
      <c r="C32" t="s">
        <v>675</v>
      </c>
      <c r="D32" t="s">
        <v>21</v>
      </c>
      <c r="E32" s="14" t="s">
        <v>22</v>
      </c>
      <c r="F32" t="s">
        <v>676</v>
      </c>
      <c r="G32" t="str">
        <f>Config!$B$4</f>
        <v>SCH/C_IEC.SchLib</v>
      </c>
      <c r="H32" t="s">
        <v>425</v>
      </c>
      <c r="I32" t="s">
        <v>461</v>
      </c>
      <c r="J32" t="s">
        <v>475</v>
      </c>
      <c r="K32" s="3">
        <v>3.3E-10</v>
      </c>
      <c r="L32" t="s">
        <v>476</v>
      </c>
      <c r="M32" t="s">
        <v>477</v>
      </c>
      <c r="N32" t="s">
        <v>677</v>
      </c>
      <c r="O32" t="s">
        <v>25</v>
      </c>
      <c r="P32" t="s">
        <v>678</v>
      </c>
      <c r="Q32" t="s">
        <v>477</v>
      </c>
      <c r="R32" t="s">
        <v>679</v>
      </c>
      <c r="S32" t="s">
        <v>25</v>
      </c>
      <c r="T32" t="s">
        <v>680</v>
      </c>
      <c r="U32" s="3"/>
      <c r="Z32" t="s">
        <v>6516</v>
      </c>
    </row>
    <row r="33" spans="1:26">
      <c r="A33" t="s">
        <v>681</v>
      </c>
      <c r="B33" t="s">
        <v>681</v>
      </c>
      <c r="C33" t="s">
        <v>682</v>
      </c>
      <c r="D33" t="s">
        <v>21</v>
      </c>
      <c r="E33" s="14" t="s">
        <v>22</v>
      </c>
      <c r="F33" t="s">
        <v>683</v>
      </c>
      <c r="G33" t="str">
        <f>Config!$B$4</f>
        <v>SCH/C_IEC.SchLib</v>
      </c>
      <c r="H33" t="s">
        <v>425</v>
      </c>
      <c r="I33" t="s">
        <v>461</v>
      </c>
      <c r="J33" t="s">
        <v>475</v>
      </c>
      <c r="K33" s="3">
        <v>3.9E-10</v>
      </c>
      <c r="L33" t="s">
        <v>476</v>
      </c>
      <c r="M33" t="s">
        <v>477</v>
      </c>
      <c r="N33" t="s">
        <v>684</v>
      </c>
      <c r="O33" t="s">
        <v>25</v>
      </c>
      <c r="P33" t="s">
        <v>685</v>
      </c>
      <c r="Q33" t="s">
        <v>477</v>
      </c>
      <c r="R33" t="s">
        <v>686</v>
      </c>
      <c r="S33" t="s">
        <v>25</v>
      </c>
      <c r="T33" t="s">
        <v>687</v>
      </c>
      <c r="U33" s="3"/>
      <c r="Z33" t="s">
        <v>6517</v>
      </c>
    </row>
    <row r="34" spans="1:26" ht="16.5">
      <c r="A34" t="s">
        <v>688</v>
      </c>
      <c r="B34" t="s">
        <v>688</v>
      </c>
      <c r="C34" t="s">
        <v>689</v>
      </c>
      <c r="D34" t="s">
        <v>21</v>
      </c>
      <c r="E34" s="14" t="s">
        <v>22</v>
      </c>
      <c r="F34" t="s">
        <v>690</v>
      </c>
      <c r="G34" t="str">
        <f>Config!$B$4</f>
        <v>SCH/C_IEC.SchLib</v>
      </c>
      <c r="H34" t="s">
        <v>425</v>
      </c>
      <c r="I34" t="s">
        <v>461</v>
      </c>
      <c r="J34" t="s">
        <v>475</v>
      </c>
      <c r="K34" s="3">
        <v>4.7000000000000003E-10</v>
      </c>
      <c r="L34" t="s">
        <v>476</v>
      </c>
      <c r="M34" t="s">
        <v>477</v>
      </c>
      <c r="N34" t="s">
        <v>691</v>
      </c>
      <c r="O34" t="s">
        <v>25</v>
      </c>
      <c r="P34" t="s">
        <v>692</v>
      </c>
      <c r="Q34" t="s">
        <v>477</v>
      </c>
      <c r="R34" t="s">
        <v>693</v>
      </c>
      <c r="S34" t="s">
        <v>25</v>
      </c>
      <c r="T34" t="s">
        <v>694</v>
      </c>
      <c r="U34" s="9" t="s">
        <v>4814</v>
      </c>
      <c r="V34" t="s">
        <v>4815</v>
      </c>
      <c r="W34" t="s">
        <v>4559</v>
      </c>
      <c r="X34" s="9" t="s">
        <v>4816</v>
      </c>
      <c r="Y34" t="s">
        <v>4727</v>
      </c>
      <c r="Z34" t="s">
        <v>6518</v>
      </c>
    </row>
    <row r="35" spans="1:26">
      <c r="A35" t="s">
        <v>695</v>
      </c>
      <c r="B35" t="s">
        <v>695</v>
      </c>
      <c r="C35" t="s">
        <v>696</v>
      </c>
      <c r="D35" t="s">
        <v>21</v>
      </c>
      <c r="E35" s="14" t="s">
        <v>22</v>
      </c>
      <c r="F35" t="s">
        <v>697</v>
      </c>
      <c r="G35" t="str">
        <f>Config!$B$4</f>
        <v>SCH/C_IEC.SchLib</v>
      </c>
      <c r="H35" t="s">
        <v>425</v>
      </c>
      <c r="I35" t="s">
        <v>461</v>
      </c>
      <c r="J35" t="s">
        <v>475</v>
      </c>
      <c r="K35" s="3">
        <v>5.5999999999999993E-10</v>
      </c>
      <c r="L35" t="s">
        <v>476</v>
      </c>
      <c r="M35" t="s">
        <v>477</v>
      </c>
      <c r="N35" t="s">
        <v>698</v>
      </c>
      <c r="O35" t="s">
        <v>25</v>
      </c>
      <c r="P35" t="s">
        <v>699</v>
      </c>
      <c r="Q35" t="s">
        <v>477</v>
      </c>
      <c r="R35" t="s">
        <v>700</v>
      </c>
      <c r="S35" t="s">
        <v>25</v>
      </c>
      <c r="T35" t="s">
        <v>701</v>
      </c>
      <c r="U35" s="3" t="s">
        <v>477</v>
      </c>
      <c r="V35" t="s">
        <v>698</v>
      </c>
      <c r="W35" t="s">
        <v>4559</v>
      </c>
      <c r="X35" t="s">
        <v>16738</v>
      </c>
      <c r="Y35" t="s">
        <v>4727</v>
      </c>
      <c r="Z35" t="s">
        <v>6519</v>
      </c>
    </row>
    <row r="36" spans="1:26">
      <c r="A36" t="s">
        <v>702</v>
      </c>
      <c r="B36" t="s">
        <v>702</v>
      </c>
      <c r="C36" t="s">
        <v>703</v>
      </c>
      <c r="D36" t="s">
        <v>21</v>
      </c>
      <c r="E36" s="14" t="s">
        <v>22</v>
      </c>
      <c r="F36" t="s">
        <v>704</v>
      </c>
      <c r="G36" t="str">
        <f>Config!$B$4</f>
        <v>SCH/C_IEC.SchLib</v>
      </c>
      <c r="H36" t="s">
        <v>425</v>
      </c>
      <c r="I36" t="s">
        <v>461</v>
      </c>
      <c r="J36" t="s">
        <v>475</v>
      </c>
      <c r="K36" s="3">
        <v>6.7999999999999993E-10</v>
      </c>
      <c r="L36" t="s">
        <v>476</v>
      </c>
      <c r="M36" t="s">
        <v>477</v>
      </c>
      <c r="N36" t="s">
        <v>705</v>
      </c>
      <c r="O36" t="s">
        <v>25</v>
      </c>
      <c r="P36" t="s">
        <v>706</v>
      </c>
      <c r="Q36" t="s">
        <v>477</v>
      </c>
      <c r="R36" t="s">
        <v>707</v>
      </c>
      <c r="S36" t="s">
        <v>25</v>
      </c>
      <c r="T36" t="s">
        <v>708</v>
      </c>
      <c r="U36" s="3"/>
      <c r="Z36" t="s">
        <v>6520</v>
      </c>
    </row>
    <row r="37" spans="1:26">
      <c r="A37" t="s">
        <v>709</v>
      </c>
      <c r="B37" t="s">
        <v>709</v>
      </c>
      <c r="C37" t="s">
        <v>710</v>
      </c>
      <c r="D37" t="s">
        <v>21</v>
      </c>
      <c r="E37" s="14" t="s">
        <v>22</v>
      </c>
      <c r="F37" t="s">
        <v>711</v>
      </c>
      <c r="G37" t="str">
        <f>Config!$B$4</f>
        <v>SCH/C_IEC.SchLib</v>
      </c>
      <c r="H37" t="s">
        <v>425</v>
      </c>
      <c r="I37" t="s">
        <v>461</v>
      </c>
      <c r="J37" t="s">
        <v>475</v>
      </c>
      <c r="K37" s="3">
        <v>8.2000000000000006E-10</v>
      </c>
      <c r="L37" t="s">
        <v>476</v>
      </c>
      <c r="M37" t="s">
        <v>477</v>
      </c>
      <c r="N37" t="s">
        <v>712</v>
      </c>
      <c r="O37" t="s">
        <v>25</v>
      </c>
      <c r="P37" t="s">
        <v>713</v>
      </c>
      <c r="Q37" t="s">
        <v>477</v>
      </c>
      <c r="R37" t="s">
        <v>714</v>
      </c>
      <c r="S37" t="s">
        <v>25</v>
      </c>
      <c r="T37" t="s">
        <v>715</v>
      </c>
      <c r="U37" s="3"/>
      <c r="Z37" t="s">
        <v>6521</v>
      </c>
    </row>
    <row r="38" spans="1:26">
      <c r="A38" t="s">
        <v>10603</v>
      </c>
      <c r="B38" t="s">
        <v>10603</v>
      </c>
      <c r="C38" t="s">
        <v>716</v>
      </c>
      <c r="D38" t="s">
        <v>21</v>
      </c>
      <c r="E38" s="14" t="s">
        <v>22</v>
      </c>
      <c r="F38" t="s">
        <v>717</v>
      </c>
      <c r="G38" t="str">
        <f>Config!$B$4</f>
        <v>SCH/C_IEC.SchLib</v>
      </c>
      <c r="H38" t="s">
        <v>425</v>
      </c>
      <c r="I38" t="s">
        <v>461</v>
      </c>
      <c r="J38" t="s">
        <v>475</v>
      </c>
      <c r="K38" s="3">
        <v>1.0000000000000001E-9</v>
      </c>
      <c r="L38" t="s">
        <v>476</v>
      </c>
      <c r="M38" t="s">
        <v>477</v>
      </c>
      <c r="N38" t="s">
        <v>718</v>
      </c>
      <c r="O38" t="s">
        <v>25</v>
      </c>
      <c r="P38" t="s">
        <v>719</v>
      </c>
      <c r="Q38" t="s">
        <v>477</v>
      </c>
      <c r="R38" t="s">
        <v>720</v>
      </c>
      <c r="S38" t="s">
        <v>25</v>
      </c>
      <c r="T38" t="s">
        <v>721</v>
      </c>
      <c r="U38" s="3" t="s">
        <v>4479</v>
      </c>
      <c r="V38" t="s">
        <v>13566</v>
      </c>
      <c r="W38" t="s">
        <v>4559</v>
      </c>
      <c r="X38" t="s">
        <v>13567</v>
      </c>
      <c r="Y38" t="s">
        <v>4727</v>
      </c>
      <c r="Z38" t="s">
        <v>6522</v>
      </c>
    </row>
    <row r="39" spans="1:26">
      <c r="A39" t="s">
        <v>10594</v>
      </c>
      <c r="B39" t="s">
        <v>10594</v>
      </c>
      <c r="C39" t="s">
        <v>722</v>
      </c>
      <c r="D39" t="s">
        <v>21</v>
      </c>
      <c r="E39" s="14" t="s">
        <v>22</v>
      </c>
      <c r="F39" t="s">
        <v>723</v>
      </c>
      <c r="G39" t="str">
        <f>Config!$B$4</f>
        <v>SCH/C_IEC.SchLib</v>
      </c>
      <c r="H39" t="s">
        <v>425</v>
      </c>
      <c r="I39" t="s">
        <v>461</v>
      </c>
      <c r="J39" t="s">
        <v>475</v>
      </c>
      <c r="K39" s="3">
        <v>1.2E-9</v>
      </c>
      <c r="L39" t="s">
        <v>476</v>
      </c>
      <c r="M39" t="s">
        <v>477</v>
      </c>
      <c r="N39" t="s">
        <v>724</v>
      </c>
      <c r="O39" t="s">
        <v>25</v>
      </c>
      <c r="P39" t="s">
        <v>725</v>
      </c>
      <c r="Q39" t="s">
        <v>477</v>
      </c>
      <c r="R39" t="s">
        <v>726</v>
      </c>
      <c r="S39" t="s">
        <v>25</v>
      </c>
      <c r="T39" t="s">
        <v>727</v>
      </c>
      <c r="U39" s="3"/>
      <c r="Z39" t="s">
        <v>6523</v>
      </c>
    </row>
    <row r="40" spans="1:26">
      <c r="A40" t="s">
        <v>10595</v>
      </c>
      <c r="B40" t="s">
        <v>10595</v>
      </c>
      <c r="C40" t="s">
        <v>728</v>
      </c>
      <c r="D40" t="s">
        <v>21</v>
      </c>
      <c r="E40" s="14" t="s">
        <v>22</v>
      </c>
      <c r="F40" t="s">
        <v>729</v>
      </c>
      <c r="G40" t="str">
        <f>Config!$B$4</f>
        <v>SCH/C_IEC.SchLib</v>
      </c>
      <c r="H40" t="s">
        <v>425</v>
      </c>
      <c r="I40" t="s">
        <v>461</v>
      </c>
      <c r="J40" t="s">
        <v>475</v>
      </c>
      <c r="K40" s="3">
        <v>1.4999999999999998E-9</v>
      </c>
      <c r="L40" t="s">
        <v>476</v>
      </c>
      <c r="M40" t="s">
        <v>477</v>
      </c>
      <c r="N40" t="s">
        <v>730</v>
      </c>
      <c r="O40" t="s">
        <v>25</v>
      </c>
      <c r="P40" t="s">
        <v>731</v>
      </c>
      <c r="Q40" t="s">
        <v>477</v>
      </c>
      <c r="R40" t="s">
        <v>732</v>
      </c>
      <c r="S40" t="s">
        <v>25</v>
      </c>
      <c r="T40" t="s">
        <v>733</v>
      </c>
      <c r="U40" s="3"/>
      <c r="Z40" t="s">
        <v>6524</v>
      </c>
    </row>
    <row r="41" spans="1:26">
      <c r="A41" t="s">
        <v>10596</v>
      </c>
      <c r="B41" t="s">
        <v>10596</v>
      </c>
      <c r="C41" t="s">
        <v>734</v>
      </c>
      <c r="D41" t="s">
        <v>21</v>
      </c>
      <c r="E41" s="14" t="s">
        <v>22</v>
      </c>
      <c r="F41" t="s">
        <v>735</v>
      </c>
      <c r="G41" t="str">
        <f>Config!$B$4</f>
        <v>SCH/C_IEC.SchLib</v>
      </c>
      <c r="H41" t="s">
        <v>425</v>
      </c>
      <c r="I41" t="s">
        <v>461</v>
      </c>
      <c r="J41" t="s">
        <v>475</v>
      </c>
      <c r="K41" s="3">
        <v>1.8E-9</v>
      </c>
      <c r="L41" t="s">
        <v>476</v>
      </c>
      <c r="M41" t="s">
        <v>477</v>
      </c>
      <c r="N41" t="s">
        <v>736</v>
      </c>
      <c r="O41" t="s">
        <v>25</v>
      </c>
      <c r="P41" t="s">
        <v>737</v>
      </c>
      <c r="U41" s="3"/>
      <c r="Z41" t="s">
        <v>6525</v>
      </c>
    </row>
    <row r="42" spans="1:26">
      <c r="A42" t="s">
        <v>10597</v>
      </c>
      <c r="B42" t="s">
        <v>10597</v>
      </c>
      <c r="C42" t="s">
        <v>738</v>
      </c>
      <c r="D42" t="s">
        <v>21</v>
      </c>
      <c r="E42" s="14" t="s">
        <v>22</v>
      </c>
      <c r="F42" t="s">
        <v>739</v>
      </c>
      <c r="G42" t="str">
        <f>Config!$B$4</f>
        <v>SCH/C_IEC.SchLib</v>
      </c>
      <c r="H42" t="s">
        <v>425</v>
      </c>
      <c r="I42" t="s">
        <v>461</v>
      </c>
      <c r="J42" t="s">
        <v>475</v>
      </c>
      <c r="K42" s="3">
        <v>2.1999999999999998E-9</v>
      </c>
      <c r="L42" t="s">
        <v>476</v>
      </c>
      <c r="M42" t="s">
        <v>477</v>
      </c>
      <c r="N42" t="s">
        <v>740</v>
      </c>
      <c r="O42" t="s">
        <v>25</v>
      </c>
      <c r="P42" t="s">
        <v>741</v>
      </c>
      <c r="Q42" t="s">
        <v>477</v>
      </c>
      <c r="R42" t="s">
        <v>742</v>
      </c>
      <c r="S42" t="s">
        <v>25</v>
      </c>
      <c r="T42" t="s">
        <v>743</v>
      </c>
      <c r="U42" s="3"/>
      <c r="Z42" t="s">
        <v>6526</v>
      </c>
    </row>
    <row r="43" spans="1:26">
      <c r="A43" t="s">
        <v>10598</v>
      </c>
      <c r="B43" t="s">
        <v>10598</v>
      </c>
      <c r="C43" t="s">
        <v>744</v>
      </c>
      <c r="D43" t="s">
        <v>21</v>
      </c>
      <c r="E43" s="14" t="s">
        <v>22</v>
      </c>
      <c r="F43" t="s">
        <v>745</v>
      </c>
      <c r="G43" t="str">
        <f>Config!$B$4</f>
        <v>SCH/C_IEC.SchLib</v>
      </c>
      <c r="H43" t="s">
        <v>425</v>
      </c>
      <c r="I43" t="s">
        <v>461</v>
      </c>
      <c r="J43" t="s">
        <v>475</v>
      </c>
      <c r="K43" s="3">
        <v>2.7000000000000002E-9</v>
      </c>
      <c r="L43" t="s">
        <v>476</v>
      </c>
      <c r="M43" t="s">
        <v>477</v>
      </c>
      <c r="N43" t="s">
        <v>746</v>
      </c>
      <c r="O43" t="s">
        <v>25</v>
      </c>
      <c r="P43" t="s">
        <v>747</v>
      </c>
      <c r="Q43" t="s">
        <v>477</v>
      </c>
      <c r="R43" t="s">
        <v>748</v>
      </c>
      <c r="S43" t="s">
        <v>25</v>
      </c>
      <c r="T43" t="s">
        <v>749</v>
      </c>
      <c r="U43" s="3" t="s">
        <v>4479</v>
      </c>
      <c r="V43" t="s">
        <v>18531</v>
      </c>
      <c r="W43" t="s">
        <v>4559</v>
      </c>
      <c r="X43" t="s">
        <v>18532</v>
      </c>
      <c r="Y43" t="s">
        <v>4727</v>
      </c>
      <c r="Z43" t="s">
        <v>6527</v>
      </c>
    </row>
    <row r="44" spans="1:26">
      <c r="A44" t="s">
        <v>10599</v>
      </c>
      <c r="B44" t="s">
        <v>10599</v>
      </c>
      <c r="C44" t="s">
        <v>750</v>
      </c>
      <c r="D44" t="s">
        <v>21</v>
      </c>
      <c r="E44" s="14" t="s">
        <v>22</v>
      </c>
      <c r="F44" t="s">
        <v>751</v>
      </c>
      <c r="G44" t="str">
        <f>Config!$B$4</f>
        <v>SCH/C_IEC.SchLib</v>
      </c>
      <c r="H44" t="s">
        <v>425</v>
      </c>
      <c r="I44" t="s">
        <v>461</v>
      </c>
      <c r="J44" t="s">
        <v>475</v>
      </c>
      <c r="K44" s="3">
        <v>3.2999999999999998E-9</v>
      </c>
      <c r="L44" t="s">
        <v>476</v>
      </c>
      <c r="M44" t="s">
        <v>477</v>
      </c>
      <c r="N44" t="s">
        <v>752</v>
      </c>
      <c r="O44" t="s">
        <v>25</v>
      </c>
      <c r="P44" t="s">
        <v>753</v>
      </c>
      <c r="Q44" t="s">
        <v>477</v>
      </c>
      <c r="R44" t="s">
        <v>754</v>
      </c>
      <c r="S44" t="s">
        <v>25</v>
      </c>
      <c r="T44" t="s">
        <v>755</v>
      </c>
      <c r="U44" s="3"/>
      <c r="Z44" t="s">
        <v>6528</v>
      </c>
    </row>
    <row r="45" spans="1:26">
      <c r="A45" t="s">
        <v>10600</v>
      </c>
      <c r="B45" t="s">
        <v>10600</v>
      </c>
      <c r="C45" t="s">
        <v>756</v>
      </c>
      <c r="D45" t="s">
        <v>21</v>
      </c>
      <c r="E45" s="14" t="s">
        <v>22</v>
      </c>
      <c r="F45" t="s">
        <v>757</v>
      </c>
      <c r="G45" t="str">
        <f>Config!$B$4</f>
        <v>SCH/C_IEC.SchLib</v>
      </c>
      <c r="H45" t="s">
        <v>425</v>
      </c>
      <c r="I45" t="s">
        <v>461</v>
      </c>
      <c r="J45" t="s">
        <v>475</v>
      </c>
      <c r="K45" s="3">
        <v>3.9000000000000002E-9</v>
      </c>
      <c r="L45" t="s">
        <v>476</v>
      </c>
      <c r="M45" t="s">
        <v>477</v>
      </c>
      <c r="N45" t="s">
        <v>758</v>
      </c>
      <c r="O45" t="s">
        <v>25</v>
      </c>
      <c r="P45" t="s">
        <v>759</v>
      </c>
      <c r="U45" s="3"/>
      <c r="Z45" t="s">
        <v>6529</v>
      </c>
    </row>
    <row r="46" spans="1:26">
      <c r="A46" t="s">
        <v>10601</v>
      </c>
      <c r="B46" t="s">
        <v>10601</v>
      </c>
      <c r="C46" t="s">
        <v>760</v>
      </c>
      <c r="D46" t="s">
        <v>21</v>
      </c>
      <c r="E46" s="14" t="s">
        <v>22</v>
      </c>
      <c r="F46" t="s">
        <v>761</v>
      </c>
      <c r="G46" t="str">
        <f>Config!$B$4</f>
        <v>SCH/C_IEC.SchLib</v>
      </c>
      <c r="H46" t="s">
        <v>425</v>
      </c>
      <c r="I46" t="s">
        <v>461</v>
      </c>
      <c r="J46" t="s">
        <v>475</v>
      </c>
      <c r="K46" s="3">
        <v>4.6999999999999999E-9</v>
      </c>
      <c r="L46" t="s">
        <v>476</v>
      </c>
      <c r="M46" t="s">
        <v>477</v>
      </c>
      <c r="N46" t="s">
        <v>762</v>
      </c>
      <c r="O46" t="s">
        <v>25</v>
      </c>
      <c r="P46" t="s">
        <v>763</v>
      </c>
      <c r="U46" s="3"/>
      <c r="Z46" t="s">
        <v>6530</v>
      </c>
    </row>
    <row r="47" spans="1:26">
      <c r="A47" t="s">
        <v>10602</v>
      </c>
      <c r="B47" t="s">
        <v>10602</v>
      </c>
      <c r="C47" t="s">
        <v>764</v>
      </c>
      <c r="D47" t="s">
        <v>21</v>
      </c>
      <c r="E47" s="14" t="s">
        <v>22</v>
      </c>
      <c r="F47" t="s">
        <v>765</v>
      </c>
      <c r="G47" t="str">
        <f>Config!$B$4</f>
        <v>SCH/C_IEC.SchLib</v>
      </c>
      <c r="H47" t="s">
        <v>425</v>
      </c>
      <c r="I47" t="s">
        <v>461</v>
      </c>
      <c r="J47" t="s">
        <v>475</v>
      </c>
      <c r="K47" s="3">
        <v>6.7999999999999997E-9</v>
      </c>
      <c r="L47" t="s">
        <v>476</v>
      </c>
      <c r="M47" t="s">
        <v>477</v>
      </c>
      <c r="N47" t="s">
        <v>766</v>
      </c>
      <c r="O47" t="s">
        <v>25</v>
      </c>
      <c r="P47" t="s">
        <v>767</v>
      </c>
      <c r="U47" s="3"/>
      <c r="Z47" t="s">
        <v>6531</v>
      </c>
    </row>
    <row r="48" spans="1:26">
      <c r="A48" t="s">
        <v>768</v>
      </c>
      <c r="B48" t="s">
        <v>768</v>
      </c>
      <c r="C48" t="s">
        <v>769</v>
      </c>
      <c r="D48" t="s">
        <v>21</v>
      </c>
      <c r="E48" s="14" t="s">
        <v>22</v>
      </c>
      <c r="F48" t="s">
        <v>770</v>
      </c>
      <c r="G48" t="str">
        <f>Config!$B$4</f>
        <v>SCH/C_IEC.SchLib</v>
      </c>
      <c r="H48" t="s">
        <v>425</v>
      </c>
      <c r="I48" t="s">
        <v>461</v>
      </c>
      <c r="J48" t="s">
        <v>475</v>
      </c>
      <c r="K48" s="3">
        <v>1E-8</v>
      </c>
      <c r="L48" t="s">
        <v>476</v>
      </c>
      <c r="M48" t="s">
        <v>477</v>
      </c>
      <c r="N48" t="s">
        <v>771</v>
      </c>
      <c r="O48" t="s">
        <v>25</v>
      </c>
      <c r="P48" t="s">
        <v>772</v>
      </c>
      <c r="U48" s="3" t="s">
        <v>4479</v>
      </c>
      <c r="V48" t="s">
        <v>18501</v>
      </c>
      <c r="W48" t="s">
        <v>4559</v>
      </c>
      <c r="X48" t="s">
        <v>18502</v>
      </c>
      <c r="Y48" t="s">
        <v>4727</v>
      </c>
      <c r="Z48" t="s">
        <v>6532</v>
      </c>
    </row>
    <row r="49" spans="1:26">
      <c r="A49" t="s">
        <v>773</v>
      </c>
      <c r="B49" t="s">
        <v>773</v>
      </c>
      <c r="C49" t="s">
        <v>774</v>
      </c>
      <c r="D49" t="s">
        <v>21</v>
      </c>
      <c r="E49" s="14" t="s">
        <v>22</v>
      </c>
      <c r="F49" t="s">
        <v>634</v>
      </c>
      <c r="G49" t="str">
        <f>Config!$B$4</f>
        <v>SCH/C_IEC.SchLib</v>
      </c>
      <c r="H49" t="s">
        <v>425</v>
      </c>
      <c r="I49" t="s">
        <v>461</v>
      </c>
      <c r="J49" t="s">
        <v>775</v>
      </c>
      <c r="K49" s="3">
        <v>1E-10</v>
      </c>
      <c r="L49" t="s">
        <v>776</v>
      </c>
      <c r="M49" t="s">
        <v>477</v>
      </c>
      <c r="N49" t="s">
        <v>777</v>
      </c>
      <c r="O49" t="s">
        <v>25</v>
      </c>
      <c r="P49" t="s">
        <v>778</v>
      </c>
      <c r="Q49" t="s">
        <v>477</v>
      </c>
      <c r="R49" t="s">
        <v>779</v>
      </c>
      <c r="S49" t="s">
        <v>25</v>
      </c>
      <c r="T49" t="s">
        <v>780</v>
      </c>
      <c r="Z49" t="str">
        <f>"GPC"&amp;E49&amp;RIGHT(N49,3)</f>
        <v>GPC0603101</v>
      </c>
    </row>
    <row r="50" spans="1:26">
      <c r="A50" t="s">
        <v>781</v>
      </c>
      <c r="B50" t="s">
        <v>781</v>
      </c>
      <c r="C50" t="s">
        <v>782</v>
      </c>
      <c r="D50" t="s">
        <v>21</v>
      </c>
      <c r="E50" s="14" t="s">
        <v>22</v>
      </c>
      <c r="F50" t="s">
        <v>641</v>
      </c>
      <c r="G50" t="str">
        <f>Config!$B$4</f>
        <v>SCH/C_IEC.SchLib</v>
      </c>
      <c r="H50" t="s">
        <v>425</v>
      </c>
      <c r="I50" t="s">
        <v>461</v>
      </c>
      <c r="J50" t="s">
        <v>775</v>
      </c>
      <c r="K50" s="3">
        <v>1.2E-10</v>
      </c>
      <c r="L50" t="s">
        <v>776</v>
      </c>
      <c r="M50" t="s">
        <v>477</v>
      </c>
      <c r="N50" t="s">
        <v>783</v>
      </c>
      <c r="O50" t="s">
        <v>25</v>
      </c>
      <c r="P50" t="s">
        <v>784</v>
      </c>
      <c r="U50" s="3"/>
      <c r="Z50" t="str">
        <f t="shared" ref="Z50:Z92" si="0">"GPC"&amp;E50&amp;RIGHT(N50,3)</f>
        <v>GPC0603121</v>
      </c>
    </row>
    <row r="51" spans="1:26">
      <c r="A51" t="s">
        <v>785</v>
      </c>
      <c r="B51" t="s">
        <v>785</v>
      </c>
      <c r="C51" t="s">
        <v>786</v>
      </c>
      <c r="D51" t="s">
        <v>21</v>
      </c>
      <c r="E51" s="14" t="s">
        <v>22</v>
      </c>
      <c r="F51" t="s">
        <v>648</v>
      </c>
      <c r="G51" t="str">
        <f>Config!$B$4</f>
        <v>SCH/C_IEC.SchLib</v>
      </c>
      <c r="H51" t="s">
        <v>425</v>
      </c>
      <c r="I51" t="s">
        <v>461</v>
      </c>
      <c r="J51" t="s">
        <v>775</v>
      </c>
      <c r="K51" s="3">
        <v>1.5E-10</v>
      </c>
      <c r="L51" t="s">
        <v>776</v>
      </c>
      <c r="M51" t="s">
        <v>477</v>
      </c>
      <c r="N51" t="s">
        <v>787</v>
      </c>
      <c r="O51" t="s">
        <v>25</v>
      </c>
      <c r="P51" t="s">
        <v>788</v>
      </c>
      <c r="Q51" t="s">
        <v>477</v>
      </c>
      <c r="R51" t="s">
        <v>789</v>
      </c>
      <c r="S51" t="s">
        <v>25</v>
      </c>
      <c r="T51" t="s">
        <v>790</v>
      </c>
      <c r="U51" s="3"/>
      <c r="Z51" t="str">
        <f t="shared" si="0"/>
        <v>GPC0603151</v>
      </c>
    </row>
    <row r="52" spans="1:26">
      <c r="A52" t="s">
        <v>791</v>
      </c>
      <c r="B52" t="s">
        <v>791</v>
      </c>
      <c r="C52" t="s">
        <v>792</v>
      </c>
      <c r="D52" t="s">
        <v>21</v>
      </c>
      <c r="E52" s="14" t="s">
        <v>22</v>
      </c>
      <c r="F52" t="s">
        <v>655</v>
      </c>
      <c r="G52" t="str">
        <f>Config!$B$4</f>
        <v>SCH/C_IEC.SchLib</v>
      </c>
      <c r="H52" t="s">
        <v>425</v>
      </c>
      <c r="I52" t="s">
        <v>461</v>
      </c>
      <c r="J52" t="s">
        <v>775</v>
      </c>
      <c r="K52" s="3">
        <v>1.8E-10</v>
      </c>
      <c r="L52" t="s">
        <v>776</v>
      </c>
      <c r="M52" t="s">
        <v>477</v>
      </c>
      <c r="N52" t="s">
        <v>793</v>
      </c>
      <c r="O52" t="s">
        <v>25</v>
      </c>
      <c r="P52" t="s">
        <v>794</v>
      </c>
      <c r="Q52" t="s">
        <v>477</v>
      </c>
      <c r="R52" t="s">
        <v>795</v>
      </c>
      <c r="S52" t="s">
        <v>25</v>
      </c>
      <c r="T52" t="s">
        <v>796</v>
      </c>
      <c r="U52" s="3"/>
      <c r="Z52" t="str">
        <f t="shared" si="0"/>
        <v>GPC0603181</v>
      </c>
    </row>
    <row r="53" spans="1:26">
      <c r="A53" t="s">
        <v>797</v>
      </c>
      <c r="B53" t="s">
        <v>797</v>
      </c>
      <c r="C53" t="s">
        <v>798</v>
      </c>
      <c r="D53" t="s">
        <v>21</v>
      </c>
      <c r="E53" s="14" t="s">
        <v>22</v>
      </c>
      <c r="F53" t="s">
        <v>662</v>
      </c>
      <c r="G53" t="str">
        <f>Config!$B$4</f>
        <v>SCH/C_IEC.SchLib</v>
      </c>
      <c r="H53" t="s">
        <v>425</v>
      </c>
      <c r="I53" t="s">
        <v>461</v>
      </c>
      <c r="J53" t="s">
        <v>775</v>
      </c>
      <c r="K53" s="3">
        <v>2.1999999999999999E-10</v>
      </c>
      <c r="L53" t="s">
        <v>776</v>
      </c>
      <c r="M53" t="s">
        <v>477</v>
      </c>
      <c r="N53" t="s">
        <v>799</v>
      </c>
      <c r="O53" t="s">
        <v>25</v>
      </c>
      <c r="P53" t="s">
        <v>800</v>
      </c>
      <c r="Q53" t="s">
        <v>477</v>
      </c>
      <c r="R53" t="s">
        <v>801</v>
      </c>
      <c r="S53" t="s">
        <v>25</v>
      </c>
      <c r="T53" t="s">
        <v>802</v>
      </c>
      <c r="U53" s="3"/>
      <c r="Z53" t="str">
        <f t="shared" si="0"/>
        <v>GPC0603221</v>
      </c>
    </row>
    <row r="54" spans="1:26">
      <c r="A54" t="s">
        <v>803</v>
      </c>
      <c r="B54" t="s">
        <v>803</v>
      </c>
      <c r="C54" t="s">
        <v>804</v>
      </c>
      <c r="D54" t="s">
        <v>21</v>
      </c>
      <c r="E54" s="14" t="s">
        <v>22</v>
      </c>
      <c r="F54" t="s">
        <v>669</v>
      </c>
      <c r="G54" t="str">
        <f>Config!$B$4</f>
        <v>SCH/C_IEC.SchLib</v>
      </c>
      <c r="H54" t="s">
        <v>425</v>
      </c>
      <c r="I54" t="s">
        <v>461</v>
      </c>
      <c r="J54" t="s">
        <v>775</v>
      </c>
      <c r="K54" s="3">
        <v>2.7E-10</v>
      </c>
      <c r="L54" t="s">
        <v>776</v>
      </c>
      <c r="M54" t="s">
        <v>477</v>
      </c>
      <c r="N54" t="s">
        <v>805</v>
      </c>
      <c r="O54" t="s">
        <v>25</v>
      </c>
      <c r="P54" t="s">
        <v>806</v>
      </c>
      <c r="Q54" t="s">
        <v>477</v>
      </c>
      <c r="R54" t="s">
        <v>807</v>
      </c>
      <c r="S54" t="s">
        <v>25</v>
      </c>
      <c r="T54" t="s">
        <v>808</v>
      </c>
      <c r="U54" s="3"/>
      <c r="Z54" t="str">
        <f t="shared" si="0"/>
        <v>GPC0603271</v>
      </c>
    </row>
    <row r="55" spans="1:26">
      <c r="A55" t="s">
        <v>809</v>
      </c>
      <c r="B55" t="s">
        <v>809</v>
      </c>
      <c r="C55" t="s">
        <v>810</v>
      </c>
      <c r="D55" t="s">
        <v>21</v>
      </c>
      <c r="E55" s="14" t="s">
        <v>22</v>
      </c>
      <c r="F55" t="s">
        <v>676</v>
      </c>
      <c r="G55" t="str">
        <f>Config!$B$4</f>
        <v>SCH/C_IEC.SchLib</v>
      </c>
      <c r="H55" t="s">
        <v>425</v>
      </c>
      <c r="I55" t="s">
        <v>461</v>
      </c>
      <c r="J55" t="s">
        <v>775</v>
      </c>
      <c r="K55" s="3">
        <v>3.3E-10</v>
      </c>
      <c r="L55" t="s">
        <v>776</v>
      </c>
      <c r="M55" t="s">
        <v>477</v>
      </c>
      <c r="N55" t="s">
        <v>811</v>
      </c>
      <c r="O55" t="s">
        <v>25</v>
      </c>
      <c r="P55" t="s">
        <v>812</v>
      </c>
      <c r="Q55" t="s">
        <v>477</v>
      </c>
      <c r="R55" t="s">
        <v>813</v>
      </c>
      <c r="S55" t="s">
        <v>25</v>
      </c>
      <c r="T55" t="s">
        <v>814</v>
      </c>
      <c r="U55" s="3"/>
      <c r="Z55" t="str">
        <f t="shared" si="0"/>
        <v>GPC0603331</v>
      </c>
    </row>
    <row r="56" spans="1:26">
      <c r="A56" t="s">
        <v>815</v>
      </c>
      <c r="B56" t="s">
        <v>815</v>
      </c>
      <c r="C56" t="s">
        <v>816</v>
      </c>
      <c r="D56" t="s">
        <v>21</v>
      </c>
      <c r="E56" s="14" t="s">
        <v>22</v>
      </c>
      <c r="F56" t="s">
        <v>683</v>
      </c>
      <c r="G56" t="str">
        <f>Config!$B$4</f>
        <v>SCH/C_IEC.SchLib</v>
      </c>
      <c r="H56" t="s">
        <v>425</v>
      </c>
      <c r="I56" t="s">
        <v>461</v>
      </c>
      <c r="J56" t="s">
        <v>775</v>
      </c>
      <c r="K56" s="3">
        <v>3.9E-10</v>
      </c>
      <c r="L56" t="s">
        <v>776</v>
      </c>
      <c r="M56" t="s">
        <v>477</v>
      </c>
      <c r="N56" t="s">
        <v>817</v>
      </c>
      <c r="O56" t="s">
        <v>25</v>
      </c>
      <c r="P56" t="s">
        <v>818</v>
      </c>
      <c r="Q56" t="s">
        <v>477</v>
      </c>
      <c r="R56" t="s">
        <v>819</v>
      </c>
      <c r="S56" t="s">
        <v>25</v>
      </c>
      <c r="T56" t="s">
        <v>820</v>
      </c>
      <c r="U56" s="3"/>
      <c r="Z56" t="str">
        <f t="shared" si="0"/>
        <v>GPC0603391</v>
      </c>
    </row>
    <row r="57" spans="1:26">
      <c r="A57" t="s">
        <v>821</v>
      </c>
      <c r="B57" t="s">
        <v>821</v>
      </c>
      <c r="C57" t="s">
        <v>822</v>
      </c>
      <c r="D57" t="s">
        <v>21</v>
      </c>
      <c r="E57" s="14" t="s">
        <v>22</v>
      </c>
      <c r="F57" t="s">
        <v>690</v>
      </c>
      <c r="G57" t="str">
        <f>Config!$B$4</f>
        <v>SCH/C_IEC.SchLib</v>
      </c>
      <c r="H57" t="s">
        <v>425</v>
      </c>
      <c r="I57" t="s">
        <v>461</v>
      </c>
      <c r="J57" t="s">
        <v>775</v>
      </c>
      <c r="K57" s="3">
        <v>4.7000000000000003E-10</v>
      </c>
      <c r="L57" t="s">
        <v>776</v>
      </c>
      <c r="M57" t="s">
        <v>477</v>
      </c>
      <c r="N57" t="s">
        <v>823</v>
      </c>
      <c r="O57" t="s">
        <v>25</v>
      </c>
      <c r="P57" t="s">
        <v>824</v>
      </c>
      <c r="Q57" t="s">
        <v>477</v>
      </c>
      <c r="R57" t="s">
        <v>825</v>
      </c>
      <c r="S57" t="s">
        <v>25</v>
      </c>
      <c r="T57" t="s">
        <v>826</v>
      </c>
      <c r="U57" s="3" t="s">
        <v>4592</v>
      </c>
      <c r="V57" t="s">
        <v>4763</v>
      </c>
      <c r="W57" t="s">
        <v>4559</v>
      </c>
      <c r="X57" t="s">
        <v>4764</v>
      </c>
      <c r="Y57" t="s">
        <v>4728</v>
      </c>
      <c r="Z57" t="str">
        <f t="shared" si="0"/>
        <v>GPC0603471</v>
      </c>
    </row>
    <row r="58" spans="1:26">
      <c r="A58" t="s">
        <v>827</v>
      </c>
      <c r="B58" t="s">
        <v>827</v>
      </c>
      <c r="C58" t="s">
        <v>828</v>
      </c>
      <c r="D58" t="s">
        <v>21</v>
      </c>
      <c r="E58" s="14" t="s">
        <v>22</v>
      </c>
      <c r="F58" t="s">
        <v>697</v>
      </c>
      <c r="G58" t="str">
        <f>Config!$B$4</f>
        <v>SCH/C_IEC.SchLib</v>
      </c>
      <c r="H58" t="s">
        <v>425</v>
      </c>
      <c r="I58" t="s">
        <v>461</v>
      </c>
      <c r="J58" t="s">
        <v>775</v>
      </c>
      <c r="K58" s="3">
        <v>5.5999999999999993E-10</v>
      </c>
      <c r="L58" t="s">
        <v>776</v>
      </c>
      <c r="M58" t="s">
        <v>477</v>
      </c>
      <c r="N58" t="s">
        <v>829</v>
      </c>
      <c r="O58" t="s">
        <v>25</v>
      </c>
      <c r="P58" t="s">
        <v>830</v>
      </c>
      <c r="Q58" t="s">
        <v>477</v>
      </c>
      <c r="R58" t="s">
        <v>831</v>
      </c>
      <c r="S58" t="s">
        <v>25</v>
      </c>
      <c r="T58" t="s">
        <v>832</v>
      </c>
      <c r="Z58" t="str">
        <f t="shared" si="0"/>
        <v>GPC0603561</v>
      </c>
    </row>
    <row r="59" spans="1:26">
      <c r="A59" t="s">
        <v>833</v>
      </c>
      <c r="B59" t="s">
        <v>833</v>
      </c>
      <c r="C59" t="s">
        <v>834</v>
      </c>
      <c r="D59" t="s">
        <v>21</v>
      </c>
      <c r="E59" s="14" t="s">
        <v>22</v>
      </c>
      <c r="F59" t="s">
        <v>704</v>
      </c>
      <c r="G59" t="str">
        <f>Config!$B$4</f>
        <v>SCH/C_IEC.SchLib</v>
      </c>
      <c r="H59" t="s">
        <v>425</v>
      </c>
      <c r="I59" t="s">
        <v>461</v>
      </c>
      <c r="J59" t="s">
        <v>775</v>
      </c>
      <c r="K59" s="3">
        <v>6.7999999999999993E-10</v>
      </c>
      <c r="L59" t="s">
        <v>776</v>
      </c>
      <c r="M59" t="s">
        <v>477</v>
      </c>
      <c r="N59" t="s">
        <v>835</v>
      </c>
      <c r="O59" t="s">
        <v>25</v>
      </c>
      <c r="P59" t="s">
        <v>836</v>
      </c>
      <c r="Q59" t="s">
        <v>477</v>
      </c>
      <c r="R59" t="s">
        <v>837</v>
      </c>
      <c r="S59" t="s">
        <v>25</v>
      </c>
      <c r="T59" t="s">
        <v>838</v>
      </c>
      <c r="U59" s="3"/>
      <c r="Z59" t="str">
        <f t="shared" si="0"/>
        <v>GPC0603681</v>
      </c>
    </row>
    <row r="60" spans="1:26">
      <c r="A60" t="s">
        <v>839</v>
      </c>
      <c r="B60" t="s">
        <v>839</v>
      </c>
      <c r="C60" t="s">
        <v>840</v>
      </c>
      <c r="D60" t="s">
        <v>21</v>
      </c>
      <c r="E60" s="14" t="s">
        <v>22</v>
      </c>
      <c r="F60" t="s">
        <v>711</v>
      </c>
      <c r="G60" t="str">
        <f>Config!$B$4</f>
        <v>SCH/C_IEC.SchLib</v>
      </c>
      <c r="H60" t="s">
        <v>425</v>
      </c>
      <c r="I60" t="s">
        <v>461</v>
      </c>
      <c r="J60" t="s">
        <v>775</v>
      </c>
      <c r="K60" s="3">
        <v>8.2000000000000006E-10</v>
      </c>
      <c r="L60" t="s">
        <v>776</v>
      </c>
      <c r="M60" t="s">
        <v>477</v>
      </c>
      <c r="N60" t="s">
        <v>841</v>
      </c>
      <c r="O60" t="s">
        <v>25</v>
      </c>
      <c r="P60" t="s">
        <v>842</v>
      </c>
      <c r="Q60" t="s">
        <v>477</v>
      </c>
      <c r="R60" t="s">
        <v>843</v>
      </c>
      <c r="S60" t="s">
        <v>25</v>
      </c>
      <c r="T60" t="s">
        <v>844</v>
      </c>
      <c r="U60" s="3"/>
      <c r="Z60" t="str">
        <f t="shared" si="0"/>
        <v>GPC0603821</v>
      </c>
    </row>
    <row r="61" spans="1:26">
      <c r="A61" t="s">
        <v>10615</v>
      </c>
      <c r="B61" t="s">
        <v>10615</v>
      </c>
      <c r="C61" t="s">
        <v>845</v>
      </c>
      <c r="D61" t="s">
        <v>21</v>
      </c>
      <c r="E61" s="14" t="s">
        <v>22</v>
      </c>
      <c r="F61" t="s">
        <v>717</v>
      </c>
      <c r="G61" t="str">
        <f>Config!$B$4</f>
        <v>SCH/C_IEC.SchLib</v>
      </c>
      <c r="H61" t="s">
        <v>425</v>
      </c>
      <c r="I61" t="s">
        <v>461</v>
      </c>
      <c r="J61" t="s">
        <v>775</v>
      </c>
      <c r="K61" s="3">
        <v>1.0000000000000001E-9</v>
      </c>
      <c r="L61" t="s">
        <v>776</v>
      </c>
      <c r="M61" t="s">
        <v>477</v>
      </c>
      <c r="N61" t="s">
        <v>846</v>
      </c>
      <c r="O61" t="s">
        <v>25</v>
      </c>
      <c r="P61" t="s">
        <v>847</v>
      </c>
      <c r="Q61" t="s">
        <v>477</v>
      </c>
      <c r="R61" t="s">
        <v>848</v>
      </c>
      <c r="S61" t="s">
        <v>25</v>
      </c>
      <c r="T61" t="s">
        <v>849</v>
      </c>
      <c r="U61" t="s">
        <v>1032</v>
      </c>
      <c r="V61" t="s">
        <v>13568</v>
      </c>
      <c r="W61" t="s">
        <v>4559</v>
      </c>
      <c r="X61" t="s">
        <v>13569</v>
      </c>
      <c r="Y61" t="s">
        <v>4728</v>
      </c>
      <c r="Z61" t="str">
        <f t="shared" si="0"/>
        <v>GPC0603102</v>
      </c>
    </row>
    <row r="62" spans="1:26">
      <c r="A62" t="s">
        <v>10604</v>
      </c>
      <c r="B62" t="s">
        <v>10604</v>
      </c>
      <c r="C62" t="s">
        <v>850</v>
      </c>
      <c r="D62" t="s">
        <v>21</v>
      </c>
      <c r="E62" s="14" t="s">
        <v>22</v>
      </c>
      <c r="F62" t="s">
        <v>723</v>
      </c>
      <c r="G62" t="str">
        <f>Config!$B$4</f>
        <v>SCH/C_IEC.SchLib</v>
      </c>
      <c r="H62" t="s">
        <v>425</v>
      </c>
      <c r="I62" t="s">
        <v>461</v>
      </c>
      <c r="J62" t="s">
        <v>775</v>
      </c>
      <c r="K62" s="3">
        <v>1.2E-9</v>
      </c>
      <c r="L62" t="s">
        <v>776</v>
      </c>
      <c r="M62" t="s">
        <v>477</v>
      </c>
      <c r="N62" t="s">
        <v>851</v>
      </c>
      <c r="O62" t="s">
        <v>25</v>
      </c>
      <c r="P62" t="s">
        <v>852</v>
      </c>
      <c r="Q62" t="s">
        <v>477</v>
      </c>
      <c r="R62" t="s">
        <v>853</v>
      </c>
      <c r="S62" t="s">
        <v>25</v>
      </c>
      <c r="T62" t="s">
        <v>854</v>
      </c>
      <c r="U62" s="3"/>
      <c r="Z62" t="str">
        <f t="shared" si="0"/>
        <v>GPC0603122</v>
      </c>
    </row>
    <row r="63" spans="1:26">
      <c r="A63" t="s">
        <v>10605</v>
      </c>
      <c r="B63" t="s">
        <v>10605</v>
      </c>
      <c r="C63" t="s">
        <v>855</v>
      </c>
      <c r="D63" t="s">
        <v>21</v>
      </c>
      <c r="E63" s="14" t="s">
        <v>22</v>
      </c>
      <c r="F63" t="s">
        <v>729</v>
      </c>
      <c r="G63" t="str">
        <f>Config!$B$4</f>
        <v>SCH/C_IEC.SchLib</v>
      </c>
      <c r="H63" t="s">
        <v>425</v>
      </c>
      <c r="I63" t="s">
        <v>461</v>
      </c>
      <c r="J63" t="s">
        <v>775</v>
      </c>
      <c r="K63" s="3">
        <v>1.4999999999999998E-9</v>
      </c>
      <c r="L63" t="s">
        <v>776</v>
      </c>
      <c r="M63" t="s">
        <v>477</v>
      </c>
      <c r="N63" t="s">
        <v>856</v>
      </c>
      <c r="O63" t="s">
        <v>25</v>
      </c>
      <c r="P63" t="s">
        <v>857</v>
      </c>
      <c r="Q63" t="s">
        <v>477</v>
      </c>
      <c r="R63" t="s">
        <v>858</v>
      </c>
      <c r="S63" t="s">
        <v>25</v>
      </c>
      <c r="T63" t="s">
        <v>859</v>
      </c>
      <c r="U63" s="3"/>
      <c r="Z63" t="str">
        <f t="shared" si="0"/>
        <v>GPC0603152</v>
      </c>
    </row>
    <row r="64" spans="1:26">
      <c r="A64" t="s">
        <v>10606</v>
      </c>
      <c r="B64" t="s">
        <v>10606</v>
      </c>
      <c r="C64" t="s">
        <v>860</v>
      </c>
      <c r="D64" t="s">
        <v>21</v>
      </c>
      <c r="E64" s="14" t="s">
        <v>22</v>
      </c>
      <c r="F64" t="s">
        <v>735</v>
      </c>
      <c r="G64" t="str">
        <f>Config!$B$4</f>
        <v>SCH/C_IEC.SchLib</v>
      </c>
      <c r="H64" t="s">
        <v>425</v>
      </c>
      <c r="I64" t="s">
        <v>461</v>
      </c>
      <c r="J64" t="s">
        <v>775</v>
      </c>
      <c r="K64" s="3">
        <v>1.8E-9</v>
      </c>
      <c r="L64" t="s">
        <v>776</v>
      </c>
      <c r="M64" t="s">
        <v>477</v>
      </c>
      <c r="N64" t="s">
        <v>861</v>
      </c>
      <c r="O64" t="s">
        <v>25</v>
      </c>
      <c r="P64" t="s">
        <v>862</v>
      </c>
      <c r="Q64" t="s">
        <v>477</v>
      </c>
      <c r="R64" t="s">
        <v>863</v>
      </c>
      <c r="S64" t="s">
        <v>25</v>
      </c>
      <c r="T64" t="s">
        <v>864</v>
      </c>
      <c r="U64" s="3"/>
      <c r="Z64" t="str">
        <f t="shared" si="0"/>
        <v>GPC0603182</v>
      </c>
    </row>
    <row r="65" spans="1:26" ht="15.75">
      <c r="A65" t="s">
        <v>10607</v>
      </c>
      <c r="B65" t="s">
        <v>10607</v>
      </c>
      <c r="C65" t="s">
        <v>865</v>
      </c>
      <c r="D65" t="s">
        <v>21</v>
      </c>
      <c r="E65" s="14" t="s">
        <v>22</v>
      </c>
      <c r="F65" t="s">
        <v>739</v>
      </c>
      <c r="G65" t="str">
        <f>Config!$B$4</f>
        <v>SCH/C_IEC.SchLib</v>
      </c>
      <c r="H65" t="s">
        <v>425</v>
      </c>
      <c r="I65" t="s">
        <v>461</v>
      </c>
      <c r="J65" t="s">
        <v>775</v>
      </c>
      <c r="K65" s="3">
        <v>2.1999999999999998E-9</v>
      </c>
      <c r="L65" t="s">
        <v>776</v>
      </c>
      <c r="M65" t="s">
        <v>477</v>
      </c>
      <c r="N65" t="s">
        <v>866</v>
      </c>
      <c r="O65" t="s">
        <v>25</v>
      </c>
      <c r="P65" t="s">
        <v>867</v>
      </c>
      <c r="Q65" t="s">
        <v>477</v>
      </c>
      <c r="R65" t="s">
        <v>868</v>
      </c>
      <c r="S65" t="s">
        <v>25</v>
      </c>
      <c r="T65" t="s">
        <v>869</v>
      </c>
      <c r="U65" s="3" t="s">
        <v>4592</v>
      </c>
      <c r="V65" s="8" t="s">
        <v>13458</v>
      </c>
      <c r="W65" t="s">
        <v>4559</v>
      </c>
      <c r="X65" s="8" t="s">
        <v>13457</v>
      </c>
      <c r="Y65" t="s">
        <v>4728</v>
      </c>
      <c r="Z65" t="str">
        <f t="shared" si="0"/>
        <v>GPC0603222</v>
      </c>
    </row>
    <row r="66" spans="1:26">
      <c r="A66" t="s">
        <v>10608</v>
      </c>
      <c r="B66" t="s">
        <v>10608</v>
      </c>
      <c r="C66" t="s">
        <v>870</v>
      </c>
      <c r="D66" t="s">
        <v>21</v>
      </c>
      <c r="E66" s="14" t="s">
        <v>22</v>
      </c>
      <c r="F66" t="s">
        <v>745</v>
      </c>
      <c r="G66" t="str">
        <f>Config!$B$4</f>
        <v>SCH/C_IEC.SchLib</v>
      </c>
      <c r="H66" t="s">
        <v>425</v>
      </c>
      <c r="I66" t="s">
        <v>461</v>
      </c>
      <c r="J66" t="s">
        <v>775</v>
      </c>
      <c r="K66" s="3">
        <v>2.7000000000000002E-9</v>
      </c>
      <c r="L66" t="s">
        <v>776</v>
      </c>
      <c r="M66" t="s">
        <v>477</v>
      </c>
      <c r="N66" t="s">
        <v>871</v>
      </c>
      <c r="O66" t="s">
        <v>25</v>
      </c>
      <c r="P66" t="s">
        <v>872</v>
      </c>
      <c r="Q66" t="s">
        <v>477</v>
      </c>
      <c r="R66" t="s">
        <v>873</v>
      </c>
      <c r="S66" t="s">
        <v>25</v>
      </c>
      <c r="T66" t="s">
        <v>874</v>
      </c>
      <c r="U66" s="3"/>
      <c r="Z66" t="str">
        <f t="shared" si="0"/>
        <v>GPC0603272</v>
      </c>
    </row>
    <row r="67" spans="1:26">
      <c r="A67" t="s">
        <v>10609</v>
      </c>
      <c r="B67" t="s">
        <v>10609</v>
      </c>
      <c r="C67" t="s">
        <v>875</v>
      </c>
      <c r="D67" t="s">
        <v>21</v>
      </c>
      <c r="E67" s="14" t="s">
        <v>22</v>
      </c>
      <c r="F67" t="s">
        <v>751</v>
      </c>
      <c r="G67" t="str">
        <f>Config!$B$4</f>
        <v>SCH/C_IEC.SchLib</v>
      </c>
      <c r="H67" t="s">
        <v>425</v>
      </c>
      <c r="I67" t="s">
        <v>461</v>
      </c>
      <c r="J67" t="s">
        <v>775</v>
      </c>
      <c r="K67" s="3">
        <v>3.2999999999999998E-9</v>
      </c>
      <c r="L67" t="s">
        <v>776</v>
      </c>
      <c r="M67" t="s">
        <v>477</v>
      </c>
      <c r="N67" t="s">
        <v>876</v>
      </c>
      <c r="O67" t="s">
        <v>25</v>
      </c>
      <c r="P67" t="s">
        <v>877</v>
      </c>
      <c r="Q67" t="s">
        <v>477</v>
      </c>
      <c r="R67" t="s">
        <v>878</v>
      </c>
      <c r="S67" t="s">
        <v>25</v>
      </c>
      <c r="T67" t="s">
        <v>879</v>
      </c>
      <c r="U67" s="3"/>
      <c r="Z67" t="str">
        <f t="shared" si="0"/>
        <v>GPC0603332</v>
      </c>
    </row>
    <row r="68" spans="1:26">
      <c r="A68" t="s">
        <v>10610</v>
      </c>
      <c r="B68" t="s">
        <v>10610</v>
      </c>
      <c r="C68" t="s">
        <v>880</v>
      </c>
      <c r="D68" t="s">
        <v>21</v>
      </c>
      <c r="E68" s="14" t="s">
        <v>22</v>
      </c>
      <c r="F68" t="s">
        <v>757</v>
      </c>
      <c r="G68" t="str">
        <f>Config!$B$4</f>
        <v>SCH/C_IEC.SchLib</v>
      </c>
      <c r="H68" t="s">
        <v>425</v>
      </c>
      <c r="I68" t="s">
        <v>461</v>
      </c>
      <c r="J68" t="s">
        <v>775</v>
      </c>
      <c r="K68" s="3">
        <v>3.9000000000000002E-9</v>
      </c>
      <c r="L68" t="s">
        <v>776</v>
      </c>
      <c r="M68" t="s">
        <v>477</v>
      </c>
      <c r="N68" t="s">
        <v>881</v>
      </c>
      <c r="O68" t="s">
        <v>25</v>
      </c>
      <c r="P68" t="s">
        <v>882</v>
      </c>
      <c r="Q68" t="s">
        <v>477</v>
      </c>
      <c r="R68" t="s">
        <v>883</v>
      </c>
      <c r="S68" t="s">
        <v>25</v>
      </c>
      <c r="T68" t="s">
        <v>884</v>
      </c>
      <c r="U68" s="3"/>
      <c r="Z68" t="str">
        <f t="shared" si="0"/>
        <v>GPC0603392</v>
      </c>
    </row>
    <row r="69" spans="1:26">
      <c r="A69" t="s">
        <v>10611</v>
      </c>
      <c r="B69" t="s">
        <v>10611</v>
      </c>
      <c r="C69" t="s">
        <v>885</v>
      </c>
      <c r="D69" t="s">
        <v>21</v>
      </c>
      <c r="E69" s="14" t="s">
        <v>22</v>
      </c>
      <c r="F69" t="s">
        <v>761</v>
      </c>
      <c r="G69" t="str">
        <f>Config!$B$4</f>
        <v>SCH/C_IEC.SchLib</v>
      </c>
      <c r="H69" t="s">
        <v>425</v>
      </c>
      <c r="I69" t="s">
        <v>461</v>
      </c>
      <c r="J69" t="s">
        <v>775</v>
      </c>
      <c r="K69" s="3">
        <v>4.6999999999999999E-9</v>
      </c>
      <c r="L69" t="s">
        <v>776</v>
      </c>
      <c r="M69" t="s">
        <v>477</v>
      </c>
      <c r="N69" t="s">
        <v>886</v>
      </c>
      <c r="O69" t="s">
        <v>25</v>
      </c>
      <c r="P69" t="s">
        <v>887</v>
      </c>
      <c r="Q69" t="s">
        <v>477</v>
      </c>
      <c r="R69" t="s">
        <v>888</v>
      </c>
      <c r="S69" t="s">
        <v>25</v>
      </c>
      <c r="T69" t="s">
        <v>889</v>
      </c>
      <c r="U69" s="3"/>
      <c r="Z69" t="str">
        <f t="shared" si="0"/>
        <v>GPC0603472</v>
      </c>
    </row>
    <row r="70" spans="1:26">
      <c r="A70" t="s">
        <v>10612</v>
      </c>
      <c r="B70" t="s">
        <v>10612</v>
      </c>
      <c r="C70" t="s">
        <v>890</v>
      </c>
      <c r="D70" t="s">
        <v>21</v>
      </c>
      <c r="E70" s="14" t="s">
        <v>22</v>
      </c>
      <c r="F70" t="s">
        <v>891</v>
      </c>
      <c r="G70" t="str">
        <f>Config!$B$4</f>
        <v>SCH/C_IEC.SchLib</v>
      </c>
      <c r="H70" t="s">
        <v>425</v>
      </c>
      <c r="I70" t="s">
        <v>461</v>
      </c>
      <c r="J70" t="s">
        <v>775</v>
      </c>
      <c r="K70" s="3">
        <v>5.5999999999999997E-9</v>
      </c>
      <c r="L70" t="s">
        <v>776</v>
      </c>
      <c r="M70" t="s">
        <v>477</v>
      </c>
      <c r="N70" t="s">
        <v>892</v>
      </c>
      <c r="O70" t="s">
        <v>25</v>
      </c>
      <c r="P70" t="s">
        <v>893</v>
      </c>
      <c r="Q70" t="s">
        <v>477</v>
      </c>
      <c r="R70" t="s">
        <v>894</v>
      </c>
      <c r="S70" t="s">
        <v>25</v>
      </c>
      <c r="T70" t="s">
        <v>895</v>
      </c>
      <c r="U70" s="3"/>
      <c r="Z70" t="str">
        <f t="shared" si="0"/>
        <v>GPC0603562</v>
      </c>
    </row>
    <row r="71" spans="1:26">
      <c r="A71" t="s">
        <v>10613</v>
      </c>
      <c r="B71" t="s">
        <v>10613</v>
      </c>
      <c r="C71" t="s">
        <v>896</v>
      </c>
      <c r="D71" t="s">
        <v>21</v>
      </c>
      <c r="E71" s="14" t="s">
        <v>22</v>
      </c>
      <c r="F71" t="s">
        <v>765</v>
      </c>
      <c r="G71" t="str">
        <f>Config!$B$4</f>
        <v>SCH/C_IEC.SchLib</v>
      </c>
      <c r="H71" t="s">
        <v>425</v>
      </c>
      <c r="I71" t="s">
        <v>461</v>
      </c>
      <c r="J71" t="s">
        <v>775</v>
      </c>
      <c r="K71" s="3">
        <v>6.7999999999999997E-9</v>
      </c>
      <c r="L71" t="s">
        <v>776</v>
      </c>
      <c r="M71" t="s">
        <v>477</v>
      </c>
      <c r="N71" t="s">
        <v>897</v>
      </c>
      <c r="O71" t="s">
        <v>25</v>
      </c>
      <c r="P71" t="s">
        <v>898</v>
      </c>
      <c r="Q71" t="s">
        <v>477</v>
      </c>
      <c r="R71" t="s">
        <v>899</v>
      </c>
      <c r="S71" t="s">
        <v>25</v>
      </c>
      <c r="T71" t="s">
        <v>900</v>
      </c>
      <c r="U71" s="3" t="s">
        <v>16733</v>
      </c>
      <c r="V71" t="s">
        <v>16734</v>
      </c>
      <c r="W71" t="s">
        <v>4559</v>
      </c>
      <c r="X71" t="s">
        <v>16735</v>
      </c>
      <c r="Y71" t="s">
        <v>4728</v>
      </c>
      <c r="Z71" t="str">
        <f t="shared" si="0"/>
        <v>GPC0603682</v>
      </c>
    </row>
    <row r="72" spans="1:26">
      <c r="A72" t="s">
        <v>10614</v>
      </c>
      <c r="B72" t="s">
        <v>10614</v>
      </c>
      <c r="C72" t="s">
        <v>901</v>
      </c>
      <c r="D72" t="s">
        <v>21</v>
      </c>
      <c r="E72" s="14" t="s">
        <v>22</v>
      </c>
      <c r="F72" t="s">
        <v>902</v>
      </c>
      <c r="G72" t="str">
        <f>Config!$B$4</f>
        <v>SCH/C_IEC.SchLib</v>
      </c>
      <c r="H72" t="s">
        <v>425</v>
      </c>
      <c r="I72" t="s">
        <v>461</v>
      </c>
      <c r="J72" t="s">
        <v>775</v>
      </c>
      <c r="K72" s="3">
        <v>8.2000000000000006E-9</v>
      </c>
      <c r="L72" t="s">
        <v>776</v>
      </c>
      <c r="M72" t="s">
        <v>477</v>
      </c>
      <c r="N72" t="s">
        <v>903</v>
      </c>
      <c r="O72" t="s">
        <v>25</v>
      </c>
      <c r="P72" t="s">
        <v>904</v>
      </c>
      <c r="Q72" t="s">
        <v>477</v>
      </c>
      <c r="R72" t="s">
        <v>905</v>
      </c>
      <c r="S72" t="s">
        <v>25</v>
      </c>
      <c r="T72" t="s">
        <v>906</v>
      </c>
      <c r="U72" s="3"/>
      <c r="Z72" t="str">
        <f t="shared" si="0"/>
        <v>GPC0603822</v>
      </c>
    </row>
    <row r="73" spans="1:26">
      <c r="A73" t="s">
        <v>907</v>
      </c>
      <c r="B73" t="s">
        <v>907</v>
      </c>
      <c r="C73" t="s">
        <v>908</v>
      </c>
      <c r="D73" t="s">
        <v>21</v>
      </c>
      <c r="E73" s="14" t="s">
        <v>22</v>
      </c>
      <c r="F73" t="s">
        <v>770</v>
      </c>
      <c r="G73" t="str">
        <f>Config!$B$4</f>
        <v>SCH/C_IEC.SchLib</v>
      </c>
      <c r="H73" t="s">
        <v>425</v>
      </c>
      <c r="I73" t="s">
        <v>461</v>
      </c>
      <c r="J73" t="s">
        <v>775</v>
      </c>
      <c r="K73" s="3">
        <v>1E-8</v>
      </c>
      <c r="L73" t="s">
        <v>776</v>
      </c>
      <c r="M73" t="s">
        <v>477</v>
      </c>
      <c r="N73" t="s">
        <v>909</v>
      </c>
      <c r="O73" t="s">
        <v>25</v>
      </c>
      <c r="P73" t="s">
        <v>910</v>
      </c>
      <c r="Q73" t="s">
        <v>477</v>
      </c>
      <c r="R73" t="s">
        <v>911</v>
      </c>
      <c r="S73" t="s">
        <v>25</v>
      </c>
      <c r="T73" t="s">
        <v>912</v>
      </c>
      <c r="U73" s="3" t="s">
        <v>477</v>
      </c>
      <c r="V73" t="s">
        <v>911</v>
      </c>
      <c r="W73" t="s">
        <v>4559</v>
      </c>
      <c r="X73" t="s">
        <v>6600</v>
      </c>
      <c r="Z73" t="str">
        <f t="shared" si="0"/>
        <v>GPC0603103</v>
      </c>
    </row>
    <row r="74" spans="1:26">
      <c r="A74" t="s">
        <v>913</v>
      </c>
      <c r="B74" t="s">
        <v>913</v>
      </c>
      <c r="C74" t="s">
        <v>914</v>
      </c>
      <c r="D74" t="s">
        <v>21</v>
      </c>
      <c r="E74" s="14" t="s">
        <v>22</v>
      </c>
      <c r="F74" t="s">
        <v>915</v>
      </c>
      <c r="G74" t="str">
        <f>Config!$B$4</f>
        <v>SCH/C_IEC.SchLib</v>
      </c>
      <c r="H74" t="s">
        <v>425</v>
      </c>
      <c r="I74" t="s">
        <v>461</v>
      </c>
      <c r="J74" t="s">
        <v>775</v>
      </c>
      <c r="K74" s="3">
        <v>1.1999999999999998E-8</v>
      </c>
      <c r="L74" t="s">
        <v>776</v>
      </c>
      <c r="M74" t="s">
        <v>477</v>
      </c>
      <c r="N74" t="s">
        <v>916</v>
      </c>
      <c r="O74" t="s">
        <v>25</v>
      </c>
      <c r="P74" t="s">
        <v>917</v>
      </c>
      <c r="Q74" t="s">
        <v>477</v>
      </c>
      <c r="R74" t="s">
        <v>918</v>
      </c>
      <c r="S74" t="s">
        <v>25</v>
      </c>
      <c r="T74" t="s">
        <v>919</v>
      </c>
      <c r="U74" s="3"/>
      <c r="Z74" t="str">
        <f t="shared" si="0"/>
        <v>GPC0603123</v>
      </c>
    </row>
    <row r="75" spans="1:26">
      <c r="A75" t="s">
        <v>920</v>
      </c>
      <c r="B75" t="s">
        <v>920</v>
      </c>
      <c r="C75" t="s">
        <v>921</v>
      </c>
      <c r="D75" t="s">
        <v>21</v>
      </c>
      <c r="E75" s="14" t="s">
        <v>22</v>
      </c>
      <c r="F75" t="s">
        <v>922</v>
      </c>
      <c r="G75" t="str">
        <f>Config!$B$4</f>
        <v>SCH/C_IEC.SchLib</v>
      </c>
      <c r="H75" t="s">
        <v>425</v>
      </c>
      <c r="I75" t="s">
        <v>461</v>
      </c>
      <c r="J75" t="s">
        <v>775</v>
      </c>
      <c r="K75" s="3">
        <v>1.4999999999999999E-8</v>
      </c>
      <c r="L75" t="s">
        <v>776</v>
      </c>
      <c r="M75" t="s">
        <v>477</v>
      </c>
      <c r="N75" t="s">
        <v>923</v>
      </c>
      <c r="O75" t="s">
        <v>25</v>
      </c>
      <c r="P75" t="s">
        <v>924</v>
      </c>
      <c r="Q75" t="s">
        <v>477</v>
      </c>
      <c r="R75" t="s">
        <v>925</v>
      </c>
      <c r="S75" t="s">
        <v>25</v>
      </c>
      <c r="T75" t="s">
        <v>926</v>
      </c>
      <c r="U75" s="3"/>
      <c r="Z75" t="str">
        <f t="shared" si="0"/>
        <v>GPC0603153</v>
      </c>
    </row>
    <row r="76" spans="1:26">
      <c r="A76" t="s">
        <v>927</v>
      </c>
      <c r="B76" t="s">
        <v>927</v>
      </c>
      <c r="C76" t="s">
        <v>928</v>
      </c>
      <c r="D76" t="s">
        <v>21</v>
      </c>
      <c r="E76" s="14" t="s">
        <v>22</v>
      </c>
      <c r="F76" t="s">
        <v>929</v>
      </c>
      <c r="G76" t="str">
        <f>Config!$B$4</f>
        <v>SCH/C_IEC.SchLib</v>
      </c>
      <c r="H76" t="s">
        <v>425</v>
      </c>
      <c r="I76" t="s">
        <v>461</v>
      </c>
      <c r="J76" t="s">
        <v>775</v>
      </c>
      <c r="K76" s="3">
        <v>1.7999999999999999E-8</v>
      </c>
      <c r="L76" t="s">
        <v>776</v>
      </c>
      <c r="M76" t="s">
        <v>477</v>
      </c>
      <c r="N76" t="s">
        <v>930</v>
      </c>
      <c r="O76" t="s">
        <v>25</v>
      </c>
      <c r="P76" t="s">
        <v>931</v>
      </c>
      <c r="Q76" t="s">
        <v>477</v>
      </c>
      <c r="R76" t="s">
        <v>932</v>
      </c>
      <c r="S76" t="s">
        <v>25</v>
      </c>
      <c r="T76" t="s">
        <v>933</v>
      </c>
      <c r="U76" s="3"/>
      <c r="Z76" t="str">
        <f t="shared" si="0"/>
        <v>GPC0603183</v>
      </c>
    </row>
    <row r="77" spans="1:26">
      <c r="A77" t="s">
        <v>934</v>
      </c>
      <c r="B77" t="s">
        <v>934</v>
      </c>
      <c r="C77" t="s">
        <v>935</v>
      </c>
      <c r="D77" t="s">
        <v>21</v>
      </c>
      <c r="E77" s="14" t="s">
        <v>22</v>
      </c>
      <c r="F77" t="s">
        <v>936</v>
      </c>
      <c r="G77" t="str">
        <f>Config!$B$4</f>
        <v>SCH/C_IEC.SchLib</v>
      </c>
      <c r="H77" t="s">
        <v>425</v>
      </c>
      <c r="I77" t="s">
        <v>461</v>
      </c>
      <c r="J77" t="s">
        <v>775</v>
      </c>
      <c r="K77" s="3">
        <v>2.2000000000000002E-8</v>
      </c>
      <c r="L77" t="s">
        <v>776</v>
      </c>
      <c r="M77" t="s">
        <v>477</v>
      </c>
      <c r="N77" t="s">
        <v>937</v>
      </c>
      <c r="O77" t="s">
        <v>25</v>
      </c>
      <c r="P77" t="s">
        <v>938</v>
      </c>
      <c r="Q77" t="s">
        <v>477</v>
      </c>
      <c r="R77" t="s">
        <v>939</v>
      </c>
      <c r="S77" t="s">
        <v>25</v>
      </c>
      <c r="T77" t="s">
        <v>940</v>
      </c>
      <c r="U77" s="3" t="s">
        <v>4814</v>
      </c>
      <c r="V77" t="s">
        <v>6166</v>
      </c>
      <c r="W77" t="s">
        <v>4559</v>
      </c>
      <c r="X77" t="s">
        <v>6165</v>
      </c>
      <c r="Y77" t="s">
        <v>4728</v>
      </c>
      <c r="Z77" t="str">
        <f t="shared" si="0"/>
        <v>GPC0603223</v>
      </c>
    </row>
    <row r="78" spans="1:26">
      <c r="A78" t="s">
        <v>941</v>
      </c>
      <c r="B78" t="s">
        <v>941</v>
      </c>
      <c r="C78" t="s">
        <v>942</v>
      </c>
      <c r="D78" t="s">
        <v>21</v>
      </c>
      <c r="E78" s="14" t="s">
        <v>22</v>
      </c>
      <c r="F78" t="s">
        <v>943</v>
      </c>
      <c r="G78" t="str">
        <f>Config!$B$4</f>
        <v>SCH/C_IEC.SchLib</v>
      </c>
      <c r="H78" t="s">
        <v>425</v>
      </c>
      <c r="I78" t="s">
        <v>461</v>
      </c>
      <c r="J78" t="s">
        <v>775</v>
      </c>
      <c r="K78" s="3">
        <v>2.7E-8</v>
      </c>
      <c r="L78" t="s">
        <v>776</v>
      </c>
      <c r="M78" t="s">
        <v>477</v>
      </c>
      <c r="N78" t="s">
        <v>944</v>
      </c>
      <c r="O78" t="s">
        <v>25</v>
      </c>
      <c r="P78" t="s">
        <v>945</v>
      </c>
      <c r="Q78" t="s">
        <v>477</v>
      </c>
      <c r="R78" t="s">
        <v>946</v>
      </c>
      <c r="S78" t="s">
        <v>25</v>
      </c>
      <c r="T78" t="s">
        <v>947</v>
      </c>
      <c r="U78" s="3"/>
      <c r="Z78" t="str">
        <f t="shared" si="0"/>
        <v>GPC0603273</v>
      </c>
    </row>
    <row r="79" spans="1:26">
      <c r="A79" t="s">
        <v>948</v>
      </c>
      <c r="B79" t="s">
        <v>948</v>
      </c>
      <c r="C79" t="s">
        <v>949</v>
      </c>
      <c r="D79" t="s">
        <v>21</v>
      </c>
      <c r="E79" s="14" t="s">
        <v>22</v>
      </c>
      <c r="F79" t="s">
        <v>950</v>
      </c>
      <c r="G79" t="str">
        <f>Config!$B$4</f>
        <v>SCH/C_IEC.SchLib</v>
      </c>
      <c r="H79" t="s">
        <v>425</v>
      </c>
      <c r="I79" t="s">
        <v>461</v>
      </c>
      <c r="J79" t="s">
        <v>775</v>
      </c>
      <c r="K79" s="3">
        <v>3.3000000000000004E-8</v>
      </c>
      <c r="L79" t="s">
        <v>776</v>
      </c>
      <c r="M79" t="s">
        <v>477</v>
      </c>
      <c r="N79" t="s">
        <v>951</v>
      </c>
      <c r="O79" t="s">
        <v>25</v>
      </c>
      <c r="P79" t="s">
        <v>952</v>
      </c>
      <c r="Q79" t="s">
        <v>477</v>
      </c>
      <c r="R79" t="s">
        <v>953</v>
      </c>
      <c r="S79" t="s">
        <v>25</v>
      </c>
      <c r="T79" t="s">
        <v>954</v>
      </c>
      <c r="U79" s="3"/>
      <c r="Z79" t="str">
        <f t="shared" si="0"/>
        <v>GPC0603333</v>
      </c>
    </row>
    <row r="80" spans="1:26">
      <c r="A80" t="s">
        <v>955</v>
      </c>
      <c r="B80" t="s">
        <v>955</v>
      </c>
      <c r="C80" t="s">
        <v>956</v>
      </c>
      <c r="D80" t="s">
        <v>21</v>
      </c>
      <c r="E80" s="14" t="s">
        <v>22</v>
      </c>
      <c r="F80" t="s">
        <v>957</v>
      </c>
      <c r="G80" t="str">
        <f>Config!$B$4</f>
        <v>SCH/C_IEC.SchLib</v>
      </c>
      <c r="H80" t="s">
        <v>425</v>
      </c>
      <c r="I80" t="s">
        <v>461</v>
      </c>
      <c r="J80" t="s">
        <v>775</v>
      </c>
      <c r="K80" s="3">
        <v>3.9000000000000005E-8</v>
      </c>
      <c r="L80" t="s">
        <v>776</v>
      </c>
      <c r="M80" t="s">
        <v>477</v>
      </c>
      <c r="N80" t="s">
        <v>958</v>
      </c>
      <c r="O80" t="s">
        <v>25</v>
      </c>
      <c r="P80" t="s">
        <v>959</v>
      </c>
      <c r="Q80" t="s">
        <v>477</v>
      </c>
      <c r="R80" t="s">
        <v>960</v>
      </c>
      <c r="S80" t="s">
        <v>25</v>
      </c>
      <c r="T80" t="s">
        <v>961</v>
      </c>
      <c r="U80" s="3"/>
      <c r="Z80" t="str">
        <f t="shared" si="0"/>
        <v>GPC0603393</v>
      </c>
    </row>
    <row r="81" spans="1:26">
      <c r="A81" t="s">
        <v>962</v>
      </c>
      <c r="B81" t="s">
        <v>962</v>
      </c>
      <c r="C81" t="s">
        <v>963</v>
      </c>
      <c r="D81" t="s">
        <v>21</v>
      </c>
      <c r="E81" s="14" t="s">
        <v>22</v>
      </c>
      <c r="F81" t="s">
        <v>964</v>
      </c>
      <c r="G81" t="str">
        <f>Config!$B$4</f>
        <v>SCH/C_IEC.SchLib</v>
      </c>
      <c r="H81" t="s">
        <v>425</v>
      </c>
      <c r="I81" t="s">
        <v>461</v>
      </c>
      <c r="J81" t="s">
        <v>775</v>
      </c>
      <c r="K81" s="3">
        <v>4.6999999999999997E-8</v>
      </c>
      <c r="L81" t="s">
        <v>776</v>
      </c>
      <c r="M81" t="s">
        <v>477</v>
      </c>
      <c r="N81" t="s">
        <v>965</v>
      </c>
      <c r="O81" t="s">
        <v>25</v>
      </c>
      <c r="P81" t="s">
        <v>966</v>
      </c>
      <c r="Q81" t="s">
        <v>477</v>
      </c>
      <c r="R81" t="s">
        <v>967</v>
      </c>
      <c r="S81" t="s">
        <v>25</v>
      </c>
      <c r="T81" t="s">
        <v>968</v>
      </c>
      <c r="U81" s="3"/>
      <c r="Z81" t="str">
        <f t="shared" si="0"/>
        <v>GPC0603473</v>
      </c>
    </row>
    <row r="82" spans="1:26">
      <c r="A82" t="s">
        <v>969</v>
      </c>
      <c r="B82" t="s">
        <v>969</v>
      </c>
      <c r="C82" t="s">
        <v>970</v>
      </c>
      <c r="D82" t="s">
        <v>21</v>
      </c>
      <c r="E82" s="14" t="s">
        <v>22</v>
      </c>
      <c r="F82" t="s">
        <v>971</v>
      </c>
      <c r="G82" t="str">
        <f>Config!$B$4</f>
        <v>SCH/C_IEC.SchLib</v>
      </c>
      <c r="H82" t="s">
        <v>425</v>
      </c>
      <c r="I82" t="s">
        <v>461</v>
      </c>
      <c r="J82" t="s">
        <v>775</v>
      </c>
      <c r="K82" s="3">
        <v>5.6000000000000005E-8</v>
      </c>
      <c r="L82" t="s">
        <v>776</v>
      </c>
      <c r="M82" t="s">
        <v>477</v>
      </c>
      <c r="N82" t="s">
        <v>972</v>
      </c>
      <c r="O82" t="s">
        <v>25</v>
      </c>
      <c r="P82" t="s">
        <v>973</v>
      </c>
      <c r="U82" s="3"/>
      <c r="Z82" t="str">
        <f t="shared" si="0"/>
        <v>GPC0603563</v>
      </c>
    </row>
    <row r="83" spans="1:26">
      <c r="A83" t="s">
        <v>974</v>
      </c>
      <c r="B83" t="s">
        <v>974</v>
      </c>
      <c r="C83" t="s">
        <v>975</v>
      </c>
      <c r="D83" t="s">
        <v>21</v>
      </c>
      <c r="E83" s="14" t="s">
        <v>22</v>
      </c>
      <c r="F83" t="s">
        <v>976</v>
      </c>
      <c r="G83" t="str">
        <f>Config!$B$4</f>
        <v>SCH/C_IEC.SchLib</v>
      </c>
      <c r="H83" t="s">
        <v>425</v>
      </c>
      <c r="I83" t="s">
        <v>461</v>
      </c>
      <c r="J83" t="s">
        <v>775</v>
      </c>
      <c r="K83" s="3">
        <v>6.8E-8</v>
      </c>
      <c r="L83" t="s">
        <v>977</v>
      </c>
      <c r="M83" t="s">
        <v>477</v>
      </c>
      <c r="N83" t="s">
        <v>978</v>
      </c>
      <c r="O83" t="s">
        <v>25</v>
      </c>
      <c r="P83" t="s">
        <v>979</v>
      </c>
      <c r="Q83" t="s">
        <v>477</v>
      </c>
      <c r="R83" t="s">
        <v>980</v>
      </c>
      <c r="S83" t="s">
        <v>25</v>
      </c>
      <c r="T83" t="s">
        <v>981</v>
      </c>
      <c r="U83" s="3"/>
      <c r="Z83" t="str">
        <f t="shared" si="0"/>
        <v>GPC0603683</v>
      </c>
    </row>
    <row r="84" spans="1:26">
      <c r="A84" t="s">
        <v>982</v>
      </c>
      <c r="B84" t="s">
        <v>982</v>
      </c>
      <c r="C84" t="s">
        <v>983</v>
      </c>
      <c r="D84" t="s">
        <v>21</v>
      </c>
      <c r="E84" s="14" t="s">
        <v>22</v>
      </c>
      <c r="F84" t="s">
        <v>984</v>
      </c>
      <c r="G84" t="str">
        <f>Config!$B$4</f>
        <v>SCH/C_IEC.SchLib</v>
      </c>
      <c r="H84" t="s">
        <v>425</v>
      </c>
      <c r="I84" t="s">
        <v>461</v>
      </c>
      <c r="J84" t="s">
        <v>775</v>
      </c>
      <c r="K84" s="3">
        <v>8.1999999999999993E-8</v>
      </c>
      <c r="L84" t="s">
        <v>776</v>
      </c>
      <c r="M84" t="s">
        <v>477</v>
      </c>
      <c r="N84" t="s">
        <v>985</v>
      </c>
      <c r="O84" t="s">
        <v>25</v>
      </c>
      <c r="P84" t="s">
        <v>986</v>
      </c>
      <c r="Q84" t="s">
        <v>477</v>
      </c>
      <c r="R84" t="s">
        <v>987</v>
      </c>
      <c r="S84" t="s">
        <v>25</v>
      </c>
      <c r="T84" t="s">
        <v>988</v>
      </c>
      <c r="U84" s="3"/>
      <c r="Z84" t="str">
        <f t="shared" si="0"/>
        <v>GPC0603823</v>
      </c>
    </row>
    <row r="85" spans="1:26" ht="15.75">
      <c r="A85" t="s">
        <v>989</v>
      </c>
      <c r="B85" t="s">
        <v>989</v>
      </c>
      <c r="C85" t="s">
        <v>990</v>
      </c>
      <c r="D85" t="s">
        <v>21</v>
      </c>
      <c r="E85" s="14" t="s">
        <v>22</v>
      </c>
      <c r="F85" t="s">
        <v>991</v>
      </c>
      <c r="G85" t="str">
        <f>Config!$B$4</f>
        <v>SCH/C_IEC.SchLib</v>
      </c>
      <c r="H85" t="s">
        <v>425</v>
      </c>
      <c r="I85" t="s">
        <v>461</v>
      </c>
      <c r="J85" t="s">
        <v>775</v>
      </c>
      <c r="K85" s="3">
        <v>9.9999999999999995E-8</v>
      </c>
      <c r="L85" t="s">
        <v>776</v>
      </c>
      <c r="M85" t="s">
        <v>477</v>
      </c>
      <c r="N85" t="s">
        <v>992</v>
      </c>
      <c r="O85" t="s">
        <v>25</v>
      </c>
      <c r="P85" t="s">
        <v>993</v>
      </c>
      <c r="Q85" t="s">
        <v>477</v>
      </c>
      <c r="R85" t="s">
        <v>994</v>
      </c>
      <c r="S85" t="s">
        <v>25</v>
      </c>
      <c r="T85" t="s">
        <v>995</v>
      </c>
      <c r="U85" s="8" t="s">
        <v>477</v>
      </c>
      <c r="V85" s="8" t="s">
        <v>13452</v>
      </c>
      <c r="W85" t="s">
        <v>4559</v>
      </c>
      <c r="X85" s="8" t="s">
        <v>4768</v>
      </c>
      <c r="Y85" t="s">
        <v>4728</v>
      </c>
      <c r="Z85" t="str">
        <f t="shared" si="0"/>
        <v>GPC0603104</v>
      </c>
    </row>
    <row r="86" spans="1:26">
      <c r="A86" t="s">
        <v>996</v>
      </c>
      <c r="B86" t="s">
        <v>996</v>
      </c>
      <c r="C86" t="s">
        <v>997</v>
      </c>
      <c r="D86" t="s">
        <v>21</v>
      </c>
      <c r="E86" s="14" t="s">
        <v>22</v>
      </c>
      <c r="F86" t="s">
        <v>998</v>
      </c>
      <c r="G86" t="str">
        <f>Config!$B$4</f>
        <v>SCH/C_IEC.SchLib</v>
      </c>
      <c r="H86" t="s">
        <v>425</v>
      </c>
      <c r="I86" t="s">
        <v>461</v>
      </c>
      <c r="J86" t="s">
        <v>775</v>
      </c>
      <c r="K86" s="3">
        <v>1.1999999999999999E-7</v>
      </c>
      <c r="L86" t="s">
        <v>776</v>
      </c>
      <c r="M86" t="s">
        <v>477</v>
      </c>
      <c r="N86" t="s">
        <v>999</v>
      </c>
      <c r="O86" t="s">
        <v>25</v>
      </c>
      <c r="P86" t="s">
        <v>1000</v>
      </c>
      <c r="U86" s="3"/>
      <c r="Z86" t="str">
        <f t="shared" si="0"/>
        <v>GPC0603124</v>
      </c>
    </row>
    <row r="87" spans="1:26">
      <c r="A87" t="s">
        <v>1001</v>
      </c>
      <c r="B87" t="s">
        <v>1001</v>
      </c>
      <c r="C87" t="s">
        <v>1002</v>
      </c>
      <c r="D87" t="s">
        <v>21</v>
      </c>
      <c r="E87" s="14" t="s">
        <v>22</v>
      </c>
      <c r="F87" t="s">
        <v>1003</v>
      </c>
      <c r="G87" t="str">
        <f>Config!$B$4</f>
        <v>SCH/C_IEC.SchLib</v>
      </c>
      <c r="H87" t="s">
        <v>425</v>
      </c>
      <c r="I87" t="s">
        <v>461</v>
      </c>
      <c r="J87" t="s">
        <v>775</v>
      </c>
      <c r="K87" s="3">
        <v>1.4999999999999999E-7</v>
      </c>
      <c r="L87" t="s">
        <v>776</v>
      </c>
      <c r="M87" t="s">
        <v>477</v>
      </c>
      <c r="N87" t="s">
        <v>1004</v>
      </c>
      <c r="O87" t="s">
        <v>25</v>
      </c>
      <c r="P87" t="s">
        <v>1005</v>
      </c>
      <c r="Q87" t="s">
        <v>477</v>
      </c>
      <c r="R87" t="s">
        <v>1006</v>
      </c>
      <c r="S87" t="s">
        <v>25</v>
      </c>
      <c r="T87" t="s">
        <v>1007</v>
      </c>
      <c r="U87" s="3"/>
      <c r="Z87" t="str">
        <f t="shared" si="0"/>
        <v>GPC0603154</v>
      </c>
    </row>
    <row r="88" spans="1:26" ht="15.75">
      <c r="A88" t="s">
        <v>13581</v>
      </c>
      <c r="B88" t="s">
        <v>13581</v>
      </c>
      <c r="C88" t="s">
        <v>13582</v>
      </c>
      <c r="D88" t="s">
        <v>21</v>
      </c>
      <c r="E88" s="14" t="s">
        <v>22</v>
      </c>
      <c r="F88" t="s">
        <v>1010</v>
      </c>
      <c r="G88" t="str">
        <f>Config!$B$4</f>
        <v>SCH/C_IEC.SchLib</v>
      </c>
      <c r="H88" t="s">
        <v>425</v>
      </c>
      <c r="I88" t="s">
        <v>461</v>
      </c>
      <c r="J88" t="s">
        <v>775</v>
      </c>
      <c r="K88" s="3">
        <v>2.2000000000000001E-7</v>
      </c>
      <c r="U88" s="45" t="s">
        <v>1032</v>
      </c>
      <c r="V88" s="44" t="s">
        <v>13584</v>
      </c>
      <c r="W88" t="s">
        <v>4559</v>
      </c>
      <c r="X88" s="44" t="s">
        <v>13583</v>
      </c>
      <c r="Y88" s="8" t="s">
        <v>4728</v>
      </c>
      <c r="Z88" t="str">
        <f t="shared" si="0"/>
        <v>GPC0603</v>
      </c>
    </row>
    <row r="89" spans="1:26" ht="15.75">
      <c r="A89" t="s">
        <v>1008</v>
      </c>
      <c r="B89" t="s">
        <v>1008</v>
      </c>
      <c r="C89" t="s">
        <v>1009</v>
      </c>
      <c r="D89" t="s">
        <v>21</v>
      </c>
      <c r="E89" s="14" t="s">
        <v>22</v>
      </c>
      <c r="F89" t="s">
        <v>1010</v>
      </c>
      <c r="G89" t="str">
        <f>Config!$B$4</f>
        <v>SCH/C_IEC.SchLib</v>
      </c>
      <c r="H89" t="s">
        <v>425</v>
      </c>
      <c r="I89" t="s">
        <v>461</v>
      </c>
      <c r="J89" t="s">
        <v>775</v>
      </c>
      <c r="K89" s="3">
        <v>2.2000000000000001E-7</v>
      </c>
      <c r="L89" t="s">
        <v>776</v>
      </c>
      <c r="M89" t="s">
        <v>477</v>
      </c>
      <c r="N89" t="s">
        <v>1011</v>
      </c>
      <c r="O89" t="s">
        <v>25</v>
      </c>
      <c r="P89" t="s">
        <v>1012</v>
      </c>
      <c r="Q89" t="s">
        <v>477</v>
      </c>
      <c r="R89" t="s">
        <v>1013</v>
      </c>
      <c r="S89" t="s">
        <v>25</v>
      </c>
      <c r="T89" t="s">
        <v>1014</v>
      </c>
      <c r="U89" s="8" t="s">
        <v>477</v>
      </c>
      <c r="V89" s="8" t="s">
        <v>13522</v>
      </c>
      <c r="W89" t="s">
        <v>4559</v>
      </c>
      <c r="X89" s="8" t="s">
        <v>13521</v>
      </c>
      <c r="Y89" s="8" t="s">
        <v>4728</v>
      </c>
      <c r="Z89" t="str">
        <f t="shared" ref="Z89" si="1">"GPC"&amp;E89&amp;RIGHT(N89,3)</f>
        <v>GPC0603224</v>
      </c>
    </row>
    <row r="90" spans="1:26" ht="15.75">
      <c r="A90" t="s">
        <v>13969</v>
      </c>
      <c r="B90" t="s">
        <v>13969</v>
      </c>
      <c r="C90" t="s">
        <v>13970</v>
      </c>
      <c r="D90" t="s">
        <v>21</v>
      </c>
      <c r="E90" s="14" t="s">
        <v>22</v>
      </c>
      <c r="F90" t="s">
        <v>13971</v>
      </c>
      <c r="G90" t="str">
        <f>Config!$B$4</f>
        <v>SCH/C_IEC.SchLib</v>
      </c>
      <c r="H90" t="s">
        <v>425</v>
      </c>
      <c r="I90" t="s">
        <v>461</v>
      </c>
      <c r="J90" t="s">
        <v>775</v>
      </c>
      <c r="K90" s="3">
        <v>3.3000000000000002E-7</v>
      </c>
      <c r="L90" t="s">
        <v>13972</v>
      </c>
      <c r="M90" t="s">
        <v>477</v>
      </c>
      <c r="N90" t="s">
        <v>13973</v>
      </c>
      <c r="O90" t="s">
        <v>25</v>
      </c>
      <c r="P90" t="s">
        <v>13974</v>
      </c>
      <c r="Q90" t="s">
        <v>477</v>
      </c>
      <c r="R90" t="s">
        <v>13975</v>
      </c>
      <c r="S90" t="s">
        <v>25</v>
      </c>
      <c r="T90" t="s">
        <v>13976</v>
      </c>
      <c r="U90" s="8" t="s">
        <v>477</v>
      </c>
      <c r="V90" s="8" t="s">
        <v>13973</v>
      </c>
      <c r="W90" t="s">
        <v>4559</v>
      </c>
      <c r="X90" s="8" t="s">
        <v>13977</v>
      </c>
      <c r="Y90" s="8" t="s">
        <v>4727</v>
      </c>
    </row>
    <row r="91" spans="1:26">
      <c r="A91" t="s">
        <v>1015</v>
      </c>
      <c r="B91" t="s">
        <v>1015</v>
      </c>
      <c r="C91" t="s">
        <v>1016</v>
      </c>
      <c r="D91" t="s">
        <v>21</v>
      </c>
      <c r="E91" s="14" t="s">
        <v>22</v>
      </c>
      <c r="F91" t="s">
        <v>1017</v>
      </c>
      <c r="G91" t="str">
        <f>Config!$B$4</f>
        <v>SCH/C_IEC.SchLib</v>
      </c>
      <c r="H91" t="s">
        <v>425</v>
      </c>
      <c r="I91" t="s">
        <v>461</v>
      </c>
      <c r="J91" t="s">
        <v>775</v>
      </c>
      <c r="K91" s="3">
        <v>4.7E-7</v>
      </c>
      <c r="L91" t="s">
        <v>776</v>
      </c>
      <c r="M91" t="s">
        <v>477</v>
      </c>
      <c r="N91" t="s">
        <v>1018</v>
      </c>
      <c r="O91" t="s">
        <v>25</v>
      </c>
      <c r="P91" t="s">
        <v>1019</v>
      </c>
      <c r="U91" s="3"/>
      <c r="Z91" t="str">
        <f t="shared" si="0"/>
        <v>GPC0603474</v>
      </c>
    </row>
    <row r="92" spans="1:26" ht="15.75">
      <c r="A92" t="s">
        <v>10660</v>
      </c>
      <c r="B92" t="s">
        <v>10660</v>
      </c>
      <c r="C92" t="s">
        <v>1020</v>
      </c>
      <c r="D92" t="s">
        <v>21</v>
      </c>
      <c r="E92" s="14" t="s">
        <v>22</v>
      </c>
      <c r="F92" t="s">
        <v>1021</v>
      </c>
      <c r="G92" t="str">
        <f>Config!$B$4</f>
        <v>SCH/C_IEC.SchLib</v>
      </c>
      <c r="H92" t="s">
        <v>425</v>
      </c>
      <c r="I92" t="s">
        <v>461</v>
      </c>
      <c r="J92" t="s">
        <v>775</v>
      </c>
      <c r="K92" s="3">
        <v>1.0000000000000002E-6</v>
      </c>
      <c r="L92" t="s">
        <v>776</v>
      </c>
      <c r="M92" t="s">
        <v>477</v>
      </c>
      <c r="N92" t="s">
        <v>1022</v>
      </c>
      <c r="O92" t="s">
        <v>25</v>
      </c>
      <c r="P92" t="s">
        <v>1023</v>
      </c>
      <c r="U92" s="3" t="s">
        <v>1032</v>
      </c>
      <c r="V92" t="s">
        <v>16731</v>
      </c>
      <c r="W92" t="s">
        <v>4559</v>
      </c>
      <c r="X92" t="s">
        <v>16732</v>
      </c>
      <c r="Y92" s="8" t="s">
        <v>4727</v>
      </c>
      <c r="Z92" t="str">
        <f t="shared" si="0"/>
        <v>GPC0603105</v>
      </c>
    </row>
    <row r="93" spans="1:26">
      <c r="A93" t="s">
        <v>10661</v>
      </c>
      <c r="B93" t="s">
        <v>10661</v>
      </c>
      <c r="C93" t="s">
        <v>4589</v>
      </c>
      <c r="D93" t="s">
        <v>21</v>
      </c>
      <c r="E93" s="14" t="s">
        <v>22</v>
      </c>
      <c r="F93" t="s">
        <v>1021</v>
      </c>
      <c r="G93" t="str">
        <f>Config!$B$4</f>
        <v>SCH/C_IEC.SchLib</v>
      </c>
      <c r="H93" t="s">
        <v>425</v>
      </c>
      <c r="I93" t="s">
        <v>461</v>
      </c>
      <c r="J93" t="s">
        <v>775</v>
      </c>
      <c r="K93" s="3">
        <v>1.0000000000000002E-6</v>
      </c>
      <c r="L93" t="s">
        <v>6151</v>
      </c>
      <c r="M93" t="s">
        <v>1032</v>
      </c>
      <c r="N93" t="s">
        <v>6150</v>
      </c>
      <c r="O93" t="s">
        <v>25</v>
      </c>
      <c r="P93" t="s">
        <v>6149</v>
      </c>
      <c r="U93" t="s">
        <v>4592</v>
      </c>
      <c r="V93" t="s">
        <v>4590</v>
      </c>
      <c r="W93" t="s">
        <v>4559</v>
      </c>
      <c r="X93" t="s">
        <v>4591</v>
      </c>
      <c r="Y93" t="s">
        <v>4727</v>
      </c>
      <c r="Z93" t="s">
        <v>6553</v>
      </c>
    </row>
    <row r="94" spans="1:26">
      <c r="A94" t="s">
        <v>10662</v>
      </c>
      <c r="B94" t="s">
        <v>10662</v>
      </c>
      <c r="C94" t="s">
        <v>4765</v>
      </c>
      <c r="D94" t="s">
        <v>21</v>
      </c>
      <c r="E94" s="14" t="s">
        <v>22</v>
      </c>
      <c r="F94" t="s">
        <v>1021</v>
      </c>
      <c r="G94" t="str">
        <f>Config!$B$4</f>
        <v>SCH/C_IEC.SchLib</v>
      </c>
      <c r="H94" t="s">
        <v>425</v>
      </c>
      <c r="I94" t="s">
        <v>461</v>
      </c>
      <c r="J94" t="s">
        <v>775</v>
      </c>
      <c r="K94" s="3">
        <v>9.9999999999999995E-7</v>
      </c>
      <c r="L94" t="s">
        <v>6153</v>
      </c>
      <c r="M94" t="s">
        <v>1032</v>
      </c>
      <c r="N94" t="s">
        <v>4766</v>
      </c>
      <c r="O94" t="s">
        <v>25</v>
      </c>
      <c r="P94" t="s">
        <v>6152</v>
      </c>
      <c r="U94" t="s">
        <v>1032</v>
      </c>
      <c r="V94" t="s">
        <v>4766</v>
      </c>
      <c r="W94" t="s">
        <v>4559</v>
      </c>
      <c r="X94" t="s">
        <v>4767</v>
      </c>
      <c r="Y94" t="s">
        <v>4728</v>
      </c>
      <c r="Z94" t="s">
        <v>6448</v>
      </c>
    </row>
    <row r="95" spans="1:26">
      <c r="A95" t="s">
        <v>6160</v>
      </c>
      <c r="B95" t="s">
        <v>6160</v>
      </c>
      <c r="C95" t="s">
        <v>6169</v>
      </c>
      <c r="D95" t="s">
        <v>21</v>
      </c>
      <c r="E95" s="14" t="s">
        <v>22</v>
      </c>
      <c r="F95" t="s">
        <v>936</v>
      </c>
      <c r="G95" t="str">
        <f>Config!$B$4</f>
        <v>SCH/C_IEC.SchLib</v>
      </c>
      <c r="H95" t="s">
        <v>425</v>
      </c>
      <c r="I95" t="s">
        <v>461</v>
      </c>
      <c r="J95" t="s">
        <v>775</v>
      </c>
      <c r="K95" s="3">
        <v>2.2000000000000002E-8</v>
      </c>
      <c r="L95" t="s">
        <v>6164</v>
      </c>
      <c r="M95" t="s">
        <v>6162</v>
      </c>
      <c r="N95" t="s">
        <v>6163</v>
      </c>
      <c r="O95" t="s">
        <v>25</v>
      </c>
      <c r="P95" t="s">
        <v>6161</v>
      </c>
      <c r="U95" t="s">
        <v>4814</v>
      </c>
      <c r="V95" t="s">
        <v>6166</v>
      </c>
      <c r="W95" t="s">
        <v>4559</v>
      </c>
      <c r="X95" t="s">
        <v>6165</v>
      </c>
      <c r="Z95" t="s">
        <v>6552</v>
      </c>
    </row>
    <row r="96" spans="1:26" ht="15.75">
      <c r="A96" t="s">
        <v>6167</v>
      </c>
      <c r="B96" t="s">
        <v>6167</v>
      </c>
      <c r="C96" t="s">
        <v>6168</v>
      </c>
      <c r="D96" t="s">
        <v>21</v>
      </c>
      <c r="E96" s="14" t="s">
        <v>22</v>
      </c>
      <c r="F96" t="s">
        <v>991</v>
      </c>
      <c r="G96" t="str">
        <f>Config!$B$4</f>
        <v>SCH/C_IEC.SchLib</v>
      </c>
      <c r="H96" t="s">
        <v>425</v>
      </c>
      <c r="I96" t="s">
        <v>461</v>
      </c>
      <c r="J96" t="s">
        <v>775</v>
      </c>
      <c r="K96" s="3">
        <v>2.2000000000000002E-8</v>
      </c>
      <c r="L96" t="s">
        <v>6172</v>
      </c>
      <c r="M96" t="s">
        <v>1032</v>
      </c>
      <c r="N96" t="s">
        <v>6171</v>
      </c>
      <c r="O96" t="s">
        <v>25</v>
      </c>
      <c r="P96" t="s">
        <v>6170</v>
      </c>
      <c r="U96" t="s">
        <v>477</v>
      </c>
      <c r="V96" t="s">
        <v>13451</v>
      </c>
      <c r="W96" t="s">
        <v>4559</v>
      </c>
      <c r="X96" s="8" t="s">
        <v>13450</v>
      </c>
      <c r="Z96" t="s">
        <v>6551</v>
      </c>
    </row>
    <row r="97" spans="1:26">
      <c r="A97" t="s">
        <v>6417</v>
      </c>
      <c r="B97" t="s">
        <v>6417</v>
      </c>
      <c r="C97" t="s">
        <v>6418</v>
      </c>
      <c r="D97" t="s">
        <v>21</v>
      </c>
      <c r="E97" s="14" t="s">
        <v>22</v>
      </c>
      <c r="F97" t="s">
        <v>770</v>
      </c>
      <c r="G97" t="str">
        <f>Config!$B$4</f>
        <v>SCH/C_IEC.SchLib</v>
      </c>
      <c r="H97" t="s">
        <v>425</v>
      </c>
      <c r="I97" t="s">
        <v>461</v>
      </c>
      <c r="J97" t="s">
        <v>775</v>
      </c>
      <c r="K97" s="3">
        <v>1E-8</v>
      </c>
      <c r="L97" t="s">
        <v>6419</v>
      </c>
      <c r="M97" t="s">
        <v>6420</v>
      </c>
      <c r="N97" t="s">
        <v>6421</v>
      </c>
      <c r="O97" t="s">
        <v>25</v>
      </c>
      <c r="P97" t="s">
        <v>6422</v>
      </c>
      <c r="U97" t="s">
        <v>4592</v>
      </c>
      <c r="V97" t="s">
        <v>6423</v>
      </c>
      <c r="W97" t="s">
        <v>4559</v>
      </c>
      <c r="X97" t="s">
        <v>6424</v>
      </c>
      <c r="Z97" t="s">
        <v>6550</v>
      </c>
    </row>
    <row r="98" spans="1:26">
      <c r="A98" t="s">
        <v>13280</v>
      </c>
      <c r="B98" t="s">
        <v>13280</v>
      </c>
      <c r="C98" t="s">
        <v>13281</v>
      </c>
      <c r="D98" t="s">
        <v>21</v>
      </c>
      <c r="E98" s="14" t="s">
        <v>22</v>
      </c>
      <c r="F98" t="s">
        <v>13282</v>
      </c>
      <c r="G98" t="str">
        <f>Config!$B$4</f>
        <v>SCH/C_IEC.SchLib</v>
      </c>
      <c r="H98" t="s">
        <v>425</v>
      </c>
      <c r="I98" t="s">
        <v>461</v>
      </c>
      <c r="J98" t="s">
        <v>775</v>
      </c>
      <c r="K98" s="3">
        <v>2.2000000000000001E-6</v>
      </c>
      <c r="L98" t="s">
        <v>13283</v>
      </c>
      <c r="M98" t="s">
        <v>1032</v>
      </c>
      <c r="N98" t="s">
        <v>13284</v>
      </c>
      <c r="O98" t="s">
        <v>25</v>
      </c>
      <c r="P98" t="s">
        <v>13285</v>
      </c>
      <c r="U98" t="s">
        <v>6196</v>
      </c>
      <c r="V98" t="s">
        <v>13286</v>
      </c>
      <c r="W98" t="s">
        <v>4559</v>
      </c>
      <c r="X98" t="s">
        <v>13287</v>
      </c>
    </row>
    <row r="99" spans="1:26">
      <c r="K99" s="3"/>
    </row>
    <row r="100" spans="1:26">
      <c r="A100" t="s">
        <v>10627</v>
      </c>
      <c r="B100" t="s">
        <v>10627</v>
      </c>
      <c r="C100" t="s">
        <v>5746</v>
      </c>
      <c r="D100" t="s">
        <v>21</v>
      </c>
      <c r="E100" s="14" t="s">
        <v>6447</v>
      </c>
      <c r="F100" t="s">
        <v>474</v>
      </c>
      <c r="G100" t="str">
        <f>Config!$B$4</f>
        <v>SCH/C_IEC.SchLib</v>
      </c>
      <c r="H100" t="s">
        <v>425</v>
      </c>
      <c r="I100" t="s">
        <v>461</v>
      </c>
      <c r="J100" t="s">
        <v>5747</v>
      </c>
      <c r="K100" s="3">
        <v>9.9999999999999998E-13</v>
      </c>
      <c r="L100" t="s">
        <v>476</v>
      </c>
      <c r="M100" t="s">
        <v>477</v>
      </c>
      <c r="N100" t="s">
        <v>5748</v>
      </c>
      <c r="O100" t="s">
        <v>25</v>
      </c>
      <c r="P100" t="s">
        <v>5749</v>
      </c>
      <c r="Q100" t="s">
        <v>477</v>
      </c>
      <c r="R100" t="s">
        <v>5750</v>
      </c>
      <c r="S100" t="s">
        <v>25</v>
      </c>
      <c r="T100" t="s">
        <v>5751</v>
      </c>
      <c r="Z100" t="s">
        <v>6449</v>
      </c>
    </row>
    <row r="101" spans="1:26">
      <c r="A101" t="s">
        <v>10616</v>
      </c>
      <c r="B101" t="s">
        <v>10616</v>
      </c>
      <c r="C101" t="s">
        <v>5752</v>
      </c>
      <c r="D101" t="s">
        <v>21</v>
      </c>
      <c r="E101" s="14" t="s">
        <v>6447</v>
      </c>
      <c r="F101" t="s">
        <v>483</v>
      </c>
      <c r="G101" t="str">
        <f>Config!$B$4</f>
        <v>SCH/C_IEC.SchLib</v>
      </c>
      <c r="H101" t="s">
        <v>425</v>
      </c>
      <c r="I101" t="s">
        <v>461</v>
      </c>
      <c r="J101" t="s">
        <v>5747</v>
      </c>
      <c r="K101" s="3">
        <v>1.1999999999999999E-12</v>
      </c>
      <c r="L101" t="s">
        <v>476</v>
      </c>
      <c r="M101" t="s">
        <v>477</v>
      </c>
      <c r="N101" t="s">
        <v>5753</v>
      </c>
      <c r="O101" t="s">
        <v>25</v>
      </c>
      <c r="P101" t="s">
        <v>5754</v>
      </c>
      <c r="Q101" t="s">
        <v>477</v>
      </c>
      <c r="R101" t="s">
        <v>5755</v>
      </c>
      <c r="S101" t="s">
        <v>25</v>
      </c>
      <c r="T101" t="s">
        <v>5756</v>
      </c>
      <c r="Z101" t="s">
        <v>6450</v>
      </c>
    </row>
    <row r="102" spans="1:26">
      <c r="A102" t="s">
        <v>10617</v>
      </c>
      <c r="B102" t="s">
        <v>10617</v>
      </c>
      <c r="C102" t="s">
        <v>5757</v>
      </c>
      <c r="D102" t="s">
        <v>21</v>
      </c>
      <c r="E102" s="14" t="s">
        <v>6447</v>
      </c>
      <c r="F102" t="s">
        <v>489</v>
      </c>
      <c r="G102" t="str">
        <f>Config!$B$4</f>
        <v>SCH/C_IEC.SchLib</v>
      </c>
      <c r="H102" t="s">
        <v>425</v>
      </c>
      <c r="I102" t="s">
        <v>461</v>
      </c>
      <c r="J102" t="s">
        <v>5747</v>
      </c>
      <c r="K102" s="3">
        <v>1.5000000000000001E-12</v>
      </c>
      <c r="L102" t="s">
        <v>476</v>
      </c>
      <c r="M102" t="s">
        <v>477</v>
      </c>
      <c r="N102" t="s">
        <v>5758</v>
      </c>
      <c r="O102" t="s">
        <v>25</v>
      </c>
      <c r="P102" t="s">
        <v>5759</v>
      </c>
      <c r="Q102" t="s">
        <v>477</v>
      </c>
      <c r="R102" t="s">
        <v>5760</v>
      </c>
      <c r="S102" t="s">
        <v>25</v>
      </c>
      <c r="T102" t="s">
        <v>5761</v>
      </c>
      <c r="Z102" t="s">
        <v>6451</v>
      </c>
    </row>
    <row r="103" spans="1:26">
      <c r="A103" t="s">
        <v>10618</v>
      </c>
      <c r="B103" t="s">
        <v>10618</v>
      </c>
      <c r="C103" t="s">
        <v>5762</v>
      </c>
      <c r="D103" t="s">
        <v>21</v>
      </c>
      <c r="E103" s="14" t="s">
        <v>6447</v>
      </c>
      <c r="F103" t="s">
        <v>495</v>
      </c>
      <c r="G103" t="str">
        <f>Config!$B$4</f>
        <v>SCH/C_IEC.SchLib</v>
      </c>
      <c r="H103" t="s">
        <v>425</v>
      </c>
      <c r="I103" t="s">
        <v>461</v>
      </c>
      <c r="J103" t="s">
        <v>5747</v>
      </c>
      <c r="K103" s="3">
        <v>1.8E-12</v>
      </c>
      <c r="L103" t="s">
        <v>476</v>
      </c>
      <c r="M103" t="s">
        <v>477</v>
      </c>
      <c r="N103" t="s">
        <v>5763</v>
      </c>
      <c r="O103" t="s">
        <v>25</v>
      </c>
      <c r="P103" t="s">
        <v>5764</v>
      </c>
      <c r="Q103" t="s">
        <v>477</v>
      </c>
      <c r="R103" t="s">
        <v>5765</v>
      </c>
      <c r="S103" t="s">
        <v>25</v>
      </c>
      <c r="T103" t="s">
        <v>5766</v>
      </c>
      <c r="Z103" t="s">
        <v>6452</v>
      </c>
    </row>
    <row r="104" spans="1:26">
      <c r="A104" t="s">
        <v>10619</v>
      </c>
      <c r="B104" t="s">
        <v>10619</v>
      </c>
      <c r="C104" t="s">
        <v>5767</v>
      </c>
      <c r="D104" t="s">
        <v>21</v>
      </c>
      <c r="E104" s="14" t="s">
        <v>6447</v>
      </c>
      <c r="F104" t="s">
        <v>501</v>
      </c>
      <c r="G104" t="str">
        <f>Config!$B$4</f>
        <v>SCH/C_IEC.SchLib</v>
      </c>
      <c r="H104" t="s">
        <v>425</v>
      </c>
      <c r="I104" t="s">
        <v>461</v>
      </c>
      <c r="J104" t="s">
        <v>5747</v>
      </c>
      <c r="K104" s="3">
        <v>2.1999999999999999E-12</v>
      </c>
      <c r="L104" t="s">
        <v>476</v>
      </c>
      <c r="M104" t="s">
        <v>477</v>
      </c>
      <c r="N104" t="s">
        <v>5768</v>
      </c>
      <c r="O104" t="s">
        <v>25</v>
      </c>
      <c r="P104" t="s">
        <v>5769</v>
      </c>
      <c r="Q104" t="s">
        <v>477</v>
      </c>
      <c r="R104" t="s">
        <v>5770</v>
      </c>
      <c r="S104" t="s">
        <v>25</v>
      </c>
      <c r="T104" t="s">
        <v>5771</v>
      </c>
      <c r="Z104" t="s">
        <v>6453</v>
      </c>
    </row>
    <row r="105" spans="1:26">
      <c r="A105" t="s">
        <v>10620</v>
      </c>
      <c r="B105" t="s">
        <v>10620</v>
      </c>
      <c r="C105" t="s">
        <v>5772</v>
      </c>
      <c r="D105" t="s">
        <v>21</v>
      </c>
      <c r="E105" s="14" t="s">
        <v>6447</v>
      </c>
      <c r="F105" t="s">
        <v>507</v>
      </c>
      <c r="G105" t="str">
        <f>Config!$B$4</f>
        <v>SCH/C_IEC.SchLib</v>
      </c>
      <c r="H105" t="s">
        <v>425</v>
      </c>
      <c r="I105" t="s">
        <v>461</v>
      </c>
      <c r="J105" t="s">
        <v>5747</v>
      </c>
      <c r="K105" s="3">
        <v>2.6999999999999998E-12</v>
      </c>
      <c r="L105" t="s">
        <v>476</v>
      </c>
      <c r="M105" t="s">
        <v>477</v>
      </c>
      <c r="N105" t="s">
        <v>5773</v>
      </c>
      <c r="O105" t="s">
        <v>25</v>
      </c>
      <c r="P105" t="s">
        <v>5774</v>
      </c>
      <c r="Q105" t="s">
        <v>477</v>
      </c>
      <c r="R105" t="s">
        <v>5775</v>
      </c>
      <c r="S105" t="s">
        <v>25</v>
      </c>
      <c r="T105" t="s">
        <v>5776</v>
      </c>
      <c r="Z105" t="s">
        <v>6454</v>
      </c>
    </row>
    <row r="106" spans="1:26">
      <c r="A106" t="s">
        <v>10621</v>
      </c>
      <c r="B106" t="s">
        <v>10621</v>
      </c>
      <c r="C106" t="s">
        <v>5777</v>
      </c>
      <c r="D106" t="s">
        <v>21</v>
      </c>
      <c r="E106" s="14" t="s">
        <v>6447</v>
      </c>
      <c r="F106" t="s">
        <v>513</v>
      </c>
      <c r="G106" t="str">
        <f>Config!$B$4</f>
        <v>SCH/C_IEC.SchLib</v>
      </c>
      <c r="H106" t="s">
        <v>425</v>
      </c>
      <c r="I106" t="s">
        <v>461</v>
      </c>
      <c r="J106" t="s">
        <v>5747</v>
      </c>
      <c r="K106" s="3">
        <v>3.3000000000000001E-12</v>
      </c>
      <c r="L106" t="s">
        <v>476</v>
      </c>
      <c r="M106" t="s">
        <v>477</v>
      </c>
      <c r="N106" t="s">
        <v>5778</v>
      </c>
      <c r="O106" t="s">
        <v>25</v>
      </c>
      <c r="P106" t="s">
        <v>5779</v>
      </c>
      <c r="Q106" t="s">
        <v>477</v>
      </c>
      <c r="R106" t="s">
        <v>5780</v>
      </c>
      <c r="S106" t="s">
        <v>25</v>
      </c>
      <c r="T106" t="s">
        <v>5781</v>
      </c>
      <c r="Z106" t="s">
        <v>6455</v>
      </c>
    </row>
    <row r="107" spans="1:26">
      <c r="A107" t="s">
        <v>10622</v>
      </c>
      <c r="B107" t="s">
        <v>10622</v>
      </c>
      <c r="C107" t="s">
        <v>5782</v>
      </c>
      <c r="D107" t="s">
        <v>21</v>
      </c>
      <c r="E107" s="14" t="s">
        <v>6447</v>
      </c>
      <c r="F107" t="s">
        <v>519</v>
      </c>
      <c r="G107" t="str">
        <f>Config!$B$4</f>
        <v>SCH/C_IEC.SchLib</v>
      </c>
      <c r="H107" t="s">
        <v>425</v>
      </c>
      <c r="I107" t="s">
        <v>461</v>
      </c>
      <c r="J107" t="s">
        <v>5747</v>
      </c>
      <c r="K107" s="3">
        <v>3.8999999999999999E-12</v>
      </c>
      <c r="L107" t="s">
        <v>476</v>
      </c>
      <c r="M107" t="s">
        <v>477</v>
      </c>
      <c r="N107" t="s">
        <v>5783</v>
      </c>
      <c r="O107" t="s">
        <v>25</v>
      </c>
      <c r="P107" t="s">
        <v>5784</v>
      </c>
      <c r="Q107" t="s">
        <v>477</v>
      </c>
      <c r="R107" t="s">
        <v>5785</v>
      </c>
      <c r="S107" t="s">
        <v>25</v>
      </c>
      <c r="T107" t="s">
        <v>5786</v>
      </c>
      <c r="Z107" t="s">
        <v>6456</v>
      </c>
    </row>
    <row r="108" spans="1:26">
      <c r="A108" t="s">
        <v>10623</v>
      </c>
      <c r="B108" t="s">
        <v>10623</v>
      </c>
      <c r="C108" t="s">
        <v>5787</v>
      </c>
      <c r="D108" t="s">
        <v>21</v>
      </c>
      <c r="E108" s="14" t="s">
        <v>6447</v>
      </c>
      <c r="F108" t="s">
        <v>525</v>
      </c>
      <c r="G108" t="str">
        <f>Config!$B$4</f>
        <v>SCH/C_IEC.SchLib</v>
      </c>
      <c r="H108" t="s">
        <v>425</v>
      </c>
      <c r="I108" t="s">
        <v>461</v>
      </c>
      <c r="J108" t="s">
        <v>5747</v>
      </c>
      <c r="K108" s="3">
        <v>4.6999999999999998E-12</v>
      </c>
      <c r="L108" t="s">
        <v>476</v>
      </c>
      <c r="M108" t="s">
        <v>477</v>
      </c>
      <c r="N108" t="s">
        <v>5788</v>
      </c>
      <c r="O108" t="s">
        <v>25</v>
      </c>
      <c r="P108" t="s">
        <v>5789</v>
      </c>
      <c r="Q108" t="s">
        <v>477</v>
      </c>
      <c r="R108" t="s">
        <v>5790</v>
      </c>
      <c r="S108" t="s">
        <v>25</v>
      </c>
      <c r="T108" t="s">
        <v>5791</v>
      </c>
      <c r="Z108" t="s">
        <v>6457</v>
      </c>
    </row>
    <row r="109" spans="1:26">
      <c r="A109" t="s">
        <v>10624</v>
      </c>
      <c r="B109" t="s">
        <v>10624</v>
      </c>
      <c r="C109" t="s">
        <v>5792</v>
      </c>
      <c r="D109" t="s">
        <v>21</v>
      </c>
      <c r="E109" s="14" t="s">
        <v>6447</v>
      </c>
      <c r="F109" t="s">
        <v>531</v>
      </c>
      <c r="G109" t="str">
        <f>Config!$B$4</f>
        <v>SCH/C_IEC.SchLib</v>
      </c>
      <c r="H109" t="s">
        <v>425</v>
      </c>
      <c r="I109" t="s">
        <v>461</v>
      </c>
      <c r="J109" t="s">
        <v>5747</v>
      </c>
      <c r="K109" s="3">
        <v>5.6000000000000004E-12</v>
      </c>
      <c r="L109" t="s">
        <v>476</v>
      </c>
      <c r="M109" t="s">
        <v>477</v>
      </c>
      <c r="N109" t="s">
        <v>5793</v>
      </c>
      <c r="O109" t="s">
        <v>25</v>
      </c>
      <c r="P109" t="s">
        <v>5794</v>
      </c>
      <c r="Q109" t="s">
        <v>477</v>
      </c>
      <c r="R109" t="s">
        <v>5795</v>
      </c>
      <c r="S109" t="s">
        <v>25</v>
      </c>
      <c r="T109" t="s">
        <v>5796</v>
      </c>
      <c r="Z109" t="s">
        <v>6458</v>
      </c>
    </row>
    <row r="110" spans="1:26">
      <c r="A110" t="s">
        <v>10625</v>
      </c>
      <c r="B110" t="s">
        <v>10625</v>
      </c>
      <c r="C110" t="s">
        <v>5797</v>
      </c>
      <c r="D110" t="s">
        <v>21</v>
      </c>
      <c r="E110" s="14" t="s">
        <v>6447</v>
      </c>
      <c r="F110" t="s">
        <v>537</v>
      </c>
      <c r="G110" t="str">
        <f>Config!$B$4</f>
        <v>SCH/C_IEC.SchLib</v>
      </c>
      <c r="H110" t="s">
        <v>425</v>
      </c>
      <c r="I110" t="s">
        <v>461</v>
      </c>
      <c r="J110" t="s">
        <v>5747</v>
      </c>
      <c r="K110" s="3">
        <v>6.8000000000000001E-12</v>
      </c>
      <c r="L110" t="s">
        <v>476</v>
      </c>
      <c r="M110" t="s">
        <v>477</v>
      </c>
      <c r="N110" t="s">
        <v>5798</v>
      </c>
      <c r="O110" t="s">
        <v>25</v>
      </c>
      <c r="P110" t="s">
        <v>5799</v>
      </c>
      <c r="Q110" t="s">
        <v>477</v>
      </c>
      <c r="R110" t="s">
        <v>5800</v>
      </c>
      <c r="S110" t="s">
        <v>25</v>
      </c>
      <c r="T110" t="s">
        <v>5801</v>
      </c>
      <c r="Z110" t="s">
        <v>6459</v>
      </c>
    </row>
    <row r="111" spans="1:26">
      <c r="A111" t="s">
        <v>10626</v>
      </c>
      <c r="B111" t="s">
        <v>10626</v>
      </c>
      <c r="C111" t="s">
        <v>5802</v>
      </c>
      <c r="D111" t="s">
        <v>21</v>
      </c>
      <c r="E111" s="14" t="s">
        <v>6447</v>
      </c>
      <c r="F111" t="s">
        <v>543</v>
      </c>
      <c r="G111" t="str">
        <f>Config!$B$4</f>
        <v>SCH/C_IEC.SchLib</v>
      </c>
      <c r="H111" t="s">
        <v>425</v>
      </c>
      <c r="I111" t="s">
        <v>461</v>
      </c>
      <c r="J111" t="s">
        <v>5747</v>
      </c>
      <c r="K111" s="3">
        <v>8.1999999999999998E-12</v>
      </c>
      <c r="L111" t="s">
        <v>476</v>
      </c>
      <c r="M111" t="s">
        <v>477</v>
      </c>
      <c r="N111" t="s">
        <v>5803</v>
      </c>
      <c r="O111" t="s">
        <v>25</v>
      </c>
      <c r="P111" t="s">
        <v>5804</v>
      </c>
      <c r="Q111" t="s">
        <v>477</v>
      </c>
      <c r="R111" t="s">
        <v>5805</v>
      </c>
      <c r="S111" t="s">
        <v>25</v>
      </c>
      <c r="T111" t="s">
        <v>5806</v>
      </c>
      <c r="Z111" t="s">
        <v>6460</v>
      </c>
    </row>
    <row r="112" spans="1:26">
      <c r="A112" t="s">
        <v>5807</v>
      </c>
      <c r="B112" t="s">
        <v>5807</v>
      </c>
      <c r="C112" t="s">
        <v>5808</v>
      </c>
      <c r="D112" t="s">
        <v>21</v>
      </c>
      <c r="E112" s="14" t="s">
        <v>6447</v>
      </c>
      <c r="F112" t="s">
        <v>550</v>
      </c>
      <c r="G112" t="str">
        <f>Config!$B$4</f>
        <v>SCH/C_IEC.SchLib</v>
      </c>
      <c r="H112" t="s">
        <v>425</v>
      </c>
      <c r="I112" t="s">
        <v>461</v>
      </c>
      <c r="J112" t="s">
        <v>5747</v>
      </c>
      <c r="K112" s="3">
        <v>9.9999999999999994E-12</v>
      </c>
      <c r="L112" t="s">
        <v>476</v>
      </c>
      <c r="M112" t="s">
        <v>477</v>
      </c>
      <c r="N112" t="s">
        <v>5809</v>
      </c>
      <c r="O112" t="s">
        <v>25</v>
      </c>
      <c r="P112" t="s">
        <v>5810</v>
      </c>
      <c r="Q112" t="s">
        <v>477</v>
      </c>
      <c r="R112" t="s">
        <v>5811</v>
      </c>
      <c r="S112" t="s">
        <v>25</v>
      </c>
      <c r="T112" t="s">
        <v>5812</v>
      </c>
      <c r="Z112" t="s">
        <v>6461</v>
      </c>
    </row>
    <row r="113" spans="1:26">
      <c r="A113" t="s">
        <v>5813</v>
      </c>
      <c r="B113" t="s">
        <v>5813</v>
      </c>
      <c r="C113" t="s">
        <v>5814</v>
      </c>
      <c r="D113" t="s">
        <v>21</v>
      </c>
      <c r="E113" s="14" t="s">
        <v>6447</v>
      </c>
      <c r="F113" t="s">
        <v>557</v>
      </c>
      <c r="G113" t="str">
        <f>Config!$B$4</f>
        <v>SCH/C_IEC.SchLib</v>
      </c>
      <c r="H113" t="s">
        <v>425</v>
      </c>
      <c r="I113" t="s">
        <v>461</v>
      </c>
      <c r="J113" t="s">
        <v>5747</v>
      </c>
      <c r="K113" s="3">
        <v>1.2000000000000001E-11</v>
      </c>
      <c r="L113" t="s">
        <v>476</v>
      </c>
      <c r="M113" t="s">
        <v>477</v>
      </c>
      <c r="N113" t="s">
        <v>5815</v>
      </c>
      <c r="O113" t="s">
        <v>25</v>
      </c>
      <c r="P113" t="s">
        <v>5816</v>
      </c>
      <c r="Q113" t="s">
        <v>477</v>
      </c>
      <c r="R113" t="s">
        <v>5817</v>
      </c>
      <c r="S113" t="s">
        <v>25</v>
      </c>
      <c r="T113" t="s">
        <v>5818</v>
      </c>
      <c r="Z113" t="s">
        <v>6462</v>
      </c>
    </row>
    <row r="114" spans="1:26">
      <c r="A114" t="s">
        <v>5819</v>
      </c>
      <c r="B114" t="s">
        <v>5819</v>
      </c>
      <c r="C114" t="s">
        <v>5820</v>
      </c>
      <c r="D114" t="s">
        <v>21</v>
      </c>
      <c r="E114" s="14" t="s">
        <v>6447</v>
      </c>
      <c r="F114" t="s">
        <v>564</v>
      </c>
      <c r="G114" t="str">
        <f>Config!$B$4</f>
        <v>SCH/C_IEC.SchLib</v>
      </c>
      <c r="H114" t="s">
        <v>425</v>
      </c>
      <c r="I114" t="s">
        <v>461</v>
      </c>
      <c r="J114" t="s">
        <v>5747</v>
      </c>
      <c r="K114" s="3">
        <v>1.5E-11</v>
      </c>
      <c r="L114" t="s">
        <v>476</v>
      </c>
      <c r="M114" t="s">
        <v>477</v>
      </c>
      <c r="N114" t="s">
        <v>5821</v>
      </c>
      <c r="O114" t="s">
        <v>25</v>
      </c>
      <c r="P114" t="s">
        <v>5822</v>
      </c>
      <c r="Q114" t="s">
        <v>477</v>
      </c>
      <c r="R114" t="s">
        <v>5823</v>
      </c>
      <c r="S114" t="s">
        <v>25</v>
      </c>
      <c r="T114" t="s">
        <v>5824</v>
      </c>
      <c r="Z114" t="s">
        <v>6463</v>
      </c>
    </row>
    <row r="115" spans="1:26">
      <c r="A115" t="s">
        <v>5825</v>
      </c>
      <c r="B115" t="s">
        <v>5825</v>
      </c>
      <c r="C115" t="s">
        <v>5826</v>
      </c>
      <c r="D115" t="s">
        <v>21</v>
      </c>
      <c r="E115" s="14" t="s">
        <v>6447</v>
      </c>
      <c r="F115" t="s">
        <v>571</v>
      </c>
      <c r="G115" t="str">
        <f>Config!$B$4</f>
        <v>SCH/C_IEC.SchLib</v>
      </c>
      <c r="H115" t="s">
        <v>425</v>
      </c>
      <c r="I115" t="s">
        <v>461</v>
      </c>
      <c r="J115" t="s">
        <v>5747</v>
      </c>
      <c r="K115" s="3">
        <v>1.7999999999999999E-11</v>
      </c>
      <c r="L115" t="s">
        <v>476</v>
      </c>
      <c r="M115" t="s">
        <v>477</v>
      </c>
      <c r="N115" t="s">
        <v>5827</v>
      </c>
      <c r="O115" t="s">
        <v>25</v>
      </c>
      <c r="P115" t="s">
        <v>5828</v>
      </c>
      <c r="Q115" t="s">
        <v>477</v>
      </c>
      <c r="R115" t="s">
        <v>5829</v>
      </c>
      <c r="S115" t="s">
        <v>25</v>
      </c>
      <c r="T115" t="s">
        <v>5830</v>
      </c>
      <c r="Z115" t="s">
        <v>6464</v>
      </c>
    </row>
    <row r="116" spans="1:26">
      <c r="A116" t="s">
        <v>5831</v>
      </c>
      <c r="B116" t="s">
        <v>5831</v>
      </c>
      <c r="C116" t="s">
        <v>5832</v>
      </c>
      <c r="D116" t="s">
        <v>21</v>
      </c>
      <c r="E116" s="14" t="s">
        <v>6447</v>
      </c>
      <c r="F116" t="s">
        <v>578</v>
      </c>
      <c r="G116" t="str">
        <f>Config!$B$4</f>
        <v>SCH/C_IEC.SchLib</v>
      </c>
      <c r="H116" t="s">
        <v>425</v>
      </c>
      <c r="I116" t="s">
        <v>461</v>
      </c>
      <c r="J116" t="s">
        <v>5747</v>
      </c>
      <c r="K116" s="3">
        <v>2.2000000000000002E-11</v>
      </c>
      <c r="L116" t="s">
        <v>476</v>
      </c>
      <c r="M116" t="s">
        <v>477</v>
      </c>
      <c r="N116" t="s">
        <v>5833</v>
      </c>
      <c r="O116" t="s">
        <v>25</v>
      </c>
      <c r="P116" t="s">
        <v>5834</v>
      </c>
      <c r="Q116" t="s">
        <v>477</v>
      </c>
      <c r="R116" t="s">
        <v>5835</v>
      </c>
      <c r="S116" t="s">
        <v>25</v>
      </c>
      <c r="T116" t="s">
        <v>5836</v>
      </c>
      <c r="Z116" t="s">
        <v>6465</v>
      </c>
    </row>
    <row r="117" spans="1:26">
      <c r="A117" t="s">
        <v>5837</v>
      </c>
      <c r="B117" t="s">
        <v>5837</v>
      </c>
      <c r="C117" t="s">
        <v>5838</v>
      </c>
      <c r="D117" t="s">
        <v>21</v>
      </c>
      <c r="E117" s="14" t="s">
        <v>6447</v>
      </c>
      <c r="F117" t="s">
        <v>585</v>
      </c>
      <c r="G117" t="str">
        <f>Config!$B$4</f>
        <v>SCH/C_IEC.SchLib</v>
      </c>
      <c r="H117" t="s">
        <v>425</v>
      </c>
      <c r="I117" t="s">
        <v>461</v>
      </c>
      <c r="J117" t="s">
        <v>5747</v>
      </c>
      <c r="K117" s="3">
        <v>2.7E-11</v>
      </c>
      <c r="L117" t="s">
        <v>476</v>
      </c>
      <c r="M117" t="s">
        <v>477</v>
      </c>
      <c r="N117" t="s">
        <v>5839</v>
      </c>
      <c r="O117" t="s">
        <v>25</v>
      </c>
      <c r="P117" t="s">
        <v>5840</v>
      </c>
      <c r="Q117" t="s">
        <v>477</v>
      </c>
      <c r="R117" t="s">
        <v>5841</v>
      </c>
      <c r="S117" t="s">
        <v>25</v>
      </c>
      <c r="T117" t="s">
        <v>5842</v>
      </c>
      <c r="W117" t="s">
        <v>4559</v>
      </c>
      <c r="X117" t="s">
        <v>6601</v>
      </c>
      <c r="Z117" t="s">
        <v>6466</v>
      </c>
    </row>
    <row r="118" spans="1:26">
      <c r="A118" t="s">
        <v>5843</v>
      </c>
      <c r="B118" t="s">
        <v>5843</v>
      </c>
      <c r="C118" t="s">
        <v>5844</v>
      </c>
      <c r="D118" t="s">
        <v>21</v>
      </c>
      <c r="E118" s="14" t="s">
        <v>6447</v>
      </c>
      <c r="F118" t="s">
        <v>592</v>
      </c>
      <c r="G118" t="str">
        <f>Config!$B$4</f>
        <v>SCH/C_IEC.SchLib</v>
      </c>
      <c r="H118" t="s">
        <v>425</v>
      </c>
      <c r="I118" t="s">
        <v>461</v>
      </c>
      <c r="J118" t="s">
        <v>5747</v>
      </c>
      <c r="K118" s="3">
        <v>3.3000000000000002E-11</v>
      </c>
      <c r="L118" t="s">
        <v>476</v>
      </c>
      <c r="M118" t="s">
        <v>477</v>
      </c>
      <c r="N118" t="s">
        <v>5845</v>
      </c>
      <c r="O118" t="s">
        <v>25</v>
      </c>
      <c r="P118" t="s">
        <v>5846</v>
      </c>
      <c r="Q118" t="s">
        <v>477</v>
      </c>
      <c r="R118" t="s">
        <v>5847</v>
      </c>
      <c r="S118" t="s">
        <v>25</v>
      </c>
      <c r="T118" t="s">
        <v>5848</v>
      </c>
      <c r="Z118" t="s">
        <v>6467</v>
      </c>
    </row>
    <row r="119" spans="1:26">
      <c r="A119" t="s">
        <v>5849</v>
      </c>
      <c r="B119" t="s">
        <v>5849</v>
      </c>
      <c r="C119" t="s">
        <v>5850</v>
      </c>
      <c r="D119" t="s">
        <v>21</v>
      </c>
      <c r="E119" s="14" t="s">
        <v>6447</v>
      </c>
      <c r="F119" t="s">
        <v>599</v>
      </c>
      <c r="G119" t="str">
        <f>Config!$B$4</f>
        <v>SCH/C_IEC.SchLib</v>
      </c>
      <c r="H119" t="s">
        <v>425</v>
      </c>
      <c r="I119" t="s">
        <v>461</v>
      </c>
      <c r="J119" t="s">
        <v>5747</v>
      </c>
      <c r="K119" s="3">
        <v>3.9000000000000001E-11</v>
      </c>
      <c r="L119" t="s">
        <v>476</v>
      </c>
      <c r="M119" t="s">
        <v>477</v>
      </c>
      <c r="N119" t="s">
        <v>5851</v>
      </c>
      <c r="O119" t="s">
        <v>25</v>
      </c>
      <c r="P119" t="s">
        <v>5852</v>
      </c>
      <c r="Q119" t="s">
        <v>477</v>
      </c>
      <c r="R119" t="s">
        <v>5853</v>
      </c>
      <c r="S119" t="s">
        <v>25</v>
      </c>
      <c r="T119" t="s">
        <v>5854</v>
      </c>
      <c r="Z119" t="s">
        <v>6468</v>
      </c>
    </row>
    <row r="120" spans="1:26">
      <c r="A120" t="s">
        <v>5855</v>
      </c>
      <c r="B120" t="s">
        <v>5855</v>
      </c>
      <c r="C120" t="s">
        <v>5856</v>
      </c>
      <c r="D120" t="s">
        <v>21</v>
      </c>
      <c r="E120" s="14" t="s">
        <v>6447</v>
      </c>
      <c r="F120" t="s">
        <v>606</v>
      </c>
      <c r="G120" t="str">
        <f>Config!$B$4</f>
        <v>SCH/C_IEC.SchLib</v>
      </c>
      <c r="H120" t="s">
        <v>425</v>
      </c>
      <c r="I120" t="s">
        <v>461</v>
      </c>
      <c r="J120" t="s">
        <v>5747</v>
      </c>
      <c r="K120" s="3">
        <v>4.6999999999999999E-11</v>
      </c>
      <c r="L120" t="s">
        <v>476</v>
      </c>
      <c r="M120" t="s">
        <v>477</v>
      </c>
      <c r="N120" t="s">
        <v>5857</v>
      </c>
      <c r="O120" t="s">
        <v>25</v>
      </c>
      <c r="P120" t="s">
        <v>5858</v>
      </c>
      <c r="Q120" t="s">
        <v>477</v>
      </c>
      <c r="R120" t="s">
        <v>5859</v>
      </c>
      <c r="S120" t="s">
        <v>25</v>
      </c>
      <c r="T120" t="s">
        <v>5860</v>
      </c>
      <c r="Z120" t="s">
        <v>6469</v>
      </c>
    </row>
    <row r="121" spans="1:26">
      <c r="A121" t="s">
        <v>5861</v>
      </c>
      <c r="B121" t="s">
        <v>5861</v>
      </c>
      <c r="C121" t="s">
        <v>5862</v>
      </c>
      <c r="D121" t="s">
        <v>21</v>
      </c>
      <c r="E121" s="14" t="s">
        <v>6447</v>
      </c>
      <c r="F121" t="s">
        <v>613</v>
      </c>
      <c r="G121" t="str">
        <f>Config!$B$4</f>
        <v>SCH/C_IEC.SchLib</v>
      </c>
      <c r="H121" t="s">
        <v>425</v>
      </c>
      <c r="I121" t="s">
        <v>461</v>
      </c>
      <c r="J121" t="s">
        <v>5747</v>
      </c>
      <c r="K121" s="3">
        <v>5.6E-11</v>
      </c>
      <c r="L121" t="s">
        <v>476</v>
      </c>
      <c r="M121" t="s">
        <v>477</v>
      </c>
      <c r="N121" t="s">
        <v>5863</v>
      </c>
      <c r="O121" t="s">
        <v>25</v>
      </c>
      <c r="P121" t="s">
        <v>5864</v>
      </c>
      <c r="Q121" t="s">
        <v>477</v>
      </c>
      <c r="R121" t="s">
        <v>5865</v>
      </c>
      <c r="S121" t="s">
        <v>25</v>
      </c>
      <c r="T121" t="s">
        <v>5866</v>
      </c>
      <c r="Z121" t="s">
        <v>6470</v>
      </c>
    </row>
    <row r="122" spans="1:26">
      <c r="A122" t="s">
        <v>5867</v>
      </c>
      <c r="B122" t="s">
        <v>5867</v>
      </c>
      <c r="C122" t="s">
        <v>5868</v>
      </c>
      <c r="D122" t="s">
        <v>21</v>
      </c>
      <c r="E122" s="14" t="s">
        <v>6447</v>
      </c>
      <c r="F122" t="s">
        <v>620</v>
      </c>
      <c r="G122" t="str">
        <f>Config!$B$4</f>
        <v>SCH/C_IEC.SchLib</v>
      </c>
      <c r="H122" t="s">
        <v>425</v>
      </c>
      <c r="I122" t="s">
        <v>461</v>
      </c>
      <c r="J122" t="s">
        <v>5747</v>
      </c>
      <c r="K122" s="3">
        <v>6.7999999999999998E-11</v>
      </c>
      <c r="L122" t="s">
        <v>476</v>
      </c>
      <c r="M122" t="s">
        <v>477</v>
      </c>
      <c r="N122" t="s">
        <v>5869</v>
      </c>
      <c r="O122" t="s">
        <v>25</v>
      </c>
      <c r="P122" t="s">
        <v>5870</v>
      </c>
      <c r="Q122" t="s">
        <v>477</v>
      </c>
      <c r="R122" t="s">
        <v>5871</v>
      </c>
      <c r="S122" t="s">
        <v>25</v>
      </c>
      <c r="T122" t="s">
        <v>5872</v>
      </c>
      <c r="Z122" t="s">
        <v>6471</v>
      </c>
    </row>
    <row r="123" spans="1:26">
      <c r="A123" t="s">
        <v>5873</v>
      </c>
      <c r="B123" t="s">
        <v>5873</v>
      </c>
      <c r="C123" t="s">
        <v>5874</v>
      </c>
      <c r="D123" t="s">
        <v>21</v>
      </c>
      <c r="E123" s="14" t="s">
        <v>6447</v>
      </c>
      <c r="F123" t="s">
        <v>627</v>
      </c>
      <c r="G123" t="str">
        <f>Config!$B$4</f>
        <v>SCH/C_IEC.SchLib</v>
      </c>
      <c r="H123" t="s">
        <v>425</v>
      </c>
      <c r="I123" t="s">
        <v>461</v>
      </c>
      <c r="J123" t="s">
        <v>5747</v>
      </c>
      <c r="K123" s="3">
        <v>8.2000000000000001E-11</v>
      </c>
      <c r="L123" t="s">
        <v>476</v>
      </c>
      <c r="M123" t="s">
        <v>477</v>
      </c>
      <c r="N123" t="s">
        <v>5875</v>
      </c>
      <c r="O123" t="s">
        <v>25</v>
      </c>
      <c r="P123" t="s">
        <v>5876</v>
      </c>
      <c r="Q123" t="s">
        <v>477</v>
      </c>
      <c r="R123" t="s">
        <v>5877</v>
      </c>
      <c r="S123" t="s">
        <v>25</v>
      </c>
      <c r="T123" t="s">
        <v>5878</v>
      </c>
      <c r="Z123" t="s">
        <v>6472</v>
      </c>
    </row>
    <row r="124" spans="1:26">
      <c r="A124" t="s">
        <v>5879</v>
      </c>
      <c r="B124" t="s">
        <v>5879</v>
      </c>
      <c r="C124" t="s">
        <v>5880</v>
      </c>
      <c r="D124" t="s">
        <v>21</v>
      </c>
      <c r="E124" s="14" t="s">
        <v>6447</v>
      </c>
      <c r="F124" t="s">
        <v>634</v>
      </c>
      <c r="G124" t="str">
        <f>Config!$B$4</f>
        <v>SCH/C_IEC.SchLib</v>
      </c>
      <c r="H124" t="s">
        <v>425</v>
      </c>
      <c r="I124" t="s">
        <v>461</v>
      </c>
      <c r="J124" t="s">
        <v>5747</v>
      </c>
      <c r="K124" s="3">
        <v>1E-10</v>
      </c>
      <c r="L124" t="s">
        <v>476</v>
      </c>
      <c r="M124" t="s">
        <v>477</v>
      </c>
      <c r="N124" t="s">
        <v>5881</v>
      </c>
      <c r="O124" t="s">
        <v>25</v>
      </c>
      <c r="P124" t="s">
        <v>5882</v>
      </c>
      <c r="Q124" t="s">
        <v>477</v>
      </c>
      <c r="R124" t="s">
        <v>5883</v>
      </c>
      <c r="S124" t="s">
        <v>25</v>
      </c>
      <c r="T124" t="s">
        <v>5884</v>
      </c>
      <c r="Z124" t="s">
        <v>6473</v>
      </c>
    </row>
    <row r="125" spans="1:26">
      <c r="A125" t="s">
        <v>5885</v>
      </c>
      <c r="B125" t="s">
        <v>5885</v>
      </c>
      <c r="C125" t="s">
        <v>5886</v>
      </c>
      <c r="D125" t="s">
        <v>21</v>
      </c>
      <c r="E125" s="14" t="s">
        <v>6447</v>
      </c>
      <c r="F125" t="s">
        <v>641</v>
      </c>
      <c r="G125" t="str">
        <f>Config!$B$4</f>
        <v>SCH/C_IEC.SchLib</v>
      </c>
      <c r="H125" t="s">
        <v>425</v>
      </c>
      <c r="I125" t="s">
        <v>461</v>
      </c>
      <c r="J125" t="s">
        <v>5747</v>
      </c>
      <c r="K125" s="3">
        <v>1.2E-10</v>
      </c>
      <c r="L125" t="s">
        <v>476</v>
      </c>
      <c r="M125" t="s">
        <v>477</v>
      </c>
      <c r="N125" t="s">
        <v>5887</v>
      </c>
      <c r="O125" t="s">
        <v>25</v>
      </c>
      <c r="P125" t="s">
        <v>5888</v>
      </c>
      <c r="Q125" t="s">
        <v>477</v>
      </c>
      <c r="R125" t="s">
        <v>5889</v>
      </c>
      <c r="S125" t="s">
        <v>25</v>
      </c>
      <c r="T125" t="s">
        <v>5890</v>
      </c>
      <c r="Z125" t="s">
        <v>6474</v>
      </c>
    </row>
    <row r="126" spans="1:26">
      <c r="A126" t="s">
        <v>5891</v>
      </c>
      <c r="B126" t="s">
        <v>5891</v>
      </c>
      <c r="C126" t="s">
        <v>5892</v>
      </c>
      <c r="D126" t="s">
        <v>21</v>
      </c>
      <c r="E126" s="14" t="s">
        <v>6447</v>
      </c>
      <c r="F126" t="s">
        <v>648</v>
      </c>
      <c r="G126" t="str">
        <f>Config!$B$4</f>
        <v>SCH/C_IEC.SchLib</v>
      </c>
      <c r="H126" t="s">
        <v>425</v>
      </c>
      <c r="I126" t="s">
        <v>461</v>
      </c>
      <c r="J126" t="s">
        <v>5747</v>
      </c>
      <c r="K126" s="3">
        <v>1.5E-10</v>
      </c>
      <c r="L126" t="s">
        <v>476</v>
      </c>
      <c r="M126" t="s">
        <v>477</v>
      </c>
      <c r="N126" t="s">
        <v>5893</v>
      </c>
      <c r="O126" t="s">
        <v>25</v>
      </c>
      <c r="P126" t="s">
        <v>5894</v>
      </c>
      <c r="Q126" t="s">
        <v>477</v>
      </c>
      <c r="R126" t="s">
        <v>5895</v>
      </c>
      <c r="S126" t="s">
        <v>25</v>
      </c>
      <c r="T126" t="s">
        <v>5896</v>
      </c>
      <c r="Z126" t="s">
        <v>6475</v>
      </c>
    </row>
    <row r="127" spans="1:26">
      <c r="A127" t="s">
        <v>5897</v>
      </c>
      <c r="B127" t="s">
        <v>5897</v>
      </c>
      <c r="C127" t="s">
        <v>5898</v>
      </c>
      <c r="D127" t="s">
        <v>21</v>
      </c>
      <c r="E127" s="14" t="s">
        <v>6447</v>
      </c>
      <c r="F127" t="s">
        <v>655</v>
      </c>
      <c r="G127" t="str">
        <f>Config!$B$4</f>
        <v>SCH/C_IEC.SchLib</v>
      </c>
      <c r="H127" t="s">
        <v>425</v>
      </c>
      <c r="I127" t="s">
        <v>461</v>
      </c>
      <c r="J127" t="s">
        <v>5747</v>
      </c>
      <c r="K127" s="3">
        <v>1.8E-10</v>
      </c>
      <c r="L127" t="s">
        <v>476</v>
      </c>
      <c r="M127" t="s">
        <v>477</v>
      </c>
      <c r="N127" t="s">
        <v>5899</v>
      </c>
      <c r="O127" t="s">
        <v>25</v>
      </c>
      <c r="P127" t="s">
        <v>5900</v>
      </c>
      <c r="Q127" t="s">
        <v>477</v>
      </c>
      <c r="R127" t="s">
        <v>5901</v>
      </c>
      <c r="S127" t="s">
        <v>25</v>
      </c>
      <c r="T127" t="s">
        <v>5902</v>
      </c>
      <c r="Z127" t="s">
        <v>6476</v>
      </c>
    </row>
    <row r="128" spans="1:26">
      <c r="A128" t="s">
        <v>5903</v>
      </c>
      <c r="B128" t="s">
        <v>5903</v>
      </c>
      <c r="C128" t="s">
        <v>5904</v>
      </c>
      <c r="D128" t="s">
        <v>21</v>
      </c>
      <c r="E128" s="14" t="s">
        <v>6447</v>
      </c>
      <c r="F128" t="s">
        <v>662</v>
      </c>
      <c r="G128" t="str">
        <f>Config!$B$4</f>
        <v>SCH/C_IEC.SchLib</v>
      </c>
      <c r="H128" t="s">
        <v>425</v>
      </c>
      <c r="I128" t="s">
        <v>461</v>
      </c>
      <c r="J128" t="s">
        <v>5747</v>
      </c>
      <c r="K128" s="3">
        <v>2.1999999999999999E-10</v>
      </c>
      <c r="L128" t="s">
        <v>476</v>
      </c>
      <c r="M128" t="s">
        <v>477</v>
      </c>
      <c r="N128" t="s">
        <v>5905</v>
      </c>
      <c r="O128" t="s">
        <v>25</v>
      </c>
      <c r="P128" t="s">
        <v>5906</v>
      </c>
      <c r="Q128" t="s">
        <v>477</v>
      </c>
      <c r="R128" t="s">
        <v>5907</v>
      </c>
      <c r="S128" t="s">
        <v>25</v>
      </c>
      <c r="T128" t="s">
        <v>5908</v>
      </c>
      <c r="Z128" t="s">
        <v>6477</v>
      </c>
    </row>
    <row r="129" spans="1:26">
      <c r="A129" t="s">
        <v>5909</v>
      </c>
      <c r="B129" t="s">
        <v>5909</v>
      </c>
      <c r="C129" t="s">
        <v>5910</v>
      </c>
      <c r="D129" t="s">
        <v>21</v>
      </c>
      <c r="E129" s="14" t="s">
        <v>6447</v>
      </c>
      <c r="F129" t="s">
        <v>669</v>
      </c>
      <c r="G129" t="str">
        <f>Config!$B$4</f>
        <v>SCH/C_IEC.SchLib</v>
      </c>
      <c r="H129" t="s">
        <v>425</v>
      </c>
      <c r="I129" t="s">
        <v>461</v>
      </c>
      <c r="J129" t="s">
        <v>5747</v>
      </c>
      <c r="K129" s="3">
        <v>2.7E-10</v>
      </c>
      <c r="L129" t="s">
        <v>476</v>
      </c>
      <c r="M129" t="s">
        <v>477</v>
      </c>
      <c r="N129" t="s">
        <v>5911</v>
      </c>
      <c r="O129" t="s">
        <v>25</v>
      </c>
      <c r="P129" t="s">
        <v>5912</v>
      </c>
      <c r="Q129" t="s">
        <v>477</v>
      </c>
      <c r="R129" t="s">
        <v>5913</v>
      </c>
      <c r="S129" t="s">
        <v>25</v>
      </c>
      <c r="T129" t="s">
        <v>5914</v>
      </c>
      <c r="Z129" t="s">
        <v>6478</v>
      </c>
    </row>
    <row r="130" spans="1:26">
      <c r="A130" t="s">
        <v>5915</v>
      </c>
      <c r="B130" t="s">
        <v>5915</v>
      </c>
      <c r="C130" t="s">
        <v>5916</v>
      </c>
      <c r="D130" t="s">
        <v>21</v>
      </c>
      <c r="E130" s="14" t="s">
        <v>6447</v>
      </c>
      <c r="F130" t="s">
        <v>676</v>
      </c>
      <c r="G130" t="str">
        <f>Config!$B$4</f>
        <v>SCH/C_IEC.SchLib</v>
      </c>
      <c r="H130" t="s">
        <v>425</v>
      </c>
      <c r="I130" t="s">
        <v>461</v>
      </c>
      <c r="J130" t="s">
        <v>5747</v>
      </c>
      <c r="K130" s="3">
        <v>3.3E-10</v>
      </c>
      <c r="L130" t="s">
        <v>476</v>
      </c>
      <c r="M130" t="s">
        <v>477</v>
      </c>
      <c r="N130" t="s">
        <v>5917</v>
      </c>
      <c r="O130" t="s">
        <v>25</v>
      </c>
      <c r="P130" t="s">
        <v>5918</v>
      </c>
      <c r="Q130" t="s">
        <v>477</v>
      </c>
      <c r="R130" t="s">
        <v>5919</v>
      </c>
      <c r="S130" t="s">
        <v>25</v>
      </c>
      <c r="T130" t="s">
        <v>5920</v>
      </c>
      <c r="Z130" t="s">
        <v>6479</v>
      </c>
    </row>
    <row r="131" spans="1:26">
      <c r="A131" t="s">
        <v>5921</v>
      </c>
      <c r="B131" t="s">
        <v>5921</v>
      </c>
      <c r="C131" t="s">
        <v>5922</v>
      </c>
      <c r="D131" t="s">
        <v>21</v>
      </c>
      <c r="E131" s="14" t="s">
        <v>6447</v>
      </c>
      <c r="F131" t="s">
        <v>683</v>
      </c>
      <c r="G131" t="str">
        <f>Config!$B$4</f>
        <v>SCH/C_IEC.SchLib</v>
      </c>
      <c r="H131" t="s">
        <v>425</v>
      </c>
      <c r="I131" t="s">
        <v>461</v>
      </c>
      <c r="J131" t="s">
        <v>5747</v>
      </c>
      <c r="K131" s="3">
        <v>3.9E-10</v>
      </c>
      <c r="L131" t="s">
        <v>476</v>
      </c>
      <c r="M131" t="s">
        <v>477</v>
      </c>
      <c r="N131" t="s">
        <v>5923</v>
      </c>
      <c r="O131" t="s">
        <v>25</v>
      </c>
      <c r="P131" t="s">
        <v>5924</v>
      </c>
      <c r="Q131" t="s">
        <v>477</v>
      </c>
      <c r="R131" t="s">
        <v>5925</v>
      </c>
      <c r="S131" t="s">
        <v>25</v>
      </c>
      <c r="T131" t="s">
        <v>5926</v>
      </c>
      <c r="Z131" t="s">
        <v>6480</v>
      </c>
    </row>
    <row r="132" spans="1:26">
      <c r="A132" t="s">
        <v>5927</v>
      </c>
      <c r="B132" t="s">
        <v>5927</v>
      </c>
      <c r="C132" t="s">
        <v>5928</v>
      </c>
      <c r="D132" t="s">
        <v>21</v>
      </c>
      <c r="E132" s="14" t="s">
        <v>6447</v>
      </c>
      <c r="F132" t="s">
        <v>690</v>
      </c>
      <c r="G132" t="str">
        <f>Config!$B$4</f>
        <v>SCH/C_IEC.SchLib</v>
      </c>
      <c r="H132" t="s">
        <v>425</v>
      </c>
      <c r="I132" t="s">
        <v>461</v>
      </c>
      <c r="J132" t="s">
        <v>5747</v>
      </c>
      <c r="K132" s="3">
        <v>4.7000000000000003E-10</v>
      </c>
      <c r="L132" t="s">
        <v>476</v>
      </c>
      <c r="M132" t="s">
        <v>477</v>
      </c>
      <c r="N132" t="s">
        <v>5929</v>
      </c>
      <c r="O132" t="s">
        <v>25</v>
      </c>
      <c r="P132" t="s">
        <v>5930</v>
      </c>
      <c r="Q132" t="s">
        <v>477</v>
      </c>
      <c r="R132" t="s">
        <v>5931</v>
      </c>
      <c r="S132" t="s">
        <v>25</v>
      </c>
      <c r="T132" t="s">
        <v>5932</v>
      </c>
      <c r="Z132" t="s">
        <v>6481</v>
      </c>
    </row>
    <row r="133" spans="1:26">
      <c r="A133" t="s">
        <v>5933</v>
      </c>
      <c r="B133" t="s">
        <v>5933</v>
      </c>
      <c r="C133" t="s">
        <v>5934</v>
      </c>
      <c r="D133" t="s">
        <v>21</v>
      </c>
      <c r="E133" s="14" t="s">
        <v>6447</v>
      </c>
      <c r="F133" t="s">
        <v>697</v>
      </c>
      <c r="G133" t="str">
        <f>Config!$B$4</f>
        <v>SCH/C_IEC.SchLib</v>
      </c>
      <c r="H133" t="s">
        <v>425</v>
      </c>
      <c r="I133" t="s">
        <v>461</v>
      </c>
      <c r="J133" t="s">
        <v>5747</v>
      </c>
      <c r="K133" s="3">
        <v>5.6000000000000003E-10</v>
      </c>
      <c r="L133" t="s">
        <v>476</v>
      </c>
      <c r="M133" t="s">
        <v>477</v>
      </c>
      <c r="N133" t="s">
        <v>5935</v>
      </c>
      <c r="O133" t="s">
        <v>25</v>
      </c>
      <c r="P133" t="s">
        <v>5936</v>
      </c>
      <c r="Q133" t="s">
        <v>477</v>
      </c>
      <c r="R133" t="s">
        <v>5937</v>
      </c>
      <c r="S133" t="s">
        <v>25</v>
      </c>
      <c r="T133" t="s">
        <v>5938</v>
      </c>
      <c r="Z133" t="s">
        <v>6482</v>
      </c>
    </row>
    <row r="134" spans="1:26">
      <c r="A134" t="s">
        <v>5939</v>
      </c>
      <c r="B134" t="s">
        <v>5939</v>
      </c>
      <c r="C134" t="s">
        <v>5940</v>
      </c>
      <c r="D134" t="s">
        <v>21</v>
      </c>
      <c r="E134" s="14" t="s">
        <v>6447</v>
      </c>
      <c r="F134" t="s">
        <v>704</v>
      </c>
      <c r="G134" t="str">
        <f>Config!$B$4</f>
        <v>SCH/C_IEC.SchLib</v>
      </c>
      <c r="H134" t="s">
        <v>425</v>
      </c>
      <c r="I134" t="s">
        <v>461</v>
      </c>
      <c r="J134" t="s">
        <v>5747</v>
      </c>
      <c r="K134" s="3">
        <v>6.8000000000000003E-10</v>
      </c>
      <c r="L134" t="s">
        <v>476</v>
      </c>
      <c r="M134" t="s">
        <v>477</v>
      </c>
      <c r="N134" t="s">
        <v>5941</v>
      </c>
      <c r="O134" t="s">
        <v>25</v>
      </c>
      <c r="P134" t="s">
        <v>5942</v>
      </c>
      <c r="Q134" t="s">
        <v>477</v>
      </c>
      <c r="R134" t="s">
        <v>5943</v>
      </c>
      <c r="S134" t="s">
        <v>25</v>
      </c>
      <c r="T134" t="s">
        <v>5944</v>
      </c>
      <c r="Z134" t="s">
        <v>6483</v>
      </c>
    </row>
    <row r="135" spans="1:26">
      <c r="A135" t="s">
        <v>5945</v>
      </c>
      <c r="B135" t="s">
        <v>5945</v>
      </c>
      <c r="C135" t="s">
        <v>5946</v>
      </c>
      <c r="D135" t="s">
        <v>21</v>
      </c>
      <c r="E135" s="14" t="s">
        <v>6447</v>
      </c>
      <c r="F135" t="s">
        <v>711</v>
      </c>
      <c r="G135" t="str">
        <f>Config!$B$4</f>
        <v>SCH/C_IEC.SchLib</v>
      </c>
      <c r="H135" t="s">
        <v>425</v>
      </c>
      <c r="I135" t="s">
        <v>461</v>
      </c>
      <c r="J135" t="s">
        <v>5747</v>
      </c>
      <c r="K135" s="3">
        <v>8.1999999999999996E-10</v>
      </c>
      <c r="L135" t="s">
        <v>476</v>
      </c>
      <c r="M135" t="s">
        <v>477</v>
      </c>
      <c r="N135" t="s">
        <v>5947</v>
      </c>
      <c r="O135" t="s">
        <v>25</v>
      </c>
      <c r="P135" t="s">
        <v>5948</v>
      </c>
      <c r="Z135" t="s">
        <v>6484</v>
      </c>
    </row>
    <row r="136" spans="1:26">
      <c r="A136" t="s">
        <v>10628</v>
      </c>
      <c r="B136" t="s">
        <v>10628</v>
      </c>
      <c r="C136" t="s">
        <v>5949</v>
      </c>
      <c r="D136" t="s">
        <v>21</v>
      </c>
      <c r="E136" s="14" t="s">
        <v>6447</v>
      </c>
      <c r="F136" t="s">
        <v>717</v>
      </c>
      <c r="G136" t="str">
        <f>Config!$B$4</f>
        <v>SCH/C_IEC.SchLib</v>
      </c>
      <c r="H136" t="s">
        <v>425</v>
      </c>
      <c r="I136" t="s">
        <v>461</v>
      </c>
      <c r="J136" t="s">
        <v>5747</v>
      </c>
      <c r="K136" s="3">
        <v>1.0000000000000001E-9</v>
      </c>
      <c r="L136" t="s">
        <v>476</v>
      </c>
      <c r="M136" t="s">
        <v>477</v>
      </c>
      <c r="N136" t="s">
        <v>5950</v>
      </c>
      <c r="O136" t="s">
        <v>25</v>
      </c>
      <c r="P136" t="s">
        <v>5951</v>
      </c>
      <c r="Q136" t="s">
        <v>477</v>
      </c>
      <c r="R136" t="s">
        <v>5952</v>
      </c>
      <c r="S136" t="s">
        <v>25</v>
      </c>
      <c r="T136" t="s">
        <v>5953</v>
      </c>
      <c r="Z136" t="s">
        <v>6485</v>
      </c>
    </row>
    <row r="137" spans="1:26">
      <c r="A137" t="s">
        <v>5954</v>
      </c>
      <c r="B137" t="s">
        <v>5954</v>
      </c>
      <c r="C137" t="s">
        <v>5955</v>
      </c>
      <c r="D137" t="s">
        <v>21</v>
      </c>
      <c r="E137" s="14" t="s">
        <v>6447</v>
      </c>
      <c r="F137" t="s">
        <v>634</v>
      </c>
      <c r="G137" t="str">
        <f>Config!$B$4</f>
        <v>SCH/C_IEC.SchLib</v>
      </c>
      <c r="H137" t="s">
        <v>425</v>
      </c>
      <c r="I137" t="s">
        <v>461</v>
      </c>
      <c r="J137" t="s">
        <v>5956</v>
      </c>
      <c r="K137" s="3">
        <v>1E-10</v>
      </c>
      <c r="L137" t="s">
        <v>776</v>
      </c>
      <c r="M137" t="s">
        <v>477</v>
      </c>
      <c r="N137" t="s">
        <v>5957</v>
      </c>
      <c r="O137" t="s">
        <v>25</v>
      </c>
      <c r="P137" t="s">
        <v>5958</v>
      </c>
      <c r="Q137" t="s">
        <v>477</v>
      </c>
      <c r="R137" t="s">
        <v>5959</v>
      </c>
      <c r="S137" t="s">
        <v>25</v>
      </c>
      <c r="T137" t="s">
        <v>5960</v>
      </c>
      <c r="Z137" t="str">
        <f>"GPC"&amp;E137&amp;RIGHT(N137,3)</f>
        <v>GPC0402101</v>
      </c>
    </row>
    <row r="138" spans="1:26">
      <c r="A138" t="s">
        <v>5961</v>
      </c>
      <c r="B138" t="s">
        <v>5961</v>
      </c>
      <c r="C138" t="s">
        <v>5962</v>
      </c>
      <c r="D138" t="s">
        <v>21</v>
      </c>
      <c r="E138" s="14" t="s">
        <v>6447</v>
      </c>
      <c r="F138" t="s">
        <v>641</v>
      </c>
      <c r="G138" t="str">
        <f>Config!$B$4</f>
        <v>SCH/C_IEC.SchLib</v>
      </c>
      <c r="H138" t="s">
        <v>425</v>
      </c>
      <c r="I138" t="s">
        <v>461</v>
      </c>
      <c r="J138" t="s">
        <v>5956</v>
      </c>
      <c r="K138" s="3">
        <v>1.2E-10</v>
      </c>
      <c r="L138" t="s">
        <v>776</v>
      </c>
      <c r="M138" t="s">
        <v>477</v>
      </c>
      <c r="N138" t="s">
        <v>5963</v>
      </c>
      <c r="O138" t="s">
        <v>25</v>
      </c>
      <c r="P138" t="s">
        <v>5964</v>
      </c>
      <c r="Q138" t="s">
        <v>477</v>
      </c>
      <c r="R138" t="s">
        <v>5965</v>
      </c>
      <c r="S138" t="s">
        <v>25</v>
      </c>
      <c r="T138" t="s">
        <v>5966</v>
      </c>
      <c r="Z138" t="str">
        <f t="shared" ref="Z138:Z172" si="2">"GPC"&amp;E138&amp;RIGHT(N138,3)</f>
        <v>GPC0402121</v>
      </c>
    </row>
    <row r="139" spans="1:26">
      <c r="A139" t="s">
        <v>5967</v>
      </c>
      <c r="B139" t="s">
        <v>5967</v>
      </c>
      <c r="C139" t="s">
        <v>5968</v>
      </c>
      <c r="D139" t="s">
        <v>21</v>
      </c>
      <c r="E139" s="14" t="s">
        <v>6447</v>
      </c>
      <c r="F139" t="s">
        <v>648</v>
      </c>
      <c r="G139" t="str">
        <f>Config!$B$4</f>
        <v>SCH/C_IEC.SchLib</v>
      </c>
      <c r="H139" t="s">
        <v>425</v>
      </c>
      <c r="I139" t="s">
        <v>461</v>
      </c>
      <c r="J139" t="s">
        <v>5956</v>
      </c>
      <c r="K139" s="3">
        <v>1.5E-10</v>
      </c>
      <c r="L139" t="s">
        <v>776</v>
      </c>
      <c r="M139" t="s">
        <v>477</v>
      </c>
      <c r="N139" t="s">
        <v>5969</v>
      </c>
      <c r="O139" t="s">
        <v>25</v>
      </c>
      <c r="P139" t="s">
        <v>5970</v>
      </c>
      <c r="Q139" t="s">
        <v>477</v>
      </c>
      <c r="R139" t="s">
        <v>5971</v>
      </c>
      <c r="S139" t="s">
        <v>25</v>
      </c>
      <c r="T139" t="s">
        <v>5972</v>
      </c>
      <c r="Z139" t="str">
        <f t="shared" si="2"/>
        <v>GPC0402151</v>
      </c>
    </row>
    <row r="140" spans="1:26">
      <c r="A140" t="s">
        <v>5973</v>
      </c>
      <c r="B140" t="s">
        <v>5973</v>
      </c>
      <c r="C140" t="s">
        <v>5974</v>
      </c>
      <c r="D140" t="s">
        <v>21</v>
      </c>
      <c r="E140" s="14" t="s">
        <v>6447</v>
      </c>
      <c r="F140" t="s">
        <v>655</v>
      </c>
      <c r="G140" t="str">
        <f>Config!$B$4</f>
        <v>SCH/C_IEC.SchLib</v>
      </c>
      <c r="H140" t="s">
        <v>425</v>
      </c>
      <c r="I140" t="s">
        <v>461</v>
      </c>
      <c r="J140" t="s">
        <v>5956</v>
      </c>
      <c r="K140" s="3">
        <v>1.8E-10</v>
      </c>
      <c r="L140" t="s">
        <v>776</v>
      </c>
      <c r="M140" t="s">
        <v>477</v>
      </c>
      <c r="N140" t="s">
        <v>5975</v>
      </c>
      <c r="O140" t="s">
        <v>25</v>
      </c>
      <c r="P140" t="s">
        <v>5976</v>
      </c>
      <c r="Q140" t="s">
        <v>477</v>
      </c>
      <c r="R140" t="s">
        <v>5977</v>
      </c>
      <c r="S140" t="s">
        <v>25</v>
      </c>
      <c r="T140" t="s">
        <v>5978</v>
      </c>
      <c r="Z140" t="str">
        <f t="shared" si="2"/>
        <v>GPC0402181</v>
      </c>
    </row>
    <row r="141" spans="1:26">
      <c r="A141" t="s">
        <v>5979</v>
      </c>
      <c r="B141" t="s">
        <v>5979</v>
      </c>
      <c r="C141" t="s">
        <v>5980</v>
      </c>
      <c r="D141" t="s">
        <v>21</v>
      </c>
      <c r="E141" s="14" t="s">
        <v>6447</v>
      </c>
      <c r="F141" t="s">
        <v>662</v>
      </c>
      <c r="G141" t="str">
        <f>Config!$B$4</f>
        <v>SCH/C_IEC.SchLib</v>
      </c>
      <c r="H141" t="s">
        <v>425</v>
      </c>
      <c r="I141" t="s">
        <v>461</v>
      </c>
      <c r="J141" t="s">
        <v>5956</v>
      </c>
      <c r="K141" s="3">
        <v>2.1999999999999999E-10</v>
      </c>
      <c r="L141" t="s">
        <v>776</v>
      </c>
      <c r="M141" t="s">
        <v>477</v>
      </c>
      <c r="N141" t="s">
        <v>5981</v>
      </c>
      <c r="O141" t="s">
        <v>25</v>
      </c>
      <c r="P141" t="s">
        <v>5982</v>
      </c>
      <c r="Q141" t="s">
        <v>477</v>
      </c>
      <c r="R141" t="s">
        <v>5983</v>
      </c>
      <c r="S141" t="s">
        <v>25</v>
      </c>
      <c r="T141" t="s">
        <v>5984</v>
      </c>
      <c r="Z141" t="str">
        <f t="shared" si="2"/>
        <v>GPC0402221</v>
      </c>
    </row>
    <row r="142" spans="1:26">
      <c r="A142" t="s">
        <v>5985</v>
      </c>
      <c r="B142" t="s">
        <v>5985</v>
      </c>
      <c r="C142" t="s">
        <v>5986</v>
      </c>
      <c r="D142" t="s">
        <v>21</v>
      </c>
      <c r="E142" s="14" t="s">
        <v>6447</v>
      </c>
      <c r="F142" t="s">
        <v>669</v>
      </c>
      <c r="G142" t="str">
        <f>Config!$B$4</f>
        <v>SCH/C_IEC.SchLib</v>
      </c>
      <c r="H142" t="s">
        <v>425</v>
      </c>
      <c r="I142" t="s">
        <v>461</v>
      </c>
      <c r="J142" t="s">
        <v>5956</v>
      </c>
      <c r="K142" s="3">
        <v>2.7E-10</v>
      </c>
      <c r="L142" t="s">
        <v>776</v>
      </c>
      <c r="M142" t="s">
        <v>477</v>
      </c>
      <c r="N142" t="s">
        <v>5987</v>
      </c>
      <c r="O142" t="s">
        <v>25</v>
      </c>
      <c r="P142" t="s">
        <v>5988</v>
      </c>
      <c r="Q142" t="s">
        <v>477</v>
      </c>
      <c r="R142" t="s">
        <v>5989</v>
      </c>
      <c r="S142" t="s">
        <v>25</v>
      </c>
      <c r="T142" t="s">
        <v>5990</v>
      </c>
      <c r="Z142" t="str">
        <f t="shared" si="2"/>
        <v>GPC0402271</v>
      </c>
    </row>
    <row r="143" spans="1:26">
      <c r="A143" t="s">
        <v>5991</v>
      </c>
      <c r="B143" t="s">
        <v>5991</v>
      </c>
      <c r="C143" t="s">
        <v>5992</v>
      </c>
      <c r="D143" t="s">
        <v>21</v>
      </c>
      <c r="E143" s="14" t="s">
        <v>6447</v>
      </c>
      <c r="F143" t="s">
        <v>676</v>
      </c>
      <c r="G143" t="str">
        <f>Config!$B$4</f>
        <v>SCH/C_IEC.SchLib</v>
      </c>
      <c r="H143" t="s">
        <v>425</v>
      </c>
      <c r="I143" t="s">
        <v>461</v>
      </c>
      <c r="J143" t="s">
        <v>5956</v>
      </c>
      <c r="K143" s="3">
        <v>3.3E-10</v>
      </c>
      <c r="L143" t="s">
        <v>776</v>
      </c>
      <c r="M143" t="s">
        <v>477</v>
      </c>
      <c r="N143" t="s">
        <v>5993</v>
      </c>
      <c r="O143" t="s">
        <v>25</v>
      </c>
      <c r="P143" t="s">
        <v>5994</v>
      </c>
      <c r="Q143" t="s">
        <v>477</v>
      </c>
      <c r="R143" t="s">
        <v>5995</v>
      </c>
      <c r="S143" t="s">
        <v>25</v>
      </c>
      <c r="T143" t="s">
        <v>5996</v>
      </c>
      <c r="Z143" t="str">
        <f t="shared" si="2"/>
        <v>GPC0402331</v>
      </c>
    </row>
    <row r="144" spans="1:26">
      <c r="A144" t="s">
        <v>5997</v>
      </c>
      <c r="B144" t="s">
        <v>5997</v>
      </c>
      <c r="C144" t="s">
        <v>5998</v>
      </c>
      <c r="D144" t="s">
        <v>21</v>
      </c>
      <c r="E144" s="14" t="s">
        <v>6447</v>
      </c>
      <c r="F144" t="s">
        <v>683</v>
      </c>
      <c r="G144" t="str">
        <f>Config!$B$4</f>
        <v>SCH/C_IEC.SchLib</v>
      </c>
      <c r="H144" t="s">
        <v>425</v>
      </c>
      <c r="I144" t="s">
        <v>461</v>
      </c>
      <c r="J144" t="s">
        <v>5956</v>
      </c>
      <c r="K144" s="3">
        <v>3.9E-10</v>
      </c>
      <c r="L144" t="s">
        <v>776</v>
      </c>
      <c r="M144" t="s">
        <v>477</v>
      </c>
      <c r="N144" t="s">
        <v>5999</v>
      </c>
      <c r="O144" t="s">
        <v>25</v>
      </c>
      <c r="P144" t="s">
        <v>6000</v>
      </c>
      <c r="Q144" t="s">
        <v>477</v>
      </c>
      <c r="R144" t="s">
        <v>6001</v>
      </c>
      <c r="S144" t="s">
        <v>25</v>
      </c>
      <c r="T144" t="s">
        <v>6002</v>
      </c>
      <c r="Z144" t="str">
        <f t="shared" si="2"/>
        <v>GPC0402391</v>
      </c>
    </row>
    <row r="145" spans="1:26">
      <c r="A145" t="s">
        <v>6003</v>
      </c>
      <c r="B145" t="s">
        <v>6003</v>
      </c>
      <c r="C145" t="s">
        <v>6004</v>
      </c>
      <c r="D145" t="s">
        <v>21</v>
      </c>
      <c r="E145" s="14" t="s">
        <v>6447</v>
      </c>
      <c r="F145" t="s">
        <v>690</v>
      </c>
      <c r="G145" t="str">
        <f>Config!$B$4</f>
        <v>SCH/C_IEC.SchLib</v>
      </c>
      <c r="H145" t="s">
        <v>425</v>
      </c>
      <c r="I145" t="s">
        <v>461</v>
      </c>
      <c r="J145" t="s">
        <v>5956</v>
      </c>
      <c r="K145" s="3">
        <v>4.7000000000000003E-10</v>
      </c>
      <c r="L145" t="s">
        <v>776</v>
      </c>
      <c r="M145" t="s">
        <v>477</v>
      </c>
      <c r="N145" t="s">
        <v>6005</v>
      </c>
      <c r="O145" t="s">
        <v>25</v>
      </c>
      <c r="P145" t="s">
        <v>6006</v>
      </c>
      <c r="Q145" t="s">
        <v>477</v>
      </c>
      <c r="R145" t="s">
        <v>6007</v>
      </c>
      <c r="S145" t="s">
        <v>25</v>
      </c>
      <c r="T145" t="s">
        <v>6008</v>
      </c>
      <c r="Z145" t="str">
        <f t="shared" si="2"/>
        <v>GPC0402471</v>
      </c>
    </row>
    <row r="146" spans="1:26">
      <c r="A146" t="s">
        <v>6009</v>
      </c>
      <c r="B146" t="s">
        <v>6009</v>
      </c>
      <c r="C146" t="s">
        <v>6010</v>
      </c>
      <c r="D146" t="s">
        <v>21</v>
      </c>
      <c r="E146" s="14" t="s">
        <v>6447</v>
      </c>
      <c r="F146" t="s">
        <v>697</v>
      </c>
      <c r="G146" t="str">
        <f>Config!$B$4</f>
        <v>SCH/C_IEC.SchLib</v>
      </c>
      <c r="H146" t="s">
        <v>425</v>
      </c>
      <c r="I146" t="s">
        <v>461</v>
      </c>
      <c r="J146" t="s">
        <v>5956</v>
      </c>
      <c r="K146" s="3">
        <v>5.6000000000000003E-10</v>
      </c>
      <c r="L146" t="s">
        <v>776</v>
      </c>
      <c r="M146" t="s">
        <v>477</v>
      </c>
      <c r="N146" t="s">
        <v>6011</v>
      </c>
      <c r="O146" t="s">
        <v>25</v>
      </c>
      <c r="P146" t="s">
        <v>6012</v>
      </c>
      <c r="Q146" t="s">
        <v>477</v>
      </c>
      <c r="R146" t="s">
        <v>6013</v>
      </c>
      <c r="S146" t="s">
        <v>25</v>
      </c>
      <c r="T146" t="s">
        <v>6014</v>
      </c>
      <c r="Z146" t="str">
        <f t="shared" si="2"/>
        <v>GPC0402561</v>
      </c>
    </row>
    <row r="147" spans="1:26">
      <c r="A147" t="s">
        <v>6015</v>
      </c>
      <c r="B147" t="s">
        <v>6015</v>
      </c>
      <c r="C147" t="s">
        <v>6016</v>
      </c>
      <c r="D147" t="s">
        <v>21</v>
      </c>
      <c r="E147" s="14" t="s">
        <v>6447</v>
      </c>
      <c r="F147" t="s">
        <v>704</v>
      </c>
      <c r="G147" t="str">
        <f>Config!$B$4</f>
        <v>SCH/C_IEC.SchLib</v>
      </c>
      <c r="H147" t="s">
        <v>425</v>
      </c>
      <c r="I147" t="s">
        <v>461</v>
      </c>
      <c r="J147" t="s">
        <v>5956</v>
      </c>
      <c r="K147" s="3">
        <v>6.8000000000000003E-10</v>
      </c>
      <c r="L147" t="s">
        <v>776</v>
      </c>
      <c r="M147" t="s">
        <v>477</v>
      </c>
      <c r="N147" t="s">
        <v>6017</v>
      </c>
      <c r="O147" t="s">
        <v>25</v>
      </c>
      <c r="P147" t="s">
        <v>6018</v>
      </c>
      <c r="Q147" t="s">
        <v>477</v>
      </c>
      <c r="R147" t="s">
        <v>6019</v>
      </c>
      <c r="S147" t="s">
        <v>25</v>
      </c>
      <c r="T147" t="s">
        <v>6020</v>
      </c>
      <c r="Z147" t="str">
        <f t="shared" si="2"/>
        <v>GPC0402681</v>
      </c>
    </row>
    <row r="148" spans="1:26">
      <c r="A148" t="s">
        <v>6021</v>
      </c>
      <c r="B148" t="s">
        <v>6021</v>
      </c>
      <c r="C148" t="s">
        <v>6022</v>
      </c>
      <c r="D148" t="s">
        <v>21</v>
      </c>
      <c r="E148" s="14" t="s">
        <v>6447</v>
      </c>
      <c r="F148" t="s">
        <v>711</v>
      </c>
      <c r="G148" t="str">
        <f>Config!$B$4</f>
        <v>SCH/C_IEC.SchLib</v>
      </c>
      <c r="H148" t="s">
        <v>425</v>
      </c>
      <c r="I148" t="s">
        <v>461</v>
      </c>
      <c r="J148" t="s">
        <v>5956</v>
      </c>
      <c r="K148" s="3">
        <v>8.1999999999999996E-10</v>
      </c>
      <c r="L148" t="s">
        <v>776</v>
      </c>
      <c r="M148" t="s">
        <v>477</v>
      </c>
      <c r="N148" t="s">
        <v>6023</v>
      </c>
      <c r="O148" t="s">
        <v>25</v>
      </c>
      <c r="P148" t="s">
        <v>6024</v>
      </c>
      <c r="Q148" t="s">
        <v>477</v>
      </c>
      <c r="R148" t="s">
        <v>6025</v>
      </c>
      <c r="S148" t="s">
        <v>25</v>
      </c>
      <c r="T148" t="s">
        <v>6026</v>
      </c>
      <c r="Z148" t="str">
        <f t="shared" si="2"/>
        <v>GPC0402821</v>
      </c>
    </row>
    <row r="149" spans="1:26">
      <c r="A149" t="s">
        <v>10640</v>
      </c>
      <c r="B149" t="s">
        <v>10640</v>
      </c>
      <c r="C149" t="s">
        <v>6027</v>
      </c>
      <c r="D149" t="s">
        <v>21</v>
      </c>
      <c r="E149" s="14" t="s">
        <v>6447</v>
      </c>
      <c r="F149" t="s">
        <v>717</v>
      </c>
      <c r="G149" t="str">
        <f>Config!$B$4</f>
        <v>SCH/C_IEC.SchLib</v>
      </c>
      <c r="H149" t="s">
        <v>425</v>
      </c>
      <c r="I149" t="s">
        <v>461</v>
      </c>
      <c r="J149" t="s">
        <v>5956</v>
      </c>
      <c r="K149" s="3">
        <v>1.0000000000000001E-9</v>
      </c>
      <c r="L149" t="s">
        <v>776</v>
      </c>
      <c r="M149" t="s">
        <v>477</v>
      </c>
      <c r="N149" t="s">
        <v>6028</v>
      </c>
      <c r="O149" t="s">
        <v>25</v>
      </c>
      <c r="P149" t="s">
        <v>6029</v>
      </c>
      <c r="Q149" t="s">
        <v>477</v>
      </c>
      <c r="R149" t="s">
        <v>6030</v>
      </c>
      <c r="S149" t="s">
        <v>25</v>
      </c>
      <c r="T149" t="s">
        <v>6031</v>
      </c>
      <c r="Z149" t="str">
        <f t="shared" si="2"/>
        <v>GPC0402102</v>
      </c>
    </row>
    <row r="150" spans="1:26">
      <c r="A150" t="s">
        <v>10629</v>
      </c>
      <c r="B150" t="s">
        <v>10629</v>
      </c>
      <c r="C150" t="s">
        <v>6032</v>
      </c>
      <c r="D150" t="s">
        <v>21</v>
      </c>
      <c r="E150" s="14" t="s">
        <v>6447</v>
      </c>
      <c r="F150" t="s">
        <v>723</v>
      </c>
      <c r="G150" t="str">
        <f>Config!$B$4</f>
        <v>SCH/C_IEC.SchLib</v>
      </c>
      <c r="H150" t="s">
        <v>425</v>
      </c>
      <c r="I150" t="s">
        <v>461</v>
      </c>
      <c r="J150" t="s">
        <v>5956</v>
      </c>
      <c r="K150" s="3">
        <v>1.2E-9</v>
      </c>
      <c r="L150" t="s">
        <v>776</v>
      </c>
      <c r="M150" t="s">
        <v>477</v>
      </c>
      <c r="N150" t="s">
        <v>6033</v>
      </c>
      <c r="O150" t="s">
        <v>25</v>
      </c>
      <c r="P150" t="s">
        <v>6034</v>
      </c>
      <c r="Q150" t="s">
        <v>477</v>
      </c>
      <c r="R150" t="s">
        <v>6035</v>
      </c>
      <c r="S150" t="s">
        <v>25</v>
      </c>
      <c r="T150" t="s">
        <v>6036</v>
      </c>
      <c r="Z150" t="str">
        <f t="shared" si="2"/>
        <v>GPC0402122</v>
      </c>
    </row>
    <row r="151" spans="1:26">
      <c r="A151" t="s">
        <v>10630</v>
      </c>
      <c r="B151" t="s">
        <v>10630</v>
      </c>
      <c r="C151" t="s">
        <v>6037</v>
      </c>
      <c r="D151" t="s">
        <v>21</v>
      </c>
      <c r="E151" s="14" t="s">
        <v>6447</v>
      </c>
      <c r="F151" t="s">
        <v>729</v>
      </c>
      <c r="G151" t="str">
        <f>Config!$B$4</f>
        <v>SCH/C_IEC.SchLib</v>
      </c>
      <c r="H151" t="s">
        <v>425</v>
      </c>
      <c r="I151" t="s">
        <v>461</v>
      </c>
      <c r="J151" t="s">
        <v>5956</v>
      </c>
      <c r="K151" s="3">
        <v>1.5E-9</v>
      </c>
      <c r="L151" t="s">
        <v>776</v>
      </c>
      <c r="M151" t="s">
        <v>477</v>
      </c>
      <c r="N151" t="s">
        <v>6038</v>
      </c>
      <c r="O151" t="s">
        <v>25</v>
      </c>
      <c r="P151" t="s">
        <v>6039</v>
      </c>
      <c r="Q151" t="s">
        <v>477</v>
      </c>
      <c r="R151" t="s">
        <v>6040</v>
      </c>
      <c r="S151" t="s">
        <v>25</v>
      </c>
      <c r="T151" t="s">
        <v>6041</v>
      </c>
      <c r="Z151" t="str">
        <f t="shared" si="2"/>
        <v>GPC0402152</v>
      </c>
    </row>
    <row r="152" spans="1:26">
      <c r="A152" t="s">
        <v>10631</v>
      </c>
      <c r="B152" t="s">
        <v>10631</v>
      </c>
      <c r="C152" t="s">
        <v>6042</v>
      </c>
      <c r="D152" t="s">
        <v>21</v>
      </c>
      <c r="E152" s="14" t="s">
        <v>6447</v>
      </c>
      <c r="F152" t="s">
        <v>735</v>
      </c>
      <c r="G152" t="str">
        <f>Config!$B$4</f>
        <v>SCH/C_IEC.SchLib</v>
      </c>
      <c r="H152" t="s">
        <v>425</v>
      </c>
      <c r="I152" t="s">
        <v>461</v>
      </c>
      <c r="J152" t="s">
        <v>5956</v>
      </c>
      <c r="K152" s="3">
        <v>1.8E-9</v>
      </c>
      <c r="L152" t="s">
        <v>776</v>
      </c>
      <c r="M152" t="s">
        <v>477</v>
      </c>
      <c r="N152" t="s">
        <v>6043</v>
      </c>
      <c r="O152" t="s">
        <v>25</v>
      </c>
      <c r="P152" t="s">
        <v>6044</v>
      </c>
      <c r="Q152" t="s">
        <v>477</v>
      </c>
      <c r="R152" t="s">
        <v>6045</v>
      </c>
      <c r="S152" t="s">
        <v>25</v>
      </c>
      <c r="T152" t="s">
        <v>6046</v>
      </c>
      <c r="Z152" t="str">
        <f t="shared" si="2"/>
        <v>GPC0402182</v>
      </c>
    </row>
    <row r="153" spans="1:26">
      <c r="A153" t="s">
        <v>10632</v>
      </c>
      <c r="B153" t="s">
        <v>10632</v>
      </c>
      <c r="C153" t="s">
        <v>6047</v>
      </c>
      <c r="D153" t="s">
        <v>21</v>
      </c>
      <c r="E153" s="14" t="s">
        <v>6447</v>
      </c>
      <c r="F153" t="s">
        <v>739</v>
      </c>
      <c r="G153" t="str">
        <f>Config!$B$4</f>
        <v>SCH/C_IEC.SchLib</v>
      </c>
      <c r="H153" t="s">
        <v>425</v>
      </c>
      <c r="I153" t="s">
        <v>461</v>
      </c>
      <c r="J153" t="s">
        <v>5956</v>
      </c>
      <c r="K153" s="3">
        <v>2.1999999999999998E-9</v>
      </c>
      <c r="L153" t="s">
        <v>776</v>
      </c>
      <c r="M153" t="s">
        <v>477</v>
      </c>
      <c r="N153" t="s">
        <v>6048</v>
      </c>
      <c r="O153" t="s">
        <v>25</v>
      </c>
      <c r="P153" t="s">
        <v>6049</v>
      </c>
      <c r="Q153" t="s">
        <v>477</v>
      </c>
      <c r="R153" t="s">
        <v>6050</v>
      </c>
      <c r="S153" t="s">
        <v>25</v>
      </c>
      <c r="T153" t="s">
        <v>6051</v>
      </c>
      <c r="Z153" t="str">
        <f t="shared" si="2"/>
        <v>GPC0402222</v>
      </c>
    </row>
    <row r="154" spans="1:26">
      <c r="A154" t="s">
        <v>10633</v>
      </c>
      <c r="B154" t="s">
        <v>10633</v>
      </c>
      <c r="C154" t="s">
        <v>6052</v>
      </c>
      <c r="D154" t="s">
        <v>21</v>
      </c>
      <c r="E154" s="14" t="s">
        <v>6447</v>
      </c>
      <c r="F154" t="s">
        <v>745</v>
      </c>
      <c r="G154" t="str">
        <f>Config!$B$4</f>
        <v>SCH/C_IEC.SchLib</v>
      </c>
      <c r="H154" t="s">
        <v>425</v>
      </c>
      <c r="I154" t="s">
        <v>461</v>
      </c>
      <c r="J154" t="s">
        <v>5956</v>
      </c>
      <c r="K154" s="3">
        <v>2.7000000000000002E-9</v>
      </c>
      <c r="L154" t="s">
        <v>776</v>
      </c>
      <c r="M154" t="s">
        <v>477</v>
      </c>
      <c r="N154" t="s">
        <v>6053</v>
      </c>
      <c r="O154" t="s">
        <v>25</v>
      </c>
      <c r="P154" t="s">
        <v>6054</v>
      </c>
      <c r="Q154" t="s">
        <v>477</v>
      </c>
      <c r="R154" t="s">
        <v>6055</v>
      </c>
      <c r="S154" t="s">
        <v>25</v>
      </c>
      <c r="T154" t="s">
        <v>6056</v>
      </c>
      <c r="Z154" t="str">
        <f t="shared" si="2"/>
        <v>GPC0402272</v>
      </c>
    </row>
    <row r="155" spans="1:26">
      <c r="A155" t="s">
        <v>10634</v>
      </c>
      <c r="B155" t="s">
        <v>10634</v>
      </c>
      <c r="C155" t="s">
        <v>6057</v>
      </c>
      <c r="D155" t="s">
        <v>21</v>
      </c>
      <c r="E155" s="14" t="s">
        <v>6447</v>
      </c>
      <c r="F155" t="s">
        <v>751</v>
      </c>
      <c r="G155" t="str">
        <f>Config!$B$4</f>
        <v>SCH/C_IEC.SchLib</v>
      </c>
      <c r="H155" t="s">
        <v>425</v>
      </c>
      <c r="I155" t="s">
        <v>461</v>
      </c>
      <c r="J155" t="s">
        <v>5956</v>
      </c>
      <c r="K155" s="3">
        <v>3.3000000000000002E-9</v>
      </c>
      <c r="L155" t="s">
        <v>776</v>
      </c>
      <c r="M155" t="s">
        <v>477</v>
      </c>
      <c r="N155" t="s">
        <v>6058</v>
      </c>
      <c r="O155" t="s">
        <v>25</v>
      </c>
      <c r="P155" t="s">
        <v>6059</v>
      </c>
      <c r="Q155" t="s">
        <v>477</v>
      </c>
      <c r="R155" t="s">
        <v>6060</v>
      </c>
      <c r="S155" t="s">
        <v>25</v>
      </c>
      <c r="T155" t="s">
        <v>6061</v>
      </c>
      <c r="Z155" t="str">
        <f t="shared" si="2"/>
        <v>GPC0402332</v>
      </c>
    </row>
    <row r="156" spans="1:26">
      <c r="A156" t="s">
        <v>10635</v>
      </c>
      <c r="B156" t="s">
        <v>10635</v>
      </c>
      <c r="C156" t="s">
        <v>6062</v>
      </c>
      <c r="D156" t="s">
        <v>21</v>
      </c>
      <c r="E156" s="14" t="s">
        <v>6447</v>
      </c>
      <c r="F156" t="s">
        <v>757</v>
      </c>
      <c r="G156" t="str">
        <f>Config!$B$4</f>
        <v>SCH/C_IEC.SchLib</v>
      </c>
      <c r="H156" t="s">
        <v>425</v>
      </c>
      <c r="I156" t="s">
        <v>461</v>
      </c>
      <c r="J156" t="s">
        <v>5956</v>
      </c>
      <c r="K156" s="3">
        <v>3.9000000000000002E-9</v>
      </c>
      <c r="L156" t="s">
        <v>776</v>
      </c>
      <c r="M156" t="s">
        <v>477</v>
      </c>
      <c r="N156" t="s">
        <v>6063</v>
      </c>
      <c r="O156" t="s">
        <v>25</v>
      </c>
      <c r="P156" t="s">
        <v>6064</v>
      </c>
      <c r="Q156" t="s">
        <v>477</v>
      </c>
      <c r="R156" t="s">
        <v>6065</v>
      </c>
      <c r="S156" t="s">
        <v>25</v>
      </c>
      <c r="T156" t="s">
        <v>6066</v>
      </c>
      <c r="Z156" t="str">
        <f t="shared" si="2"/>
        <v>GPC0402392</v>
      </c>
    </row>
    <row r="157" spans="1:26">
      <c r="A157" t="s">
        <v>10636</v>
      </c>
      <c r="B157" t="s">
        <v>10636</v>
      </c>
      <c r="C157" t="s">
        <v>6067</v>
      </c>
      <c r="D157" t="s">
        <v>21</v>
      </c>
      <c r="E157" s="14" t="s">
        <v>6447</v>
      </c>
      <c r="F157" t="s">
        <v>761</v>
      </c>
      <c r="G157" t="str">
        <f>Config!$B$4</f>
        <v>SCH/C_IEC.SchLib</v>
      </c>
      <c r="H157" t="s">
        <v>425</v>
      </c>
      <c r="I157" t="s">
        <v>461</v>
      </c>
      <c r="J157" t="s">
        <v>5956</v>
      </c>
      <c r="K157" s="3">
        <v>4.6999999999999999E-9</v>
      </c>
      <c r="L157" t="s">
        <v>776</v>
      </c>
      <c r="M157" t="s">
        <v>477</v>
      </c>
      <c r="N157" t="s">
        <v>6068</v>
      </c>
      <c r="O157" t="s">
        <v>25</v>
      </c>
      <c r="P157" t="s">
        <v>6069</v>
      </c>
      <c r="Q157" t="s">
        <v>477</v>
      </c>
      <c r="R157" t="s">
        <v>6070</v>
      </c>
      <c r="S157" t="s">
        <v>25</v>
      </c>
      <c r="T157" t="s">
        <v>6071</v>
      </c>
      <c r="Z157" t="str">
        <f t="shared" si="2"/>
        <v>GPC0402472</v>
      </c>
    </row>
    <row r="158" spans="1:26">
      <c r="A158" t="s">
        <v>10637</v>
      </c>
      <c r="B158" t="s">
        <v>10637</v>
      </c>
      <c r="C158" t="s">
        <v>6072</v>
      </c>
      <c r="D158" t="s">
        <v>21</v>
      </c>
      <c r="E158" s="14" t="s">
        <v>6447</v>
      </c>
      <c r="F158" t="s">
        <v>891</v>
      </c>
      <c r="G158" t="str">
        <f>Config!$B$4</f>
        <v>SCH/C_IEC.SchLib</v>
      </c>
      <c r="H158" t="s">
        <v>425</v>
      </c>
      <c r="I158" t="s">
        <v>461</v>
      </c>
      <c r="J158" t="s">
        <v>5956</v>
      </c>
      <c r="K158" s="3">
        <v>5.5999999999999997E-9</v>
      </c>
      <c r="L158" t="s">
        <v>776</v>
      </c>
      <c r="M158" t="s">
        <v>477</v>
      </c>
      <c r="N158" t="s">
        <v>6073</v>
      </c>
      <c r="O158" t="s">
        <v>25</v>
      </c>
      <c r="P158" t="s">
        <v>6074</v>
      </c>
      <c r="Q158" t="s">
        <v>477</v>
      </c>
      <c r="R158" t="s">
        <v>6075</v>
      </c>
      <c r="S158" t="s">
        <v>25</v>
      </c>
      <c r="T158" t="s">
        <v>6076</v>
      </c>
      <c r="Z158" t="str">
        <f t="shared" si="2"/>
        <v>GPC0402562</v>
      </c>
    </row>
    <row r="159" spans="1:26">
      <c r="A159" t="s">
        <v>10638</v>
      </c>
      <c r="B159" t="s">
        <v>10638</v>
      </c>
      <c r="C159" t="s">
        <v>6077</v>
      </c>
      <c r="D159" t="s">
        <v>21</v>
      </c>
      <c r="E159" s="14" t="s">
        <v>6447</v>
      </c>
      <c r="F159" t="s">
        <v>765</v>
      </c>
      <c r="G159" t="str">
        <f>Config!$B$4</f>
        <v>SCH/C_IEC.SchLib</v>
      </c>
      <c r="H159" t="s">
        <v>425</v>
      </c>
      <c r="I159" t="s">
        <v>461</v>
      </c>
      <c r="J159" t="s">
        <v>5956</v>
      </c>
      <c r="K159" s="3">
        <v>6.7999999999999997E-9</v>
      </c>
      <c r="L159" t="s">
        <v>776</v>
      </c>
      <c r="M159" t="s">
        <v>477</v>
      </c>
      <c r="N159" t="s">
        <v>6078</v>
      </c>
      <c r="O159" t="s">
        <v>25</v>
      </c>
      <c r="P159" t="s">
        <v>6079</v>
      </c>
      <c r="Q159" t="s">
        <v>477</v>
      </c>
      <c r="R159" t="s">
        <v>6080</v>
      </c>
      <c r="S159" t="s">
        <v>25</v>
      </c>
      <c r="T159" t="s">
        <v>6081</v>
      </c>
      <c r="Z159" t="str">
        <f t="shared" si="2"/>
        <v>GPC0402682</v>
      </c>
    </row>
    <row r="160" spans="1:26">
      <c r="A160" t="s">
        <v>10639</v>
      </c>
      <c r="B160" t="s">
        <v>10639</v>
      </c>
      <c r="C160" t="s">
        <v>6082</v>
      </c>
      <c r="D160" t="s">
        <v>21</v>
      </c>
      <c r="E160" s="14" t="s">
        <v>6447</v>
      </c>
      <c r="F160" t="s">
        <v>902</v>
      </c>
      <c r="G160" t="str">
        <f>Config!$B$4</f>
        <v>SCH/C_IEC.SchLib</v>
      </c>
      <c r="H160" t="s">
        <v>425</v>
      </c>
      <c r="I160" t="s">
        <v>461</v>
      </c>
      <c r="J160" t="s">
        <v>5956</v>
      </c>
      <c r="K160" s="3">
        <v>8.2000000000000006E-9</v>
      </c>
      <c r="L160" t="s">
        <v>776</v>
      </c>
      <c r="M160" t="s">
        <v>477</v>
      </c>
      <c r="N160" t="s">
        <v>6083</v>
      </c>
      <c r="O160" t="s">
        <v>25</v>
      </c>
      <c r="P160" t="s">
        <v>6084</v>
      </c>
      <c r="Q160" t="s">
        <v>477</v>
      </c>
      <c r="R160" t="s">
        <v>6085</v>
      </c>
      <c r="S160" t="s">
        <v>25</v>
      </c>
      <c r="T160" t="s">
        <v>6086</v>
      </c>
      <c r="Z160" t="str">
        <f t="shared" si="2"/>
        <v>GPC0402822</v>
      </c>
    </row>
    <row r="161" spans="1:26">
      <c r="A161" t="s">
        <v>6087</v>
      </c>
      <c r="B161" t="s">
        <v>6087</v>
      </c>
      <c r="C161" t="s">
        <v>6088</v>
      </c>
      <c r="D161" t="s">
        <v>21</v>
      </c>
      <c r="E161" s="14" t="s">
        <v>6447</v>
      </c>
      <c r="F161" t="s">
        <v>770</v>
      </c>
      <c r="G161" t="str">
        <f>Config!$B$4</f>
        <v>SCH/C_IEC.SchLib</v>
      </c>
      <c r="H161" t="s">
        <v>425</v>
      </c>
      <c r="I161" t="s">
        <v>461</v>
      </c>
      <c r="J161" t="s">
        <v>5956</v>
      </c>
      <c r="K161" s="3">
        <v>1E-8</v>
      </c>
      <c r="L161" t="s">
        <v>776</v>
      </c>
      <c r="M161" t="s">
        <v>477</v>
      </c>
      <c r="N161" t="s">
        <v>6089</v>
      </c>
      <c r="O161" t="s">
        <v>25</v>
      </c>
      <c r="P161" t="s">
        <v>6090</v>
      </c>
      <c r="Q161" t="s">
        <v>477</v>
      </c>
      <c r="R161" t="s">
        <v>6091</v>
      </c>
      <c r="S161" t="s">
        <v>25</v>
      </c>
      <c r="T161" t="s">
        <v>6092</v>
      </c>
      <c r="Z161" t="str">
        <f t="shared" si="2"/>
        <v>GPC0402103</v>
      </c>
    </row>
    <row r="162" spans="1:26">
      <c r="A162" t="s">
        <v>6093</v>
      </c>
      <c r="B162" t="s">
        <v>6093</v>
      </c>
      <c r="C162" t="s">
        <v>6094</v>
      </c>
      <c r="D162" t="s">
        <v>21</v>
      </c>
      <c r="E162" s="14" t="s">
        <v>6447</v>
      </c>
      <c r="F162" t="s">
        <v>915</v>
      </c>
      <c r="G162" t="str">
        <f>Config!$B$4</f>
        <v>SCH/C_IEC.SchLib</v>
      </c>
      <c r="H162" t="s">
        <v>425</v>
      </c>
      <c r="I162" t="s">
        <v>461</v>
      </c>
      <c r="J162" t="s">
        <v>5956</v>
      </c>
      <c r="K162" s="3">
        <v>1.2E-8</v>
      </c>
      <c r="L162" t="s">
        <v>776</v>
      </c>
      <c r="M162" t="s">
        <v>477</v>
      </c>
      <c r="N162" t="s">
        <v>6095</v>
      </c>
      <c r="O162" t="s">
        <v>25</v>
      </c>
      <c r="P162" t="s">
        <v>6096</v>
      </c>
      <c r="Z162" t="str">
        <f t="shared" si="2"/>
        <v>GPC0402123</v>
      </c>
    </row>
    <row r="163" spans="1:26">
      <c r="A163" t="s">
        <v>6097</v>
      </c>
      <c r="B163" t="s">
        <v>6097</v>
      </c>
      <c r="C163" t="s">
        <v>6098</v>
      </c>
      <c r="D163" t="s">
        <v>21</v>
      </c>
      <c r="E163" s="14" t="s">
        <v>6447</v>
      </c>
      <c r="F163" t="s">
        <v>922</v>
      </c>
      <c r="G163" t="str">
        <f>Config!$B$4</f>
        <v>SCH/C_IEC.SchLib</v>
      </c>
      <c r="H163" t="s">
        <v>425</v>
      </c>
      <c r="I163" t="s">
        <v>461</v>
      </c>
      <c r="J163" t="s">
        <v>5956</v>
      </c>
      <c r="K163" s="3">
        <v>1.4999999999999999E-8</v>
      </c>
      <c r="L163" t="s">
        <v>977</v>
      </c>
      <c r="M163" t="s">
        <v>477</v>
      </c>
      <c r="N163" t="s">
        <v>6099</v>
      </c>
      <c r="O163" t="s">
        <v>25</v>
      </c>
      <c r="P163" t="s">
        <v>6100</v>
      </c>
      <c r="Q163" t="s">
        <v>477</v>
      </c>
      <c r="R163" t="s">
        <v>6101</v>
      </c>
      <c r="S163" t="s">
        <v>25</v>
      </c>
      <c r="T163" t="s">
        <v>6102</v>
      </c>
      <c r="Z163" t="str">
        <f t="shared" si="2"/>
        <v>GPC0402153</v>
      </c>
    </row>
    <row r="164" spans="1:26">
      <c r="A164" t="s">
        <v>6103</v>
      </c>
      <c r="B164" t="s">
        <v>6103</v>
      </c>
      <c r="C164" t="s">
        <v>6104</v>
      </c>
      <c r="D164" t="s">
        <v>21</v>
      </c>
      <c r="E164" s="14" t="s">
        <v>6447</v>
      </c>
      <c r="F164" t="s">
        <v>929</v>
      </c>
      <c r="G164" t="str">
        <f>Config!$B$4</f>
        <v>SCH/C_IEC.SchLib</v>
      </c>
      <c r="H164" t="s">
        <v>425</v>
      </c>
      <c r="I164" t="s">
        <v>461</v>
      </c>
      <c r="J164" t="s">
        <v>5956</v>
      </c>
      <c r="K164" s="3">
        <v>1.7999999999999999E-8</v>
      </c>
      <c r="L164" t="s">
        <v>776</v>
      </c>
      <c r="M164" t="s">
        <v>477</v>
      </c>
      <c r="N164" t="s">
        <v>6105</v>
      </c>
      <c r="O164" t="s">
        <v>25</v>
      </c>
      <c r="P164" t="s">
        <v>6106</v>
      </c>
      <c r="Z164" t="str">
        <f t="shared" si="2"/>
        <v>GPC0402183</v>
      </c>
    </row>
    <row r="165" spans="1:26">
      <c r="A165" t="s">
        <v>6107</v>
      </c>
      <c r="B165" t="s">
        <v>6107</v>
      </c>
      <c r="C165" t="s">
        <v>6108</v>
      </c>
      <c r="D165" t="s">
        <v>21</v>
      </c>
      <c r="E165" s="14" t="s">
        <v>6447</v>
      </c>
      <c r="F165" t="s">
        <v>936</v>
      </c>
      <c r="G165" t="str">
        <f>Config!$B$4</f>
        <v>SCH/C_IEC.SchLib</v>
      </c>
      <c r="H165" t="s">
        <v>425</v>
      </c>
      <c r="I165" t="s">
        <v>461</v>
      </c>
      <c r="J165" t="s">
        <v>5956</v>
      </c>
      <c r="K165" s="3">
        <v>2.1999999999999998E-8</v>
      </c>
      <c r="L165" t="s">
        <v>776</v>
      </c>
      <c r="M165" t="s">
        <v>477</v>
      </c>
      <c r="N165" t="s">
        <v>6109</v>
      </c>
      <c r="O165" t="s">
        <v>25</v>
      </c>
      <c r="P165" t="s">
        <v>6110</v>
      </c>
      <c r="Q165" t="s">
        <v>477</v>
      </c>
      <c r="R165" t="s">
        <v>6111</v>
      </c>
      <c r="S165" t="s">
        <v>25</v>
      </c>
      <c r="T165" t="s">
        <v>6112</v>
      </c>
      <c r="Z165" t="str">
        <f t="shared" si="2"/>
        <v>GPC0402223</v>
      </c>
    </row>
    <row r="166" spans="1:26">
      <c r="A166" t="s">
        <v>6113</v>
      </c>
      <c r="B166" t="s">
        <v>6113</v>
      </c>
      <c r="C166" t="s">
        <v>6114</v>
      </c>
      <c r="D166" t="s">
        <v>21</v>
      </c>
      <c r="E166" s="14" t="s">
        <v>6447</v>
      </c>
      <c r="F166" t="s">
        <v>943</v>
      </c>
      <c r="G166" t="str">
        <f>Config!$B$4</f>
        <v>SCH/C_IEC.SchLib</v>
      </c>
      <c r="H166" t="s">
        <v>425</v>
      </c>
      <c r="I166" t="s">
        <v>461</v>
      </c>
      <c r="J166" t="s">
        <v>5956</v>
      </c>
      <c r="K166" s="3">
        <v>2.7E-8</v>
      </c>
      <c r="L166" t="s">
        <v>776</v>
      </c>
      <c r="M166" t="s">
        <v>477</v>
      </c>
      <c r="N166" t="s">
        <v>6115</v>
      </c>
      <c r="O166" t="s">
        <v>25</v>
      </c>
      <c r="P166" t="s">
        <v>6116</v>
      </c>
      <c r="Z166" t="str">
        <f t="shared" si="2"/>
        <v>GPC0402273</v>
      </c>
    </row>
    <row r="167" spans="1:26">
      <c r="A167" t="s">
        <v>6117</v>
      </c>
      <c r="B167" t="s">
        <v>6117</v>
      </c>
      <c r="C167" t="s">
        <v>6118</v>
      </c>
      <c r="D167" t="s">
        <v>21</v>
      </c>
      <c r="E167" s="14" t="s">
        <v>6447</v>
      </c>
      <c r="F167" t="s">
        <v>950</v>
      </c>
      <c r="G167" t="str">
        <f>Config!$B$4</f>
        <v>SCH/C_IEC.SchLib</v>
      </c>
      <c r="H167" t="s">
        <v>425</v>
      </c>
      <c r="I167" t="s">
        <v>461</v>
      </c>
      <c r="J167" t="s">
        <v>5956</v>
      </c>
      <c r="K167" s="3">
        <v>3.2999999999999998E-8</v>
      </c>
      <c r="L167" t="s">
        <v>776</v>
      </c>
      <c r="M167" t="s">
        <v>477</v>
      </c>
      <c r="N167" t="s">
        <v>6119</v>
      </c>
      <c r="O167" t="s">
        <v>25</v>
      </c>
      <c r="P167" t="s">
        <v>6120</v>
      </c>
      <c r="Q167" t="s">
        <v>477</v>
      </c>
      <c r="R167" t="s">
        <v>6121</v>
      </c>
      <c r="S167" t="s">
        <v>25</v>
      </c>
      <c r="T167" t="s">
        <v>6122</v>
      </c>
      <c r="Z167" t="str">
        <f t="shared" si="2"/>
        <v>GPC0402333</v>
      </c>
    </row>
    <row r="168" spans="1:26">
      <c r="A168" t="s">
        <v>6123</v>
      </c>
      <c r="B168" t="s">
        <v>6123</v>
      </c>
      <c r="C168" t="s">
        <v>6124</v>
      </c>
      <c r="D168" t="s">
        <v>21</v>
      </c>
      <c r="E168" s="14" t="s">
        <v>6447</v>
      </c>
      <c r="F168" t="s">
        <v>957</v>
      </c>
      <c r="G168" t="str">
        <f>Config!$B$4</f>
        <v>SCH/C_IEC.SchLib</v>
      </c>
      <c r="H168" t="s">
        <v>425</v>
      </c>
      <c r="I168" t="s">
        <v>461</v>
      </c>
      <c r="J168" t="s">
        <v>5956</v>
      </c>
      <c r="K168" s="3">
        <v>3.8999999999999998E-8</v>
      </c>
      <c r="L168" t="s">
        <v>977</v>
      </c>
      <c r="M168" t="s">
        <v>477</v>
      </c>
      <c r="N168" t="s">
        <v>6125</v>
      </c>
      <c r="O168" t="s">
        <v>25</v>
      </c>
      <c r="P168" t="s">
        <v>6126</v>
      </c>
      <c r="Q168" t="s">
        <v>477</v>
      </c>
      <c r="R168" t="s">
        <v>6127</v>
      </c>
      <c r="S168" t="s">
        <v>25</v>
      </c>
      <c r="T168" t="s">
        <v>6128</v>
      </c>
      <c r="Z168" t="str">
        <f t="shared" si="2"/>
        <v>GPC0402393</v>
      </c>
    </row>
    <row r="169" spans="1:26">
      <c r="A169" t="s">
        <v>6129</v>
      </c>
      <c r="B169" t="s">
        <v>6129</v>
      </c>
      <c r="C169" t="s">
        <v>6130</v>
      </c>
      <c r="D169" t="s">
        <v>21</v>
      </c>
      <c r="E169" s="14" t="s">
        <v>6447</v>
      </c>
      <c r="F169" t="s">
        <v>964</v>
      </c>
      <c r="G169" t="str">
        <f>Config!$B$4</f>
        <v>SCH/C_IEC.SchLib</v>
      </c>
      <c r="H169" t="s">
        <v>425</v>
      </c>
      <c r="I169" t="s">
        <v>461</v>
      </c>
      <c r="J169" t="s">
        <v>5956</v>
      </c>
      <c r="K169" s="3">
        <v>4.6999999999999997E-8</v>
      </c>
      <c r="L169" t="s">
        <v>776</v>
      </c>
      <c r="M169" t="s">
        <v>477</v>
      </c>
      <c r="N169" t="s">
        <v>6131</v>
      </c>
      <c r="O169" t="s">
        <v>25</v>
      </c>
      <c r="P169" t="s">
        <v>6132</v>
      </c>
      <c r="Q169" t="s">
        <v>477</v>
      </c>
      <c r="R169" t="s">
        <v>6133</v>
      </c>
      <c r="S169" t="s">
        <v>25</v>
      </c>
      <c r="T169" t="s">
        <v>6134</v>
      </c>
      <c r="Z169" t="str">
        <f t="shared" si="2"/>
        <v>GPC0402473</v>
      </c>
    </row>
    <row r="170" spans="1:26">
      <c r="A170" t="s">
        <v>6135</v>
      </c>
      <c r="B170" t="s">
        <v>6135</v>
      </c>
      <c r="C170" t="s">
        <v>6136</v>
      </c>
      <c r="D170" t="s">
        <v>21</v>
      </c>
      <c r="E170" s="14" t="s">
        <v>6447</v>
      </c>
      <c r="F170" t="s">
        <v>971</v>
      </c>
      <c r="G170" t="str">
        <f>Config!$B$4</f>
        <v>SCH/C_IEC.SchLib</v>
      </c>
      <c r="H170" t="s">
        <v>425</v>
      </c>
      <c r="I170" t="s">
        <v>461</v>
      </c>
      <c r="J170" t="s">
        <v>5956</v>
      </c>
      <c r="K170" s="3">
        <v>5.5999999999999999E-8</v>
      </c>
      <c r="L170" t="s">
        <v>776</v>
      </c>
      <c r="M170" t="s">
        <v>477</v>
      </c>
      <c r="N170" t="s">
        <v>6137</v>
      </c>
      <c r="O170" t="s">
        <v>25</v>
      </c>
      <c r="P170" t="s">
        <v>6138</v>
      </c>
      <c r="Z170" t="str">
        <f t="shared" si="2"/>
        <v>GPC0402563</v>
      </c>
    </row>
    <row r="171" spans="1:26">
      <c r="A171" t="s">
        <v>6139</v>
      </c>
      <c r="B171" t="s">
        <v>6139</v>
      </c>
      <c r="C171" t="s">
        <v>6140</v>
      </c>
      <c r="D171" t="s">
        <v>21</v>
      </c>
      <c r="E171" s="14" t="s">
        <v>6447</v>
      </c>
      <c r="F171" t="s">
        <v>976</v>
      </c>
      <c r="G171" t="str">
        <f>Config!$B$4</f>
        <v>SCH/C_IEC.SchLib</v>
      </c>
      <c r="H171" t="s">
        <v>425</v>
      </c>
      <c r="I171" t="s">
        <v>461</v>
      </c>
      <c r="J171" t="s">
        <v>5956</v>
      </c>
      <c r="K171" s="3">
        <v>6.8E-8</v>
      </c>
      <c r="L171" t="s">
        <v>776</v>
      </c>
      <c r="M171" t="s">
        <v>477</v>
      </c>
      <c r="N171" t="s">
        <v>6141</v>
      </c>
      <c r="O171" t="s">
        <v>25</v>
      </c>
      <c r="P171" t="s">
        <v>6142</v>
      </c>
      <c r="Z171" t="str">
        <f t="shared" si="2"/>
        <v>GPC0402683</v>
      </c>
    </row>
    <row r="172" spans="1:26">
      <c r="A172" t="s">
        <v>6143</v>
      </c>
      <c r="B172" t="s">
        <v>6143</v>
      </c>
      <c r="C172" t="s">
        <v>6144</v>
      </c>
      <c r="D172" t="s">
        <v>21</v>
      </c>
      <c r="E172" s="14" t="s">
        <v>6447</v>
      </c>
      <c r="F172" t="s">
        <v>991</v>
      </c>
      <c r="G172" t="str">
        <f>Config!$B$4</f>
        <v>SCH/C_IEC.SchLib</v>
      </c>
      <c r="H172" t="s">
        <v>425</v>
      </c>
      <c r="I172" t="s">
        <v>461</v>
      </c>
      <c r="J172" t="s">
        <v>5956</v>
      </c>
      <c r="K172" s="3">
        <v>9.9999999999999995E-8</v>
      </c>
      <c r="L172" t="s">
        <v>776</v>
      </c>
      <c r="M172" t="s">
        <v>477</v>
      </c>
      <c r="N172" t="s">
        <v>6145</v>
      </c>
      <c r="O172" t="s">
        <v>25</v>
      </c>
      <c r="P172" t="s">
        <v>6146</v>
      </c>
      <c r="Q172" t="s">
        <v>477</v>
      </c>
      <c r="R172" t="s">
        <v>6147</v>
      </c>
      <c r="S172" t="s">
        <v>25</v>
      </c>
      <c r="T172" t="s">
        <v>6148</v>
      </c>
      <c r="Z172" t="str">
        <f t="shared" si="2"/>
        <v>GPC0402104</v>
      </c>
    </row>
    <row r="173" spans="1:26">
      <c r="A173" t="s">
        <v>16647</v>
      </c>
      <c r="B173" t="s">
        <v>16647</v>
      </c>
      <c r="C173" t="s">
        <v>16648</v>
      </c>
      <c r="D173" t="s">
        <v>21</v>
      </c>
      <c r="E173" s="14" t="s">
        <v>6446</v>
      </c>
      <c r="F173" t="s">
        <v>16649</v>
      </c>
      <c r="G173" t="str">
        <f>Config!$B$4</f>
        <v>SCH/C_IEC.SchLib</v>
      </c>
      <c r="H173" t="s">
        <v>425</v>
      </c>
      <c r="I173" t="s">
        <v>461</v>
      </c>
      <c r="J173" t="s">
        <v>16650</v>
      </c>
      <c r="K173" s="3">
        <v>1.9999999999999999E-11</v>
      </c>
      <c r="L173" t="s">
        <v>16651</v>
      </c>
      <c r="M173" t="s">
        <v>1032</v>
      </c>
      <c r="N173" t="s">
        <v>16652</v>
      </c>
      <c r="O173" t="s">
        <v>25</v>
      </c>
      <c r="P173" t="s">
        <v>16653</v>
      </c>
      <c r="U173" t="s">
        <v>1032</v>
      </c>
      <c r="V173" t="s">
        <v>16652</v>
      </c>
      <c r="W173" t="s">
        <v>4559</v>
      </c>
      <c r="X173" t="s">
        <v>16654</v>
      </c>
      <c r="Y173" t="s">
        <v>4728</v>
      </c>
    </row>
    <row r="174" spans="1:26">
      <c r="A174" t="s">
        <v>1024</v>
      </c>
      <c r="B174" t="s">
        <v>1024</v>
      </c>
      <c r="C174" t="s">
        <v>1025</v>
      </c>
      <c r="D174" t="s">
        <v>21</v>
      </c>
      <c r="E174" s="14" t="s">
        <v>6446</v>
      </c>
      <c r="F174" t="s">
        <v>1026</v>
      </c>
      <c r="G174" t="str">
        <f>Config!$B$4</f>
        <v>SCH/C_IEC.SchLib</v>
      </c>
      <c r="H174" t="s">
        <v>425</v>
      </c>
      <c r="I174" t="s">
        <v>461</v>
      </c>
      <c r="J174" t="s">
        <v>1027</v>
      </c>
      <c r="K174" s="3">
        <v>1.0000000000000001E-5</v>
      </c>
      <c r="L174" t="s">
        <v>1028</v>
      </c>
      <c r="M174" t="s">
        <v>1029</v>
      </c>
      <c r="N174" t="s">
        <v>1030</v>
      </c>
      <c r="O174" t="s">
        <v>25</v>
      </c>
      <c r="P174" t="s">
        <v>1031</v>
      </c>
      <c r="Q174" t="s">
        <v>1032</v>
      </c>
      <c r="R174" t="s">
        <v>1033</v>
      </c>
      <c r="S174" t="s">
        <v>25</v>
      </c>
      <c r="T174" t="s">
        <v>1034</v>
      </c>
      <c r="W174" t="s">
        <v>4559</v>
      </c>
      <c r="X174" t="s">
        <v>6599</v>
      </c>
      <c r="Y174" t="s">
        <v>4728</v>
      </c>
      <c r="Z174" t="s">
        <v>6545</v>
      </c>
    </row>
    <row r="175" spans="1:26">
      <c r="A175" t="s">
        <v>4769</v>
      </c>
      <c r="B175" t="s">
        <v>4769</v>
      </c>
      <c r="C175" t="s">
        <v>4770</v>
      </c>
      <c r="D175" t="s">
        <v>21</v>
      </c>
      <c r="E175" s="14" t="s">
        <v>6446</v>
      </c>
      <c r="F175" t="s">
        <v>1026</v>
      </c>
      <c r="G175" t="str">
        <f>Config!$B$4</f>
        <v>SCH/C_IEC.SchLib</v>
      </c>
      <c r="H175" t="s">
        <v>425</v>
      </c>
      <c r="I175" t="s">
        <v>461</v>
      </c>
      <c r="J175" t="s">
        <v>1027</v>
      </c>
      <c r="K175" s="3">
        <v>1.0000000000000001E-5</v>
      </c>
      <c r="L175" t="s">
        <v>6156</v>
      </c>
      <c r="M175" t="s">
        <v>4771</v>
      </c>
      <c r="N175" t="s">
        <v>6155</v>
      </c>
      <c r="O175" t="s">
        <v>25</v>
      </c>
      <c r="P175" t="s">
        <v>6154</v>
      </c>
      <c r="U175" t="s">
        <v>4771</v>
      </c>
      <c r="V175" t="s">
        <v>4772</v>
      </c>
      <c r="W175" t="s">
        <v>4559</v>
      </c>
      <c r="X175" t="s">
        <v>4773</v>
      </c>
      <c r="Y175" t="s">
        <v>4728</v>
      </c>
      <c r="Z175" t="s">
        <v>6533</v>
      </c>
    </row>
    <row r="176" spans="1:26">
      <c r="A176" t="s">
        <v>4774</v>
      </c>
      <c r="B176" t="s">
        <v>4774</v>
      </c>
      <c r="C176" t="s">
        <v>4775</v>
      </c>
      <c r="D176" t="s">
        <v>21</v>
      </c>
      <c r="E176" s="14" t="s">
        <v>6446</v>
      </c>
      <c r="F176" t="s">
        <v>4534</v>
      </c>
      <c r="G176" t="str">
        <f>Config!$B$4</f>
        <v>SCH/C_IEC.SchLib</v>
      </c>
      <c r="H176" t="s">
        <v>425</v>
      </c>
      <c r="I176" t="s">
        <v>461</v>
      </c>
      <c r="J176" t="s">
        <v>1027</v>
      </c>
      <c r="K176" s="3">
        <v>2.1999999999999999E-5</v>
      </c>
      <c r="L176" t="s">
        <v>6159</v>
      </c>
      <c r="M176" t="s">
        <v>1032</v>
      </c>
      <c r="N176" t="s">
        <v>6158</v>
      </c>
      <c r="O176" t="s">
        <v>25</v>
      </c>
      <c r="P176" t="s">
        <v>6157</v>
      </c>
      <c r="U176" t="s">
        <v>1032</v>
      </c>
      <c r="V176" t="s">
        <v>4776</v>
      </c>
      <c r="W176" t="s">
        <v>4559</v>
      </c>
      <c r="X176" t="s">
        <v>4777</v>
      </c>
      <c r="Y176" t="s">
        <v>4728</v>
      </c>
      <c r="Z176" t="s">
        <v>6546</v>
      </c>
    </row>
    <row r="177" spans="1:26" ht="15.75">
      <c r="A177" t="s">
        <v>17976</v>
      </c>
      <c r="B177" t="s">
        <v>17976</v>
      </c>
      <c r="C177" t="s">
        <v>17977</v>
      </c>
      <c r="D177" t="s">
        <v>21</v>
      </c>
      <c r="E177" s="14" t="s">
        <v>22</v>
      </c>
      <c r="F177" t="s">
        <v>6174</v>
      </c>
      <c r="G177" t="str">
        <f>Config!$B$4</f>
        <v>SCH/C_IEC.SchLib</v>
      </c>
      <c r="H177" t="s">
        <v>425</v>
      </c>
      <c r="I177" t="s">
        <v>461</v>
      </c>
      <c r="J177" t="s">
        <v>775</v>
      </c>
      <c r="K177" s="3">
        <v>4.6999999999999999E-6</v>
      </c>
      <c r="L177" t="s">
        <v>17980</v>
      </c>
      <c r="M177" t="s">
        <v>4298</v>
      </c>
      <c r="N177" t="s">
        <v>17978</v>
      </c>
      <c r="O177" t="s">
        <v>25</v>
      </c>
      <c r="P177" t="s">
        <v>17979</v>
      </c>
      <c r="U177" t="s">
        <v>6186</v>
      </c>
      <c r="V177" s="10" t="s">
        <v>6188</v>
      </c>
      <c r="W177" t="s">
        <v>4559</v>
      </c>
      <c r="X177" s="10" t="s">
        <v>6187</v>
      </c>
      <c r="Z177" t="s">
        <v>6547</v>
      </c>
    </row>
    <row r="178" spans="1:26" ht="16.5">
      <c r="A178" t="s">
        <v>10641</v>
      </c>
      <c r="B178" t="s">
        <v>10641</v>
      </c>
      <c r="C178" t="s">
        <v>6182</v>
      </c>
      <c r="D178" t="s">
        <v>21</v>
      </c>
      <c r="E178" s="14" t="s">
        <v>6446</v>
      </c>
      <c r="F178" t="s">
        <v>6174</v>
      </c>
      <c r="G178" t="str">
        <f>Config!$B$4</f>
        <v>SCH/C_IEC.SchLib</v>
      </c>
      <c r="H178" t="s">
        <v>425</v>
      </c>
      <c r="I178" t="s">
        <v>461</v>
      </c>
      <c r="J178" t="s">
        <v>1027</v>
      </c>
      <c r="K178" s="3">
        <v>4.6999999999999999E-6</v>
      </c>
      <c r="L178" t="s">
        <v>6185</v>
      </c>
      <c r="M178" t="s">
        <v>4298</v>
      </c>
      <c r="N178" t="s">
        <v>6184</v>
      </c>
      <c r="O178" t="s">
        <v>25</v>
      </c>
      <c r="P178" t="s">
        <v>6183</v>
      </c>
      <c r="U178" s="9" t="s">
        <v>17982</v>
      </c>
      <c r="V178" s="9" t="s">
        <v>17981</v>
      </c>
      <c r="W178" t="s">
        <v>4559</v>
      </c>
      <c r="X178" s="9" t="s">
        <v>17983</v>
      </c>
      <c r="Z178" t="s">
        <v>6547</v>
      </c>
    </row>
    <row r="179" spans="1:26">
      <c r="A179" t="s">
        <v>4536</v>
      </c>
      <c r="B179" t="s">
        <v>4536</v>
      </c>
      <c r="C179" t="s">
        <v>4535</v>
      </c>
      <c r="D179" t="s">
        <v>21</v>
      </c>
      <c r="E179" s="14" t="s">
        <v>6446</v>
      </c>
      <c r="F179" t="s">
        <v>4534</v>
      </c>
      <c r="G179" t="str">
        <f>Config!$B$4</f>
        <v>SCH/C_IEC.SchLib</v>
      </c>
      <c r="H179" t="s">
        <v>425</v>
      </c>
      <c r="I179" t="s">
        <v>461</v>
      </c>
      <c r="J179" t="s">
        <v>1027</v>
      </c>
      <c r="K179" s="3">
        <v>2.1999999999999999E-5</v>
      </c>
      <c r="L179" t="s">
        <v>4531</v>
      </c>
      <c r="M179" t="s">
        <v>4298</v>
      </c>
      <c r="N179" t="s">
        <v>4529</v>
      </c>
      <c r="O179" t="s">
        <v>25</v>
      </c>
      <c r="P179" t="s">
        <v>4530</v>
      </c>
      <c r="Q179" t="s">
        <v>4298</v>
      </c>
      <c r="R179" t="s">
        <v>4533</v>
      </c>
      <c r="S179" t="s">
        <v>25</v>
      </c>
      <c r="T179" t="s">
        <v>4532</v>
      </c>
      <c r="Z179" t="s">
        <v>6548</v>
      </c>
    </row>
    <row r="180" spans="1:26">
      <c r="A180" t="s">
        <v>14471</v>
      </c>
      <c r="B180" t="s">
        <v>14471</v>
      </c>
      <c r="C180" t="s">
        <v>14472</v>
      </c>
      <c r="D180" t="s">
        <v>21</v>
      </c>
      <c r="E180" s="14" t="s">
        <v>6762</v>
      </c>
      <c r="F180" t="s">
        <v>13282</v>
      </c>
      <c r="G180" t="str">
        <f>Config!$B$4</f>
        <v>SCH/C_IEC.SchLib</v>
      </c>
      <c r="H180" t="s">
        <v>425</v>
      </c>
      <c r="I180" t="s">
        <v>461</v>
      </c>
      <c r="J180" t="s">
        <v>12470</v>
      </c>
      <c r="K180" s="3">
        <v>2.2000000000000001E-6</v>
      </c>
      <c r="L180" t="s">
        <v>13972</v>
      </c>
      <c r="M180" t="s">
        <v>477</v>
      </c>
      <c r="N180" t="s">
        <v>14473</v>
      </c>
      <c r="O180" t="s">
        <v>25</v>
      </c>
      <c r="P180" t="s">
        <v>14474</v>
      </c>
      <c r="U180" t="s">
        <v>477</v>
      </c>
      <c r="V180" t="s">
        <v>14473</v>
      </c>
      <c r="W180" t="s">
        <v>4559</v>
      </c>
      <c r="X180" t="s">
        <v>14475</v>
      </c>
      <c r="Y180" t="s">
        <v>4727</v>
      </c>
    </row>
    <row r="181" spans="1:26">
      <c r="A181" t="s">
        <v>10642</v>
      </c>
      <c r="B181" t="s">
        <v>10642</v>
      </c>
      <c r="C181" t="s">
        <v>6179</v>
      </c>
      <c r="D181" t="s">
        <v>21</v>
      </c>
      <c r="E181" s="14">
        <v>1210</v>
      </c>
      <c r="F181" t="s">
        <v>6174</v>
      </c>
      <c r="G181" t="str">
        <f>Config!$B$4</f>
        <v>SCH/C_IEC.SchLib</v>
      </c>
      <c r="H181" t="s">
        <v>425</v>
      </c>
      <c r="I181" t="s">
        <v>461</v>
      </c>
      <c r="J181" t="s">
        <v>6178</v>
      </c>
      <c r="K181" s="3">
        <v>4.6999999999999999E-6</v>
      </c>
      <c r="L181" t="s">
        <v>6175</v>
      </c>
      <c r="M181" t="s">
        <v>4298</v>
      </c>
      <c r="N181" t="s">
        <v>6177</v>
      </c>
      <c r="O181" t="s">
        <v>25</v>
      </c>
      <c r="P181" t="s">
        <v>6176</v>
      </c>
      <c r="U181" t="s">
        <v>6173</v>
      </c>
      <c r="V181" t="s">
        <v>6181</v>
      </c>
      <c r="W181" t="s">
        <v>4559</v>
      </c>
      <c r="X181" t="s">
        <v>6180</v>
      </c>
      <c r="Z181" t="s">
        <v>6534</v>
      </c>
    </row>
    <row r="182" spans="1:26" ht="15.75">
      <c r="A182" t="s">
        <v>6189</v>
      </c>
      <c r="B182" t="s">
        <v>6189</v>
      </c>
      <c r="C182" t="s">
        <v>6190</v>
      </c>
      <c r="D182" t="s">
        <v>21</v>
      </c>
      <c r="E182" s="14">
        <v>1210</v>
      </c>
      <c r="F182" t="s">
        <v>4534</v>
      </c>
      <c r="G182" t="str">
        <f>Config!$B$4</f>
        <v>SCH/C_IEC.SchLib</v>
      </c>
      <c r="H182" t="s">
        <v>425</v>
      </c>
      <c r="I182" t="s">
        <v>461</v>
      </c>
      <c r="J182" t="s">
        <v>6178</v>
      </c>
      <c r="K182" s="3">
        <v>2.1999999999999999E-5</v>
      </c>
      <c r="L182" t="s">
        <v>6191</v>
      </c>
      <c r="M182" t="s">
        <v>1032</v>
      </c>
      <c r="N182" t="s">
        <v>6192</v>
      </c>
      <c r="O182" t="s">
        <v>25</v>
      </c>
      <c r="P182" t="s">
        <v>6193</v>
      </c>
      <c r="U182" t="s">
        <v>6196</v>
      </c>
      <c r="V182" s="10" t="s">
        <v>6194</v>
      </c>
      <c r="W182" t="s">
        <v>4559</v>
      </c>
      <c r="X182" s="10" t="s">
        <v>6195</v>
      </c>
      <c r="Z182" t="s">
        <v>6549</v>
      </c>
    </row>
    <row r="183" spans="1:26">
      <c r="A183" t="s">
        <v>6280</v>
      </c>
      <c r="B183" t="s">
        <v>6280</v>
      </c>
      <c r="C183" t="s">
        <v>6281</v>
      </c>
      <c r="D183" t="s">
        <v>21</v>
      </c>
      <c r="E183" s="14" t="s">
        <v>6282</v>
      </c>
      <c r="F183" t="s">
        <v>6283</v>
      </c>
      <c r="G183" t="str">
        <f>Config!$B$4</f>
        <v>SCH/C_IEC.SchLib</v>
      </c>
      <c r="H183" t="s">
        <v>6284</v>
      </c>
      <c r="I183" t="s">
        <v>6285</v>
      </c>
      <c r="J183" t="s">
        <v>6659</v>
      </c>
      <c r="K183" s="3">
        <v>10</v>
      </c>
      <c r="L183" t="s">
        <v>6286</v>
      </c>
      <c r="M183" t="s">
        <v>6287</v>
      </c>
      <c r="N183" t="s">
        <v>6279</v>
      </c>
      <c r="O183" t="s">
        <v>25</v>
      </c>
      <c r="P183" t="s">
        <v>6288</v>
      </c>
      <c r="U183" t="s">
        <v>4592</v>
      </c>
      <c r="V183" t="s">
        <v>6290</v>
      </c>
      <c r="W183" t="s">
        <v>4559</v>
      </c>
      <c r="X183" s="5" t="s">
        <v>6289</v>
      </c>
    </row>
    <row r="184" spans="1:26">
      <c r="A184" t="s">
        <v>6402</v>
      </c>
      <c r="B184" t="s">
        <v>6402</v>
      </c>
      <c r="C184" t="s">
        <v>6403</v>
      </c>
      <c r="D184" t="s">
        <v>21</v>
      </c>
      <c r="E184" s="14" t="s">
        <v>6282</v>
      </c>
      <c r="F184" t="s">
        <v>6404</v>
      </c>
      <c r="G184" t="str">
        <f>Config!$B$4</f>
        <v>SCH/C_IEC.SchLib</v>
      </c>
      <c r="H184" t="s">
        <v>6284</v>
      </c>
      <c r="I184" t="s">
        <v>6285</v>
      </c>
      <c r="J184" t="s">
        <v>6659</v>
      </c>
      <c r="K184" s="3">
        <v>8.2000000000000001E-5</v>
      </c>
      <c r="L184" t="s">
        <v>6405</v>
      </c>
      <c r="M184" t="s">
        <v>6406</v>
      </c>
      <c r="N184" t="s">
        <v>6408</v>
      </c>
      <c r="O184" t="s">
        <v>25</v>
      </c>
      <c r="P184" t="s">
        <v>6407</v>
      </c>
    </row>
    <row r="185" spans="1:26">
      <c r="A185" t="s">
        <v>6763</v>
      </c>
      <c r="B185" t="s">
        <v>6763</v>
      </c>
      <c r="C185" t="s">
        <v>6764</v>
      </c>
      <c r="D185" t="s">
        <v>21</v>
      </c>
      <c r="E185" s="14" t="s">
        <v>6770</v>
      </c>
      <c r="F185" t="s">
        <v>6771</v>
      </c>
      <c r="G185" t="str">
        <f>Config!$B$4</f>
        <v>SCH/C_IEC.SchLib</v>
      </c>
      <c r="H185" t="s">
        <v>425</v>
      </c>
      <c r="I185" t="s">
        <v>461</v>
      </c>
      <c r="J185" t="s">
        <v>6178</v>
      </c>
      <c r="K185" s="3">
        <v>1.0000000000000001E-9</v>
      </c>
      <c r="L185" t="s">
        <v>6815</v>
      </c>
      <c r="M185" t="s">
        <v>6807</v>
      </c>
      <c r="N185" t="s">
        <v>6806</v>
      </c>
      <c r="O185" t="s">
        <v>25</v>
      </c>
      <c r="P185" s="17" t="s">
        <v>6805</v>
      </c>
      <c r="U185" t="s">
        <v>4592</v>
      </c>
      <c r="V185" s="5" t="s">
        <v>6808</v>
      </c>
      <c r="W185" t="s">
        <v>4559</v>
      </c>
      <c r="X185" s="5" t="s">
        <v>6809</v>
      </c>
    </row>
    <row r="186" spans="1:26">
      <c r="A186" t="s">
        <v>6819</v>
      </c>
      <c r="B186" t="s">
        <v>6819</v>
      </c>
      <c r="C186" t="s">
        <v>6826</v>
      </c>
      <c r="D186" t="s">
        <v>21</v>
      </c>
      <c r="E186" s="14" t="s">
        <v>6282</v>
      </c>
      <c r="F186" t="s">
        <v>6769</v>
      </c>
      <c r="G186" t="str">
        <f>Config!$B$4</f>
        <v>SCH/C_IEC.SchLib</v>
      </c>
      <c r="H186" t="s">
        <v>6284</v>
      </c>
      <c r="I186" t="s">
        <v>6285</v>
      </c>
      <c r="J186" t="s">
        <v>6821</v>
      </c>
      <c r="K186" s="3">
        <v>4.6999999999999997E-5</v>
      </c>
      <c r="L186" t="s">
        <v>6820</v>
      </c>
      <c r="M186" t="s">
        <v>6818</v>
      </c>
      <c r="N186" t="s">
        <v>6816</v>
      </c>
      <c r="O186" t="s">
        <v>25</v>
      </c>
      <c r="P186" t="s">
        <v>6817</v>
      </c>
      <c r="U186" t="s">
        <v>6824</v>
      </c>
      <c r="V186" s="5" t="s">
        <v>6823</v>
      </c>
      <c r="W186" t="s">
        <v>4559</v>
      </c>
      <c r="X186" s="5" t="s">
        <v>6822</v>
      </c>
    </row>
    <row r="187" spans="1:26">
      <c r="A187" t="s">
        <v>6828</v>
      </c>
      <c r="B187" t="s">
        <v>6828</v>
      </c>
      <c r="C187" t="s">
        <v>6827</v>
      </c>
      <c r="D187" t="s">
        <v>21</v>
      </c>
      <c r="E187" s="14" t="s">
        <v>6282</v>
      </c>
      <c r="F187" t="s">
        <v>6768</v>
      </c>
      <c r="G187" t="str">
        <f>Config!$B$4</f>
        <v>SCH/C_IEC.SchLib</v>
      </c>
      <c r="H187" t="s">
        <v>6284</v>
      </c>
      <c r="I187" t="s">
        <v>6285</v>
      </c>
      <c r="J187" t="s">
        <v>6825</v>
      </c>
      <c r="K187" s="3">
        <v>6.7999999999999999E-5</v>
      </c>
      <c r="L187" t="s">
        <v>6829</v>
      </c>
      <c r="M187" t="s">
        <v>6223</v>
      </c>
      <c r="N187" s="14" t="s">
        <v>6831</v>
      </c>
      <c r="O187" t="s">
        <v>25</v>
      </c>
      <c r="P187" t="s">
        <v>6830</v>
      </c>
      <c r="U187" t="s">
        <v>6834</v>
      </c>
      <c r="V187" s="5" t="s">
        <v>6832</v>
      </c>
      <c r="W187" t="s">
        <v>4559</v>
      </c>
      <c r="X187" s="5" t="s">
        <v>6833</v>
      </c>
    </row>
    <row r="188" spans="1:26">
      <c r="A188" t="s">
        <v>7809</v>
      </c>
      <c r="B188" t="s">
        <v>7809</v>
      </c>
      <c r="C188" t="s">
        <v>6772</v>
      </c>
      <c r="D188" t="s">
        <v>21</v>
      </c>
      <c r="E188" s="14" t="s">
        <v>6770</v>
      </c>
      <c r="F188" t="s">
        <v>6773</v>
      </c>
      <c r="G188" t="str">
        <f>Config!$B$4</f>
        <v>SCH/C_IEC.SchLib</v>
      </c>
      <c r="H188" t="s">
        <v>425</v>
      </c>
      <c r="I188" t="s">
        <v>461</v>
      </c>
      <c r="J188" t="s">
        <v>6178</v>
      </c>
      <c r="K188" s="3">
        <v>1.0000000000000001E-5</v>
      </c>
      <c r="L188" t="s">
        <v>6814</v>
      </c>
      <c r="M188" t="s">
        <v>1032</v>
      </c>
      <c r="N188" t="s">
        <v>6810</v>
      </c>
      <c r="O188" t="s">
        <v>25</v>
      </c>
      <c r="P188" t="s">
        <v>6811</v>
      </c>
      <c r="U188" t="s">
        <v>6173</v>
      </c>
      <c r="V188" s="5" t="s">
        <v>6812</v>
      </c>
      <c r="W188" t="s">
        <v>4559</v>
      </c>
      <c r="X188" s="5" t="s">
        <v>6813</v>
      </c>
    </row>
    <row r="189" spans="1:26">
      <c r="A189" t="s">
        <v>8048</v>
      </c>
      <c r="B189" t="s">
        <v>8048</v>
      </c>
      <c r="C189" t="s">
        <v>8049</v>
      </c>
      <c r="D189" t="s">
        <v>21</v>
      </c>
      <c r="F189" t="s">
        <v>8050</v>
      </c>
      <c r="G189" t="str">
        <f>Config!$B$4</f>
        <v>SCH/C_IEC.SchLib</v>
      </c>
      <c r="H189" t="s">
        <v>425</v>
      </c>
      <c r="I189" t="s">
        <v>6285</v>
      </c>
      <c r="J189" t="s">
        <v>8067</v>
      </c>
      <c r="K189" s="3">
        <v>9.9999999999999995E-7</v>
      </c>
      <c r="L189" t="s">
        <v>8051</v>
      </c>
      <c r="M189" t="s">
        <v>7496</v>
      </c>
      <c r="N189" t="s">
        <v>8052</v>
      </c>
      <c r="O189" t="s">
        <v>25</v>
      </c>
      <c r="P189" t="s">
        <v>8053</v>
      </c>
    </row>
    <row r="190" spans="1:26">
      <c r="A190" t="s">
        <v>8054</v>
      </c>
      <c r="B190" t="s">
        <v>8054</v>
      </c>
      <c r="C190" t="s">
        <v>8055</v>
      </c>
      <c r="D190" t="s">
        <v>21</v>
      </c>
      <c r="F190" t="s">
        <v>739</v>
      </c>
      <c r="G190" t="str">
        <f>Config!$B$4</f>
        <v>SCH/C_IEC.SchLib</v>
      </c>
      <c r="H190" t="s">
        <v>425</v>
      </c>
      <c r="I190" t="s">
        <v>6285</v>
      </c>
      <c r="J190" t="s">
        <v>8066</v>
      </c>
      <c r="K190" s="3">
        <v>2.1999999999999998E-9</v>
      </c>
      <c r="L190" t="s">
        <v>8056</v>
      </c>
      <c r="M190" t="s">
        <v>7496</v>
      </c>
      <c r="N190" t="s">
        <v>8057</v>
      </c>
      <c r="O190" t="s">
        <v>25</v>
      </c>
      <c r="P190" t="s">
        <v>8058</v>
      </c>
    </row>
    <row r="191" spans="1:26">
      <c r="A191" t="s">
        <v>10804</v>
      </c>
      <c r="B191" t="s">
        <v>10804</v>
      </c>
      <c r="C191" t="s">
        <v>10805</v>
      </c>
      <c r="D191" t="s">
        <v>21</v>
      </c>
      <c r="E191" s="14" t="s">
        <v>6770</v>
      </c>
      <c r="F191" t="s">
        <v>936</v>
      </c>
      <c r="G191" t="str">
        <f>Config!$B$4</f>
        <v>SCH/C_IEC.SchLib</v>
      </c>
      <c r="H191" t="s">
        <v>425</v>
      </c>
      <c r="I191" t="s">
        <v>461</v>
      </c>
      <c r="J191" t="s">
        <v>6178</v>
      </c>
      <c r="K191" s="3">
        <v>2.1999999999999998E-8</v>
      </c>
      <c r="L191" t="s">
        <v>10808</v>
      </c>
      <c r="M191" t="s">
        <v>6162</v>
      </c>
      <c r="N191" t="s">
        <v>10809</v>
      </c>
      <c r="O191" t="s">
        <v>25</v>
      </c>
      <c r="P191" t="s">
        <v>10810</v>
      </c>
    </row>
    <row r="192" spans="1:26">
      <c r="A192" t="s">
        <v>10806</v>
      </c>
      <c r="B192" t="s">
        <v>10806</v>
      </c>
      <c r="C192" t="s">
        <v>10807</v>
      </c>
      <c r="D192" t="s">
        <v>21</v>
      </c>
      <c r="E192" s="14" t="s">
        <v>6770</v>
      </c>
      <c r="F192" t="s">
        <v>950</v>
      </c>
      <c r="G192" t="str">
        <f>Config!$B$4</f>
        <v>SCH/C_IEC.SchLib</v>
      </c>
      <c r="H192" t="s">
        <v>425</v>
      </c>
      <c r="I192" t="s">
        <v>461</v>
      </c>
      <c r="J192" t="s">
        <v>6178</v>
      </c>
      <c r="K192" s="3">
        <v>3.2999999999999998E-8</v>
      </c>
      <c r="L192" t="s">
        <v>10811</v>
      </c>
      <c r="M192" t="s">
        <v>1029</v>
      </c>
      <c r="N192" t="s">
        <v>10812</v>
      </c>
      <c r="O192" t="s">
        <v>25</v>
      </c>
      <c r="P192" t="s">
        <v>10813</v>
      </c>
    </row>
    <row r="193" spans="1:24">
      <c r="A193" t="s">
        <v>10838</v>
      </c>
      <c r="B193" t="s">
        <v>10838</v>
      </c>
      <c r="C193" t="s">
        <v>10814</v>
      </c>
      <c r="D193" t="s">
        <v>21</v>
      </c>
      <c r="E193" s="14" t="s">
        <v>6282</v>
      </c>
      <c r="F193" t="s">
        <v>10815</v>
      </c>
      <c r="G193" t="str">
        <f>Config!$B$4</f>
        <v>SCH/C_IEC.SchLib</v>
      </c>
      <c r="H193" t="s">
        <v>6284</v>
      </c>
      <c r="I193" t="s">
        <v>6285</v>
      </c>
      <c r="J193" t="s">
        <v>12471</v>
      </c>
      <c r="K193" s="3">
        <v>1.5E-5</v>
      </c>
      <c r="L193" t="s">
        <v>10816</v>
      </c>
      <c r="M193" t="s">
        <v>10817</v>
      </c>
      <c r="N193" t="s">
        <v>10818</v>
      </c>
      <c r="O193" t="s">
        <v>25</v>
      </c>
      <c r="P193" t="s">
        <v>10819</v>
      </c>
    </row>
    <row r="194" spans="1:24" ht="16.5">
      <c r="A194" t="s">
        <v>13574</v>
      </c>
      <c r="B194" t="s">
        <v>13574</v>
      </c>
      <c r="C194" t="s">
        <v>13575</v>
      </c>
      <c r="D194" t="s">
        <v>21</v>
      </c>
      <c r="E194" s="14" t="s">
        <v>6762</v>
      </c>
      <c r="F194" t="s">
        <v>8050</v>
      </c>
      <c r="G194" t="str">
        <f>Config!$B$4</f>
        <v>SCH/C_IEC.SchLib</v>
      </c>
      <c r="H194" t="s">
        <v>425</v>
      </c>
      <c r="I194" t="s">
        <v>461</v>
      </c>
      <c r="J194" t="s">
        <v>12470</v>
      </c>
      <c r="K194" s="3">
        <v>9.9999999999999995E-7</v>
      </c>
      <c r="L194" t="s">
        <v>10828</v>
      </c>
      <c r="M194" t="s">
        <v>1032</v>
      </c>
      <c r="N194" t="s">
        <v>10829</v>
      </c>
      <c r="O194" t="s">
        <v>25</v>
      </c>
      <c r="P194" t="s">
        <v>10830</v>
      </c>
      <c r="U194" s="9" t="s">
        <v>6186</v>
      </c>
      <c r="V194" s="9" t="s">
        <v>13573</v>
      </c>
      <c r="W194" t="s">
        <v>4559</v>
      </c>
      <c r="X194" s="9" t="s">
        <v>13572</v>
      </c>
    </row>
    <row r="195" spans="1:24">
      <c r="A195" t="s">
        <v>10837</v>
      </c>
      <c r="B195" t="s">
        <v>10837</v>
      </c>
      <c r="C195" t="s">
        <v>10831</v>
      </c>
      <c r="D195" t="s">
        <v>21</v>
      </c>
      <c r="E195" s="14" t="s">
        <v>6282</v>
      </c>
      <c r="F195" t="s">
        <v>10832</v>
      </c>
      <c r="G195" t="str">
        <f>Config!$B$4</f>
        <v>SCH/C_IEC.SchLib</v>
      </c>
      <c r="H195" t="s">
        <v>6284</v>
      </c>
      <c r="I195" t="s">
        <v>6285</v>
      </c>
      <c r="J195" t="s">
        <v>12472</v>
      </c>
      <c r="K195" s="3">
        <v>6.8000000000000005E-4</v>
      </c>
      <c r="L195" t="s">
        <v>10833</v>
      </c>
      <c r="M195" t="s">
        <v>6162</v>
      </c>
      <c r="N195" t="s">
        <v>10834</v>
      </c>
      <c r="O195" t="s">
        <v>25</v>
      </c>
      <c r="P195" t="s">
        <v>10835</v>
      </c>
    </row>
    <row r="196" spans="1:24" ht="16.5">
      <c r="A196" t="s">
        <v>10836</v>
      </c>
      <c r="B196" t="s">
        <v>10836</v>
      </c>
      <c r="C196" t="s">
        <v>10839</v>
      </c>
      <c r="D196" t="s">
        <v>21</v>
      </c>
      <c r="E196" s="14" t="s">
        <v>6446</v>
      </c>
      <c r="F196" t="s">
        <v>10840</v>
      </c>
      <c r="G196" t="str">
        <f>Config!$B$4</f>
        <v>SCH/C_IEC.SchLib</v>
      </c>
      <c r="H196" t="s">
        <v>425</v>
      </c>
      <c r="I196" t="s">
        <v>461</v>
      </c>
      <c r="J196" t="s">
        <v>1027</v>
      </c>
      <c r="K196" s="3">
        <v>4.6999999999999997E-5</v>
      </c>
      <c r="L196" t="s">
        <v>10841</v>
      </c>
      <c r="M196" t="s">
        <v>1032</v>
      </c>
      <c r="N196" t="s">
        <v>10842</v>
      </c>
      <c r="O196" t="s">
        <v>25</v>
      </c>
      <c r="P196" t="s">
        <v>10843</v>
      </c>
      <c r="U196" s="43" t="s">
        <v>1032</v>
      </c>
      <c r="V196" s="9" t="s">
        <v>10842</v>
      </c>
      <c r="W196" t="s">
        <v>4559</v>
      </c>
      <c r="X196" s="9" t="s">
        <v>13576</v>
      </c>
    </row>
    <row r="197" spans="1:24" ht="15.75">
      <c r="A197" t="s">
        <v>13537</v>
      </c>
      <c r="B197" t="s">
        <v>13537</v>
      </c>
      <c r="C197" t="s">
        <v>13540</v>
      </c>
      <c r="D197" t="s">
        <v>21</v>
      </c>
      <c r="E197" s="14" t="s">
        <v>6770</v>
      </c>
      <c r="F197" t="s">
        <v>770</v>
      </c>
      <c r="G197" t="str">
        <f>Config!$B$4</f>
        <v>SCH/C_IEC.SchLib</v>
      </c>
      <c r="H197" t="s">
        <v>425</v>
      </c>
      <c r="I197" t="s">
        <v>461</v>
      </c>
      <c r="J197" t="s">
        <v>6178</v>
      </c>
      <c r="K197" s="3">
        <v>1E-8</v>
      </c>
      <c r="L197" t="s">
        <v>13543</v>
      </c>
      <c r="M197" t="s">
        <v>6807</v>
      </c>
      <c r="N197" t="s">
        <v>13542</v>
      </c>
      <c r="O197" t="s">
        <v>25</v>
      </c>
      <c r="P197" t="s">
        <v>13541</v>
      </c>
      <c r="U197" s="42" t="s">
        <v>4592</v>
      </c>
      <c r="V197" s="8" t="s">
        <v>13539</v>
      </c>
      <c r="W197" t="s">
        <v>4559</v>
      </c>
      <c r="X197" s="8" t="s">
        <v>13538</v>
      </c>
    </row>
    <row r="198" spans="1:24">
      <c r="A198" t="s">
        <v>17675</v>
      </c>
      <c r="B198" t="s">
        <v>17675</v>
      </c>
      <c r="C198" t="s">
        <v>17676</v>
      </c>
      <c r="D198" t="s">
        <v>21</v>
      </c>
      <c r="E198" s="14" t="s">
        <v>16949</v>
      </c>
      <c r="F198" t="s">
        <v>474</v>
      </c>
      <c r="G198" t="str">
        <f>Config!$B$4</f>
        <v>SCH/C_IEC.SchLib</v>
      </c>
      <c r="H198" t="s">
        <v>425</v>
      </c>
      <c r="I198" t="s">
        <v>461</v>
      </c>
      <c r="J198" t="s">
        <v>17677</v>
      </c>
      <c r="K198" s="3">
        <v>9.9999999999999998E-13</v>
      </c>
      <c r="L198" t="s">
        <v>17678</v>
      </c>
      <c r="M198" t="s">
        <v>477</v>
      </c>
      <c r="N198" t="s">
        <v>17679</v>
      </c>
      <c r="O198" t="s">
        <v>25</v>
      </c>
      <c r="P198" t="s">
        <v>17680</v>
      </c>
    </row>
    <row r="199" spans="1:24">
      <c r="A199" t="s">
        <v>17681</v>
      </c>
      <c r="B199" t="s">
        <v>17681</v>
      </c>
      <c r="C199" t="s">
        <v>17682</v>
      </c>
      <c r="D199" t="s">
        <v>21</v>
      </c>
      <c r="E199" s="14" t="s">
        <v>16949</v>
      </c>
      <c r="F199" t="s">
        <v>483</v>
      </c>
      <c r="G199" t="str">
        <f>Config!$B$4</f>
        <v>SCH/C_IEC.SchLib</v>
      </c>
      <c r="H199" t="s">
        <v>425</v>
      </c>
      <c r="I199" t="s">
        <v>461</v>
      </c>
      <c r="J199" t="s">
        <v>17677</v>
      </c>
      <c r="K199" s="3">
        <v>1.1999999999999999E-12</v>
      </c>
      <c r="L199" t="s">
        <v>17683</v>
      </c>
      <c r="M199" t="s">
        <v>477</v>
      </c>
      <c r="N199" t="s">
        <v>17684</v>
      </c>
      <c r="O199" t="s">
        <v>25</v>
      </c>
      <c r="P199" t="s">
        <v>17685</v>
      </c>
    </row>
    <row r="200" spans="1:24">
      <c r="A200" t="s">
        <v>17686</v>
      </c>
      <c r="B200" t="s">
        <v>17686</v>
      </c>
      <c r="C200" t="s">
        <v>17687</v>
      </c>
      <c r="D200" t="s">
        <v>21</v>
      </c>
      <c r="E200" s="14" t="s">
        <v>16949</v>
      </c>
      <c r="F200" t="s">
        <v>489</v>
      </c>
      <c r="G200" t="str">
        <f>Config!$B$4</f>
        <v>SCH/C_IEC.SchLib</v>
      </c>
      <c r="H200" t="s">
        <v>425</v>
      </c>
      <c r="I200" t="s">
        <v>461</v>
      </c>
      <c r="J200" t="s">
        <v>17677</v>
      </c>
      <c r="K200" s="3">
        <v>1.5000000000000001E-12</v>
      </c>
      <c r="L200" t="s">
        <v>17688</v>
      </c>
      <c r="M200" t="s">
        <v>477</v>
      </c>
      <c r="N200" t="s">
        <v>17689</v>
      </c>
      <c r="O200" t="s">
        <v>25</v>
      </c>
      <c r="P200" t="s">
        <v>17690</v>
      </c>
    </row>
    <row r="201" spans="1:24">
      <c r="A201" t="s">
        <v>17691</v>
      </c>
      <c r="B201" t="s">
        <v>17691</v>
      </c>
      <c r="C201" t="s">
        <v>17692</v>
      </c>
      <c r="D201" t="s">
        <v>21</v>
      </c>
      <c r="E201" s="14" t="s">
        <v>16949</v>
      </c>
      <c r="F201" t="s">
        <v>495</v>
      </c>
      <c r="G201" t="str">
        <f>Config!$B$4</f>
        <v>SCH/C_IEC.SchLib</v>
      </c>
      <c r="H201" t="s">
        <v>425</v>
      </c>
      <c r="I201" t="s">
        <v>461</v>
      </c>
      <c r="J201" t="s">
        <v>17677</v>
      </c>
      <c r="K201" s="3">
        <v>1.8E-12</v>
      </c>
      <c r="L201" t="s">
        <v>17693</v>
      </c>
      <c r="M201" t="s">
        <v>477</v>
      </c>
      <c r="N201" t="s">
        <v>17694</v>
      </c>
      <c r="O201" t="s">
        <v>25</v>
      </c>
      <c r="P201" t="s">
        <v>17695</v>
      </c>
    </row>
    <row r="202" spans="1:24">
      <c r="A202" t="s">
        <v>17696</v>
      </c>
      <c r="B202" t="s">
        <v>17696</v>
      </c>
      <c r="C202" t="s">
        <v>17697</v>
      </c>
      <c r="D202" t="s">
        <v>21</v>
      </c>
      <c r="E202" s="14" t="s">
        <v>16949</v>
      </c>
      <c r="F202" t="s">
        <v>501</v>
      </c>
      <c r="G202" t="str">
        <f>Config!$B$4</f>
        <v>SCH/C_IEC.SchLib</v>
      </c>
      <c r="H202" t="s">
        <v>425</v>
      </c>
      <c r="I202" t="s">
        <v>461</v>
      </c>
      <c r="J202" t="s">
        <v>17677</v>
      </c>
      <c r="K202" s="3">
        <v>2.1999999999999999E-12</v>
      </c>
      <c r="L202" t="s">
        <v>17698</v>
      </c>
      <c r="M202" t="s">
        <v>477</v>
      </c>
      <c r="N202" t="s">
        <v>17699</v>
      </c>
      <c r="O202" t="s">
        <v>25</v>
      </c>
      <c r="P202" t="s">
        <v>17700</v>
      </c>
    </row>
    <row r="203" spans="1:24">
      <c r="A203" t="s">
        <v>17701</v>
      </c>
      <c r="B203" t="s">
        <v>17701</v>
      </c>
      <c r="C203" t="s">
        <v>17702</v>
      </c>
      <c r="D203" t="s">
        <v>21</v>
      </c>
      <c r="E203" s="14" t="s">
        <v>16949</v>
      </c>
      <c r="F203" t="s">
        <v>507</v>
      </c>
      <c r="G203" t="str">
        <f>Config!$B$4</f>
        <v>SCH/C_IEC.SchLib</v>
      </c>
      <c r="H203" t="s">
        <v>425</v>
      </c>
      <c r="I203" t="s">
        <v>461</v>
      </c>
      <c r="J203" t="s">
        <v>17677</v>
      </c>
      <c r="K203" s="3">
        <v>2.6999999999999998E-12</v>
      </c>
      <c r="L203" t="s">
        <v>17703</v>
      </c>
      <c r="M203" t="s">
        <v>477</v>
      </c>
      <c r="N203" t="s">
        <v>17704</v>
      </c>
      <c r="O203" t="s">
        <v>25</v>
      </c>
      <c r="P203" t="s">
        <v>17705</v>
      </c>
    </row>
    <row r="204" spans="1:24">
      <c r="A204" t="s">
        <v>17706</v>
      </c>
      <c r="B204" t="s">
        <v>17706</v>
      </c>
      <c r="C204" t="s">
        <v>17707</v>
      </c>
      <c r="D204" t="s">
        <v>21</v>
      </c>
      <c r="E204" s="14" t="s">
        <v>16949</v>
      </c>
      <c r="F204" t="s">
        <v>513</v>
      </c>
      <c r="G204" t="str">
        <f>Config!$B$4</f>
        <v>SCH/C_IEC.SchLib</v>
      </c>
      <c r="H204" t="s">
        <v>425</v>
      </c>
      <c r="I204" t="s">
        <v>461</v>
      </c>
      <c r="J204" t="s">
        <v>17677</v>
      </c>
      <c r="K204" s="3">
        <v>3.3000000000000001E-12</v>
      </c>
      <c r="L204" t="s">
        <v>17708</v>
      </c>
      <c r="M204" t="s">
        <v>477</v>
      </c>
      <c r="N204" t="s">
        <v>17709</v>
      </c>
      <c r="O204" t="s">
        <v>25</v>
      </c>
      <c r="P204" t="s">
        <v>17710</v>
      </c>
    </row>
    <row r="205" spans="1:24">
      <c r="A205" t="s">
        <v>17711</v>
      </c>
      <c r="B205" t="s">
        <v>17711</v>
      </c>
      <c r="C205" t="s">
        <v>17712</v>
      </c>
      <c r="D205" t="s">
        <v>21</v>
      </c>
      <c r="E205" s="14" t="s">
        <v>16949</v>
      </c>
      <c r="F205" t="s">
        <v>519</v>
      </c>
      <c r="G205" t="str">
        <f>Config!$B$4</f>
        <v>SCH/C_IEC.SchLib</v>
      </c>
      <c r="H205" t="s">
        <v>425</v>
      </c>
      <c r="I205" t="s">
        <v>461</v>
      </c>
      <c r="J205" t="s">
        <v>17677</v>
      </c>
      <c r="K205" s="3">
        <v>3.8999999999999999E-12</v>
      </c>
      <c r="L205" t="s">
        <v>17713</v>
      </c>
      <c r="M205" t="s">
        <v>477</v>
      </c>
      <c r="N205" t="s">
        <v>17714</v>
      </c>
      <c r="O205" t="s">
        <v>25</v>
      </c>
      <c r="P205" t="s">
        <v>17715</v>
      </c>
    </row>
    <row r="206" spans="1:24">
      <c r="A206" t="s">
        <v>17716</v>
      </c>
      <c r="B206" t="s">
        <v>17716</v>
      </c>
      <c r="C206" t="s">
        <v>17717</v>
      </c>
      <c r="D206" t="s">
        <v>21</v>
      </c>
      <c r="E206" s="14" t="s">
        <v>16949</v>
      </c>
      <c r="F206" t="s">
        <v>525</v>
      </c>
      <c r="G206" t="str">
        <f>Config!$B$4</f>
        <v>SCH/C_IEC.SchLib</v>
      </c>
      <c r="H206" t="s">
        <v>425</v>
      </c>
      <c r="I206" t="s">
        <v>461</v>
      </c>
      <c r="J206" t="s">
        <v>17677</v>
      </c>
      <c r="K206" s="3">
        <v>4.6999999999999998E-12</v>
      </c>
      <c r="L206" t="s">
        <v>17718</v>
      </c>
      <c r="M206" t="s">
        <v>477</v>
      </c>
      <c r="N206" t="s">
        <v>17719</v>
      </c>
      <c r="O206" t="s">
        <v>25</v>
      </c>
      <c r="P206" t="s">
        <v>17720</v>
      </c>
    </row>
    <row r="207" spans="1:24">
      <c r="A207" t="s">
        <v>17721</v>
      </c>
      <c r="B207" t="s">
        <v>17721</v>
      </c>
      <c r="C207" t="s">
        <v>17722</v>
      </c>
      <c r="D207" t="s">
        <v>21</v>
      </c>
      <c r="E207" s="14" t="s">
        <v>16949</v>
      </c>
      <c r="F207" t="s">
        <v>531</v>
      </c>
      <c r="G207" t="str">
        <f>Config!$B$4</f>
        <v>SCH/C_IEC.SchLib</v>
      </c>
      <c r="H207" t="s">
        <v>425</v>
      </c>
      <c r="I207" t="s">
        <v>461</v>
      </c>
      <c r="J207" t="s">
        <v>17677</v>
      </c>
      <c r="K207" s="3">
        <v>5.6000000000000004E-12</v>
      </c>
      <c r="L207" t="s">
        <v>17723</v>
      </c>
      <c r="M207" t="s">
        <v>477</v>
      </c>
      <c r="N207" t="s">
        <v>17724</v>
      </c>
      <c r="O207" t="s">
        <v>25</v>
      </c>
      <c r="P207" t="s">
        <v>17725</v>
      </c>
    </row>
    <row r="208" spans="1:24">
      <c r="A208" t="s">
        <v>17726</v>
      </c>
      <c r="B208" t="s">
        <v>17726</v>
      </c>
      <c r="C208" t="s">
        <v>17727</v>
      </c>
      <c r="D208" t="s">
        <v>21</v>
      </c>
      <c r="E208" s="14" t="s">
        <v>16949</v>
      </c>
      <c r="F208" t="s">
        <v>537</v>
      </c>
      <c r="G208" t="str">
        <f>Config!$B$4</f>
        <v>SCH/C_IEC.SchLib</v>
      </c>
      <c r="H208" t="s">
        <v>425</v>
      </c>
      <c r="I208" t="s">
        <v>461</v>
      </c>
      <c r="J208" t="s">
        <v>17677</v>
      </c>
      <c r="K208" s="3">
        <v>6.8000000000000001E-12</v>
      </c>
      <c r="L208" t="s">
        <v>17728</v>
      </c>
      <c r="M208" t="s">
        <v>477</v>
      </c>
      <c r="N208" t="s">
        <v>17729</v>
      </c>
      <c r="O208" t="s">
        <v>25</v>
      </c>
      <c r="P208" t="s">
        <v>17730</v>
      </c>
    </row>
    <row r="209" spans="1:25">
      <c r="A209" t="s">
        <v>17731</v>
      </c>
      <c r="B209" t="s">
        <v>17731</v>
      </c>
      <c r="C209" t="s">
        <v>17732</v>
      </c>
      <c r="D209" t="s">
        <v>21</v>
      </c>
      <c r="E209" s="14" t="s">
        <v>16949</v>
      </c>
      <c r="F209" t="s">
        <v>543</v>
      </c>
      <c r="G209" t="str">
        <f>Config!$B$4</f>
        <v>SCH/C_IEC.SchLib</v>
      </c>
      <c r="H209" t="s">
        <v>425</v>
      </c>
      <c r="I209" t="s">
        <v>461</v>
      </c>
      <c r="J209" t="s">
        <v>17677</v>
      </c>
      <c r="K209" s="3">
        <v>8.1999999999999998E-12</v>
      </c>
      <c r="L209" t="s">
        <v>17733</v>
      </c>
      <c r="M209" t="s">
        <v>477</v>
      </c>
      <c r="N209" t="s">
        <v>17734</v>
      </c>
      <c r="O209" t="s">
        <v>25</v>
      </c>
      <c r="P209" t="s">
        <v>17735</v>
      </c>
    </row>
    <row r="210" spans="1:25">
      <c r="A210" t="s">
        <v>17736</v>
      </c>
      <c r="B210" t="s">
        <v>17736</v>
      </c>
      <c r="C210" t="s">
        <v>17737</v>
      </c>
      <c r="D210" t="s">
        <v>21</v>
      </c>
      <c r="E210" s="14" t="s">
        <v>16949</v>
      </c>
      <c r="F210" t="s">
        <v>550</v>
      </c>
      <c r="G210" t="str">
        <f>Config!$B$4</f>
        <v>SCH/C_IEC.SchLib</v>
      </c>
      <c r="H210" t="s">
        <v>425</v>
      </c>
      <c r="I210" t="s">
        <v>461</v>
      </c>
      <c r="J210" t="s">
        <v>17677</v>
      </c>
      <c r="K210" s="3">
        <v>9.9999999999999994E-12</v>
      </c>
      <c r="L210" t="s">
        <v>17738</v>
      </c>
      <c r="M210" t="s">
        <v>477</v>
      </c>
      <c r="N210" t="s">
        <v>17739</v>
      </c>
      <c r="O210" t="s">
        <v>25</v>
      </c>
      <c r="P210" t="s">
        <v>17740</v>
      </c>
      <c r="U210" t="s">
        <v>18508</v>
      </c>
      <c r="V210" t="s">
        <v>18507</v>
      </c>
      <c r="W210" t="s">
        <v>4559</v>
      </c>
      <c r="X210" t="s">
        <v>18509</v>
      </c>
      <c r="Y210" t="s">
        <v>4727</v>
      </c>
    </row>
    <row r="211" spans="1:25">
      <c r="A211" t="s">
        <v>17741</v>
      </c>
      <c r="B211" t="s">
        <v>17741</v>
      </c>
      <c r="C211" t="s">
        <v>17742</v>
      </c>
      <c r="D211" t="s">
        <v>21</v>
      </c>
      <c r="E211" s="14" t="s">
        <v>16949</v>
      </c>
      <c r="F211" t="s">
        <v>557</v>
      </c>
      <c r="G211" t="str">
        <f>Config!$B$4</f>
        <v>SCH/C_IEC.SchLib</v>
      </c>
      <c r="H211" t="s">
        <v>425</v>
      </c>
      <c r="I211" t="s">
        <v>461</v>
      </c>
      <c r="J211" t="s">
        <v>17677</v>
      </c>
      <c r="K211" s="3">
        <v>1.2000000000000001E-11</v>
      </c>
      <c r="L211" t="s">
        <v>17743</v>
      </c>
      <c r="M211" t="s">
        <v>477</v>
      </c>
      <c r="N211" t="s">
        <v>17744</v>
      </c>
      <c r="O211" t="s">
        <v>25</v>
      </c>
      <c r="P211" t="s">
        <v>17745</v>
      </c>
    </row>
    <row r="212" spans="1:25">
      <c r="A212" t="s">
        <v>17746</v>
      </c>
      <c r="B212" t="s">
        <v>17746</v>
      </c>
      <c r="C212" t="s">
        <v>17747</v>
      </c>
      <c r="D212" t="s">
        <v>21</v>
      </c>
      <c r="E212" s="14" t="s">
        <v>16949</v>
      </c>
      <c r="F212" t="s">
        <v>564</v>
      </c>
      <c r="G212" t="str">
        <f>Config!$B$4</f>
        <v>SCH/C_IEC.SchLib</v>
      </c>
      <c r="H212" t="s">
        <v>425</v>
      </c>
      <c r="I212" t="s">
        <v>461</v>
      </c>
      <c r="J212" t="s">
        <v>17677</v>
      </c>
      <c r="K212" s="3">
        <v>1.5E-11</v>
      </c>
      <c r="L212" t="s">
        <v>17748</v>
      </c>
      <c r="M212" t="s">
        <v>477</v>
      </c>
      <c r="N212" t="s">
        <v>17749</v>
      </c>
      <c r="O212" t="s">
        <v>25</v>
      </c>
      <c r="P212" t="s">
        <v>17750</v>
      </c>
    </row>
    <row r="213" spans="1:25">
      <c r="A213" t="s">
        <v>17751</v>
      </c>
      <c r="B213" t="s">
        <v>17751</v>
      </c>
      <c r="C213" t="s">
        <v>17752</v>
      </c>
      <c r="D213" t="s">
        <v>21</v>
      </c>
      <c r="E213" s="14" t="s">
        <v>16949</v>
      </c>
      <c r="F213" t="s">
        <v>571</v>
      </c>
      <c r="G213" t="str">
        <f>Config!$B$4</f>
        <v>SCH/C_IEC.SchLib</v>
      </c>
      <c r="H213" t="s">
        <v>425</v>
      </c>
      <c r="I213" t="s">
        <v>461</v>
      </c>
      <c r="J213" t="s">
        <v>17677</v>
      </c>
      <c r="K213" s="3">
        <v>1.7999999999999999E-11</v>
      </c>
      <c r="L213" t="s">
        <v>17753</v>
      </c>
      <c r="M213" t="s">
        <v>477</v>
      </c>
      <c r="N213" t="s">
        <v>17754</v>
      </c>
      <c r="O213" t="s">
        <v>25</v>
      </c>
      <c r="P213" t="s">
        <v>17755</v>
      </c>
    </row>
    <row r="214" spans="1:25">
      <c r="A214" t="s">
        <v>17756</v>
      </c>
      <c r="B214" t="s">
        <v>17756</v>
      </c>
      <c r="C214" t="s">
        <v>17757</v>
      </c>
      <c r="D214" t="s">
        <v>21</v>
      </c>
      <c r="E214" s="14" t="s">
        <v>16949</v>
      </c>
      <c r="F214" t="s">
        <v>578</v>
      </c>
      <c r="G214" t="str">
        <f>Config!$B$4</f>
        <v>SCH/C_IEC.SchLib</v>
      </c>
      <c r="H214" t="s">
        <v>425</v>
      </c>
      <c r="I214" t="s">
        <v>461</v>
      </c>
      <c r="J214" t="s">
        <v>17677</v>
      </c>
      <c r="K214" s="3">
        <v>2.2000000000000002E-11</v>
      </c>
      <c r="L214" t="s">
        <v>17758</v>
      </c>
      <c r="M214" t="s">
        <v>477</v>
      </c>
      <c r="N214" t="s">
        <v>17759</v>
      </c>
      <c r="O214" t="s">
        <v>25</v>
      </c>
      <c r="P214" t="s">
        <v>17760</v>
      </c>
    </row>
    <row r="215" spans="1:25">
      <c r="A215" t="s">
        <v>17761</v>
      </c>
      <c r="B215" t="s">
        <v>17761</v>
      </c>
      <c r="C215" t="s">
        <v>17762</v>
      </c>
      <c r="D215" t="s">
        <v>21</v>
      </c>
      <c r="E215" s="14" t="s">
        <v>16949</v>
      </c>
      <c r="F215" t="s">
        <v>585</v>
      </c>
      <c r="G215" t="str">
        <f>Config!$B$4</f>
        <v>SCH/C_IEC.SchLib</v>
      </c>
      <c r="H215" t="s">
        <v>425</v>
      </c>
      <c r="I215" t="s">
        <v>461</v>
      </c>
      <c r="J215" t="s">
        <v>17677</v>
      </c>
      <c r="K215" s="3">
        <v>2.7E-11</v>
      </c>
      <c r="L215" t="s">
        <v>17763</v>
      </c>
      <c r="M215" t="s">
        <v>477</v>
      </c>
      <c r="N215" t="s">
        <v>17764</v>
      </c>
      <c r="O215" t="s">
        <v>25</v>
      </c>
      <c r="P215" t="s">
        <v>17765</v>
      </c>
    </row>
    <row r="216" spans="1:25">
      <c r="A216" t="s">
        <v>17766</v>
      </c>
      <c r="B216" t="s">
        <v>17766</v>
      </c>
      <c r="C216" t="s">
        <v>17767</v>
      </c>
      <c r="D216" t="s">
        <v>21</v>
      </c>
      <c r="E216" s="14" t="s">
        <v>16949</v>
      </c>
      <c r="F216" t="s">
        <v>592</v>
      </c>
      <c r="G216" t="str">
        <f>Config!$B$4</f>
        <v>SCH/C_IEC.SchLib</v>
      </c>
      <c r="H216" t="s">
        <v>425</v>
      </c>
      <c r="I216" t="s">
        <v>461</v>
      </c>
      <c r="J216" t="s">
        <v>17677</v>
      </c>
      <c r="K216" s="3">
        <v>3.3000000000000002E-11</v>
      </c>
      <c r="L216" t="s">
        <v>17768</v>
      </c>
      <c r="M216" t="s">
        <v>477</v>
      </c>
      <c r="N216" t="s">
        <v>17769</v>
      </c>
      <c r="O216" t="s">
        <v>25</v>
      </c>
      <c r="P216" t="s">
        <v>17770</v>
      </c>
    </row>
    <row r="217" spans="1:25">
      <c r="A217" t="s">
        <v>17771</v>
      </c>
      <c r="B217" t="s">
        <v>17771</v>
      </c>
      <c r="C217" t="s">
        <v>17772</v>
      </c>
      <c r="D217" t="s">
        <v>21</v>
      </c>
      <c r="E217" s="14" t="s">
        <v>16949</v>
      </c>
      <c r="F217" t="s">
        <v>599</v>
      </c>
      <c r="G217" t="str">
        <f>Config!$B$4</f>
        <v>SCH/C_IEC.SchLib</v>
      </c>
      <c r="H217" t="s">
        <v>425</v>
      </c>
      <c r="I217" t="s">
        <v>461</v>
      </c>
      <c r="J217" t="s">
        <v>17677</v>
      </c>
      <c r="K217" s="3">
        <v>3.9000000000000001E-11</v>
      </c>
      <c r="L217" t="s">
        <v>17773</v>
      </c>
      <c r="M217" t="s">
        <v>477</v>
      </c>
      <c r="N217" t="s">
        <v>17774</v>
      </c>
      <c r="O217" t="s">
        <v>25</v>
      </c>
      <c r="P217" t="s">
        <v>17775</v>
      </c>
    </row>
    <row r="218" spans="1:25">
      <c r="A218" t="s">
        <v>17776</v>
      </c>
      <c r="B218" t="s">
        <v>17776</v>
      </c>
      <c r="C218" t="s">
        <v>17777</v>
      </c>
      <c r="D218" t="s">
        <v>21</v>
      </c>
      <c r="E218" s="14" t="s">
        <v>16949</v>
      </c>
      <c r="F218" t="s">
        <v>606</v>
      </c>
      <c r="G218" t="str">
        <f>Config!$B$4</f>
        <v>SCH/C_IEC.SchLib</v>
      </c>
      <c r="H218" t="s">
        <v>425</v>
      </c>
      <c r="I218" t="s">
        <v>461</v>
      </c>
      <c r="J218" t="s">
        <v>17677</v>
      </c>
      <c r="K218" s="3">
        <v>4.6999999999999999E-11</v>
      </c>
      <c r="L218" t="s">
        <v>17778</v>
      </c>
      <c r="M218" t="s">
        <v>477</v>
      </c>
      <c r="N218" t="s">
        <v>17779</v>
      </c>
      <c r="O218" t="s">
        <v>25</v>
      </c>
      <c r="P218" t="s">
        <v>17780</v>
      </c>
    </row>
    <row r="219" spans="1:25">
      <c r="A219" t="s">
        <v>17781</v>
      </c>
      <c r="B219" t="s">
        <v>17781</v>
      </c>
      <c r="C219" t="s">
        <v>17782</v>
      </c>
      <c r="D219" t="s">
        <v>21</v>
      </c>
      <c r="E219" s="14" t="s">
        <v>16949</v>
      </c>
      <c r="F219" t="s">
        <v>613</v>
      </c>
      <c r="G219" t="str">
        <f>Config!$B$4</f>
        <v>SCH/C_IEC.SchLib</v>
      </c>
      <c r="H219" t="s">
        <v>425</v>
      </c>
      <c r="I219" t="s">
        <v>461</v>
      </c>
      <c r="J219" t="s">
        <v>17677</v>
      </c>
      <c r="K219" s="3">
        <v>5.6E-11</v>
      </c>
      <c r="L219" t="s">
        <v>17783</v>
      </c>
      <c r="M219" t="s">
        <v>477</v>
      </c>
      <c r="N219" t="s">
        <v>17784</v>
      </c>
      <c r="O219" t="s">
        <v>25</v>
      </c>
      <c r="P219" t="s">
        <v>17785</v>
      </c>
    </row>
    <row r="220" spans="1:25">
      <c r="A220" t="s">
        <v>17786</v>
      </c>
      <c r="B220" t="s">
        <v>17786</v>
      </c>
      <c r="C220" t="s">
        <v>17787</v>
      </c>
      <c r="D220" t="s">
        <v>21</v>
      </c>
      <c r="E220" s="14" t="s">
        <v>16949</v>
      </c>
      <c r="F220" t="s">
        <v>620</v>
      </c>
      <c r="G220" t="str">
        <f>Config!$B$4</f>
        <v>SCH/C_IEC.SchLib</v>
      </c>
      <c r="H220" t="s">
        <v>425</v>
      </c>
      <c r="I220" t="s">
        <v>461</v>
      </c>
      <c r="J220" t="s">
        <v>17677</v>
      </c>
      <c r="K220" s="3">
        <v>6.7999999999999998E-11</v>
      </c>
      <c r="L220" t="s">
        <v>17788</v>
      </c>
      <c r="M220" t="s">
        <v>477</v>
      </c>
      <c r="N220" t="s">
        <v>17789</v>
      </c>
      <c r="O220" t="s">
        <v>25</v>
      </c>
      <c r="P220" t="s">
        <v>17790</v>
      </c>
    </row>
    <row r="221" spans="1:25">
      <c r="A221" t="s">
        <v>17791</v>
      </c>
      <c r="B221" t="s">
        <v>17791</v>
      </c>
      <c r="C221" t="s">
        <v>17792</v>
      </c>
      <c r="D221" t="s">
        <v>21</v>
      </c>
      <c r="E221" s="14" t="s">
        <v>16949</v>
      </c>
      <c r="F221" t="s">
        <v>627</v>
      </c>
      <c r="G221" t="str">
        <f>Config!$B$4</f>
        <v>SCH/C_IEC.SchLib</v>
      </c>
      <c r="H221" t="s">
        <v>425</v>
      </c>
      <c r="I221" t="s">
        <v>461</v>
      </c>
      <c r="J221" t="s">
        <v>17677</v>
      </c>
      <c r="K221" s="3">
        <v>8.2000000000000001E-11</v>
      </c>
      <c r="L221" t="s">
        <v>17793</v>
      </c>
      <c r="M221" t="s">
        <v>477</v>
      </c>
      <c r="N221" t="s">
        <v>17794</v>
      </c>
      <c r="O221" t="s">
        <v>25</v>
      </c>
      <c r="P221" t="s">
        <v>17795</v>
      </c>
    </row>
    <row r="222" spans="1:25">
      <c r="A222" t="s">
        <v>17796</v>
      </c>
      <c r="B222" t="s">
        <v>17796</v>
      </c>
      <c r="C222" t="s">
        <v>17797</v>
      </c>
      <c r="D222" t="s">
        <v>21</v>
      </c>
      <c r="E222" s="14" t="s">
        <v>16949</v>
      </c>
      <c r="F222" t="s">
        <v>634</v>
      </c>
      <c r="G222" t="str">
        <f>Config!$B$4</f>
        <v>SCH/C_IEC.SchLib</v>
      </c>
      <c r="H222" t="s">
        <v>425</v>
      </c>
      <c r="I222" t="s">
        <v>461</v>
      </c>
      <c r="J222" t="s">
        <v>17677</v>
      </c>
      <c r="K222" s="3">
        <v>1E-10</v>
      </c>
      <c r="L222" t="s">
        <v>17798</v>
      </c>
      <c r="M222" t="s">
        <v>477</v>
      </c>
      <c r="N222" t="s">
        <v>17799</v>
      </c>
      <c r="O222" t="s">
        <v>25</v>
      </c>
      <c r="P222" t="s">
        <v>17800</v>
      </c>
    </row>
    <row r="223" spans="1:25">
      <c r="A223" t="s">
        <v>17801</v>
      </c>
      <c r="B223" t="s">
        <v>17801</v>
      </c>
      <c r="C223" t="s">
        <v>17802</v>
      </c>
      <c r="D223" t="s">
        <v>21</v>
      </c>
      <c r="E223" s="14" t="s">
        <v>16949</v>
      </c>
      <c r="F223" t="s">
        <v>648</v>
      </c>
      <c r="G223" t="str">
        <f>Config!$B$4</f>
        <v>SCH/C_IEC.SchLib</v>
      </c>
      <c r="H223" t="s">
        <v>425</v>
      </c>
      <c r="I223" t="s">
        <v>461</v>
      </c>
      <c r="J223" t="s">
        <v>17677</v>
      </c>
      <c r="K223" s="3">
        <v>1.5E-10</v>
      </c>
      <c r="L223" t="s">
        <v>17803</v>
      </c>
      <c r="M223" t="s">
        <v>477</v>
      </c>
      <c r="N223" t="s">
        <v>17804</v>
      </c>
      <c r="O223" t="s">
        <v>25</v>
      </c>
      <c r="P223" t="s">
        <v>17805</v>
      </c>
      <c r="U223" t="s">
        <v>4771</v>
      </c>
      <c r="V223" t="s">
        <v>18513</v>
      </c>
      <c r="W223" t="s">
        <v>4559</v>
      </c>
      <c r="X223" t="s">
        <v>18512</v>
      </c>
      <c r="Y223" t="s">
        <v>4727</v>
      </c>
    </row>
    <row r="224" spans="1:25">
      <c r="A224" t="s">
        <v>17806</v>
      </c>
      <c r="B224" t="s">
        <v>17806</v>
      </c>
      <c r="C224" t="s">
        <v>17807</v>
      </c>
      <c r="D224" t="s">
        <v>21</v>
      </c>
      <c r="E224" s="14" t="s">
        <v>16949</v>
      </c>
      <c r="F224" t="s">
        <v>655</v>
      </c>
      <c r="G224" t="str">
        <f>Config!$B$4</f>
        <v>SCH/C_IEC.SchLib</v>
      </c>
      <c r="H224" t="s">
        <v>425</v>
      </c>
      <c r="I224" t="s">
        <v>461</v>
      </c>
      <c r="J224" t="s">
        <v>17677</v>
      </c>
      <c r="K224" s="3">
        <v>1.8E-10</v>
      </c>
      <c r="L224" t="s">
        <v>17808</v>
      </c>
      <c r="M224" t="s">
        <v>477</v>
      </c>
      <c r="N224" t="s">
        <v>17809</v>
      </c>
      <c r="O224" t="s">
        <v>25</v>
      </c>
      <c r="P224" t="s">
        <v>17810</v>
      </c>
    </row>
    <row r="225" spans="1:16">
      <c r="A225" t="s">
        <v>17811</v>
      </c>
      <c r="B225" t="s">
        <v>17811</v>
      </c>
      <c r="C225" t="s">
        <v>17812</v>
      </c>
      <c r="D225" t="s">
        <v>21</v>
      </c>
      <c r="E225" s="14" t="s">
        <v>16949</v>
      </c>
      <c r="F225" t="s">
        <v>662</v>
      </c>
      <c r="G225" t="str">
        <f>Config!$B$4</f>
        <v>SCH/C_IEC.SchLib</v>
      </c>
      <c r="H225" t="s">
        <v>425</v>
      </c>
      <c r="I225" t="s">
        <v>461</v>
      </c>
      <c r="J225" t="s">
        <v>17677</v>
      </c>
      <c r="K225" s="3">
        <v>2.1999999999999999E-10</v>
      </c>
      <c r="L225" t="s">
        <v>17813</v>
      </c>
      <c r="M225" t="s">
        <v>477</v>
      </c>
      <c r="N225" t="s">
        <v>17814</v>
      </c>
      <c r="O225" t="s">
        <v>25</v>
      </c>
      <c r="P225" t="s">
        <v>17815</v>
      </c>
    </row>
    <row r="226" spans="1:16">
      <c r="A226" t="s">
        <v>17816</v>
      </c>
      <c r="B226" t="s">
        <v>17816</v>
      </c>
      <c r="C226" t="s">
        <v>17817</v>
      </c>
      <c r="D226" t="s">
        <v>21</v>
      </c>
      <c r="E226" s="14" t="s">
        <v>16949</v>
      </c>
      <c r="F226" t="s">
        <v>606</v>
      </c>
      <c r="G226" t="str">
        <f>Config!$B$4</f>
        <v>SCH/C_IEC.SchLib</v>
      </c>
      <c r="H226" t="s">
        <v>425</v>
      </c>
      <c r="I226" t="s">
        <v>461</v>
      </c>
      <c r="J226" t="s">
        <v>17818</v>
      </c>
      <c r="K226" s="3">
        <v>4.6999999999999999E-11</v>
      </c>
      <c r="L226" t="s">
        <v>17819</v>
      </c>
      <c r="M226" t="s">
        <v>477</v>
      </c>
      <c r="N226" t="s">
        <v>17820</v>
      </c>
      <c r="O226" t="s">
        <v>25</v>
      </c>
      <c r="P226" t="s">
        <v>17821</v>
      </c>
    </row>
    <row r="227" spans="1:16">
      <c r="A227" t="s">
        <v>17822</v>
      </c>
      <c r="B227" t="s">
        <v>17822</v>
      </c>
      <c r="C227" t="s">
        <v>17823</v>
      </c>
      <c r="D227" t="s">
        <v>21</v>
      </c>
      <c r="E227" s="14" t="s">
        <v>16949</v>
      </c>
      <c r="F227" t="s">
        <v>634</v>
      </c>
      <c r="G227" t="str">
        <f>Config!$B$4</f>
        <v>SCH/C_IEC.SchLib</v>
      </c>
      <c r="H227" t="s">
        <v>425</v>
      </c>
      <c r="I227" t="s">
        <v>461</v>
      </c>
      <c r="J227" t="s">
        <v>17818</v>
      </c>
      <c r="K227" s="3">
        <v>1E-10</v>
      </c>
      <c r="L227" t="s">
        <v>17819</v>
      </c>
      <c r="M227" t="s">
        <v>477</v>
      </c>
      <c r="N227" t="s">
        <v>17824</v>
      </c>
      <c r="O227" t="s">
        <v>25</v>
      </c>
      <c r="P227" t="s">
        <v>17825</v>
      </c>
    </row>
    <row r="228" spans="1:16">
      <c r="A228" t="s">
        <v>17826</v>
      </c>
      <c r="B228" t="s">
        <v>17826</v>
      </c>
      <c r="C228" t="s">
        <v>17827</v>
      </c>
      <c r="D228" t="s">
        <v>21</v>
      </c>
      <c r="E228" s="14" t="s">
        <v>16949</v>
      </c>
      <c r="F228" t="s">
        <v>641</v>
      </c>
      <c r="G228" t="str">
        <f>Config!$B$4</f>
        <v>SCH/C_IEC.SchLib</v>
      </c>
      <c r="H228" t="s">
        <v>425</v>
      </c>
      <c r="I228" t="s">
        <v>461</v>
      </c>
      <c r="J228" t="s">
        <v>17818</v>
      </c>
      <c r="K228" s="3">
        <v>1.2E-10</v>
      </c>
      <c r="L228" t="s">
        <v>17819</v>
      </c>
      <c r="M228" t="s">
        <v>477</v>
      </c>
      <c r="N228" t="s">
        <v>17828</v>
      </c>
      <c r="O228" t="s">
        <v>25</v>
      </c>
      <c r="P228" t="s">
        <v>17829</v>
      </c>
    </row>
    <row r="229" spans="1:16">
      <c r="A229" t="s">
        <v>17830</v>
      </c>
      <c r="B229" t="s">
        <v>17830</v>
      </c>
      <c r="C229" t="s">
        <v>17831</v>
      </c>
      <c r="D229" t="s">
        <v>21</v>
      </c>
      <c r="E229" s="14" t="s">
        <v>16949</v>
      </c>
      <c r="F229" t="s">
        <v>648</v>
      </c>
      <c r="G229" t="str">
        <f>Config!$B$4</f>
        <v>SCH/C_IEC.SchLib</v>
      </c>
      <c r="H229" t="s">
        <v>425</v>
      </c>
      <c r="I229" t="s">
        <v>461</v>
      </c>
      <c r="J229" t="s">
        <v>17818</v>
      </c>
      <c r="K229" s="3">
        <v>1.5E-10</v>
      </c>
      <c r="L229" t="s">
        <v>17819</v>
      </c>
      <c r="M229" t="s">
        <v>477</v>
      </c>
      <c r="N229" t="s">
        <v>17832</v>
      </c>
      <c r="O229" t="s">
        <v>25</v>
      </c>
      <c r="P229" t="s">
        <v>17833</v>
      </c>
    </row>
    <row r="230" spans="1:16">
      <c r="A230" t="s">
        <v>17834</v>
      </c>
      <c r="B230" t="s">
        <v>17834</v>
      </c>
      <c r="C230" t="s">
        <v>17835</v>
      </c>
      <c r="D230" t="s">
        <v>21</v>
      </c>
      <c r="E230" s="14" t="s">
        <v>16949</v>
      </c>
      <c r="F230" t="s">
        <v>655</v>
      </c>
      <c r="G230" t="str">
        <f>Config!$B$4</f>
        <v>SCH/C_IEC.SchLib</v>
      </c>
      <c r="H230" t="s">
        <v>425</v>
      </c>
      <c r="I230" t="s">
        <v>461</v>
      </c>
      <c r="J230" t="s">
        <v>17818</v>
      </c>
      <c r="K230" s="3">
        <v>1.8E-10</v>
      </c>
      <c r="L230" t="s">
        <v>17819</v>
      </c>
      <c r="M230" t="s">
        <v>477</v>
      </c>
      <c r="N230" t="s">
        <v>17836</v>
      </c>
      <c r="O230" t="s">
        <v>25</v>
      </c>
      <c r="P230" t="s">
        <v>17837</v>
      </c>
    </row>
    <row r="231" spans="1:16">
      <c r="A231" t="s">
        <v>17838</v>
      </c>
      <c r="B231" t="s">
        <v>17838</v>
      </c>
      <c r="C231" t="s">
        <v>17839</v>
      </c>
      <c r="D231" t="s">
        <v>21</v>
      </c>
      <c r="E231" s="14" t="s">
        <v>16949</v>
      </c>
      <c r="F231" t="s">
        <v>662</v>
      </c>
      <c r="G231" t="str">
        <f>Config!$B$4</f>
        <v>SCH/C_IEC.SchLib</v>
      </c>
      <c r="H231" t="s">
        <v>425</v>
      </c>
      <c r="I231" t="s">
        <v>461</v>
      </c>
      <c r="J231" t="s">
        <v>17818</v>
      </c>
      <c r="K231" s="3">
        <v>2.1999999999999999E-10</v>
      </c>
      <c r="L231" t="s">
        <v>17819</v>
      </c>
      <c r="M231" t="s">
        <v>477</v>
      </c>
      <c r="N231" t="s">
        <v>17840</v>
      </c>
      <c r="O231" t="s">
        <v>25</v>
      </c>
      <c r="P231" t="s">
        <v>17841</v>
      </c>
    </row>
    <row r="232" spans="1:16">
      <c r="A232" t="s">
        <v>17842</v>
      </c>
      <c r="B232" t="s">
        <v>17842</v>
      </c>
      <c r="C232" t="s">
        <v>17843</v>
      </c>
      <c r="D232" t="s">
        <v>21</v>
      </c>
      <c r="E232" s="14" t="s">
        <v>16949</v>
      </c>
      <c r="F232" t="s">
        <v>669</v>
      </c>
      <c r="G232" t="str">
        <f>Config!$B$4</f>
        <v>SCH/C_IEC.SchLib</v>
      </c>
      <c r="H232" t="s">
        <v>425</v>
      </c>
      <c r="I232" t="s">
        <v>461</v>
      </c>
      <c r="J232" t="s">
        <v>17818</v>
      </c>
      <c r="K232" s="3">
        <v>2.7E-10</v>
      </c>
      <c r="L232" t="s">
        <v>17819</v>
      </c>
      <c r="M232" t="s">
        <v>477</v>
      </c>
      <c r="N232" t="s">
        <v>17844</v>
      </c>
      <c r="O232" t="s">
        <v>25</v>
      </c>
      <c r="P232" t="s">
        <v>17845</v>
      </c>
    </row>
    <row r="233" spans="1:16">
      <c r="A233" t="s">
        <v>17846</v>
      </c>
      <c r="B233" t="s">
        <v>17846</v>
      </c>
      <c r="C233" t="s">
        <v>17847</v>
      </c>
      <c r="D233" t="s">
        <v>21</v>
      </c>
      <c r="E233" s="14" t="s">
        <v>16949</v>
      </c>
      <c r="F233" t="s">
        <v>676</v>
      </c>
      <c r="G233" t="str">
        <f>Config!$B$4</f>
        <v>SCH/C_IEC.SchLib</v>
      </c>
      <c r="H233" t="s">
        <v>425</v>
      </c>
      <c r="I233" t="s">
        <v>461</v>
      </c>
      <c r="J233" t="s">
        <v>17818</v>
      </c>
      <c r="K233" s="3">
        <v>3.3E-10</v>
      </c>
      <c r="L233" t="s">
        <v>17819</v>
      </c>
      <c r="M233" t="s">
        <v>477</v>
      </c>
      <c r="N233" t="s">
        <v>17848</v>
      </c>
      <c r="O233" t="s">
        <v>25</v>
      </c>
      <c r="P233" t="s">
        <v>17849</v>
      </c>
    </row>
    <row r="234" spans="1:16">
      <c r="A234" t="s">
        <v>17850</v>
      </c>
      <c r="B234" t="s">
        <v>17850</v>
      </c>
      <c r="C234" t="s">
        <v>17851</v>
      </c>
      <c r="D234" t="s">
        <v>21</v>
      </c>
      <c r="E234" s="14" t="s">
        <v>16949</v>
      </c>
      <c r="F234" t="s">
        <v>683</v>
      </c>
      <c r="G234" t="str">
        <f>Config!$B$4</f>
        <v>SCH/C_IEC.SchLib</v>
      </c>
      <c r="H234" t="s">
        <v>425</v>
      </c>
      <c r="I234" t="s">
        <v>461</v>
      </c>
      <c r="J234" t="s">
        <v>17818</v>
      </c>
      <c r="K234" s="3">
        <v>3.9E-10</v>
      </c>
      <c r="L234" t="s">
        <v>17819</v>
      </c>
      <c r="M234" t="s">
        <v>477</v>
      </c>
      <c r="N234" t="s">
        <v>17852</v>
      </c>
      <c r="O234" t="s">
        <v>25</v>
      </c>
      <c r="P234" t="s">
        <v>17853</v>
      </c>
    </row>
    <row r="235" spans="1:16">
      <c r="A235" t="s">
        <v>17854</v>
      </c>
      <c r="B235" t="s">
        <v>17854</v>
      </c>
      <c r="C235" t="s">
        <v>17855</v>
      </c>
      <c r="D235" t="s">
        <v>21</v>
      </c>
      <c r="E235" s="14" t="s">
        <v>16949</v>
      </c>
      <c r="F235" t="s">
        <v>690</v>
      </c>
      <c r="G235" t="str">
        <f>Config!$B$4</f>
        <v>SCH/C_IEC.SchLib</v>
      </c>
      <c r="H235" t="s">
        <v>425</v>
      </c>
      <c r="I235" t="s">
        <v>461</v>
      </c>
      <c r="J235" t="s">
        <v>17818</v>
      </c>
      <c r="K235" s="3">
        <v>4.7000000000000003E-10</v>
      </c>
      <c r="L235" t="s">
        <v>17819</v>
      </c>
      <c r="M235" t="s">
        <v>477</v>
      </c>
      <c r="N235" t="s">
        <v>17856</v>
      </c>
      <c r="O235" t="s">
        <v>25</v>
      </c>
      <c r="P235" t="s">
        <v>17857</v>
      </c>
    </row>
    <row r="236" spans="1:16">
      <c r="A236" t="s">
        <v>17858</v>
      </c>
      <c r="B236" t="s">
        <v>17858</v>
      </c>
      <c r="C236" t="s">
        <v>17859</v>
      </c>
      <c r="D236" t="s">
        <v>21</v>
      </c>
      <c r="E236" s="14" t="s">
        <v>16949</v>
      </c>
      <c r="F236" t="s">
        <v>697</v>
      </c>
      <c r="G236" t="str">
        <f>Config!$B$4</f>
        <v>SCH/C_IEC.SchLib</v>
      </c>
      <c r="H236" t="s">
        <v>425</v>
      </c>
      <c r="I236" t="s">
        <v>461</v>
      </c>
      <c r="J236" t="s">
        <v>17818</v>
      </c>
      <c r="K236" s="3">
        <v>5.6000000000000003E-10</v>
      </c>
      <c r="L236" t="s">
        <v>17819</v>
      </c>
      <c r="M236" t="s">
        <v>477</v>
      </c>
      <c r="N236" t="s">
        <v>17860</v>
      </c>
      <c r="O236" t="s">
        <v>25</v>
      </c>
      <c r="P236" t="s">
        <v>17861</v>
      </c>
    </row>
    <row r="237" spans="1:16">
      <c r="A237" t="s">
        <v>17862</v>
      </c>
      <c r="B237" t="s">
        <v>17862</v>
      </c>
      <c r="C237" t="s">
        <v>17863</v>
      </c>
      <c r="D237" t="s">
        <v>21</v>
      </c>
      <c r="E237" s="14" t="s">
        <v>16949</v>
      </c>
      <c r="F237" t="s">
        <v>704</v>
      </c>
      <c r="G237" t="str">
        <f>Config!$B$4</f>
        <v>SCH/C_IEC.SchLib</v>
      </c>
      <c r="H237" t="s">
        <v>425</v>
      </c>
      <c r="I237" t="s">
        <v>461</v>
      </c>
      <c r="J237" t="s">
        <v>17818</v>
      </c>
      <c r="K237" s="3">
        <v>6.8000000000000003E-10</v>
      </c>
      <c r="L237" t="s">
        <v>17819</v>
      </c>
      <c r="M237" t="s">
        <v>477</v>
      </c>
      <c r="N237" t="s">
        <v>17864</v>
      </c>
      <c r="O237" t="s">
        <v>25</v>
      </c>
      <c r="P237" t="s">
        <v>17865</v>
      </c>
    </row>
    <row r="238" spans="1:16">
      <c r="A238" t="s">
        <v>17866</v>
      </c>
      <c r="B238" t="s">
        <v>17866</v>
      </c>
      <c r="C238" t="s">
        <v>17867</v>
      </c>
      <c r="D238" t="s">
        <v>21</v>
      </c>
      <c r="E238" s="14" t="s">
        <v>16949</v>
      </c>
      <c r="F238" t="s">
        <v>711</v>
      </c>
      <c r="G238" t="str">
        <f>Config!$B$4</f>
        <v>SCH/C_IEC.SchLib</v>
      </c>
      <c r="H238" t="s">
        <v>425</v>
      </c>
      <c r="I238" t="s">
        <v>461</v>
      </c>
      <c r="J238" t="s">
        <v>17818</v>
      </c>
      <c r="K238" s="3">
        <v>8.1999999999999996E-10</v>
      </c>
      <c r="L238" t="s">
        <v>17868</v>
      </c>
      <c r="M238" t="s">
        <v>477</v>
      </c>
      <c r="N238" t="s">
        <v>17869</v>
      </c>
      <c r="O238" t="s">
        <v>25</v>
      </c>
      <c r="P238" t="s">
        <v>17870</v>
      </c>
    </row>
    <row r="239" spans="1:16">
      <c r="A239" t="s">
        <v>17871</v>
      </c>
      <c r="B239" t="s">
        <v>17871</v>
      </c>
      <c r="C239" t="s">
        <v>17872</v>
      </c>
      <c r="D239" t="s">
        <v>21</v>
      </c>
      <c r="E239" s="14" t="s">
        <v>16949</v>
      </c>
      <c r="F239" t="s">
        <v>717</v>
      </c>
      <c r="G239" t="str">
        <f>Config!$B$4</f>
        <v>SCH/C_IEC.SchLib</v>
      </c>
      <c r="H239" t="s">
        <v>425</v>
      </c>
      <c r="I239" t="s">
        <v>461</v>
      </c>
      <c r="J239" t="s">
        <v>17818</v>
      </c>
      <c r="K239" s="3">
        <v>1.0000000000000001E-9</v>
      </c>
      <c r="L239" t="s">
        <v>17819</v>
      </c>
      <c r="M239" t="s">
        <v>477</v>
      </c>
      <c r="N239" t="s">
        <v>17873</v>
      </c>
      <c r="O239" t="s">
        <v>25</v>
      </c>
      <c r="P239" t="s">
        <v>17874</v>
      </c>
    </row>
    <row r="240" spans="1:16">
      <c r="A240" t="s">
        <v>17875</v>
      </c>
      <c r="B240" t="s">
        <v>17875</v>
      </c>
      <c r="C240" t="s">
        <v>17876</v>
      </c>
      <c r="D240" t="s">
        <v>21</v>
      </c>
      <c r="E240" s="14" t="s">
        <v>16949</v>
      </c>
      <c r="F240" t="s">
        <v>723</v>
      </c>
      <c r="G240" t="str">
        <f>Config!$B$4</f>
        <v>SCH/C_IEC.SchLib</v>
      </c>
      <c r="H240" t="s">
        <v>425</v>
      </c>
      <c r="I240" t="s">
        <v>461</v>
      </c>
      <c r="J240" t="s">
        <v>17818</v>
      </c>
      <c r="K240" s="3">
        <v>1.2E-9</v>
      </c>
      <c r="L240" t="s">
        <v>17819</v>
      </c>
      <c r="M240" t="s">
        <v>477</v>
      </c>
      <c r="N240" t="s">
        <v>17877</v>
      </c>
      <c r="O240" t="s">
        <v>25</v>
      </c>
      <c r="P240" t="s">
        <v>17878</v>
      </c>
    </row>
    <row r="241" spans="1:25">
      <c r="A241" t="s">
        <v>17879</v>
      </c>
      <c r="B241" t="s">
        <v>17879</v>
      </c>
      <c r="C241" t="s">
        <v>17880</v>
      </c>
      <c r="D241" t="s">
        <v>21</v>
      </c>
      <c r="E241" s="14" t="s">
        <v>16949</v>
      </c>
      <c r="F241" t="s">
        <v>729</v>
      </c>
      <c r="G241" t="str">
        <f>Config!$B$4</f>
        <v>SCH/C_IEC.SchLib</v>
      </c>
      <c r="H241" t="s">
        <v>425</v>
      </c>
      <c r="I241" t="s">
        <v>461</v>
      </c>
      <c r="J241" t="s">
        <v>17818</v>
      </c>
      <c r="K241" s="3">
        <v>1.5E-9</v>
      </c>
      <c r="L241" t="s">
        <v>17819</v>
      </c>
      <c r="M241" t="s">
        <v>477</v>
      </c>
      <c r="N241" t="s">
        <v>17881</v>
      </c>
      <c r="O241" t="s">
        <v>25</v>
      </c>
      <c r="P241" t="s">
        <v>17882</v>
      </c>
    </row>
    <row r="242" spans="1:25">
      <c r="A242" t="s">
        <v>17883</v>
      </c>
      <c r="B242" t="s">
        <v>17883</v>
      </c>
      <c r="C242" t="s">
        <v>17884</v>
      </c>
      <c r="D242" t="s">
        <v>21</v>
      </c>
      <c r="E242" s="14" t="s">
        <v>16949</v>
      </c>
      <c r="F242" t="s">
        <v>735</v>
      </c>
      <c r="G242" t="str">
        <f>Config!$B$4</f>
        <v>SCH/C_IEC.SchLib</v>
      </c>
      <c r="H242" t="s">
        <v>425</v>
      </c>
      <c r="I242" t="s">
        <v>461</v>
      </c>
      <c r="J242" t="s">
        <v>17818</v>
      </c>
      <c r="K242" s="3">
        <v>1.8E-9</v>
      </c>
      <c r="L242" t="s">
        <v>17819</v>
      </c>
      <c r="M242" t="s">
        <v>477</v>
      </c>
      <c r="N242" t="s">
        <v>17885</v>
      </c>
      <c r="O242" t="s">
        <v>25</v>
      </c>
      <c r="P242" t="s">
        <v>17886</v>
      </c>
    </row>
    <row r="243" spans="1:25">
      <c r="A243" t="s">
        <v>17887</v>
      </c>
      <c r="B243" t="s">
        <v>17887</v>
      </c>
      <c r="C243" t="s">
        <v>17888</v>
      </c>
      <c r="D243" t="s">
        <v>21</v>
      </c>
      <c r="E243" s="14" t="s">
        <v>16949</v>
      </c>
      <c r="F243" t="s">
        <v>739</v>
      </c>
      <c r="G243" t="str">
        <f>Config!$B$4</f>
        <v>SCH/C_IEC.SchLib</v>
      </c>
      <c r="H243" t="s">
        <v>425</v>
      </c>
      <c r="I243" t="s">
        <v>461</v>
      </c>
      <c r="J243" t="s">
        <v>17818</v>
      </c>
      <c r="K243" s="3">
        <v>2.1999999999999998E-9</v>
      </c>
      <c r="L243" t="s">
        <v>17819</v>
      </c>
      <c r="M243" t="s">
        <v>477</v>
      </c>
      <c r="N243" t="s">
        <v>17889</v>
      </c>
      <c r="O243" t="s">
        <v>25</v>
      </c>
      <c r="P243" t="s">
        <v>17890</v>
      </c>
    </row>
    <row r="244" spans="1:25">
      <c r="A244" t="s">
        <v>17891</v>
      </c>
      <c r="B244" t="s">
        <v>17891</v>
      </c>
      <c r="C244" t="s">
        <v>17892</v>
      </c>
      <c r="D244" t="s">
        <v>21</v>
      </c>
      <c r="E244" s="14" t="s">
        <v>16949</v>
      </c>
      <c r="F244" t="s">
        <v>745</v>
      </c>
      <c r="G244" t="str">
        <f>Config!$B$4</f>
        <v>SCH/C_IEC.SchLib</v>
      </c>
      <c r="H244" t="s">
        <v>425</v>
      </c>
      <c r="I244" t="s">
        <v>461</v>
      </c>
      <c r="J244" t="s">
        <v>17818</v>
      </c>
      <c r="K244" s="3">
        <v>2.7000000000000002E-9</v>
      </c>
      <c r="L244" t="s">
        <v>17819</v>
      </c>
      <c r="M244" t="s">
        <v>477</v>
      </c>
      <c r="N244" t="s">
        <v>17893</v>
      </c>
      <c r="O244" t="s">
        <v>25</v>
      </c>
      <c r="P244" t="s">
        <v>17894</v>
      </c>
    </row>
    <row r="245" spans="1:25">
      <c r="A245" t="s">
        <v>17895</v>
      </c>
      <c r="B245" t="s">
        <v>17895</v>
      </c>
      <c r="C245" t="s">
        <v>17896</v>
      </c>
      <c r="D245" t="s">
        <v>21</v>
      </c>
      <c r="E245" s="14" t="s">
        <v>16949</v>
      </c>
      <c r="F245" t="s">
        <v>751</v>
      </c>
      <c r="G245" t="str">
        <f>Config!$B$4</f>
        <v>SCH/C_IEC.SchLib</v>
      </c>
      <c r="H245" t="s">
        <v>425</v>
      </c>
      <c r="I245" t="s">
        <v>461</v>
      </c>
      <c r="J245" t="s">
        <v>17818</v>
      </c>
      <c r="K245" s="3">
        <v>3.3000000000000002E-9</v>
      </c>
      <c r="L245" t="s">
        <v>17819</v>
      </c>
      <c r="M245" t="s">
        <v>477</v>
      </c>
      <c r="N245" t="s">
        <v>17897</v>
      </c>
      <c r="O245" t="s">
        <v>25</v>
      </c>
      <c r="P245" t="s">
        <v>17898</v>
      </c>
    </row>
    <row r="246" spans="1:25">
      <c r="A246" t="s">
        <v>17899</v>
      </c>
      <c r="B246" t="s">
        <v>17899</v>
      </c>
      <c r="C246" t="s">
        <v>17900</v>
      </c>
      <c r="D246" t="s">
        <v>21</v>
      </c>
      <c r="E246" s="14" t="s">
        <v>16949</v>
      </c>
      <c r="F246" t="s">
        <v>757</v>
      </c>
      <c r="G246" t="str">
        <f>Config!$B$4</f>
        <v>SCH/C_IEC.SchLib</v>
      </c>
      <c r="H246" t="s">
        <v>425</v>
      </c>
      <c r="I246" t="s">
        <v>461</v>
      </c>
      <c r="J246" t="s">
        <v>17818</v>
      </c>
      <c r="K246" s="3">
        <v>3.9000000000000002E-9</v>
      </c>
      <c r="L246" t="s">
        <v>17819</v>
      </c>
      <c r="M246" t="s">
        <v>477</v>
      </c>
      <c r="N246" t="s">
        <v>17901</v>
      </c>
      <c r="O246" t="s">
        <v>25</v>
      </c>
      <c r="P246" t="s">
        <v>17902</v>
      </c>
    </row>
    <row r="247" spans="1:25">
      <c r="A247" t="s">
        <v>17903</v>
      </c>
      <c r="B247" t="s">
        <v>17903</v>
      </c>
      <c r="C247" t="s">
        <v>17904</v>
      </c>
      <c r="D247" t="s">
        <v>21</v>
      </c>
      <c r="E247" s="14" t="s">
        <v>16949</v>
      </c>
      <c r="F247" t="s">
        <v>761</v>
      </c>
      <c r="G247" t="str">
        <f>Config!$B$4</f>
        <v>SCH/C_IEC.SchLib</v>
      </c>
      <c r="H247" t="s">
        <v>425</v>
      </c>
      <c r="I247" t="s">
        <v>461</v>
      </c>
      <c r="J247" t="s">
        <v>17818</v>
      </c>
      <c r="K247" s="3">
        <v>4.6999999999999999E-9</v>
      </c>
      <c r="L247" t="s">
        <v>17819</v>
      </c>
      <c r="M247" t="s">
        <v>477</v>
      </c>
      <c r="N247" t="s">
        <v>17905</v>
      </c>
      <c r="O247" t="s">
        <v>25</v>
      </c>
      <c r="P247" t="s">
        <v>17906</v>
      </c>
    </row>
    <row r="248" spans="1:25">
      <c r="A248" t="s">
        <v>17907</v>
      </c>
      <c r="B248" t="s">
        <v>17907</v>
      </c>
      <c r="C248" t="s">
        <v>17908</v>
      </c>
      <c r="D248" t="s">
        <v>21</v>
      </c>
      <c r="E248" s="14" t="s">
        <v>16949</v>
      </c>
      <c r="F248" t="s">
        <v>891</v>
      </c>
      <c r="G248" t="str">
        <f>Config!$B$4</f>
        <v>SCH/C_IEC.SchLib</v>
      </c>
      <c r="H248" t="s">
        <v>425</v>
      </c>
      <c r="I248" t="s">
        <v>461</v>
      </c>
      <c r="J248" t="s">
        <v>17818</v>
      </c>
      <c r="K248" s="3">
        <v>5.5999999999999997E-9</v>
      </c>
      <c r="L248" t="s">
        <v>17819</v>
      </c>
      <c r="M248" t="s">
        <v>477</v>
      </c>
      <c r="N248" t="s">
        <v>17909</v>
      </c>
      <c r="O248" t="s">
        <v>25</v>
      </c>
      <c r="P248" t="s">
        <v>17910</v>
      </c>
    </row>
    <row r="249" spans="1:25">
      <c r="A249" t="s">
        <v>17911</v>
      </c>
      <c r="B249" t="s">
        <v>17911</v>
      </c>
      <c r="C249" t="s">
        <v>17912</v>
      </c>
      <c r="D249" t="s">
        <v>21</v>
      </c>
      <c r="E249" s="14" t="s">
        <v>16949</v>
      </c>
      <c r="F249" t="s">
        <v>765</v>
      </c>
      <c r="G249" t="str">
        <f>Config!$B$4</f>
        <v>SCH/C_IEC.SchLib</v>
      </c>
      <c r="H249" t="s">
        <v>425</v>
      </c>
      <c r="I249" t="s">
        <v>461</v>
      </c>
      <c r="J249" t="s">
        <v>17818</v>
      </c>
      <c r="K249" s="3">
        <v>6.7999999999999997E-9</v>
      </c>
      <c r="L249" t="s">
        <v>17819</v>
      </c>
      <c r="M249" t="s">
        <v>477</v>
      </c>
      <c r="N249" t="s">
        <v>17913</v>
      </c>
      <c r="O249" t="s">
        <v>25</v>
      </c>
      <c r="P249" t="s">
        <v>17914</v>
      </c>
    </row>
    <row r="250" spans="1:25">
      <c r="A250" t="s">
        <v>17915</v>
      </c>
      <c r="B250" t="s">
        <v>17915</v>
      </c>
      <c r="C250" t="s">
        <v>17916</v>
      </c>
      <c r="D250" t="s">
        <v>21</v>
      </c>
      <c r="E250" s="14" t="s">
        <v>16949</v>
      </c>
      <c r="F250" t="s">
        <v>902</v>
      </c>
      <c r="G250" t="str">
        <f>Config!$B$4</f>
        <v>SCH/C_IEC.SchLib</v>
      </c>
      <c r="H250" t="s">
        <v>425</v>
      </c>
      <c r="I250" t="s">
        <v>461</v>
      </c>
      <c r="J250" t="s">
        <v>17818</v>
      </c>
      <c r="K250" s="3">
        <v>8.2000000000000006E-9</v>
      </c>
      <c r="L250" t="s">
        <v>17819</v>
      </c>
      <c r="M250" t="s">
        <v>477</v>
      </c>
      <c r="N250" t="s">
        <v>17917</v>
      </c>
      <c r="O250" t="s">
        <v>25</v>
      </c>
      <c r="P250" t="s">
        <v>17918</v>
      </c>
    </row>
    <row r="251" spans="1:25">
      <c r="A251" t="s">
        <v>17919</v>
      </c>
      <c r="B251" t="s">
        <v>17919</v>
      </c>
      <c r="C251" t="s">
        <v>17920</v>
      </c>
      <c r="D251" t="s">
        <v>21</v>
      </c>
      <c r="E251" s="14" t="s">
        <v>16949</v>
      </c>
      <c r="F251" t="s">
        <v>770</v>
      </c>
      <c r="G251" t="str">
        <f>Config!$B$4</f>
        <v>SCH/C_IEC.SchLib</v>
      </c>
      <c r="H251" t="s">
        <v>425</v>
      </c>
      <c r="I251" t="s">
        <v>461</v>
      </c>
      <c r="J251" t="s">
        <v>17818</v>
      </c>
      <c r="K251" s="3">
        <v>1E-8</v>
      </c>
      <c r="L251" t="s">
        <v>17819</v>
      </c>
      <c r="M251" t="s">
        <v>477</v>
      </c>
      <c r="N251" t="s">
        <v>17921</v>
      </c>
      <c r="O251" t="s">
        <v>25</v>
      </c>
      <c r="P251" t="s">
        <v>17922</v>
      </c>
    </row>
    <row r="252" spans="1:25">
      <c r="A252" t="s">
        <v>17923</v>
      </c>
      <c r="B252" t="s">
        <v>17923</v>
      </c>
      <c r="C252" t="s">
        <v>17924</v>
      </c>
      <c r="D252" t="s">
        <v>21</v>
      </c>
      <c r="E252" s="14" t="s">
        <v>16949</v>
      </c>
      <c r="F252" t="s">
        <v>991</v>
      </c>
      <c r="G252" t="str">
        <f>Config!$B$4</f>
        <v>SCH/C_IEC.SchLib</v>
      </c>
      <c r="H252" t="s">
        <v>425</v>
      </c>
      <c r="I252" t="s">
        <v>461</v>
      </c>
      <c r="J252" t="s">
        <v>17818</v>
      </c>
      <c r="K252" s="3">
        <v>9.9999999999999995E-8</v>
      </c>
      <c r="L252" t="s">
        <v>17819</v>
      </c>
      <c r="M252" t="s">
        <v>477</v>
      </c>
      <c r="N252" t="s">
        <v>17925</v>
      </c>
      <c r="O252" t="s">
        <v>25</v>
      </c>
      <c r="P252" t="s">
        <v>17926</v>
      </c>
      <c r="U252" t="s">
        <v>477</v>
      </c>
      <c r="V252" t="s">
        <v>17925</v>
      </c>
      <c r="W252" t="s">
        <v>4559</v>
      </c>
      <c r="X252" t="s">
        <v>18514</v>
      </c>
      <c r="Y252" t="s">
        <v>4727</v>
      </c>
    </row>
    <row r="253" spans="1:25">
      <c r="A253" t="s">
        <v>17933</v>
      </c>
      <c r="B253" t="s">
        <v>17933</v>
      </c>
      <c r="C253" t="s">
        <v>17928</v>
      </c>
      <c r="D253" t="s">
        <v>21</v>
      </c>
      <c r="E253" s="14" t="s">
        <v>6447</v>
      </c>
      <c r="F253" t="s">
        <v>17929</v>
      </c>
      <c r="G253" t="str">
        <f>Config!$B$4</f>
        <v>SCH/C_IEC.SchLib</v>
      </c>
      <c r="H253" t="s">
        <v>425</v>
      </c>
      <c r="I253" t="s">
        <v>461</v>
      </c>
      <c r="J253" t="s">
        <v>5956</v>
      </c>
      <c r="K253" s="3">
        <v>9.9999999999999995E-7</v>
      </c>
      <c r="L253" t="s">
        <v>17930</v>
      </c>
      <c r="M253" t="s">
        <v>4771</v>
      </c>
      <c r="N253" t="s">
        <v>17932</v>
      </c>
      <c r="O253" t="s">
        <v>25</v>
      </c>
      <c r="P253" t="s">
        <v>17931</v>
      </c>
      <c r="U253" t="s">
        <v>477</v>
      </c>
      <c r="V253" t="s">
        <v>18504</v>
      </c>
      <c r="W253" t="s">
        <v>4559</v>
      </c>
      <c r="X253" t="s">
        <v>18503</v>
      </c>
      <c r="Y253" t="s">
        <v>4727</v>
      </c>
    </row>
    <row r="254" spans="1:25">
      <c r="A254" t="s">
        <v>17934</v>
      </c>
      <c r="B254" t="s">
        <v>17934</v>
      </c>
      <c r="C254" t="s">
        <v>17935</v>
      </c>
      <c r="D254" t="s">
        <v>21</v>
      </c>
      <c r="E254" s="14" t="s">
        <v>6447</v>
      </c>
      <c r="F254" t="s">
        <v>13282</v>
      </c>
      <c r="G254" t="str">
        <f>Config!$B$4</f>
        <v>SCH/C_IEC.SchLib</v>
      </c>
      <c r="H254" t="s">
        <v>425</v>
      </c>
      <c r="I254" t="s">
        <v>461</v>
      </c>
      <c r="J254" t="s">
        <v>5956</v>
      </c>
      <c r="K254" s="3">
        <v>9.9999999999999995E-7</v>
      </c>
      <c r="L254" t="s">
        <v>17936</v>
      </c>
      <c r="M254" t="s">
        <v>4771</v>
      </c>
      <c r="N254" t="s">
        <v>17937</v>
      </c>
      <c r="O254" t="s">
        <v>25</v>
      </c>
      <c r="P254" t="s">
        <v>17938</v>
      </c>
      <c r="U254" t="s">
        <v>6173</v>
      </c>
      <c r="V254" t="s">
        <v>18505</v>
      </c>
      <c r="W254" t="s">
        <v>4559</v>
      </c>
      <c r="X254" t="s">
        <v>18506</v>
      </c>
      <c r="Y254" t="s">
        <v>4727</v>
      </c>
    </row>
    <row r="255" spans="1:25">
      <c r="A255" t="s">
        <v>18028</v>
      </c>
      <c r="B255" t="s">
        <v>18028</v>
      </c>
      <c r="C255" t="s">
        <v>18041</v>
      </c>
      <c r="D255" t="s">
        <v>21</v>
      </c>
      <c r="E255" s="14" t="s">
        <v>16949</v>
      </c>
      <c r="F255" t="s">
        <v>676</v>
      </c>
      <c r="G255" t="str">
        <f>Config!$B$4</f>
        <v>SCH/C_IEC.SchLib</v>
      </c>
      <c r="H255" t="s">
        <v>425</v>
      </c>
      <c r="I255" t="s">
        <v>461</v>
      </c>
      <c r="J255" t="s">
        <v>17677</v>
      </c>
      <c r="K255" s="3">
        <v>3.3E-10</v>
      </c>
      <c r="L255" t="s">
        <v>18061</v>
      </c>
      <c r="M255" t="s">
        <v>13272</v>
      </c>
      <c r="N255" t="s">
        <v>18074</v>
      </c>
      <c r="O255" t="s">
        <v>25</v>
      </c>
      <c r="P255" t="s">
        <v>18087</v>
      </c>
    </row>
    <row r="256" spans="1:25">
      <c r="A256" t="s">
        <v>18029</v>
      </c>
      <c r="B256" t="s">
        <v>18029</v>
      </c>
      <c r="C256" t="s">
        <v>18042</v>
      </c>
      <c r="D256" t="s">
        <v>21</v>
      </c>
      <c r="E256" s="14" t="s">
        <v>16949</v>
      </c>
      <c r="F256" t="s">
        <v>18054</v>
      </c>
      <c r="G256" t="str">
        <f>Config!$B$4</f>
        <v>SCH/C_IEC.SchLib</v>
      </c>
      <c r="H256" t="s">
        <v>425</v>
      </c>
      <c r="I256" t="s">
        <v>461</v>
      </c>
      <c r="J256" t="s">
        <v>17677</v>
      </c>
      <c r="K256" s="3">
        <v>3.6E-10</v>
      </c>
      <c r="L256" t="s">
        <v>18062</v>
      </c>
      <c r="M256" t="s">
        <v>13272</v>
      </c>
      <c r="N256" t="s">
        <v>18075</v>
      </c>
      <c r="O256" t="s">
        <v>25</v>
      </c>
      <c r="P256" t="s">
        <v>18088</v>
      </c>
    </row>
    <row r="257" spans="1:25">
      <c r="A257" t="s">
        <v>18030</v>
      </c>
      <c r="B257" t="s">
        <v>18030</v>
      </c>
      <c r="C257" t="s">
        <v>18043</v>
      </c>
      <c r="D257" t="s">
        <v>21</v>
      </c>
      <c r="E257" s="14" t="s">
        <v>16949</v>
      </c>
      <c r="F257" t="s">
        <v>683</v>
      </c>
      <c r="G257" t="str">
        <f>Config!$B$4</f>
        <v>SCH/C_IEC.SchLib</v>
      </c>
      <c r="H257" t="s">
        <v>425</v>
      </c>
      <c r="I257" t="s">
        <v>461</v>
      </c>
      <c r="J257" t="s">
        <v>17677</v>
      </c>
      <c r="K257" s="3">
        <v>3.9E-10</v>
      </c>
      <c r="L257" t="s">
        <v>18063</v>
      </c>
      <c r="M257" t="s">
        <v>13272</v>
      </c>
      <c r="N257" t="s">
        <v>18076</v>
      </c>
      <c r="O257" t="s">
        <v>25</v>
      </c>
      <c r="P257" t="s">
        <v>18089</v>
      </c>
    </row>
    <row r="258" spans="1:25">
      <c r="A258" t="s">
        <v>18031</v>
      </c>
      <c r="B258" t="s">
        <v>18031</v>
      </c>
      <c r="C258" t="s">
        <v>18044</v>
      </c>
      <c r="D258" t="s">
        <v>21</v>
      </c>
      <c r="E258" s="14" t="s">
        <v>16949</v>
      </c>
      <c r="F258" t="s">
        <v>18055</v>
      </c>
      <c r="G258" t="str">
        <f>Config!$B$4</f>
        <v>SCH/C_IEC.SchLib</v>
      </c>
      <c r="H258" t="s">
        <v>425</v>
      </c>
      <c r="I258" t="s">
        <v>461</v>
      </c>
      <c r="J258" t="s">
        <v>17677</v>
      </c>
      <c r="K258" s="3">
        <v>4.3000000000000001E-10</v>
      </c>
      <c r="L258" t="s">
        <v>18064</v>
      </c>
      <c r="M258" t="s">
        <v>13272</v>
      </c>
      <c r="N258" t="s">
        <v>18077</v>
      </c>
      <c r="O258" t="s">
        <v>25</v>
      </c>
      <c r="P258" t="s">
        <v>18090</v>
      </c>
    </row>
    <row r="259" spans="1:25">
      <c r="A259" t="s">
        <v>18032</v>
      </c>
      <c r="B259" t="s">
        <v>18032</v>
      </c>
      <c r="C259" t="s">
        <v>18045</v>
      </c>
      <c r="D259" t="s">
        <v>21</v>
      </c>
      <c r="E259" s="14" t="s">
        <v>16949</v>
      </c>
      <c r="F259" t="s">
        <v>690</v>
      </c>
      <c r="G259" t="str">
        <f>Config!$B$4</f>
        <v>SCH/C_IEC.SchLib</v>
      </c>
      <c r="H259" t="s">
        <v>425</v>
      </c>
      <c r="I259" t="s">
        <v>461</v>
      </c>
      <c r="J259" t="s">
        <v>17677</v>
      </c>
      <c r="K259" s="3">
        <v>4.7000000000000003E-10</v>
      </c>
      <c r="L259" t="s">
        <v>18065</v>
      </c>
      <c r="M259" t="s">
        <v>13272</v>
      </c>
      <c r="N259" t="s">
        <v>18078</v>
      </c>
      <c r="O259" t="s">
        <v>25</v>
      </c>
      <c r="P259" t="s">
        <v>18091</v>
      </c>
    </row>
    <row r="260" spans="1:25">
      <c r="A260" t="s">
        <v>18033</v>
      </c>
      <c r="B260" t="s">
        <v>18033</v>
      </c>
      <c r="C260" t="s">
        <v>18046</v>
      </c>
      <c r="D260" t="s">
        <v>21</v>
      </c>
      <c r="E260" s="14" t="s">
        <v>16949</v>
      </c>
      <c r="F260" t="s">
        <v>18056</v>
      </c>
      <c r="G260" t="str">
        <f>Config!$B$4</f>
        <v>SCH/C_IEC.SchLib</v>
      </c>
      <c r="H260" t="s">
        <v>425</v>
      </c>
      <c r="I260" t="s">
        <v>461</v>
      </c>
      <c r="J260" t="s">
        <v>17677</v>
      </c>
      <c r="K260" s="3">
        <v>5.1E-10</v>
      </c>
      <c r="L260" t="s">
        <v>18066</v>
      </c>
      <c r="M260" t="s">
        <v>13272</v>
      </c>
      <c r="N260" t="s">
        <v>18079</v>
      </c>
      <c r="O260" t="s">
        <v>25</v>
      </c>
      <c r="P260" t="s">
        <v>18092</v>
      </c>
    </row>
    <row r="261" spans="1:25">
      <c r="A261" t="s">
        <v>18034</v>
      </c>
      <c r="B261" t="s">
        <v>18034</v>
      </c>
      <c r="C261" t="s">
        <v>18047</v>
      </c>
      <c r="D261" t="s">
        <v>21</v>
      </c>
      <c r="E261" s="14" t="s">
        <v>16949</v>
      </c>
      <c r="F261" t="s">
        <v>697</v>
      </c>
      <c r="G261" t="str">
        <f>Config!$B$4</f>
        <v>SCH/C_IEC.SchLib</v>
      </c>
      <c r="H261" t="s">
        <v>425</v>
      </c>
      <c r="I261" t="s">
        <v>461</v>
      </c>
      <c r="J261" t="s">
        <v>17677</v>
      </c>
      <c r="K261" s="3">
        <v>5.6000000000000003E-10</v>
      </c>
      <c r="L261" t="s">
        <v>18067</v>
      </c>
      <c r="M261" t="s">
        <v>13272</v>
      </c>
      <c r="N261" t="s">
        <v>18080</v>
      </c>
      <c r="O261" t="s">
        <v>25</v>
      </c>
      <c r="P261" t="s">
        <v>18093</v>
      </c>
    </row>
    <row r="262" spans="1:25">
      <c r="A262" t="s">
        <v>18035</v>
      </c>
      <c r="B262" t="s">
        <v>18035</v>
      </c>
      <c r="C262" t="s">
        <v>18048</v>
      </c>
      <c r="D262" t="s">
        <v>21</v>
      </c>
      <c r="E262" s="14" t="s">
        <v>16949</v>
      </c>
      <c r="F262" t="s">
        <v>18057</v>
      </c>
      <c r="G262" t="str">
        <f>Config!$B$4</f>
        <v>SCH/C_IEC.SchLib</v>
      </c>
      <c r="H262" t="s">
        <v>425</v>
      </c>
      <c r="I262" t="s">
        <v>461</v>
      </c>
      <c r="J262" t="s">
        <v>17677</v>
      </c>
      <c r="K262" s="3">
        <v>6.2000000000000003E-10</v>
      </c>
      <c r="L262" t="s">
        <v>18068</v>
      </c>
      <c r="M262" t="s">
        <v>13272</v>
      </c>
      <c r="N262" t="s">
        <v>18081</v>
      </c>
      <c r="O262" t="s">
        <v>25</v>
      </c>
      <c r="P262" t="s">
        <v>18094</v>
      </c>
    </row>
    <row r="263" spans="1:25">
      <c r="A263" t="s">
        <v>18036</v>
      </c>
      <c r="B263" t="s">
        <v>18036</v>
      </c>
      <c r="C263" t="s">
        <v>18049</v>
      </c>
      <c r="D263" t="s">
        <v>21</v>
      </c>
      <c r="E263" s="14" t="s">
        <v>16949</v>
      </c>
      <c r="F263" t="s">
        <v>704</v>
      </c>
      <c r="G263" t="str">
        <f>Config!$B$4</f>
        <v>SCH/C_IEC.SchLib</v>
      </c>
      <c r="H263" t="s">
        <v>425</v>
      </c>
      <c r="I263" t="s">
        <v>461</v>
      </c>
      <c r="J263" t="s">
        <v>17677</v>
      </c>
      <c r="K263" s="3">
        <v>6.8000000000000003E-10</v>
      </c>
      <c r="L263" t="s">
        <v>18069</v>
      </c>
      <c r="M263" t="s">
        <v>13272</v>
      </c>
      <c r="N263" t="s">
        <v>18082</v>
      </c>
      <c r="O263" t="s">
        <v>25</v>
      </c>
      <c r="P263" t="s">
        <v>18095</v>
      </c>
      <c r="U263" t="s">
        <v>4771</v>
      </c>
      <c r="V263" t="s">
        <v>18510</v>
      </c>
      <c r="W263" t="s">
        <v>4559</v>
      </c>
      <c r="X263" t="s">
        <v>18511</v>
      </c>
      <c r="Y263" t="s">
        <v>4727</v>
      </c>
    </row>
    <row r="264" spans="1:25">
      <c r="A264" t="s">
        <v>18037</v>
      </c>
      <c r="B264" t="s">
        <v>18037</v>
      </c>
      <c r="C264" t="s">
        <v>18050</v>
      </c>
      <c r="D264" t="s">
        <v>21</v>
      </c>
      <c r="E264" s="14" t="s">
        <v>16949</v>
      </c>
      <c r="F264" t="s">
        <v>18058</v>
      </c>
      <c r="G264" t="str">
        <f>Config!$B$4</f>
        <v>SCH/C_IEC.SchLib</v>
      </c>
      <c r="H264" t="s">
        <v>425</v>
      </c>
      <c r="I264" t="s">
        <v>461</v>
      </c>
      <c r="J264" t="s">
        <v>17677</v>
      </c>
      <c r="K264" s="3">
        <v>7.5E-10</v>
      </c>
      <c r="L264" t="s">
        <v>18070</v>
      </c>
      <c r="M264" t="s">
        <v>13272</v>
      </c>
      <c r="N264" t="s">
        <v>18083</v>
      </c>
      <c r="O264" t="s">
        <v>25</v>
      </c>
      <c r="P264" t="s">
        <v>18096</v>
      </c>
    </row>
    <row r="265" spans="1:25">
      <c r="A265" t="s">
        <v>18038</v>
      </c>
      <c r="B265" t="s">
        <v>18038</v>
      </c>
      <c r="C265" t="s">
        <v>18051</v>
      </c>
      <c r="D265" t="s">
        <v>21</v>
      </c>
      <c r="E265" s="14" t="s">
        <v>16949</v>
      </c>
      <c r="F265" t="s">
        <v>711</v>
      </c>
      <c r="G265" t="str">
        <f>Config!$B$4</f>
        <v>SCH/C_IEC.SchLib</v>
      </c>
      <c r="H265" t="s">
        <v>425</v>
      </c>
      <c r="I265" t="s">
        <v>461</v>
      </c>
      <c r="J265" t="s">
        <v>17677</v>
      </c>
      <c r="K265" s="3">
        <v>8.1999999999999996E-10</v>
      </c>
      <c r="L265" t="s">
        <v>18071</v>
      </c>
      <c r="M265" t="s">
        <v>13272</v>
      </c>
      <c r="N265" t="s">
        <v>18084</v>
      </c>
      <c r="O265" t="s">
        <v>25</v>
      </c>
      <c r="P265" t="s">
        <v>18097</v>
      </c>
    </row>
    <row r="266" spans="1:25">
      <c r="A266" t="s">
        <v>18039</v>
      </c>
      <c r="B266" t="s">
        <v>18039</v>
      </c>
      <c r="C266" t="s">
        <v>18052</v>
      </c>
      <c r="D266" t="s">
        <v>21</v>
      </c>
      <c r="E266" s="14" t="s">
        <v>16949</v>
      </c>
      <c r="F266" t="s">
        <v>18059</v>
      </c>
      <c r="G266" t="str">
        <f>Config!$B$4</f>
        <v>SCH/C_IEC.SchLib</v>
      </c>
      <c r="H266" t="s">
        <v>425</v>
      </c>
      <c r="I266" t="s">
        <v>461</v>
      </c>
      <c r="J266" t="s">
        <v>17677</v>
      </c>
      <c r="K266" s="3">
        <v>9.0999999999999996E-10</v>
      </c>
      <c r="L266" t="s">
        <v>18072</v>
      </c>
      <c r="M266" t="s">
        <v>13272</v>
      </c>
      <c r="N266" t="s">
        <v>18085</v>
      </c>
      <c r="O266" t="s">
        <v>25</v>
      </c>
      <c r="P266" t="s">
        <v>18098</v>
      </c>
    </row>
    <row r="267" spans="1:25">
      <c r="A267" t="s">
        <v>18040</v>
      </c>
      <c r="B267" t="s">
        <v>18040</v>
      </c>
      <c r="C267" t="s">
        <v>18053</v>
      </c>
      <c r="D267" t="s">
        <v>21</v>
      </c>
      <c r="E267" s="14" t="s">
        <v>16949</v>
      </c>
      <c r="F267" t="s">
        <v>18060</v>
      </c>
      <c r="G267" t="str">
        <f>Config!$B$4</f>
        <v>SCH/C_IEC.SchLib</v>
      </c>
      <c r="H267" t="s">
        <v>425</v>
      </c>
      <c r="I267" t="s">
        <v>461</v>
      </c>
      <c r="J267" t="s">
        <v>17677</v>
      </c>
      <c r="K267" s="3">
        <v>1.0000000000000001E-9</v>
      </c>
      <c r="L267" t="s">
        <v>18073</v>
      </c>
      <c r="M267" t="s">
        <v>13272</v>
      </c>
      <c r="N267" t="s">
        <v>18086</v>
      </c>
      <c r="O267" t="s">
        <v>25</v>
      </c>
      <c r="P267" t="s">
        <v>18099</v>
      </c>
    </row>
    <row r="268" spans="1:25">
      <c r="A268" t="s">
        <v>18700</v>
      </c>
      <c r="B268" t="s">
        <v>18700</v>
      </c>
      <c r="C268" t="s">
        <v>18701</v>
      </c>
      <c r="D268" t="s">
        <v>21</v>
      </c>
      <c r="E268" s="14" t="s">
        <v>6770</v>
      </c>
      <c r="F268" t="s">
        <v>1026</v>
      </c>
      <c r="G268" t="str">
        <f>Config!$B$4</f>
        <v>SCH/C_IEC.SchLib</v>
      </c>
      <c r="H268" t="s">
        <v>425</v>
      </c>
      <c r="I268" t="s">
        <v>461</v>
      </c>
      <c r="J268" t="s">
        <v>6178</v>
      </c>
      <c r="K268" s="3">
        <v>1.0000000000000001E-5</v>
      </c>
      <c r="L268" t="s">
        <v>18702</v>
      </c>
      <c r="M268" t="s">
        <v>4479</v>
      </c>
      <c r="N268" t="s">
        <v>18703</v>
      </c>
      <c r="O268" t="s">
        <v>25</v>
      </c>
      <c r="P268" t="s">
        <v>18704</v>
      </c>
    </row>
    <row r="269" spans="1:25">
      <c r="A269" t="s">
        <v>18705</v>
      </c>
      <c r="B269" t="s">
        <v>18719</v>
      </c>
      <c r="C269" t="s">
        <v>18706</v>
      </c>
      <c r="D269" t="s">
        <v>21</v>
      </c>
      <c r="E269" s="14" t="s">
        <v>6446</v>
      </c>
      <c r="F269" t="s">
        <v>6174</v>
      </c>
      <c r="G269" t="str">
        <f>Config!$B$4</f>
        <v>SCH/C_IEC.SchLib</v>
      </c>
      <c r="H269" t="s">
        <v>425</v>
      </c>
      <c r="I269" t="s">
        <v>461</v>
      </c>
      <c r="J269" t="s">
        <v>1027</v>
      </c>
      <c r="K269" s="3">
        <v>4.6999999999999999E-6</v>
      </c>
      <c r="L269" t="s">
        <v>18702</v>
      </c>
      <c r="M269" t="s">
        <v>4479</v>
      </c>
      <c r="N269" t="s">
        <v>18707</v>
      </c>
      <c r="O269" t="s">
        <v>25</v>
      </c>
      <c r="P269" t="s">
        <v>18708</v>
      </c>
    </row>
    <row r="270" spans="1:25">
      <c r="A270" t="s">
        <v>18709</v>
      </c>
      <c r="B270" t="s">
        <v>18709</v>
      </c>
      <c r="C270" t="s">
        <v>18710</v>
      </c>
      <c r="D270" t="s">
        <v>21</v>
      </c>
      <c r="E270" s="14" t="s">
        <v>22</v>
      </c>
      <c r="F270" t="s">
        <v>1026</v>
      </c>
      <c r="G270" t="str">
        <f>Config!$B$4</f>
        <v>SCH/C_IEC.SchLib</v>
      </c>
      <c r="H270" t="s">
        <v>425</v>
      </c>
      <c r="I270" t="s">
        <v>461</v>
      </c>
      <c r="J270" t="s">
        <v>775</v>
      </c>
      <c r="K270" s="3">
        <v>1.0000000000000001E-5</v>
      </c>
      <c r="L270" t="s">
        <v>18711</v>
      </c>
      <c r="M270" t="s">
        <v>1029</v>
      </c>
      <c r="N270" t="s">
        <v>18712</v>
      </c>
      <c r="O270" t="s">
        <v>25</v>
      </c>
      <c r="P270" t="s">
        <v>18713</v>
      </c>
    </row>
    <row r="271" spans="1:25">
      <c r="A271" t="s">
        <v>18717</v>
      </c>
      <c r="B271" t="s">
        <v>18717</v>
      </c>
      <c r="C271" t="s">
        <v>18718</v>
      </c>
      <c r="D271" t="s">
        <v>21</v>
      </c>
      <c r="E271" s="14" t="s">
        <v>6447</v>
      </c>
      <c r="F271" t="s">
        <v>17929</v>
      </c>
      <c r="G271" t="str">
        <f>Config!$B$4</f>
        <v>SCH/C_IEC.SchLib</v>
      </c>
      <c r="H271" t="s">
        <v>425</v>
      </c>
      <c r="I271" t="s">
        <v>461</v>
      </c>
      <c r="J271" t="s">
        <v>5956</v>
      </c>
      <c r="K271" s="3">
        <v>9.9999999999999995E-7</v>
      </c>
      <c r="L271" t="s">
        <v>18716</v>
      </c>
      <c r="M271" t="s">
        <v>13272</v>
      </c>
      <c r="N271" t="s">
        <v>18714</v>
      </c>
      <c r="O271" t="s">
        <v>25</v>
      </c>
      <c r="P271" t="s">
        <v>18715</v>
      </c>
    </row>
    <row r="272" spans="1:25">
      <c r="A272" t="s">
        <v>18720</v>
      </c>
      <c r="B272" t="s">
        <v>18720</v>
      </c>
      <c r="C272" t="s">
        <v>18721</v>
      </c>
      <c r="D272" t="s">
        <v>21</v>
      </c>
      <c r="E272" s="14" t="s">
        <v>22</v>
      </c>
      <c r="F272" t="s">
        <v>4534</v>
      </c>
      <c r="G272" t="str">
        <f>Config!$B$4</f>
        <v>SCH/C_IEC.SchLib</v>
      </c>
      <c r="H272" t="s">
        <v>425</v>
      </c>
      <c r="I272" t="s">
        <v>461</v>
      </c>
      <c r="J272" t="s">
        <v>775</v>
      </c>
      <c r="K272" s="3">
        <v>2.1999999999999999E-5</v>
      </c>
      <c r="L272" t="s">
        <v>18711</v>
      </c>
      <c r="M272" t="s">
        <v>1029</v>
      </c>
      <c r="N272" t="s">
        <v>18722</v>
      </c>
      <c r="O272" t="s">
        <v>25</v>
      </c>
      <c r="P272" t="s">
        <v>18723</v>
      </c>
    </row>
    <row r="273" spans="1:24">
      <c r="A273" t="s">
        <v>18728</v>
      </c>
      <c r="B273" t="s">
        <v>18728</v>
      </c>
      <c r="C273" t="s">
        <v>18727</v>
      </c>
      <c r="D273" t="s">
        <v>21</v>
      </c>
      <c r="E273" s="14" t="s">
        <v>6447</v>
      </c>
      <c r="F273" t="s">
        <v>16649</v>
      </c>
      <c r="G273" t="str">
        <f>Config!$B$4</f>
        <v>SCH/C_IEC.SchLib</v>
      </c>
      <c r="H273" t="s">
        <v>425</v>
      </c>
      <c r="I273" t="s">
        <v>461</v>
      </c>
      <c r="J273" t="s">
        <v>5747</v>
      </c>
      <c r="K273" s="3">
        <v>1.9999999999999999E-11</v>
      </c>
      <c r="L273" t="s">
        <v>18726</v>
      </c>
      <c r="M273" t="s">
        <v>477</v>
      </c>
      <c r="N273" t="s">
        <v>18725</v>
      </c>
      <c r="O273" t="s">
        <v>25</v>
      </c>
      <c r="P273" t="s">
        <v>18724</v>
      </c>
    </row>
    <row r="274" spans="1:24">
      <c r="A274" t="s">
        <v>18729</v>
      </c>
      <c r="B274" t="s">
        <v>18729</v>
      </c>
      <c r="C274" t="s">
        <v>18730</v>
      </c>
      <c r="D274" t="s">
        <v>21</v>
      </c>
      <c r="E274" s="14" t="s">
        <v>6447</v>
      </c>
      <c r="F274" t="s">
        <v>1010</v>
      </c>
      <c r="G274" t="str">
        <f>Config!$B$4</f>
        <v>SCH/C_IEC.SchLib</v>
      </c>
      <c r="H274" t="s">
        <v>425</v>
      </c>
      <c r="I274" t="s">
        <v>461</v>
      </c>
      <c r="J274" t="s">
        <v>5956</v>
      </c>
      <c r="K274" s="3">
        <v>2.2000000000000001E-7</v>
      </c>
      <c r="L274" t="s">
        <v>18731</v>
      </c>
      <c r="M274" t="s">
        <v>13272</v>
      </c>
      <c r="N274" t="s">
        <v>18732</v>
      </c>
      <c r="O274" t="s">
        <v>25</v>
      </c>
      <c r="P274" t="s">
        <v>18733</v>
      </c>
    </row>
    <row r="275" spans="1:24">
      <c r="A275" t="s">
        <v>18746</v>
      </c>
      <c r="B275" t="s">
        <v>18746</v>
      </c>
      <c r="C275" t="s">
        <v>18747</v>
      </c>
      <c r="D275" t="s">
        <v>21</v>
      </c>
      <c r="E275" s="14" t="s">
        <v>6447</v>
      </c>
      <c r="F275" t="s">
        <v>770</v>
      </c>
      <c r="G275" t="str">
        <f>Config!$B$4</f>
        <v>SCH/C_IEC.SchLib</v>
      </c>
      <c r="H275" t="s">
        <v>425</v>
      </c>
      <c r="I275" t="s">
        <v>461</v>
      </c>
      <c r="J275" t="s">
        <v>5956</v>
      </c>
      <c r="K275" s="3">
        <v>1E-8</v>
      </c>
      <c r="L275" t="s">
        <v>18748</v>
      </c>
      <c r="M275" t="s">
        <v>4771</v>
      </c>
      <c r="N275" t="s">
        <v>18749</v>
      </c>
      <c r="O275" t="s">
        <v>25</v>
      </c>
      <c r="P275" t="s">
        <v>18750</v>
      </c>
    </row>
    <row r="276" spans="1:24">
      <c r="A276" t="s">
        <v>18918</v>
      </c>
      <c r="B276" t="s">
        <v>18918</v>
      </c>
      <c r="C276" t="s">
        <v>18919</v>
      </c>
      <c r="D276" t="s">
        <v>21</v>
      </c>
      <c r="E276" s="14" t="s">
        <v>16949</v>
      </c>
      <c r="F276" t="s">
        <v>17929</v>
      </c>
      <c r="G276" t="str">
        <f>Config!$B$4</f>
        <v>SCH/C_IEC.SchLib</v>
      </c>
      <c r="H276" t="s">
        <v>425</v>
      </c>
      <c r="I276" t="s">
        <v>461</v>
      </c>
      <c r="J276" t="s">
        <v>17818</v>
      </c>
      <c r="K276" s="3">
        <v>9.9999999999999995E-7</v>
      </c>
      <c r="L276" t="s">
        <v>18922</v>
      </c>
      <c r="M276" t="s">
        <v>4771</v>
      </c>
      <c r="N276" t="s">
        <v>18921</v>
      </c>
      <c r="O276" t="s">
        <v>25</v>
      </c>
      <c r="P276" t="s">
        <v>18920</v>
      </c>
      <c r="U276" t="s">
        <v>6186</v>
      </c>
      <c r="V276" t="s">
        <v>18924</v>
      </c>
      <c r="W276" t="s">
        <v>4559</v>
      </c>
      <c r="X276" t="s">
        <v>18923</v>
      </c>
    </row>
    <row r="277" spans="1:24">
      <c r="A277" t="s">
        <v>18927</v>
      </c>
      <c r="B277" t="s">
        <v>18927</v>
      </c>
      <c r="C277" t="s">
        <v>18928</v>
      </c>
      <c r="D277" t="s">
        <v>21</v>
      </c>
      <c r="E277" s="14" t="s">
        <v>16949</v>
      </c>
      <c r="F277" t="s">
        <v>13282</v>
      </c>
      <c r="G277" t="str">
        <f>Config!$B$4</f>
        <v>SCH/C_IEC.SchLib</v>
      </c>
      <c r="H277" t="s">
        <v>425</v>
      </c>
      <c r="I277" t="s">
        <v>461</v>
      </c>
      <c r="J277" t="s">
        <v>17818</v>
      </c>
      <c r="K277" s="3">
        <v>2.2000000000000001E-6</v>
      </c>
      <c r="M277" t="s">
        <v>13272</v>
      </c>
      <c r="N277" t="s">
        <v>18930</v>
      </c>
      <c r="O277" t="s">
        <v>25</v>
      </c>
      <c r="P277" t="s">
        <v>18929</v>
      </c>
      <c r="U277" t="s">
        <v>6173</v>
      </c>
      <c r="V277" t="s">
        <v>18950</v>
      </c>
      <c r="W277" t="s">
        <v>4559</v>
      </c>
      <c r="X277" t="s">
        <v>18951</v>
      </c>
    </row>
    <row r="278" spans="1:24">
      <c r="A278" t="s">
        <v>18945</v>
      </c>
      <c r="B278" t="s">
        <v>18945</v>
      </c>
      <c r="C278" t="s">
        <v>18946</v>
      </c>
      <c r="D278" t="s">
        <v>21</v>
      </c>
      <c r="E278" s="14" t="s">
        <v>6447</v>
      </c>
      <c r="F278" t="s">
        <v>4534</v>
      </c>
      <c r="G278" t="str">
        <f>Config!$B$4</f>
        <v>SCH/C_IEC.SchLib</v>
      </c>
      <c r="H278" t="s">
        <v>425</v>
      </c>
      <c r="I278" t="s">
        <v>461</v>
      </c>
      <c r="J278" t="s">
        <v>5956</v>
      </c>
      <c r="K278" s="3">
        <v>2.1999999999999999E-5</v>
      </c>
      <c r="L278" t="s">
        <v>18947</v>
      </c>
      <c r="M278" t="s">
        <v>477</v>
      </c>
      <c r="N278" t="s">
        <v>18949</v>
      </c>
      <c r="O278" t="s">
        <v>25</v>
      </c>
      <c r="P278" t="s">
        <v>18948</v>
      </c>
    </row>
  </sheetData>
  <phoneticPr fontId="2" type="noConversion"/>
  <conditionalFormatting sqref="G2:G1048576">
    <cfRule type="expression" dxfId="5" priority="1">
      <formula>AND(NOT(ISBLANK(G2)),NOT(_xlfn.ISFORMULA(G2)))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E83F5-F8B2-4AC2-B753-C8C2CC781885}">
  <dimension ref="A1:Y283"/>
  <sheetViews>
    <sheetView workbookViewId="0">
      <pane xSplit="2" ySplit="1" topLeftCell="S245" activePane="bottomRight" state="frozen"/>
      <selection pane="topRight" activeCell="C1" sqref="C1"/>
      <selection pane="bottomLeft" activeCell="A2" sqref="A2"/>
      <selection pane="bottomRight" activeCell="U278" sqref="U278"/>
    </sheetView>
  </sheetViews>
  <sheetFormatPr defaultColWidth="11.5703125" defaultRowHeight="15"/>
  <cols>
    <col min="1" max="1" width="28.42578125" bestFit="1" customWidth="1"/>
    <col min="2" max="2" width="19.28515625" bestFit="1" customWidth="1"/>
    <col min="3" max="3" width="48.5703125" customWidth="1"/>
    <col min="9" max="9" width="38.5703125" customWidth="1"/>
    <col min="10" max="10" width="19" bestFit="1" customWidth="1"/>
    <col min="11" max="11" width="11.5703125" style="46"/>
    <col min="14" max="14" width="28.42578125" bestFit="1" customWidth="1"/>
    <col min="16" max="16" width="30.5703125" bestFit="1" customWidth="1"/>
    <col min="17" max="17" width="15.5703125" bestFit="1" customWidth="1"/>
    <col min="18" max="18" width="28.42578125" bestFit="1" customWidth="1"/>
    <col min="20" max="20" width="23.28515625" bestFit="1" customWidth="1"/>
  </cols>
  <sheetData>
    <row r="1" spans="1:25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4593</v>
      </c>
      <c r="V1" s="1" t="s">
        <v>4594</v>
      </c>
      <c r="W1" s="1" t="s">
        <v>4595</v>
      </c>
      <c r="X1" s="1" t="s">
        <v>4596</v>
      </c>
      <c r="Y1" s="1" t="s">
        <v>4726</v>
      </c>
    </row>
    <row r="2" spans="1:25">
      <c r="A2" t="s">
        <v>4560</v>
      </c>
      <c r="B2" t="s">
        <v>4560</v>
      </c>
      <c r="C2" t="s">
        <v>4568</v>
      </c>
      <c r="D2" t="s">
        <v>21</v>
      </c>
      <c r="E2" t="s">
        <v>4455</v>
      </c>
      <c r="F2" t="s">
        <v>4581</v>
      </c>
      <c r="G2" t="str">
        <f>Config!$B$5</f>
        <v>SCH/L_ANSI.SchLib</v>
      </c>
      <c r="H2" t="s">
        <v>424</v>
      </c>
      <c r="I2" t="s">
        <v>6535</v>
      </c>
      <c r="J2" t="s">
        <v>4457</v>
      </c>
      <c r="K2" s="46">
        <v>4.7E-7</v>
      </c>
      <c r="L2" t="s">
        <v>4458</v>
      </c>
      <c r="M2" t="s">
        <v>4471</v>
      </c>
      <c r="N2" t="s">
        <v>4461</v>
      </c>
      <c r="O2" t="s">
        <v>25</v>
      </c>
      <c r="P2" t="s">
        <v>4462</v>
      </c>
      <c r="U2" t="s">
        <v>4475</v>
      </c>
      <c r="V2" t="s">
        <v>4472</v>
      </c>
      <c r="W2" t="s">
        <v>4559</v>
      </c>
      <c r="X2" t="s">
        <v>4476</v>
      </c>
      <c r="Y2" t="s">
        <v>4727</v>
      </c>
    </row>
    <row r="3" spans="1:25">
      <c r="A3" t="s">
        <v>4561</v>
      </c>
      <c r="B3" t="s">
        <v>4561</v>
      </c>
      <c r="C3" t="s">
        <v>4569</v>
      </c>
      <c r="D3" t="s">
        <v>21</v>
      </c>
      <c r="E3" t="s">
        <v>4455</v>
      </c>
      <c r="F3" t="s">
        <v>4582</v>
      </c>
      <c r="G3" t="str">
        <f>Config!$B$5</f>
        <v>SCH/L_ANSI.SchLib</v>
      </c>
      <c r="H3" t="s">
        <v>424</v>
      </c>
      <c r="I3" t="s">
        <v>6535</v>
      </c>
      <c r="J3" t="s">
        <v>4457</v>
      </c>
      <c r="K3" s="46">
        <v>6.7999999999999995E-7</v>
      </c>
      <c r="L3" t="s">
        <v>4458</v>
      </c>
      <c r="M3" t="s">
        <v>4471</v>
      </c>
      <c r="N3" t="s">
        <v>4464</v>
      </c>
      <c r="O3" t="s">
        <v>25</v>
      </c>
      <c r="P3" t="s">
        <v>4463</v>
      </c>
      <c r="U3" t="s">
        <v>4479</v>
      </c>
      <c r="V3" t="s">
        <v>4480</v>
      </c>
      <c r="W3" t="s">
        <v>4559</v>
      </c>
      <c r="X3" t="s">
        <v>4481</v>
      </c>
      <c r="Y3" t="s">
        <v>4727</v>
      </c>
    </row>
    <row r="4" spans="1:25">
      <c r="A4" t="s">
        <v>4562</v>
      </c>
      <c r="B4" t="s">
        <v>4562</v>
      </c>
      <c r="C4" t="s">
        <v>4570</v>
      </c>
      <c r="D4" t="s">
        <v>21</v>
      </c>
      <c r="E4" t="s">
        <v>4455</v>
      </c>
      <c r="F4" t="s">
        <v>4583</v>
      </c>
      <c r="G4" t="str">
        <f>Config!$B$5</f>
        <v>SCH/L_ANSI.SchLib</v>
      </c>
      <c r="H4" t="s">
        <v>424</v>
      </c>
      <c r="I4" t="s">
        <v>6535</v>
      </c>
      <c r="J4" t="s">
        <v>4457</v>
      </c>
      <c r="K4" s="46">
        <v>9.9999999999999995E-7</v>
      </c>
      <c r="L4" t="s">
        <v>4458</v>
      </c>
      <c r="M4" t="s">
        <v>4471</v>
      </c>
      <c r="N4" t="s">
        <v>4466</v>
      </c>
      <c r="O4" t="s">
        <v>25</v>
      </c>
      <c r="P4" t="s">
        <v>4465</v>
      </c>
      <c r="U4" t="s">
        <v>4475</v>
      </c>
      <c r="V4" t="s">
        <v>4482</v>
      </c>
      <c r="W4" t="s">
        <v>4559</v>
      </c>
      <c r="X4" t="s">
        <v>4483</v>
      </c>
      <c r="Y4" t="s">
        <v>4727</v>
      </c>
    </row>
    <row r="5" spans="1:25">
      <c r="A5" t="s">
        <v>10643</v>
      </c>
      <c r="B5" t="s">
        <v>10643</v>
      </c>
      <c r="C5" t="s">
        <v>4571</v>
      </c>
      <c r="D5" t="s">
        <v>21</v>
      </c>
      <c r="E5" t="s">
        <v>4455</v>
      </c>
      <c r="F5" t="s">
        <v>4584</v>
      </c>
      <c r="G5" t="str">
        <f>Config!$B$5</f>
        <v>SCH/L_ANSI.SchLib</v>
      </c>
      <c r="H5" t="s">
        <v>424</v>
      </c>
      <c r="I5" t="s">
        <v>6535</v>
      </c>
      <c r="J5" t="s">
        <v>4457</v>
      </c>
      <c r="K5" s="46">
        <v>1.5E-6</v>
      </c>
      <c r="L5" t="s">
        <v>4458</v>
      </c>
      <c r="M5" t="s">
        <v>4471</v>
      </c>
      <c r="N5" t="s">
        <v>4459</v>
      </c>
      <c r="O5" t="s">
        <v>25</v>
      </c>
      <c r="P5" t="s">
        <v>4460</v>
      </c>
      <c r="U5" t="s">
        <v>4475</v>
      </c>
      <c r="V5" t="s">
        <v>4484</v>
      </c>
      <c r="W5" t="s">
        <v>4559</v>
      </c>
      <c r="X5" t="s">
        <v>4485</v>
      </c>
      <c r="Y5" t="s">
        <v>4727</v>
      </c>
    </row>
    <row r="6" spans="1:25">
      <c r="A6" t="s">
        <v>10644</v>
      </c>
      <c r="B6" t="s">
        <v>10644</v>
      </c>
      <c r="C6" t="s">
        <v>4572</v>
      </c>
      <c r="D6" t="s">
        <v>21</v>
      </c>
      <c r="E6" t="s">
        <v>4455</v>
      </c>
      <c r="F6" t="s">
        <v>4585</v>
      </c>
      <c r="G6" t="str">
        <f>Config!$B$5</f>
        <v>SCH/L_ANSI.SchLib</v>
      </c>
      <c r="H6" t="s">
        <v>424</v>
      </c>
      <c r="I6" t="s">
        <v>6535</v>
      </c>
      <c r="J6" t="s">
        <v>4457</v>
      </c>
      <c r="K6" s="46">
        <v>2.2000000000000001E-6</v>
      </c>
      <c r="L6" t="s">
        <v>4458</v>
      </c>
      <c r="M6" t="s">
        <v>4471</v>
      </c>
      <c r="N6" t="s">
        <v>4467</v>
      </c>
      <c r="O6" t="s">
        <v>25</v>
      </c>
      <c r="P6" t="s">
        <v>4468</v>
      </c>
      <c r="U6" t="s">
        <v>4475</v>
      </c>
      <c r="V6" t="s">
        <v>4473</v>
      </c>
      <c r="W6" t="s">
        <v>4559</v>
      </c>
      <c r="X6" t="s">
        <v>4478</v>
      </c>
    </row>
    <row r="7" spans="1:25">
      <c r="A7" t="s">
        <v>10645</v>
      </c>
      <c r="B7" t="s">
        <v>10645</v>
      </c>
      <c r="C7" t="s">
        <v>4573</v>
      </c>
      <c r="D7" t="s">
        <v>21</v>
      </c>
      <c r="E7" t="s">
        <v>4455</v>
      </c>
      <c r="F7" t="s">
        <v>4588</v>
      </c>
      <c r="G7" t="str">
        <f>Config!$B$5</f>
        <v>SCH/L_ANSI.SchLib</v>
      </c>
      <c r="H7" t="s">
        <v>424</v>
      </c>
      <c r="I7" t="s">
        <v>6535</v>
      </c>
      <c r="J7" t="s">
        <v>4457</v>
      </c>
      <c r="K7" s="46">
        <v>4.6999999999999999E-6</v>
      </c>
      <c r="L7" t="s">
        <v>4458</v>
      </c>
      <c r="M7" t="s">
        <v>4471</v>
      </c>
      <c r="N7" t="s">
        <v>4469</v>
      </c>
      <c r="O7" t="s">
        <v>25</v>
      </c>
      <c r="P7" t="s">
        <v>4470</v>
      </c>
      <c r="U7" t="s">
        <v>4475</v>
      </c>
      <c r="V7" t="s">
        <v>4474</v>
      </c>
      <c r="W7" t="s">
        <v>4559</v>
      </c>
      <c r="X7" t="s">
        <v>4477</v>
      </c>
    </row>
    <row r="8" spans="1:25">
      <c r="A8" t="s">
        <v>4563</v>
      </c>
      <c r="B8" t="s">
        <v>4563</v>
      </c>
      <c r="C8" t="s">
        <v>4574</v>
      </c>
      <c r="D8" t="s">
        <v>21</v>
      </c>
      <c r="E8" t="s">
        <v>4516</v>
      </c>
      <c r="F8" t="s">
        <v>4587</v>
      </c>
      <c r="G8" t="str">
        <f>Config!$B$5</f>
        <v>SCH/L_ANSI.SchLib</v>
      </c>
      <c r="H8" t="s">
        <v>424</v>
      </c>
      <c r="I8" t="s">
        <v>6535</v>
      </c>
      <c r="J8" t="s">
        <v>4493</v>
      </c>
      <c r="K8" s="46">
        <v>2.3999999999999998E-7</v>
      </c>
      <c r="L8" t="s">
        <v>4508</v>
      </c>
      <c r="M8" t="s">
        <v>4471</v>
      </c>
      <c r="N8" t="s">
        <v>4495</v>
      </c>
      <c r="O8" t="s">
        <v>25</v>
      </c>
      <c r="P8" t="s">
        <v>4494</v>
      </c>
      <c r="U8" t="s">
        <v>4475</v>
      </c>
      <c r="V8" t="s">
        <v>4486</v>
      </c>
      <c r="W8" t="s">
        <v>4559</v>
      </c>
      <c r="X8" t="s">
        <v>4509</v>
      </c>
      <c r="Y8" t="s">
        <v>4727</v>
      </c>
    </row>
    <row r="9" spans="1:25">
      <c r="A9" t="s">
        <v>4564</v>
      </c>
      <c r="B9" t="s">
        <v>4564</v>
      </c>
      <c r="C9" t="s">
        <v>4575</v>
      </c>
      <c r="D9" t="s">
        <v>21</v>
      </c>
      <c r="E9" t="s">
        <v>4516</v>
      </c>
      <c r="F9" t="s">
        <v>4586</v>
      </c>
      <c r="G9" t="str">
        <f>Config!$B$5</f>
        <v>SCH/L_ANSI.SchLib</v>
      </c>
      <c r="H9" t="s">
        <v>424</v>
      </c>
      <c r="I9" t="s">
        <v>6535</v>
      </c>
      <c r="J9" t="s">
        <v>4493</v>
      </c>
      <c r="K9" s="46">
        <v>3.3000000000000002E-7</v>
      </c>
      <c r="L9" t="s">
        <v>4508</v>
      </c>
      <c r="M9" t="s">
        <v>4471</v>
      </c>
      <c r="N9" t="s">
        <v>4496</v>
      </c>
      <c r="O9" t="s">
        <v>25</v>
      </c>
      <c r="P9" t="s">
        <v>4502</v>
      </c>
      <c r="U9" t="s">
        <v>4475</v>
      </c>
      <c r="V9" t="s">
        <v>4487</v>
      </c>
      <c r="W9" t="s">
        <v>4559</v>
      </c>
      <c r="X9" t="s">
        <v>4512</v>
      </c>
      <c r="Y9" t="s">
        <v>4727</v>
      </c>
    </row>
    <row r="10" spans="1:25">
      <c r="A10" t="s">
        <v>4565</v>
      </c>
      <c r="B10" t="s">
        <v>4565</v>
      </c>
      <c r="C10" t="s">
        <v>4576</v>
      </c>
      <c r="D10" t="s">
        <v>21</v>
      </c>
      <c r="E10" t="s">
        <v>4516</v>
      </c>
      <c r="F10" t="s">
        <v>4581</v>
      </c>
      <c r="G10" t="str">
        <f>Config!$B$5</f>
        <v>SCH/L_ANSI.SchLib</v>
      </c>
      <c r="H10" t="s">
        <v>424</v>
      </c>
      <c r="I10" t="s">
        <v>6535</v>
      </c>
      <c r="J10" t="s">
        <v>4493</v>
      </c>
      <c r="K10" s="46">
        <v>4.7E-7</v>
      </c>
      <c r="L10" t="s">
        <v>4508</v>
      </c>
      <c r="M10" t="s">
        <v>4471</v>
      </c>
      <c r="N10" t="s">
        <v>4497</v>
      </c>
      <c r="O10" t="s">
        <v>25</v>
      </c>
      <c r="P10" t="s">
        <v>4503</v>
      </c>
      <c r="U10" t="s">
        <v>4475</v>
      </c>
      <c r="V10" t="s">
        <v>4488</v>
      </c>
      <c r="W10" t="s">
        <v>4559</v>
      </c>
      <c r="X10" t="s">
        <v>4513</v>
      </c>
      <c r="Y10" t="s">
        <v>4727</v>
      </c>
    </row>
    <row r="11" spans="1:25">
      <c r="A11" t="s">
        <v>4566</v>
      </c>
      <c r="B11" t="s">
        <v>4566</v>
      </c>
      <c r="C11" t="s">
        <v>4577</v>
      </c>
      <c r="D11" t="s">
        <v>21</v>
      </c>
      <c r="E11" t="s">
        <v>4516</v>
      </c>
      <c r="F11" t="s">
        <v>4582</v>
      </c>
      <c r="G11" t="str">
        <f>Config!$B$5</f>
        <v>SCH/L_ANSI.SchLib</v>
      </c>
      <c r="H11" t="s">
        <v>424</v>
      </c>
      <c r="I11" t="s">
        <v>6535</v>
      </c>
      <c r="J11" t="s">
        <v>4493</v>
      </c>
      <c r="K11" s="46">
        <v>6.7999999999999995E-7</v>
      </c>
      <c r="L11" t="s">
        <v>4508</v>
      </c>
      <c r="M11" t="s">
        <v>4471</v>
      </c>
      <c r="N11" t="s">
        <v>4498</v>
      </c>
      <c r="O11" t="s">
        <v>25</v>
      </c>
      <c r="P11" t="s">
        <v>4504</v>
      </c>
      <c r="U11" t="s">
        <v>4475</v>
      </c>
      <c r="V11" t="s">
        <v>4489</v>
      </c>
      <c r="W11" t="s">
        <v>4559</v>
      </c>
      <c r="X11" t="s">
        <v>4514</v>
      </c>
      <c r="Y11" t="s">
        <v>4727</v>
      </c>
    </row>
    <row r="12" spans="1:25">
      <c r="A12" t="s">
        <v>4567</v>
      </c>
      <c r="B12" t="s">
        <v>4567</v>
      </c>
      <c r="C12" t="s">
        <v>4578</v>
      </c>
      <c r="D12" t="s">
        <v>21</v>
      </c>
      <c r="E12" t="s">
        <v>4516</v>
      </c>
      <c r="F12" t="s">
        <v>4583</v>
      </c>
      <c r="G12" t="str">
        <f>Config!$B$5</f>
        <v>SCH/L_ANSI.SchLib</v>
      </c>
      <c r="H12" t="s">
        <v>424</v>
      </c>
      <c r="I12" t="s">
        <v>6535</v>
      </c>
      <c r="J12" t="s">
        <v>4493</v>
      </c>
      <c r="K12" s="46">
        <v>9.9999999999999995E-7</v>
      </c>
      <c r="L12" t="s">
        <v>4508</v>
      </c>
      <c r="M12" t="s">
        <v>4471</v>
      </c>
      <c r="N12" t="s">
        <v>4499</v>
      </c>
      <c r="O12" t="s">
        <v>25</v>
      </c>
      <c r="P12" t="s">
        <v>4505</v>
      </c>
      <c r="U12" t="s">
        <v>4475</v>
      </c>
      <c r="V12" t="s">
        <v>4490</v>
      </c>
      <c r="W12" t="s">
        <v>4559</v>
      </c>
      <c r="X12" t="s">
        <v>4515</v>
      </c>
      <c r="Y12" t="s">
        <v>4727</v>
      </c>
    </row>
    <row r="13" spans="1:25">
      <c r="A13" t="s">
        <v>10646</v>
      </c>
      <c r="B13" t="s">
        <v>10646</v>
      </c>
      <c r="C13" t="s">
        <v>4579</v>
      </c>
      <c r="D13" t="s">
        <v>21</v>
      </c>
      <c r="E13" t="s">
        <v>4516</v>
      </c>
      <c r="F13" t="s">
        <v>4584</v>
      </c>
      <c r="G13" t="str">
        <f>Config!$B$5</f>
        <v>SCH/L_ANSI.SchLib</v>
      </c>
      <c r="H13" t="s">
        <v>424</v>
      </c>
      <c r="I13" t="s">
        <v>6535</v>
      </c>
      <c r="J13" t="s">
        <v>4493</v>
      </c>
      <c r="K13" s="46">
        <v>1.5E-6</v>
      </c>
      <c r="L13" t="s">
        <v>4508</v>
      </c>
      <c r="M13" t="s">
        <v>4471</v>
      </c>
      <c r="N13" t="s">
        <v>4500</v>
      </c>
      <c r="O13" t="s">
        <v>25</v>
      </c>
      <c r="P13" t="s">
        <v>4506</v>
      </c>
      <c r="U13" t="s">
        <v>4475</v>
      </c>
      <c r="V13" t="s">
        <v>4491</v>
      </c>
      <c r="W13" t="s">
        <v>4559</v>
      </c>
      <c r="X13" t="s">
        <v>4510</v>
      </c>
    </row>
    <row r="14" spans="1:25">
      <c r="A14" t="s">
        <v>10647</v>
      </c>
      <c r="B14" t="s">
        <v>10647</v>
      </c>
      <c r="C14" t="s">
        <v>4580</v>
      </c>
      <c r="D14" t="s">
        <v>21</v>
      </c>
      <c r="E14" t="s">
        <v>4516</v>
      </c>
      <c r="F14" t="s">
        <v>4585</v>
      </c>
      <c r="G14" t="str">
        <f>Config!$B$5</f>
        <v>SCH/L_ANSI.SchLib</v>
      </c>
      <c r="H14" t="s">
        <v>424</v>
      </c>
      <c r="I14" t="s">
        <v>6535</v>
      </c>
      <c r="J14" t="s">
        <v>4493</v>
      </c>
      <c r="K14" s="46">
        <v>2.2000000000000001E-6</v>
      </c>
      <c r="L14" t="s">
        <v>4508</v>
      </c>
      <c r="M14" t="s">
        <v>4471</v>
      </c>
      <c r="N14" t="s">
        <v>4501</v>
      </c>
      <c r="O14" t="s">
        <v>25</v>
      </c>
      <c r="P14" t="s">
        <v>4507</v>
      </c>
      <c r="U14" t="s">
        <v>4475</v>
      </c>
      <c r="V14" t="s">
        <v>4492</v>
      </c>
      <c r="W14" t="s">
        <v>4559</v>
      </c>
      <c r="X14" t="s">
        <v>4511</v>
      </c>
      <c r="Y14" t="s">
        <v>4727</v>
      </c>
    </row>
    <row r="15" spans="1:25">
      <c r="A15" t="s">
        <v>6297</v>
      </c>
      <c r="B15" t="s">
        <v>6297</v>
      </c>
      <c r="C15" t="s">
        <v>6307</v>
      </c>
      <c r="D15" t="s">
        <v>21</v>
      </c>
      <c r="E15">
        <v>603</v>
      </c>
      <c r="F15" t="s">
        <v>163</v>
      </c>
      <c r="G15" t="str">
        <f>Config!$B$5</f>
        <v>SCH/L_ANSI.SchLib</v>
      </c>
      <c r="H15" t="s">
        <v>6298</v>
      </c>
      <c r="I15" t="s">
        <v>461</v>
      </c>
      <c r="J15" t="s">
        <v>6299</v>
      </c>
      <c r="K15" s="46">
        <v>1000</v>
      </c>
      <c r="L15" t="s">
        <v>6300</v>
      </c>
      <c r="M15" t="s">
        <v>6301</v>
      </c>
      <c r="N15" t="s">
        <v>6302</v>
      </c>
      <c r="O15" t="s">
        <v>25</v>
      </c>
      <c r="P15" t="s">
        <v>6303</v>
      </c>
      <c r="U15" t="s">
        <v>6306</v>
      </c>
      <c r="V15" t="s">
        <v>6305</v>
      </c>
      <c r="W15" t="s">
        <v>4559</v>
      </c>
      <c r="X15" t="s">
        <v>6304</v>
      </c>
    </row>
    <row r="16" spans="1:25">
      <c r="A16" t="s">
        <v>6308</v>
      </c>
      <c r="B16" t="s">
        <v>6308</v>
      </c>
      <c r="C16" t="s">
        <v>6312</v>
      </c>
      <c r="D16" t="s">
        <v>21</v>
      </c>
      <c r="E16">
        <v>1812</v>
      </c>
      <c r="F16" t="s">
        <v>6309</v>
      </c>
      <c r="G16" t="str">
        <f>Config!$B$5</f>
        <v>SCH/L_ANSI.SchLib</v>
      </c>
      <c r="H16" t="s">
        <v>6310</v>
      </c>
      <c r="I16" t="s">
        <v>6535</v>
      </c>
      <c r="J16" t="s">
        <v>6536</v>
      </c>
      <c r="K16" s="46">
        <v>5.1E-5</v>
      </c>
      <c r="L16" t="s">
        <v>6311</v>
      </c>
      <c r="M16" t="s">
        <v>6315</v>
      </c>
      <c r="N16" t="s">
        <v>6314</v>
      </c>
      <c r="O16" t="s">
        <v>25</v>
      </c>
      <c r="P16" t="s">
        <v>6313</v>
      </c>
      <c r="U16" t="s">
        <v>6306</v>
      </c>
      <c r="V16" t="s">
        <v>6317</v>
      </c>
      <c r="W16" t="s">
        <v>4559</v>
      </c>
      <c r="X16" t="s">
        <v>6316</v>
      </c>
    </row>
    <row r="17" spans="1:24">
      <c r="A17" t="s">
        <v>6381</v>
      </c>
      <c r="B17" t="s">
        <v>6381</v>
      </c>
      <c r="C17" t="s">
        <v>6382</v>
      </c>
      <c r="D17" t="s">
        <v>6383</v>
      </c>
      <c r="E17" t="s">
        <v>6388</v>
      </c>
      <c r="F17" t="s">
        <v>6387</v>
      </c>
      <c r="G17" t="str">
        <f>Config!$B$5</f>
        <v>SCH/L_ANSI.SchLib</v>
      </c>
      <c r="H17" t="s">
        <v>424</v>
      </c>
      <c r="I17" t="s">
        <v>6535</v>
      </c>
      <c r="J17" t="s">
        <v>6386</v>
      </c>
      <c r="K17" s="46">
        <v>2.2000000000000001E-4</v>
      </c>
      <c r="L17" t="s">
        <v>6389</v>
      </c>
      <c r="M17" t="s">
        <v>6383</v>
      </c>
      <c r="N17" t="s">
        <v>6384</v>
      </c>
      <c r="O17" t="s">
        <v>25</v>
      </c>
      <c r="P17" t="s">
        <v>6385</v>
      </c>
      <c r="U17" t="s">
        <v>6392</v>
      </c>
      <c r="V17" t="s">
        <v>6391</v>
      </c>
      <c r="W17" t="s">
        <v>4559</v>
      </c>
      <c r="X17" t="s">
        <v>6390</v>
      </c>
    </row>
    <row r="18" spans="1:24">
      <c r="A18" t="s">
        <v>10648</v>
      </c>
      <c r="B18" t="s">
        <v>10648</v>
      </c>
      <c r="C18" t="s">
        <v>6393</v>
      </c>
      <c r="D18" t="s">
        <v>6383</v>
      </c>
      <c r="E18" t="s">
        <v>6394</v>
      </c>
      <c r="F18" t="s">
        <v>4585</v>
      </c>
      <c r="G18" t="str">
        <f>Config!$B$5</f>
        <v>SCH/L_ANSI.SchLib</v>
      </c>
      <c r="H18" t="s">
        <v>424</v>
      </c>
      <c r="I18" t="s">
        <v>6535</v>
      </c>
      <c r="J18" t="s">
        <v>6395</v>
      </c>
      <c r="K18" s="46">
        <v>2.2000000000000001E-6</v>
      </c>
      <c r="L18" t="s">
        <v>6396</v>
      </c>
      <c r="M18" t="s">
        <v>6383</v>
      </c>
      <c r="N18" t="s">
        <v>6397</v>
      </c>
      <c r="O18" t="s">
        <v>25</v>
      </c>
      <c r="P18" t="s">
        <v>6398</v>
      </c>
      <c r="U18" t="s">
        <v>6400</v>
      </c>
      <c r="V18" t="s">
        <v>6399</v>
      </c>
      <c r="W18" t="s">
        <v>4559</v>
      </c>
      <c r="X18" t="s">
        <v>6401</v>
      </c>
    </row>
    <row r="19" spans="1:24">
      <c r="A19" t="s">
        <v>6369</v>
      </c>
      <c r="B19" t="s">
        <v>6369</v>
      </c>
      <c r="C19" t="s">
        <v>6370</v>
      </c>
      <c r="D19" t="s">
        <v>6371</v>
      </c>
      <c r="G19" t="str">
        <f>Config!$B$5</f>
        <v>SCH/L_ANSI.SchLib</v>
      </c>
      <c r="H19" t="s">
        <v>6374</v>
      </c>
      <c r="I19" t="s">
        <v>6535</v>
      </c>
      <c r="J19" t="s">
        <v>6373</v>
      </c>
      <c r="L19" t="s">
        <v>6430</v>
      </c>
      <c r="M19" t="s">
        <v>6371</v>
      </c>
      <c r="N19" t="s">
        <v>6369</v>
      </c>
      <c r="O19" t="s">
        <v>25</v>
      </c>
      <c r="P19" s="15" t="s">
        <v>6372</v>
      </c>
      <c r="T19" s="5"/>
      <c r="U19" t="s">
        <v>6368</v>
      </c>
      <c r="V19" s="5" t="s">
        <v>6367</v>
      </c>
      <c r="W19" t="s">
        <v>4559</v>
      </c>
      <c r="X19" s="5" t="s">
        <v>6366</v>
      </c>
    </row>
    <row r="20" spans="1:24">
      <c r="A20" t="s">
        <v>6682</v>
      </c>
      <c r="B20" t="s">
        <v>6682</v>
      </c>
      <c r="C20" t="s">
        <v>6683</v>
      </c>
      <c r="D20" t="s">
        <v>6684</v>
      </c>
      <c r="G20" t="str">
        <f>Config!$B$5</f>
        <v>SCH/L_ANSI.SchLib</v>
      </c>
      <c r="H20" t="s">
        <v>6685</v>
      </c>
      <c r="I20" t="s">
        <v>6535</v>
      </c>
      <c r="J20" t="s">
        <v>6786</v>
      </c>
      <c r="L20" t="s">
        <v>6686</v>
      </c>
      <c r="M20" t="s">
        <v>6684</v>
      </c>
      <c r="N20" t="s">
        <v>6682</v>
      </c>
      <c r="O20" t="s">
        <v>25</v>
      </c>
      <c r="P20" t="s">
        <v>6687</v>
      </c>
      <c r="U20" t="s">
        <v>6693</v>
      </c>
      <c r="V20" t="s">
        <v>6695</v>
      </c>
      <c r="W20" t="s">
        <v>4559</v>
      </c>
      <c r="X20" s="5" t="s">
        <v>6694</v>
      </c>
    </row>
    <row r="21" spans="1:24">
      <c r="A21" t="s">
        <v>6690</v>
      </c>
      <c r="B21" t="s">
        <v>6690</v>
      </c>
      <c r="C21" t="s">
        <v>6683</v>
      </c>
      <c r="D21" t="s">
        <v>6684</v>
      </c>
      <c r="G21" t="str">
        <f>Config!$B$5</f>
        <v>SCH/L_ANSI.SchLib</v>
      </c>
      <c r="H21" t="s">
        <v>6688</v>
      </c>
      <c r="I21" t="s">
        <v>6535</v>
      </c>
      <c r="J21" t="s">
        <v>6787</v>
      </c>
      <c r="L21" t="s">
        <v>6686</v>
      </c>
      <c r="M21" t="s">
        <v>6684</v>
      </c>
      <c r="N21" t="s">
        <v>6690</v>
      </c>
      <c r="O21" t="s">
        <v>25</v>
      </c>
      <c r="P21" t="s">
        <v>6689</v>
      </c>
      <c r="U21" t="s">
        <v>6693</v>
      </c>
      <c r="V21" t="s">
        <v>6692</v>
      </c>
      <c r="W21" t="s">
        <v>4559</v>
      </c>
      <c r="X21" s="5" t="s">
        <v>6691</v>
      </c>
    </row>
    <row r="22" spans="1:24">
      <c r="A22" t="s">
        <v>6717</v>
      </c>
      <c r="B22" t="s">
        <v>6717</v>
      </c>
      <c r="C22" t="s">
        <v>6716</v>
      </c>
      <c r="D22" t="s">
        <v>21</v>
      </c>
      <c r="E22">
        <v>1510</v>
      </c>
      <c r="F22" t="s">
        <v>6718</v>
      </c>
      <c r="G22" t="str">
        <f>Config!$B$5</f>
        <v>SCH/L_ANSI.SchLib</v>
      </c>
      <c r="H22" t="s">
        <v>424</v>
      </c>
      <c r="I22" t="s">
        <v>6535</v>
      </c>
      <c r="J22" t="s">
        <v>6719</v>
      </c>
      <c r="K22" s="46">
        <v>1.5E-5</v>
      </c>
      <c r="L22" s="28" t="s">
        <v>6720</v>
      </c>
      <c r="M22" t="s">
        <v>6383</v>
      </c>
      <c r="N22" t="s">
        <v>6721</v>
      </c>
      <c r="O22" t="s">
        <v>25</v>
      </c>
      <c r="P22" t="s">
        <v>6721</v>
      </c>
      <c r="U22" t="s">
        <v>6722</v>
      </c>
      <c r="V22" t="s">
        <v>6723</v>
      </c>
      <c r="W22" t="s">
        <v>4559</v>
      </c>
      <c r="X22" t="s">
        <v>6724</v>
      </c>
    </row>
    <row r="23" spans="1:24">
      <c r="A23" t="s">
        <v>6789</v>
      </c>
      <c r="B23" t="s">
        <v>6789</v>
      </c>
      <c r="C23" t="s">
        <v>6788</v>
      </c>
      <c r="D23" t="s">
        <v>21</v>
      </c>
      <c r="E23">
        <v>6030</v>
      </c>
      <c r="F23" t="s">
        <v>6778</v>
      </c>
      <c r="G23" t="str">
        <f>Config!$B$5</f>
        <v>SCH/L_ANSI.SchLib</v>
      </c>
      <c r="H23" t="s">
        <v>424</v>
      </c>
      <c r="I23" t="s">
        <v>6535</v>
      </c>
      <c r="J23" t="s">
        <v>6790</v>
      </c>
      <c r="K23" s="46">
        <v>1.0000000000000001E-5</v>
      </c>
      <c r="L23" t="s">
        <v>6793</v>
      </c>
      <c r="M23" t="s">
        <v>6371</v>
      </c>
      <c r="N23" t="s">
        <v>6792</v>
      </c>
      <c r="O23" t="s">
        <v>25</v>
      </c>
      <c r="P23" t="s">
        <v>6791</v>
      </c>
      <c r="U23" t="s">
        <v>6795</v>
      </c>
      <c r="V23" s="5" t="s">
        <v>6792</v>
      </c>
      <c r="W23" t="s">
        <v>4559</v>
      </c>
      <c r="X23" s="5" t="s">
        <v>6794</v>
      </c>
    </row>
    <row r="24" spans="1:24">
      <c r="A24" t="s">
        <v>6836</v>
      </c>
      <c r="B24" t="s">
        <v>6836</v>
      </c>
      <c r="C24" t="s">
        <v>6847</v>
      </c>
      <c r="D24" t="s">
        <v>21</v>
      </c>
      <c r="E24">
        <v>6030</v>
      </c>
      <c r="F24" t="s">
        <v>6844</v>
      </c>
      <c r="G24" t="str">
        <f>Config!$B$5</f>
        <v>SCH/L_ANSI.SchLib</v>
      </c>
      <c r="H24" t="s">
        <v>424</v>
      </c>
      <c r="I24" t="s">
        <v>6535</v>
      </c>
      <c r="J24" t="s">
        <v>6790</v>
      </c>
      <c r="K24" s="46">
        <v>2.2000000000000001E-7</v>
      </c>
      <c r="L24" s="26" t="s">
        <v>6859</v>
      </c>
      <c r="M24" t="s">
        <v>6371</v>
      </c>
      <c r="N24" t="s">
        <v>6868</v>
      </c>
      <c r="O24" t="s">
        <v>25</v>
      </c>
      <c r="P24" t="s">
        <v>6877</v>
      </c>
    </row>
    <row r="25" spans="1:24">
      <c r="A25" t="s">
        <v>6837</v>
      </c>
      <c r="B25" t="s">
        <v>6837</v>
      </c>
      <c r="C25" t="s">
        <v>6848</v>
      </c>
      <c r="D25" t="s">
        <v>21</v>
      </c>
      <c r="E25">
        <v>6030</v>
      </c>
      <c r="F25" t="s">
        <v>4586</v>
      </c>
      <c r="G25" t="str">
        <f>Config!$B$5</f>
        <v>SCH/L_ANSI.SchLib</v>
      </c>
      <c r="H25" t="s">
        <v>424</v>
      </c>
      <c r="I25" t="s">
        <v>6535</v>
      </c>
      <c r="J25" t="s">
        <v>6790</v>
      </c>
      <c r="K25" s="46">
        <v>3.3000000000000002E-7</v>
      </c>
      <c r="L25" t="s">
        <v>6860</v>
      </c>
      <c r="M25" t="s">
        <v>6371</v>
      </c>
      <c r="N25" t="s">
        <v>6869</v>
      </c>
      <c r="O25" t="s">
        <v>25</v>
      </c>
      <c r="P25" t="s">
        <v>6878</v>
      </c>
    </row>
    <row r="26" spans="1:24">
      <c r="A26" t="s">
        <v>6838</v>
      </c>
      <c r="B26" t="s">
        <v>6838</v>
      </c>
      <c r="C26" t="s">
        <v>6849</v>
      </c>
      <c r="D26" t="s">
        <v>21</v>
      </c>
      <c r="E26">
        <v>6030</v>
      </c>
      <c r="F26" t="s">
        <v>4581</v>
      </c>
      <c r="G26" t="str">
        <f>Config!$B$5</f>
        <v>SCH/L_ANSI.SchLib</v>
      </c>
      <c r="H26" t="s">
        <v>424</v>
      </c>
      <c r="I26" t="s">
        <v>6535</v>
      </c>
      <c r="J26" t="s">
        <v>6790</v>
      </c>
      <c r="K26" s="46">
        <v>4.7E-7</v>
      </c>
      <c r="L26" t="s">
        <v>6861</v>
      </c>
      <c r="M26" t="s">
        <v>6371</v>
      </c>
      <c r="N26" t="s">
        <v>6870</v>
      </c>
      <c r="O26" t="s">
        <v>25</v>
      </c>
      <c r="P26" t="s">
        <v>6885</v>
      </c>
    </row>
    <row r="27" spans="1:24">
      <c r="A27" t="s">
        <v>6843</v>
      </c>
      <c r="B27" t="s">
        <v>6843</v>
      </c>
      <c r="C27" t="s">
        <v>6850</v>
      </c>
      <c r="D27" t="s">
        <v>21</v>
      </c>
      <c r="E27">
        <v>6030</v>
      </c>
      <c r="F27" t="s">
        <v>4582</v>
      </c>
      <c r="G27" t="str">
        <f>Config!$B$5</f>
        <v>SCH/L_ANSI.SchLib</v>
      </c>
      <c r="H27" t="s">
        <v>424</v>
      </c>
      <c r="I27" t="s">
        <v>6535</v>
      </c>
      <c r="J27" t="s">
        <v>6790</v>
      </c>
      <c r="K27" s="46">
        <v>6.7999999999999995E-7</v>
      </c>
      <c r="L27" t="s">
        <v>6862</v>
      </c>
      <c r="M27" t="s">
        <v>6371</v>
      </c>
      <c r="N27" t="s">
        <v>6871</v>
      </c>
      <c r="O27" t="s">
        <v>25</v>
      </c>
      <c r="P27" t="s">
        <v>6886</v>
      </c>
    </row>
    <row r="28" spans="1:24">
      <c r="A28" t="s">
        <v>6839</v>
      </c>
      <c r="B28" t="s">
        <v>6839</v>
      </c>
      <c r="C28" t="s">
        <v>6851</v>
      </c>
      <c r="D28" t="s">
        <v>21</v>
      </c>
      <c r="E28">
        <v>6030</v>
      </c>
      <c r="F28" t="s">
        <v>4583</v>
      </c>
      <c r="G28" t="str">
        <f>Config!$B$5</f>
        <v>SCH/L_ANSI.SchLib</v>
      </c>
      <c r="H28" t="s">
        <v>424</v>
      </c>
      <c r="I28" t="s">
        <v>6535</v>
      </c>
      <c r="J28" t="s">
        <v>6790</v>
      </c>
      <c r="K28" s="46">
        <v>9.9999999999999995E-7</v>
      </c>
      <c r="L28" t="s">
        <v>6863</v>
      </c>
      <c r="M28" t="s">
        <v>6371</v>
      </c>
      <c r="N28" t="s">
        <v>6872</v>
      </c>
      <c r="O28" t="s">
        <v>25</v>
      </c>
      <c r="P28" t="s">
        <v>6887</v>
      </c>
    </row>
    <row r="29" spans="1:24">
      <c r="A29" t="s">
        <v>10649</v>
      </c>
      <c r="B29" t="s">
        <v>10649</v>
      </c>
      <c r="C29" t="s">
        <v>6852</v>
      </c>
      <c r="D29" t="s">
        <v>21</v>
      </c>
      <c r="E29">
        <v>6030</v>
      </c>
      <c r="F29" t="s">
        <v>4584</v>
      </c>
      <c r="G29" t="str">
        <f>Config!$B$5</f>
        <v>SCH/L_ANSI.SchLib</v>
      </c>
      <c r="H29" t="s">
        <v>424</v>
      </c>
      <c r="I29" t="s">
        <v>6535</v>
      </c>
      <c r="J29" t="s">
        <v>6790</v>
      </c>
      <c r="K29" s="46">
        <v>1.5E-6</v>
      </c>
      <c r="L29" t="s">
        <v>6864</v>
      </c>
      <c r="M29" t="s">
        <v>6371</v>
      </c>
      <c r="N29" t="s">
        <v>6873</v>
      </c>
      <c r="O29" t="s">
        <v>25</v>
      </c>
      <c r="P29" t="s">
        <v>6888</v>
      </c>
    </row>
    <row r="30" spans="1:24">
      <c r="A30" t="s">
        <v>10650</v>
      </c>
      <c r="B30" t="s">
        <v>10650</v>
      </c>
      <c r="C30" t="s">
        <v>6853</v>
      </c>
      <c r="D30" t="s">
        <v>21</v>
      </c>
      <c r="E30">
        <v>6030</v>
      </c>
      <c r="F30" t="s">
        <v>4585</v>
      </c>
      <c r="G30" t="str">
        <f>Config!$B$5</f>
        <v>SCH/L_ANSI.SchLib</v>
      </c>
      <c r="H30" t="s">
        <v>424</v>
      </c>
      <c r="I30" t="s">
        <v>6535</v>
      </c>
      <c r="J30" t="s">
        <v>6790</v>
      </c>
      <c r="K30" s="46">
        <v>2.2000000000000001E-6</v>
      </c>
      <c r="L30" t="s">
        <v>6865</v>
      </c>
      <c r="M30" t="s">
        <v>6371</v>
      </c>
      <c r="N30" t="s">
        <v>6874</v>
      </c>
      <c r="O30" t="s">
        <v>25</v>
      </c>
      <c r="P30" t="s">
        <v>6889</v>
      </c>
    </row>
    <row r="31" spans="1:24">
      <c r="A31" t="s">
        <v>10651</v>
      </c>
      <c r="B31" t="s">
        <v>10651</v>
      </c>
      <c r="C31" t="s">
        <v>6854</v>
      </c>
      <c r="D31" t="s">
        <v>21</v>
      </c>
      <c r="E31">
        <v>6030</v>
      </c>
      <c r="F31" t="s">
        <v>6796</v>
      </c>
      <c r="G31" t="str">
        <f>Config!$B$5</f>
        <v>SCH/L_ANSI.SchLib</v>
      </c>
      <c r="H31" t="s">
        <v>424</v>
      </c>
      <c r="I31" t="s">
        <v>6535</v>
      </c>
      <c r="J31" t="s">
        <v>6790</v>
      </c>
      <c r="K31" s="46">
        <v>3.3000000000000002E-6</v>
      </c>
      <c r="L31" s="28" t="s">
        <v>6866</v>
      </c>
      <c r="M31" t="s">
        <v>6371</v>
      </c>
      <c r="N31" t="s">
        <v>6875</v>
      </c>
      <c r="O31" t="s">
        <v>25</v>
      </c>
      <c r="P31" t="s">
        <v>6890</v>
      </c>
    </row>
    <row r="32" spans="1:24">
      <c r="A32" t="s">
        <v>10652</v>
      </c>
      <c r="B32" t="s">
        <v>10652</v>
      </c>
      <c r="C32" t="s">
        <v>6855</v>
      </c>
      <c r="D32" t="s">
        <v>21</v>
      </c>
      <c r="E32">
        <v>6030</v>
      </c>
      <c r="F32" t="s">
        <v>4588</v>
      </c>
      <c r="G32" t="str">
        <f>Config!$B$5</f>
        <v>SCH/L_ANSI.SchLib</v>
      </c>
      <c r="H32" t="s">
        <v>424</v>
      </c>
      <c r="I32" t="s">
        <v>6535</v>
      </c>
      <c r="J32" t="s">
        <v>6790</v>
      </c>
      <c r="K32" s="46">
        <v>4.6999999999999999E-6</v>
      </c>
      <c r="L32" t="s">
        <v>6867</v>
      </c>
      <c r="M32" t="s">
        <v>6371</v>
      </c>
      <c r="N32" t="s">
        <v>6876</v>
      </c>
      <c r="O32" t="s">
        <v>25</v>
      </c>
      <c r="P32" t="s">
        <v>6891</v>
      </c>
    </row>
    <row r="33" spans="1:16">
      <c r="A33" t="s">
        <v>6840</v>
      </c>
      <c r="B33" t="s">
        <v>6840</v>
      </c>
      <c r="C33" t="s">
        <v>6856</v>
      </c>
      <c r="D33" t="s">
        <v>21</v>
      </c>
      <c r="E33">
        <v>6030</v>
      </c>
      <c r="F33" t="s">
        <v>6718</v>
      </c>
      <c r="G33" t="str">
        <f>Config!$B$5</f>
        <v>SCH/L_ANSI.SchLib</v>
      </c>
      <c r="H33" t="s">
        <v>424</v>
      </c>
      <c r="I33" t="s">
        <v>6535</v>
      </c>
      <c r="J33" t="s">
        <v>6790</v>
      </c>
      <c r="K33" s="46">
        <v>1.5E-5</v>
      </c>
      <c r="L33" t="s">
        <v>6879</v>
      </c>
      <c r="M33" t="s">
        <v>6371</v>
      </c>
      <c r="N33" t="s">
        <v>6882</v>
      </c>
      <c r="O33" t="s">
        <v>25</v>
      </c>
      <c r="P33" t="s">
        <v>6892</v>
      </c>
    </row>
    <row r="34" spans="1:16">
      <c r="A34" t="s">
        <v>6841</v>
      </c>
      <c r="B34" t="s">
        <v>6841</v>
      </c>
      <c r="C34" t="s">
        <v>6857</v>
      </c>
      <c r="D34" t="s">
        <v>21</v>
      </c>
      <c r="E34">
        <v>6030</v>
      </c>
      <c r="F34" t="s">
        <v>6845</v>
      </c>
      <c r="G34" t="str">
        <f>Config!$B$5</f>
        <v>SCH/L_ANSI.SchLib</v>
      </c>
      <c r="H34" t="s">
        <v>424</v>
      </c>
      <c r="I34" t="s">
        <v>6535</v>
      </c>
      <c r="J34" t="s">
        <v>6790</v>
      </c>
      <c r="K34" s="46">
        <v>2.1999999999999999E-5</v>
      </c>
      <c r="L34" t="s">
        <v>6880</v>
      </c>
      <c r="M34" t="s">
        <v>6371</v>
      </c>
      <c r="N34" t="s">
        <v>6883</v>
      </c>
      <c r="O34" t="s">
        <v>25</v>
      </c>
      <c r="P34" t="s">
        <v>6893</v>
      </c>
    </row>
    <row r="35" spans="1:16">
      <c r="A35" t="s">
        <v>6842</v>
      </c>
      <c r="B35" t="s">
        <v>6842</v>
      </c>
      <c r="C35" t="s">
        <v>6858</v>
      </c>
      <c r="D35" t="s">
        <v>21</v>
      </c>
      <c r="E35">
        <v>6030</v>
      </c>
      <c r="F35" t="s">
        <v>6846</v>
      </c>
      <c r="G35" t="str">
        <f>Config!$B$5</f>
        <v>SCH/L_ANSI.SchLib</v>
      </c>
      <c r="H35" t="s">
        <v>424</v>
      </c>
      <c r="I35" t="s">
        <v>6535</v>
      </c>
      <c r="J35" t="s">
        <v>6790</v>
      </c>
      <c r="K35" s="46">
        <v>3.3000000000000003E-5</v>
      </c>
      <c r="L35" t="s">
        <v>6881</v>
      </c>
      <c r="M35" t="s">
        <v>6371</v>
      </c>
      <c r="N35" t="s">
        <v>6884</v>
      </c>
      <c r="O35" t="s">
        <v>25</v>
      </c>
      <c r="P35" t="s">
        <v>6894</v>
      </c>
    </row>
    <row r="36" spans="1:16">
      <c r="A36" t="s">
        <v>6915</v>
      </c>
      <c r="B36" t="s">
        <v>6915</v>
      </c>
      <c r="C36" t="s">
        <v>6900</v>
      </c>
      <c r="D36" t="s">
        <v>21</v>
      </c>
      <c r="E36">
        <v>1245</v>
      </c>
      <c r="F36" t="s">
        <v>6924</v>
      </c>
      <c r="G36" t="str">
        <f>Config!$B$5</f>
        <v>SCH/L_ANSI.SchLib</v>
      </c>
      <c r="H36" t="s">
        <v>424</v>
      </c>
      <c r="I36" t="s">
        <v>6535</v>
      </c>
      <c r="J36" t="s">
        <v>6896</v>
      </c>
      <c r="K36" s="46">
        <v>1.4999999999999999E-7</v>
      </c>
      <c r="L36" s="26" t="s">
        <v>6897</v>
      </c>
      <c r="M36" t="s">
        <v>4546</v>
      </c>
      <c r="N36" t="s">
        <v>6931</v>
      </c>
      <c r="O36" t="s">
        <v>25</v>
      </c>
      <c r="P36" t="s">
        <v>6945</v>
      </c>
    </row>
    <row r="37" spans="1:16">
      <c r="A37" t="s">
        <v>6916</v>
      </c>
      <c r="B37" t="s">
        <v>6916</v>
      </c>
      <c r="C37" t="s">
        <v>6901</v>
      </c>
      <c r="D37" t="s">
        <v>21</v>
      </c>
      <c r="E37">
        <v>1245</v>
      </c>
      <c r="F37" t="s">
        <v>6844</v>
      </c>
      <c r="G37" t="str">
        <f>Config!$B$5</f>
        <v>SCH/L_ANSI.SchLib</v>
      </c>
      <c r="H37" t="s">
        <v>424</v>
      </c>
      <c r="I37" t="s">
        <v>6535</v>
      </c>
      <c r="J37" t="s">
        <v>6896</v>
      </c>
      <c r="K37" s="46">
        <v>2.2000000000000001E-7</v>
      </c>
      <c r="L37" s="26" t="s">
        <v>6897</v>
      </c>
      <c r="M37" t="s">
        <v>4546</v>
      </c>
      <c r="N37" t="s">
        <v>6932</v>
      </c>
      <c r="O37" t="s">
        <v>25</v>
      </c>
      <c r="P37" t="s">
        <v>6946</v>
      </c>
    </row>
    <row r="38" spans="1:16">
      <c r="A38" t="s">
        <v>6917</v>
      </c>
      <c r="B38" t="s">
        <v>6917</v>
      </c>
      <c r="C38" t="s">
        <v>6902</v>
      </c>
      <c r="D38" t="s">
        <v>21</v>
      </c>
      <c r="E38">
        <v>1245</v>
      </c>
      <c r="F38" t="s">
        <v>6925</v>
      </c>
      <c r="G38" t="str">
        <f>Config!$B$5</f>
        <v>SCH/L_ANSI.SchLib</v>
      </c>
      <c r="H38" t="s">
        <v>424</v>
      </c>
      <c r="I38" t="s">
        <v>6535</v>
      </c>
      <c r="J38" t="s">
        <v>6896</v>
      </c>
      <c r="K38" s="46">
        <v>3.5999999999999999E-7</v>
      </c>
      <c r="L38" s="26" t="s">
        <v>6897</v>
      </c>
      <c r="M38" t="s">
        <v>4546</v>
      </c>
      <c r="N38" t="s">
        <v>6933</v>
      </c>
      <c r="O38" t="s">
        <v>25</v>
      </c>
      <c r="P38" t="s">
        <v>6947</v>
      </c>
    </row>
    <row r="39" spans="1:16">
      <c r="A39" t="s">
        <v>6918</v>
      </c>
      <c r="B39" t="s">
        <v>6918</v>
      </c>
      <c r="C39" t="s">
        <v>6903</v>
      </c>
      <c r="D39" t="s">
        <v>21</v>
      </c>
      <c r="E39">
        <v>1245</v>
      </c>
      <c r="F39" t="s">
        <v>4581</v>
      </c>
      <c r="G39" t="str">
        <f>Config!$B$5</f>
        <v>SCH/L_ANSI.SchLib</v>
      </c>
      <c r="H39" t="s">
        <v>424</v>
      </c>
      <c r="I39" t="s">
        <v>6535</v>
      </c>
      <c r="J39" t="s">
        <v>6896</v>
      </c>
      <c r="K39" s="46">
        <v>4.7E-7</v>
      </c>
      <c r="L39" s="26" t="s">
        <v>6897</v>
      </c>
      <c r="M39" t="s">
        <v>4546</v>
      </c>
      <c r="N39" t="s">
        <v>6934</v>
      </c>
      <c r="O39" t="s">
        <v>25</v>
      </c>
      <c r="P39" t="s">
        <v>6948</v>
      </c>
    </row>
    <row r="40" spans="1:16">
      <c r="A40" t="s">
        <v>6919</v>
      </c>
      <c r="B40" t="s">
        <v>6919</v>
      </c>
      <c r="C40" t="s">
        <v>6904</v>
      </c>
      <c r="D40" t="s">
        <v>21</v>
      </c>
      <c r="E40">
        <v>1245</v>
      </c>
      <c r="F40" t="s">
        <v>4582</v>
      </c>
      <c r="G40" t="str">
        <f>Config!$B$5</f>
        <v>SCH/L_ANSI.SchLib</v>
      </c>
      <c r="H40" t="s">
        <v>424</v>
      </c>
      <c r="I40" t="s">
        <v>6535</v>
      </c>
      <c r="J40" t="s">
        <v>6896</v>
      </c>
      <c r="K40" s="46">
        <v>6.7999999999999995E-7</v>
      </c>
      <c r="L40" s="26" t="s">
        <v>6897</v>
      </c>
      <c r="M40" t="s">
        <v>4546</v>
      </c>
      <c r="N40" t="s">
        <v>6935</v>
      </c>
      <c r="O40" t="s">
        <v>25</v>
      </c>
      <c r="P40" t="s">
        <v>6949</v>
      </c>
    </row>
    <row r="41" spans="1:16">
      <c r="A41" t="s">
        <v>6920</v>
      </c>
      <c r="B41" t="s">
        <v>6920</v>
      </c>
      <c r="C41" t="s">
        <v>6905</v>
      </c>
      <c r="D41" t="s">
        <v>21</v>
      </c>
      <c r="E41">
        <v>1245</v>
      </c>
      <c r="F41" t="s">
        <v>6926</v>
      </c>
      <c r="G41" t="str">
        <f>Config!$B$5</f>
        <v>SCH/L_ANSI.SchLib</v>
      </c>
      <c r="H41" t="s">
        <v>424</v>
      </c>
      <c r="I41" t="s">
        <v>6535</v>
      </c>
      <c r="J41" t="s">
        <v>6896</v>
      </c>
      <c r="K41" s="46">
        <v>9.9999999999999995E-7</v>
      </c>
      <c r="L41" s="26" t="s">
        <v>6897</v>
      </c>
      <c r="M41" t="s">
        <v>4546</v>
      </c>
      <c r="N41" t="s">
        <v>6936</v>
      </c>
      <c r="O41" t="s">
        <v>25</v>
      </c>
      <c r="P41" t="s">
        <v>6950</v>
      </c>
    </row>
    <row r="42" spans="1:16">
      <c r="A42" t="s">
        <v>10653</v>
      </c>
      <c r="B42" t="s">
        <v>10653</v>
      </c>
      <c r="C42" t="s">
        <v>6906</v>
      </c>
      <c r="D42" t="s">
        <v>21</v>
      </c>
      <c r="E42">
        <v>1245</v>
      </c>
      <c r="F42" t="s">
        <v>4584</v>
      </c>
      <c r="G42" t="str">
        <f>Config!$B$5</f>
        <v>SCH/L_ANSI.SchLib</v>
      </c>
      <c r="H42" t="s">
        <v>424</v>
      </c>
      <c r="I42" t="s">
        <v>6535</v>
      </c>
      <c r="J42" t="s">
        <v>6896</v>
      </c>
      <c r="K42" s="46">
        <v>1.5E-6</v>
      </c>
      <c r="L42" s="26" t="s">
        <v>6897</v>
      </c>
      <c r="M42" t="s">
        <v>4546</v>
      </c>
      <c r="N42" t="s">
        <v>6937</v>
      </c>
      <c r="O42" t="s">
        <v>25</v>
      </c>
      <c r="P42" t="s">
        <v>6951</v>
      </c>
    </row>
    <row r="43" spans="1:16">
      <c r="A43" t="s">
        <v>10654</v>
      </c>
      <c r="B43" t="s">
        <v>10654</v>
      </c>
      <c r="C43" t="s">
        <v>6907</v>
      </c>
      <c r="D43" t="s">
        <v>21</v>
      </c>
      <c r="E43">
        <v>1245</v>
      </c>
      <c r="F43" t="s">
        <v>4585</v>
      </c>
      <c r="G43" t="str">
        <f>Config!$B$5</f>
        <v>SCH/L_ANSI.SchLib</v>
      </c>
      <c r="H43" t="s">
        <v>424</v>
      </c>
      <c r="I43" t="s">
        <v>6535</v>
      </c>
      <c r="J43" t="s">
        <v>6896</v>
      </c>
      <c r="K43" s="46">
        <v>2.2000000000000001E-6</v>
      </c>
      <c r="L43" s="26" t="s">
        <v>6897</v>
      </c>
      <c r="M43" t="s">
        <v>4546</v>
      </c>
      <c r="N43" t="s">
        <v>6938</v>
      </c>
      <c r="O43" t="s">
        <v>25</v>
      </c>
      <c r="P43" t="s">
        <v>6952</v>
      </c>
    </row>
    <row r="44" spans="1:16">
      <c r="A44" t="s">
        <v>10655</v>
      </c>
      <c r="B44" t="s">
        <v>10655</v>
      </c>
      <c r="C44" t="s">
        <v>6908</v>
      </c>
      <c r="D44" t="s">
        <v>21</v>
      </c>
      <c r="E44">
        <v>1245</v>
      </c>
      <c r="F44" t="s">
        <v>6796</v>
      </c>
      <c r="G44" t="str">
        <f>Config!$B$5</f>
        <v>SCH/L_ANSI.SchLib</v>
      </c>
      <c r="H44" t="s">
        <v>424</v>
      </c>
      <c r="I44" t="s">
        <v>6535</v>
      </c>
      <c r="J44" t="s">
        <v>6896</v>
      </c>
      <c r="K44" s="46">
        <v>3.3000000000000002E-6</v>
      </c>
      <c r="L44" s="26" t="s">
        <v>6897</v>
      </c>
      <c r="M44" t="s">
        <v>4546</v>
      </c>
      <c r="N44" t="s">
        <v>6939</v>
      </c>
      <c r="O44" t="s">
        <v>25</v>
      </c>
      <c r="P44" t="s">
        <v>6953</v>
      </c>
    </row>
    <row r="45" spans="1:16">
      <c r="A45" t="s">
        <v>10656</v>
      </c>
      <c r="B45" t="s">
        <v>10656</v>
      </c>
      <c r="C45" t="s">
        <v>6909</v>
      </c>
      <c r="D45" t="s">
        <v>21</v>
      </c>
      <c r="E45">
        <v>1245</v>
      </c>
      <c r="F45" t="s">
        <v>4588</v>
      </c>
      <c r="G45" t="str">
        <f>Config!$B$5</f>
        <v>SCH/L_ANSI.SchLib</v>
      </c>
      <c r="H45" t="s">
        <v>424</v>
      </c>
      <c r="I45" t="s">
        <v>6535</v>
      </c>
      <c r="J45" t="s">
        <v>6896</v>
      </c>
      <c r="K45" s="46">
        <v>4.6999999999999999E-6</v>
      </c>
      <c r="L45" s="26" t="s">
        <v>6897</v>
      </c>
      <c r="M45" t="s">
        <v>4546</v>
      </c>
      <c r="N45" t="s">
        <v>6940</v>
      </c>
      <c r="O45" t="s">
        <v>25</v>
      </c>
      <c r="P45" t="s">
        <v>6954</v>
      </c>
    </row>
    <row r="46" spans="1:16">
      <c r="A46" t="s">
        <v>10657</v>
      </c>
      <c r="B46" t="s">
        <v>10657</v>
      </c>
      <c r="C46" t="s">
        <v>6910</v>
      </c>
      <c r="D46" t="s">
        <v>21</v>
      </c>
      <c r="E46">
        <v>1245</v>
      </c>
      <c r="F46" t="s">
        <v>6927</v>
      </c>
      <c r="G46" t="str">
        <f>Config!$B$5</f>
        <v>SCH/L_ANSI.SchLib</v>
      </c>
      <c r="H46" t="s">
        <v>424</v>
      </c>
      <c r="I46" t="s">
        <v>6535</v>
      </c>
      <c r="J46" t="s">
        <v>6896</v>
      </c>
      <c r="K46" s="46">
        <v>6.8000000000000001E-6</v>
      </c>
      <c r="L46" s="26" t="s">
        <v>6897</v>
      </c>
      <c r="M46" t="s">
        <v>4546</v>
      </c>
      <c r="N46" t="s">
        <v>6941</v>
      </c>
      <c r="O46" t="s">
        <v>25</v>
      </c>
      <c r="P46" t="s">
        <v>6955</v>
      </c>
    </row>
    <row r="47" spans="1:16">
      <c r="A47" t="s">
        <v>10658</v>
      </c>
      <c r="B47" t="s">
        <v>10658</v>
      </c>
      <c r="C47" t="s">
        <v>6911</v>
      </c>
      <c r="D47" t="s">
        <v>21</v>
      </c>
      <c r="E47">
        <v>1245</v>
      </c>
      <c r="F47" t="s">
        <v>6895</v>
      </c>
      <c r="G47" t="str">
        <f>Config!$B$5</f>
        <v>SCH/L_ANSI.SchLib</v>
      </c>
      <c r="H47" t="s">
        <v>424</v>
      </c>
      <c r="I47" t="s">
        <v>6535</v>
      </c>
      <c r="J47" t="s">
        <v>6896</v>
      </c>
      <c r="K47" s="46">
        <v>8.1999999999999994E-6</v>
      </c>
      <c r="L47" s="26" t="s">
        <v>6897</v>
      </c>
      <c r="M47" t="s">
        <v>4546</v>
      </c>
      <c r="N47" t="s">
        <v>6899</v>
      </c>
      <c r="O47" t="s">
        <v>25</v>
      </c>
      <c r="P47" t="s">
        <v>6898</v>
      </c>
    </row>
    <row r="48" spans="1:16">
      <c r="A48" t="s">
        <v>6921</v>
      </c>
      <c r="B48" t="s">
        <v>6921</v>
      </c>
      <c r="C48" t="s">
        <v>6912</v>
      </c>
      <c r="D48" t="s">
        <v>21</v>
      </c>
      <c r="E48">
        <v>1245</v>
      </c>
      <c r="F48" t="s">
        <v>6928</v>
      </c>
      <c r="G48" t="str">
        <f>Config!$B$5</f>
        <v>SCH/L_ANSI.SchLib</v>
      </c>
      <c r="H48" t="s">
        <v>424</v>
      </c>
      <c r="I48" t="s">
        <v>6535</v>
      </c>
      <c r="J48" t="s">
        <v>6896</v>
      </c>
      <c r="K48" s="46">
        <v>1.0000000000000001E-5</v>
      </c>
      <c r="L48" s="26" t="s">
        <v>6897</v>
      </c>
      <c r="M48" t="s">
        <v>4546</v>
      </c>
      <c r="N48" t="s">
        <v>6942</v>
      </c>
      <c r="O48" t="s">
        <v>25</v>
      </c>
      <c r="P48" t="s">
        <v>6956</v>
      </c>
    </row>
    <row r="49" spans="1:16">
      <c r="A49" t="s">
        <v>6922</v>
      </c>
      <c r="B49" t="s">
        <v>6922</v>
      </c>
      <c r="C49" t="s">
        <v>6913</v>
      </c>
      <c r="D49" t="s">
        <v>21</v>
      </c>
      <c r="E49">
        <v>1245</v>
      </c>
      <c r="F49" t="s">
        <v>6929</v>
      </c>
      <c r="G49" t="str">
        <f>Config!$B$5</f>
        <v>SCH/L_ANSI.SchLib</v>
      </c>
      <c r="H49" t="s">
        <v>424</v>
      </c>
      <c r="I49" t="s">
        <v>6535</v>
      </c>
      <c r="J49" t="s">
        <v>6896</v>
      </c>
      <c r="K49" s="46">
        <v>1.5E-5</v>
      </c>
      <c r="L49" s="26" t="s">
        <v>6897</v>
      </c>
      <c r="M49" t="s">
        <v>4546</v>
      </c>
      <c r="N49" t="s">
        <v>6943</v>
      </c>
      <c r="O49" t="s">
        <v>25</v>
      </c>
      <c r="P49" t="s">
        <v>6957</v>
      </c>
    </row>
    <row r="50" spans="1:16">
      <c r="A50" t="s">
        <v>6923</v>
      </c>
      <c r="B50" t="s">
        <v>6923</v>
      </c>
      <c r="C50" t="s">
        <v>6914</v>
      </c>
      <c r="D50" t="s">
        <v>21</v>
      </c>
      <c r="E50">
        <v>1245</v>
      </c>
      <c r="F50" t="s">
        <v>6930</v>
      </c>
      <c r="G50" t="str">
        <f>Config!$B$5</f>
        <v>SCH/L_ANSI.SchLib</v>
      </c>
      <c r="H50" t="s">
        <v>424</v>
      </c>
      <c r="I50" t="s">
        <v>6535</v>
      </c>
      <c r="J50" t="s">
        <v>6896</v>
      </c>
      <c r="K50" s="46">
        <v>2.1999999999999999E-5</v>
      </c>
      <c r="L50" s="26" t="s">
        <v>6897</v>
      </c>
      <c r="M50" t="s">
        <v>4546</v>
      </c>
      <c r="N50" t="s">
        <v>6944</v>
      </c>
      <c r="O50" t="s">
        <v>25</v>
      </c>
      <c r="P50" t="s">
        <v>6958</v>
      </c>
    </row>
    <row r="51" spans="1:16">
      <c r="A51" t="s">
        <v>7507</v>
      </c>
      <c r="B51" t="s">
        <v>7507</v>
      </c>
      <c r="C51" t="s">
        <v>7509</v>
      </c>
      <c r="D51" t="s">
        <v>7508</v>
      </c>
      <c r="E51" t="s">
        <v>7511</v>
      </c>
      <c r="F51" t="s">
        <v>7510</v>
      </c>
      <c r="G51" t="str">
        <f>Config!$B$5</f>
        <v>SCH/L_ANSI.SchLib</v>
      </c>
      <c r="H51" t="s">
        <v>6310</v>
      </c>
      <c r="I51" s="38" t="str">
        <f>_xlfn.CONCAT(PrivateLibraryPath,"PCB/Schurter.PcbLib")</f>
        <v>../altium_lib_private/PCB/Schurter.PcbLib</v>
      </c>
      <c r="J51" t="s">
        <v>7516</v>
      </c>
      <c r="L51" s="28" t="s">
        <v>7515</v>
      </c>
      <c r="M51" t="s">
        <v>7514</v>
      </c>
      <c r="N51" t="s">
        <v>7512</v>
      </c>
      <c r="O51" t="s">
        <v>25</v>
      </c>
      <c r="P51" t="s">
        <v>7513</v>
      </c>
    </row>
    <row r="52" spans="1:16">
      <c r="A52" t="s">
        <v>7517</v>
      </c>
      <c r="B52" t="s">
        <v>7517</v>
      </c>
      <c r="C52" t="s">
        <v>7518</v>
      </c>
      <c r="D52" t="s">
        <v>21</v>
      </c>
      <c r="E52">
        <v>603</v>
      </c>
      <c r="F52" t="s">
        <v>79</v>
      </c>
      <c r="G52" t="str">
        <f>Config!$B$5</f>
        <v>SCH/L_ANSI.SchLib</v>
      </c>
      <c r="H52" t="s">
        <v>6298</v>
      </c>
      <c r="I52" t="s">
        <v>461</v>
      </c>
      <c r="J52" t="s">
        <v>6299</v>
      </c>
      <c r="K52" s="46">
        <v>1000</v>
      </c>
      <c r="L52" t="s">
        <v>7519</v>
      </c>
      <c r="M52" t="s">
        <v>7520</v>
      </c>
      <c r="N52" t="s">
        <v>7521</v>
      </c>
      <c r="O52" t="s">
        <v>25</v>
      </c>
      <c r="P52" t="s">
        <v>7522</v>
      </c>
    </row>
    <row r="53" spans="1:16">
      <c r="A53" t="s">
        <v>7977</v>
      </c>
      <c r="B53" t="s">
        <v>7977</v>
      </c>
      <c r="C53" t="s">
        <v>7978</v>
      </c>
      <c r="D53" t="s">
        <v>7979</v>
      </c>
      <c r="E53" t="s">
        <v>7980</v>
      </c>
      <c r="F53" t="s">
        <v>7981</v>
      </c>
      <c r="G53" t="str">
        <f>Config!$B$5</f>
        <v>SCH/L_ANSI.SchLib</v>
      </c>
      <c r="H53" t="s">
        <v>424</v>
      </c>
      <c r="I53" t="s">
        <v>7982</v>
      </c>
      <c r="J53" t="s">
        <v>8029</v>
      </c>
      <c r="K53" s="46">
        <v>8.1999999999999998E-4</v>
      </c>
      <c r="L53" t="s">
        <v>7983</v>
      </c>
      <c r="M53" t="s">
        <v>7979</v>
      </c>
      <c r="N53" t="s">
        <v>7984</v>
      </c>
      <c r="O53" t="s">
        <v>25</v>
      </c>
    </row>
    <row r="54" spans="1:16">
      <c r="A54" t="s">
        <v>8059</v>
      </c>
      <c r="B54" t="s">
        <v>8059</v>
      </c>
      <c r="C54" t="s">
        <v>8060</v>
      </c>
      <c r="D54" t="s">
        <v>4279</v>
      </c>
      <c r="E54" t="s">
        <v>8061</v>
      </c>
      <c r="F54" t="s">
        <v>8062</v>
      </c>
      <c r="G54" t="str">
        <f>Config!$B$5</f>
        <v>SCH/L_ANSI.SchLib</v>
      </c>
      <c r="H54" t="s">
        <v>6310</v>
      </c>
      <c r="I54" t="s">
        <v>7982</v>
      </c>
      <c r="J54" t="s">
        <v>8065</v>
      </c>
      <c r="K54" s="46">
        <v>0.03</v>
      </c>
      <c r="L54" t="s">
        <v>8063</v>
      </c>
      <c r="M54" t="s">
        <v>6223</v>
      </c>
      <c r="N54">
        <v>7448050530</v>
      </c>
      <c r="O54" t="s">
        <v>25</v>
      </c>
      <c r="P54" t="s">
        <v>8064</v>
      </c>
    </row>
    <row r="55" spans="1:16">
      <c r="A55" t="s">
        <v>10864</v>
      </c>
      <c r="B55" t="s">
        <v>10864</v>
      </c>
      <c r="C55" t="s">
        <v>10875</v>
      </c>
      <c r="D55" t="s">
        <v>4479</v>
      </c>
      <c r="E55" t="s">
        <v>10855</v>
      </c>
      <c r="F55" t="s">
        <v>10886</v>
      </c>
      <c r="G55" t="str">
        <f>Config!$B$5</f>
        <v>SCH/L_ANSI.SchLib</v>
      </c>
      <c r="H55" t="s">
        <v>10908</v>
      </c>
      <c r="I55" t="s">
        <v>12503</v>
      </c>
      <c r="J55" t="s">
        <v>10855</v>
      </c>
      <c r="K55" s="46">
        <v>2.0999999999999998E-6</v>
      </c>
      <c r="L55" t="s">
        <v>10918</v>
      </c>
      <c r="N55" t="s">
        <v>10897</v>
      </c>
    </row>
    <row r="56" spans="1:16">
      <c r="A56" t="s">
        <v>12728</v>
      </c>
      <c r="B56" t="s">
        <v>10864</v>
      </c>
      <c r="C56" t="s">
        <v>10875</v>
      </c>
      <c r="D56" t="s">
        <v>4479</v>
      </c>
      <c r="E56" t="s">
        <v>10855</v>
      </c>
      <c r="F56" t="s">
        <v>10886</v>
      </c>
      <c r="G56" t="str">
        <f>Config!$B$5</f>
        <v>SCH/L_ANSI.SchLib</v>
      </c>
      <c r="H56" t="s">
        <v>10908</v>
      </c>
      <c r="I56" t="s">
        <v>12503</v>
      </c>
      <c r="J56" t="s">
        <v>12725</v>
      </c>
      <c r="K56" s="46">
        <v>2.0999999999999998E-6</v>
      </c>
      <c r="L56" t="s">
        <v>10918</v>
      </c>
      <c r="N56" t="s">
        <v>10897</v>
      </c>
    </row>
    <row r="57" spans="1:16">
      <c r="A57" t="s">
        <v>12729</v>
      </c>
      <c r="B57" t="s">
        <v>10864</v>
      </c>
      <c r="C57" t="s">
        <v>10875</v>
      </c>
      <c r="D57" t="s">
        <v>4479</v>
      </c>
      <c r="E57" t="s">
        <v>10855</v>
      </c>
      <c r="F57" t="s">
        <v>10886</v>
      </c>
      <c r="G57" t="str">
        <f>Config!$B$5</f>
        <v>SCH/L_ANSI.SchLib</v>
      </c>
      <c r="H57" t="s">
        <v>10908</v>
      </c>
      <c r="I57" t="s">
        <v>12503</v>
      </c>
      <c r="J57" t="s">
        <v>12726</v>
      </c>
      <c r="K57" s="46">
        <v>2.0999999999999998E-6</v>
      </c>
      <c r="L57" t="s">
        <v>10918</v>
      </c>
      <c r="N57" t="s">
        <v>10897</v>
      </c>
    </row>
    <row r="58" spans="1:16">
      <c r="A58" t="s">
        <v>10866</v>
      </c>
      <c r="B58" t="s">
        <v>10866</v>
      </c>
      <c r="C58" t="s">
        <v>10876</v>
      </c>
      <c r="D58" t="s">
        <v>4479</v>
      </c>
      <c r="E58" t="s">
        <v>10855</v>
      </c>
      <c r="F58" t="s">
        <v>10887</v>
      </c>
      <c r="G58" t="str">
        <f>Config!$B$5</f>
        <v>SCH/L_ANSI.SchLib</v>
      </c>
      <c r="H58" t="s">
        <v>10908</v>
      </c>
      <c r="I58" t="s">
        <v>12503</v>
      </c>
      <c r="J58" t="s">
        <v>10855</v>
      </c>
      <c r="K58" s="46">
        <v>3.1E-6</v>
      </c>
      <c r="L58" t="s">
        <v>10918</v>
      </c>
      <c r="M58" t="s">
        <v>7496</v>
      </c>
      <c r="N58" t="s">
        <v>10898</v>
      </c>
      <c r="O58" t="s">
        <v>25</v>
      </c>
      <c r="P58" t="s">
        <v>12506</v>
      </c>
    </row>
    <row r="59" spans="1:16">
      <c r="A59" t="s">
        <v>12730</v>
      </c>
      <c r="B59" t="s">
        <v>10866</v>
      </c>
      <c r="C59" t="s">
        <v>10876</v>
      </c>
      <c r="D59" t="s">
        <v>4479</v>
      </c>
      <c r="E59" t="s">
        <v>10855</v>
      </c>
      <c r="F59" t="s">
        <v>10887</v>
      </c>
      <c r="G59" t="str">
        <f>Config!$B$5</f>
        <v>SCH/L_ANSI.SchLib</v>
      </c>
      <c r="H59" t="s">
        <v>10908</v>
      </c>
      <c r="I59" t="s">
        <v>12503</v>
      </c>
      <c r="J59" t="s">
        <v>12725</v>
      </c>
      <c r="K59" s="46">
        <v>3.1E-6</v>
      </c>
      <c r="L59" t="s">
        <v>10918</v>
      </c>
      <c r="M59" t="s">
        <v>7496</v>
      </c>
      <c r="N59" t="s">
        <v>10898</v>
      </c>
      <c r="O59" t="s">
        <v>25</v>
      </c>
      <c r="P59" t="s">
        <v>12506</v>
      </c>
    </row>
    <row r="60" spans="1:16">
      <c r="A60" t="s">
        <v>12739</v>
      </c>
      <c r="B60" t="s">
        <v>10866</v>
      </c>
      <c r="C60" t="s">
        <v>10876</v>
      </c>
      <c r="D60" t="s">
        <v>4479</v>
      </c>
      <c r="E60" t="s">
        <v>10855</v>
      </c>
      <c r="F60" t="s">
        <v>10887</v>
      </c>
      <c r="G60" t="str">
        <f>Config!$B$5</f>
        <v>SCH/L_ANSI.SchLib</v>
      </c>
      <c r="H60" t="s">
        <v>10908</v>
      </c>
      <c r="I60" t="s">
        <v>12503</v>
      </c>
      <c r="J60" t="s">
        <v>12726</v>
      </c>
      <c r="K60" s="46">
        <v>3.1E-6</v>
      </c>
      <c r="L60" t="s">
        <v>10918</v>
      </c>
      <c r="M60" t="s">
        <v>7496</v>
      </c>
      <c r="N60" t="s">
        <v>10898</v>
      </c>
      <c r="O60" t="s">
        <v>25</v>
      </c>
      <c r="P60" t="s">
        <v>12506</v>
      </c>
    </row>
    <row r="61" spans="1:16">
      <c r="A61" t="s">
        <v>10867</v>
      </c>
      <c r="B61" t="s">
        <v>10867</v>
      </c>
      <c r="C61" t="s">
        <v>10877</v>
      </c>
      <c r="D61" t="s">
        <v>4479</v>
      </c>
      <c r="E61" t="s">
        <v>10855</v>
      </c>
      <c r="F61" t="s">
        <v>10888</v>
      </c>
      <c r="G61" t="str">
        <f>Config!$B$5</f>
        <v>SCH/L_ANSI.SchLib</v>
      </c>
      <c r="H61" t="s">
        <v>10908</v>
      </c>
      <c r="I61" t="s">
        <v>12503</v>
      </c>
      <c r="J61" t="s">
        <v>10855</v>
      </c>
      <c r="K61" s="46">
        <v>3.4000000000000001E-6</v>
      </c>
      <c r="L61" t="s">
        <v>10918</v>
      </c>
      <c r="M61" t="s">
        <v>7496</v>
      </c>
      <c r="N61" t="s">
        <v>10899</v>
      </c>
      <c r="O61" t="s">
        <v>25</v>
      </c>
      <c r="P61" t="s">
        <v>12507</v>
      </c>
    </row>
    <row r="62" spans="1:16">
      <c r="A62" t="s">
        <v>12731</v>
      </c>
      <c r="B62" t="s">
        <v>10867</v>
      </c>
      <c r="C62" t="s">
        <v>10877</v>
      </c>
      <c r="D62" t="s">
        <v>4479</v>
      </c>
      <c r="E62" t="s">
        <v>10855</v>
      </c>
      <c r="F62" t="s">
        <v>10888</v>
      </c>
      <c r="G62" t="str">
        <f>Config!$B$5</f>
        <v>SCH/L_ANSI.SchLib</v>
      </c>
      <c r="H62" t="s">
        <v>10908</v>
      </c>
      <c r="I62" t="s">
        <v>12503</v>
      </c>
      <c r="J62" t="s">
        <v>12725</v>
      </c>
      <c r="K62" s="46">
        <v>3.4000000000000001E-6</v>
      </c>
      <c r="L62" t="s">
        <v>10918</v>
      </c>
      <c r="M62" t="s">
        <v>7496</v>
      </c>
      <c r="N62" t="s">
        <v>10899</v>
      </c>
      <c r="O62" t="s">
        <v>25</v>
      </c>
      <c r="P62" t="s">
        <v>12507</v>
      </c>
    </row>
    <row r="63" spans="1:16">
      <c r="A63" t="s">
        <v>12740</v>
      </c>
      <c r="B63" t="s">
        <v>10867</v>
      </c>
      <c r="C63" t="s">
        <v>10877</v>
      </c>
      <c r="D63" t="s">
        <v>4479</v>
      </c>
      <c r="E63" t="s">
        <v>10855</v>
      </c>
      <c r="F63" t="s">
        <v>10888</v>
      </c>
      <c r="G63" t="str">
        <f>Config!$B$5</f>
        <v>SCH/L_ANSI.SchLib</v>
      </c>
      <c r="H63" t="s">
        <v>10908</v>
      </c>
      <c r="I63" t="s">
        <v>12503</v>
      </c>
      <c r="J63" t="s">
        <v>12726</v>
      </c>
      <c r="K63" s="46">
        <v>3.4000000000000001E-6</v>
      </c>
      <c r="L63" t="s">
        <v>10918</v>
      </c>
      <c r="M63" t="s">
        <v>7496</v>
      </c>
      <c r="N63" t="s">
        <v>10899</v>
      </c>
      <c r="O63" t="s">
        <v>25</v>
      </c>
      <c r="P63" t="s">
        <v>12507</v>
      </c>
    </row>
    <row r="64" spans="1:16">
      <c r="A64" t="s">
        <v>10863</v>
      </c>
      <c r="B64" t="s">
        <v>10863</v>
      </c>
      <c r="C64" t="s">
        <v>10878</v>
      </c>
      <c r="D64" t="s">
        <v>4479</v>
      </c>
      <c r="E64" t="s">
        <v>10855</v>
      </c>
      <c r="F64" t="s">
        <v>10889</v>
      </c>
      <c r="G64" t="str">
        <f>Config!$B$5</f>
        <v>SCH/L_ANSI.SchLib</v>
      </c>
      <c r="H64" t="s">
        <v>10908</v>
      </c>
      <c r="I64" t="s">
        <v>12503</v>
      </c>
      <c r="J64" t="s">
        <v>10855</v>
      </c>
      <c r="K64" s="46">
        <v>4.5000000000000001E-6</v>
      </c>
      <c r="L64" t="s">
        <v>10918</v>
      </c>
      <c r="M64" t="s">
        <v>7496</v>
      </c>
      <c r="N64" t="s">
        <v>10900</v>
      </c>
      <c r="O64" t="s">
        <v>25</v>
      </c>
      <c r="P64" t="s">
        <v>12508</v>
      </c>
    </row>
    <row r="65" spans="1:16">
      <c r="A65" t="s">
        <v>12724</v>
      </c>
      <c r="B65" t="s">
        <v>10863</v>
      </c>
      <c r="C65" t="s">
        <v>10878</v>
      </c>
      <c r="D65" t="s">
        <v>4479</v>
      </c>
      <c r="E65" t="s">
        <v>10855</v>
      </c>
      <c r="F65" t="s">
        <v>10889</v>
      </c>
      <c r="G65" t="str">
        <f>Config!$B$5</f>
        <v>SCH/L_ANSI.SchLib</v>
      </c>
      <c r="H65" t="s">
        <v>10908</v>
      </c>
      <c r="I65" t="s">
        <v>12503</v>
      </c>
      <c r="J65" t="s">
        <v>12725</v>
      </c>
      <c r="K65" s="46">
        <v>4.5000000000000001E-6</v>
      </c>
      <c r="L65" t="s">
        <v>10918</v>
      </c>
      <c r="M65" t="s">
        <v>7496</v>
      </c>
      <c r="N65" t="s">
        <v>10900</v>
      </c>
      <c r="O65" t="s">
        <v>25</v>
      </c>
      <c r="P65" t="s">
        <v>12508</v>
      </c>
    </row>
    <row r="66" spans="1:16">
      <c r="A66" t="s">
        <v>12727</v>
      </c>
      <c r="B66" t="s">
        <v>10863</v>
      </c>
      <c r="C66" t="s">
        <v>10878</v>
      </c>
      <c r="D66" t="s">
        <v>4479</v>
      </c>
      <c r="E66" t="s">
        <v>10855</v>
      </c>
      <c r="F66" t="s">
        <v>10889</v>
      </c>
      <c r="G66" t="str">
        <f>Config!$B$5</f>
        <v>SCH/L_ANSI.SchLib</v>
      </c>
      <c r="H66" t="s">
        <v>10908</v>
      </c>
      <c r="I66" t="s">
        <v>12503</v>
      </c>
      <c r="J66" t="s">
        <v>12726</v>
      </c>
      <c r="K66" s="46">
        <v>4.5000000000000001E-6</v>
      </c>
      <c r="L66" t="s">
        <v>10918</v>
      </c>
      <c r="M66" t="s">
        <v>7496</v>
      </c>
      <c r="N66" t="s">
        <v>10900</v>
      </c>
      <c r="O66" t="s">
        <v>25</v>
      </c>
      <c r="P66" t="s">
        <v>12508</v>
      </c>
    </row>
    <row r="67" spans="1:16">
      <c r="A67" t="s">
        <v>10868</v>
      </c>
      <c r="B67" t="s">
        <v>10868</v>
      </c>
      <c r="C67" t="s">
        <v>10879</v>
      </c>
      <c r="D67" t="s">
        <v>4479</v>
      </c>
      <c r="E67" t="s">
        <v>10855</v>
      </c>
      <c r="F67" t="s">
        <v>10890</v>
      </c>
      <c r="G67" t="str">
        <f>Config!$B$5</f>
        <v>SCH/L_ANSI.SchLib</v>
      </c>
      <c r="H67" t="s">
        <v>10908</v>
      </c>
      <c r="I67" t="s">
        <v>12503</v>
      </c>
      <c r="J67" t="s">
        <v>10855</v>
      </c>
      <c r="K67" s="46">
        <v>4.6E-6</v>
      </c>
      <c r="L67" t="s">
        <v>10918</v>
      </c>
      <c r="M67" t="s">
        <v>7496</v>
      </c>
      <c r="N67" t="s">
        <v>10901</v>
      </c>
      <c r="O67" t="s">
        <v>25</v>
      </c>
      <c r="P67" t="s">
        <v>12509</v>
      </c>
    </row>
    <row r="68" spans="1:16">
      <c r="A68" t="s">
        <v>12732</v>
      </c>
      <c r="B68" t="s">
        <v>10868</v>
      </c>
      <c r="C68" t="s">
        <v>10879</v>
      </c>
      <c r="D68" t="s">
        <v>4479</v>
      </c>
      <c r="E68" t="s">
        <v>10855</v>
      </c>
      <c r="F68" t="s">
        <v>10890</v>
      </c>
      <c r="G68" t="str">
        <f>Config!$B$5</f>
        <v>SCH/L_ANSI.SchLib</v>
      </c>
      <c r="H68" t="s">
        <v>10908</v>
      </c>
      <c r="I68" t="s">
        <v>12503</v>
      </c>
      <c r="J68" t="s">
        <v>12725</v>
      </c>
      <c r="K68" s="46">
        <v>4.6E-6</v>
      </c>
      <c r="L68" t="s">
        <v>10918</v>
      </c>
      <c r="M68" t="s">
        <v>7496</v>
      </c>
      <c r="N68" t="s">
        <v>10901</v>
      </c>
      <c r="O68" t="s">
        <v>25</v>
      </c>
      <c r="P68" t="s">
        <v>12509</v>
      </c>
    </row>
    <row r="69" spans="1:16">
      <c r="A69" t="s">
        <v>12741</v>
      </c>
      <c r="B69" t="s">
        <v>10868</v>
      </c>
      <c r="C69" t="s">
        <v>10879</v>
      </c>
      <c r="D69" t="s">
        <v>4479</v>
      </c>
      <c r="E69" t="s">
        <v>10855</v>
      </c>
      <c r="F69" t="s">
        <v>10890</v>
      </c>
      <c r="G69" t="str">
        <f>Config!$B$5</f>
        <v>SCH/L_ANSI.SchLib</v>
      </c>
      <c r="H69" t="s">
        <v>10908</v>
      </c>
      <c r="I69" t="s">
        <v>12503</v>
      </c>
      <c r="J69" t="s">
        <v>12726</v>
      </c>
      <c r="K69" s="46">
        <v>4.6E-6</v>
      </c>
      <c r="L69" t="s">
        <v>10918</v>
      </c>
      <c r="M69" t="s">
        <v>7496</v>
      </c>
      <c r="N69" t="s">
        <v>10901</v>
      </c>
      <c r="O69" t="s">
        <v>25</v>
      </c>
      <c r="P69" t="s">
        <v>12509</v>
      </c>
    </row>
    <row r="70" spans="1:16">
      <c r="A70" t="s">
        <v>10869</v>
      </c>
      <c r="B70" t="s">
        <v>10869</v>
      </c>
      <c r="C70" t="s">
        <v>10880</v>
      </c>
      <c r="D70" t="s">
        <v>4479</v>
      </c>
      <c r="E70" t="s">
        <v>10855</v>
      </c>
      <c r="F70" t="s">
        <v>10891</v>
      </c>
      <c r="G70" t="str">
        <f>Config!$B$5</f>
        <v>SCH/L_ANSI.SchLib</v>
      </c>
      <c r="H70" t="s">
        <v>10908</v>
      </c>
      <c r="I70" t="s">
        <v>12503</v>
      </c>
      <c r="J70" t="s">
        <v>10855</v>
      </c>
      <c r="K70" s="46">
        <v>5.4999999999999999E-6</v>
      </c>
      <c r="L70" t="s">
        <v>10918</v>
      </c>
      <c r="N70" t="s">
        <v>10902</v>
      </c>
    </row>
    <row r="71" spans="1:16">
      <c r="A71" t="s">
        <v>12733</v>
      </c>
      <c r="B71" t="s">
        <v>10869</v>
      </c>
      <c r="C71" t="s">
        <v>10880</v>
      </c>
      <c r="D71" t="s">
        <v>4479</v>
      </c>
      <c r="E71" t="s">
        <v>10855</v>
      </c>
      <c r="F71" t="s">
        <v>10891</v>
      </c>
      <c r="G71" t="str">
        <f>Config!$B$5</f>
        <v>SCH/L_ANSI.SchLib</v>
      </c>
      <c r="H71" t="s">
        <v>10908</v>
      </c>
      <c r="I71" t="s">
        <v>12503</v>
      </c>
      <c r="J71" t="s">
        <v>12725</v>
      </c>
      <c r="K71" s="46">
        <v>5.4999999999999999E-6</v>
      </c>
      <c r="L71" t="s">
        <v>10918</v>
      </c>
      <c r="N71" t="s">
        <v>10902</v>
      </c>
    </row>
    <row r="72" spans="1:16">
      <c r="A72" t="s">
        <v>12742</v>
      </c>
      <c r="B72" t="s">
        <v>10869</v>
      </c>
      <c r="C72" t="s">
        <v>10880</v>
      </c>
      <c r="D72" t="s">
        <v>4479</v>
      </c>
      <c r="E72" t="s">
        <v>10855</v>
      </c>
      <c r="F72" t="s">
        <v>10891</v>
      </c>
      <c r="G72" t="str">
        <f>Config!$B$5</f>
        <v>SCH/L_ANSI.SchLib</v>
      </c>
      <c r="H72" t="s">
        <v>10908</v>
      </c>
      <c r="I72" t="s">
        <v>12503</v>
      </c>
      <c r="J72" t="s">
        <v>12726</v>
      </c>
      <c r="K72" s="46">
        <v>5.4999999999999999E-6</v>
      </c>
      <c r="L72" t="s">
        <v>10918</v>
      </c>
      <c r="N72" t="s">
        <v>10902</v>
      </c>
    </row>
    <row r="73" spans="1:16">
      <c r="A73" t="s">
        <v>10871</v>
      </c>
      <c r="B73" t="s">
        <v>10871</v>
      </c>
      <c r="C73" t="s">
        <v>10881</v>
      </c>
      <c r="D73" t="s">
        <v>4479</v>
      </c>
      <c r="E73" t="s">
        <v>10855</v>
      </c>
      <c r="F73" t="s">
        <v>10892</v>
      </c>
      <c r="G73" t="str">
        <f>Config!$B$5</f>
        <v>SCH/L_ANSI.SchLib</v>
      </c>
      <c r="H73" t="s">
        <v>10908</v>
      </c>
      <c r="I73" t="s">
        <v>12503</v>
      </c>
      <c r="J73" t="s">
        <v>10855</v>
      </c>
      <c r="K73" s="46">
        <v>1.5200000000000001E-6</v>
      </c>
      <c r="L73" t="s">
        <v>10918</v>
      </c>
      <c r="M73" t="s">
        <v>7496</v>
      </c>
      <c r="N73" t="s">
        <v>10903</v>
      </c>
      <c r="O73" t="s">
        <v>25</v>
      </c>
      <c r="P73" t="s">
        <v>12510</v>
      </c>
    </row>
    <row r="74" spans="1:16">
      <c r="A74" t="s">
        <v>12734</v>
      </c>
      <c r="B74" t="s">
        <v>10871</v>
      </c>
      <c r="C74" t="s">
        <v>10881</v>
      </c>
      <c r="D74" t="s">
        <v>4479</v>
      </c>
      <c r="E74" t="s">
        <v>10855</v>
      </c>
      <c r="F74" t="s">
        <v>10892</v>
      </c>
      <c r="G74" t="str">
        <f>Config!$B$5</f>
        <v>SCH/L_ANSI.SchLib</v>
      </c>
      <c r="H74" t="s">
        <v>10908</v>
      </c>
      <c r="I74" t="s">
        <v>12503</v>
      </c>
      <c r="J74" t="s">
        <v>12725</v>
      </c>
      <c r="K74" s="46">
        <v>1.5200000000000001E-6</v>
      </c>
      <c r="L74" t="s">
        <v>10918</v>
      </c>
      <c r="M74" t="s">
        <v>7496</v>
      </c>
      <c r="N74" t="s">
        <v>10903</v>
      </c>
      <c r="O74" t="s">
        <v>25</v>
      </c>
      <c r="P74" t="s">
        <v>12510</v>
      </c>
    </row>
    <row r="75" spans="1:16">
      <c r="A75" t="s">
        <v>12743</v>
      </c>
      <c r="B75" t="s">
        <v>10871</v>
      </c>
      <c r="C75" t="s">
        <v>10881</v>
      </c>
      <c r="D75" t="s">
        <v>4479</v>
      </c>
      <c r="E75" t="s">
        <v>10855</v>
      </c>
      <c r="F75" t="s">
        <v>10892</v>
      </c>
      <c r="G75" t="str">
        <f>Config!$B$5</f>
        <v>SCH/L_ANSI.SchLib</v>
      </c>
      <c r="H75" t="s">
        <v>10908</v>
      </c>
      <c r="I75" t="s">
        <v>12503</v>
      </c>
      <c r="J75" t="s">
        <v>12726</v>
      </c>
      <c r="K75" s="46">
        <v>1.5200000000000001E-6</v>
      </c>
      <c r="L75" t="s">
        <v>10918</v>
      </c>
      <c r="M75" t="s">
        <v>7496</v>
      </c>
      <c r="N75" t="s">
        <v>10903</v>
      </c>
      <c r="O75" t="s">
        <v>25</v>
      </c>
      <c r="P75" t="s">
        <v>12510</v>
      </c>
    </row>
    <row r="76" spans="1:16">
      <c r="A76" t="s">
        <v>10870</v>
      </c>
      <c r="B76" t="s">
        <v>10870</v>
      </c>
      <c r="C76" t="s">
        <v>10882</v>
      </c>
      <c r="D76" t="s">
        <v>4479</v>
      </c>
      <c r="E76" t="s">
        <v>10855</v>
      </c>
      <c r="F76" t="s">
        <v>10893</v>
      </c>
      <c r="G76" t="str">
        <f>Config!$B$5</f>
        <v>SCH/L_ANSI.SchLib</v>
      </c>
      <c r="H76" t="s">
        <v>10908</v>
      </c>
      <c r="I76" t="s">
        <v>12503</v>
      </c>
      <c r="J76" t="s">
        <v>10855</v>
      </c>
      <c r="K76" s="46">
        <v>8.1999999999999998E-7</v>
      </c>
      <c r="L76" t="s">
        <v>10918</v>
      </c>
      <c r="N76" t="s">
        <v>10904</v>
      </c>
    </row>
    <row r="77" spans="1:16">
      <c r="A77" t="s">
        <v>12735</v>
      </c>
      <c r="B77" t="s">
        <v>10870</v>
      </c>
      <c r="C77" t="s">
        <v>10882</v>
      </c>
      <c r="D77" t="s">
        <v>4479</v>
      </c>
      <c r="E77" t="s">
        <v>10855</v>
      </c>
      <c r="F77" t="s">
        <v>10893</v>
      </c>
      <c r="G77" t="str">
        <f>Config!$B$5</f>
        <v>SCH/L_ANSI.SchLib</v>
      </c>
      <c r="H77" t="s">
        <v>10908</v>
      </c>
      <c r="I77" t="s">
        <v>12503</v>
      </c>
      <c r="J77" t="s">
        <v>12725</v>
      </c>
      <c r="K77" s="46">
        <v>8.1999999999999998E-7</v>
      </c>
      <c r="L77" t="s">
        <v>10918</v>
      </c>
      <c r="N77" t="s">
        <v>10904</v>
      </c>
    </row>
    <row r="78" spans="1:16">
      <c r="A78" t="s">
        <v>12744</v>
      </c>
      <c r="B78" t="s">
        <v>10870</v>
      </c>
      <c r="C78" t="s">
        <v>10882</v>
      </c>
      <c r="D78" t="s">
        <v>4479</v>
      </c>
      <c r="E78" t="s">
        <v>10855</v>
      </c>
      <c r="F78" t="s">
        <v>10893</v>
      </c>
      <c r="G78" t="str">
        <f>Config!$B$5</f>
        <v>SCH/L_ANSI.SchLib</v>
      </c>
      <c r="H78" t="s">
        <v>10908</v>
      </c>
      <c r="I78" t="s">
        <v>12503</v>
      </c>
      <c r="J78" t="s">
        <v>12726</v>
      </c>
      <c r="K78" s="46">
        <v>8.1999999999999998E-7</v>
      </c>
      <c r="L78" t="s">
        <v>10918</v>
      </c>
      <c r="N78" t="s">
        <v>10904</v>
      </c>
    </row>
    <row r="79" spans="1:16">
      <c r="A79" t="s">
        <v>10872</v>
      </c>
      <c r="B79" t="s">
        <v>10872</v>
      </c>
      <c r="C79" t="s">
        <v>10883</v>
      </c>
      <c r="D79" t="s">
        <v>4479</v>
      </c>
      <c r="E79" t="s">
        <v>10855</v>
      </c>
      <c r="F79" t="s">
        <v>10894</v>
      </c>
      <c r="G79" t="str">
        <f>Config!$B$5</f>
        <v>SCH/L_ANSI.SchLib</v>
      </c>
      <c r="H79" t="s">
        <v>10908</v>
      </c>
      <c r="I79" t="s">
        <v>12503</v>
      </c>
      <c r="J79" t="s">
        <v>10855</v>
      </c>
      <c r="K79" s="46">
        <v>3.3000000000000002E-7</v>
      </c>
      <c r="L79" t="s">
        <v>10918</v>
      </c>
      <c r="N79" t="s">
        <v>10905</v>
      </c>
    </row>
    <row r="80" spans="1:16">
      <c r="A80" t="s">
        <v>12736</v>
      </c>
      <c r="B80" t="s">
        <v>10872</v>
      </c>
      <c r="C80" t="s">
        <v>10883</v>
      </c>
      <c r="D80" t="s">
        <v>4479</v>
      </c>
      <c r="E80" t="s">
        <v>10855</v>
      </c>
      <c r="F80" t="s">
        <v>10894</v>
      </c>
      <c r="G80" t="str">
        <f>Config!$B$5</f>
        <v>SCH/L_ANSI.SchLib</v>
      </c>
      <c r="H80" t="s">
        <v>10908</v>
      </c>
      <c r="I80" t="s">
        <v>12503</v>
      </c>
      <c r="J80" t="s">
        <v>12725</v>
      </c>
      <c r="K80" s="46">
        <v>3.3000000000000002E-7</v>
      </c>
      <c r="L80" t="s">
        <v>10918</v>
      </c>
      <c r="N80" t="s">
        <v>10905</v>
      </c>
    </row>
    <row r="81" spans="1:16">
      <c r="A81" t="s">
        <v>12745</v>
      </c>
      <c r="B81" t="s">
        <v>10872</v>
      </c>
      <c r="C81" t="s">
        <v>10883</v>
      </c>
      <c r="D81" t="s">
        <v>4479</v>
      </c>
      <c r="E81" t="s">
        <v>10855</v>
      </c>
      <c r="F81" t="s">
        <v>10894</v>
      </c>
      <c r="G81" t="str">
        <f>Config!$B$5</f>
        <v>SCH/L_ANSI.SchLib</v>
      </c>
      <c r="H81" t="s">
        <v>10908</v>
      </c>
      <c r="I81" t="s">
        <v>12503</v>
      </c>
      <c r="J81" t="s">
        <v>12726</v>
      </c>
      <c r="K81" s="46">
        <v>3.3000000000000002E-7</v>
      </c>
      <c r="L81" t="s">
        <v>10918</v>
      </c>
      <c r="N81" t="s">
        <v>10905</v>
      </c>
    </row>
    <row r="82" spans="1:16">
      <c r="A82" t="s">
        <v>10873</v>
      </c>
      <c r="B82" t="s">
        <v>10873</v>
      </c>
      <c r="C82" t="s">
        <v>10884</v>
      </c>
      <c r="D82" t="s">
        <v>4479</v>
      </c>
      <c r="E82" t="s">
        <v>10855</v>
      </c>
      <c r="F82" t="s">
        <v>10895</v>
      </c>
      <c r="G82" t="str">
        <f>Config!$B$5</f>
        <v>SCH/L_ANSI.SchLib</v>
      </c>
      <c r="H82" t="s">
        <v>10908</v>
      </c>
      <c r="I82" t="s">
        <v>12503</v>
      </c>
      <c r="J82" t="s">
        <v>10855</v>
      </c>
      <c r="K82" s="46">
        <v>2.2000000000000001E-7</v>
      </c>
      <c r="L82" t="s">
        <v>10918</v>
      </c>
      <c r="N82" t="s">
        <v>10906</v>
      </c>
    </row>
    <row r="83" spans="1:16">
      <c r="A83" t="s">
        <v>12737</v>
      </c>
      <c r="B83" t="s">
        <v>10873</v>
      </c>
      <c r="C83" t="s">
        <v>10884</v>
      </c>
      <c r="D83" t="s">
        <v>4479</v>
      </c>
      <c r="E83" t="s">
        <v>10855</v>
      </c>
      <c r="F83" t="s">
        <v>10895</v>
      </c>
      <c r="G83" t="str">
        <f>Config!$B$5</f>
        <v>SCH/L_ANSI.SchLib</v>
      </c>
      <c r="H83" t="s">
        <v>10908</v>
      </c>
      <c r="I83" t="s">
        <v>12503</v>
      </c>
      <c r="J83" t="s">
        <v>12725</v>
      </c>
      <c r="K83" s="46">
        <v>2.2000000000000001E-7</v>
      </c>
      <c r="L83" t="s">
        <v>10918</v>
      </c>
      <c r="N83" t="s">
        <v>10906</v>
      </c>
    </row>
    <row r="84" spans="1:16">
      <c r="A84" t="s">
        <v>12746</v>
      </c>
      <c r="B84" t="s">
        <v>10873</v>
      </c>
      <c r="C84" t="s">
        <v>10884</v>
      </c>
      <c r="D84" t="s">
        <v>4479</v>
      </c>
      <c r="E84" t="s">
        <v>10855</v>
      </c>
      <c r="F84" t="s">
        <v>10895</v>
      </c>
      <c r="G84" t="str">
        <f>Config!$B$5</f>
        <v>SCH/L_ANSI.SchLib</v>
      </c>
      <c r="H84" t="s">
        <v>10908</v>
      </c>
      <c r="I84" t="s">
        <v>12503</v>
      </c>
      <c r="J84" t="s">
        <v>12726</v>
      </c>
      <c r="K84" s="46">
        <v>2.2000000000000001E-7</v>
      </c>
      <c r="L84" t="s">
        <v>10918</v>
      </c>
      <c r="N84" t="s">
        <v>10906</v>
      </c>
    </row>
    <row r="85" spans="1:16">
      <c r="A85" t="s">
        <v>10874</v>
      </c>
      <c r="B85" t="s">
        <v>10874</v>
      </c>
      <c r="C85" t="s">
        <v>10885</v>
      </c>
      <c r="D85" t="s">
        <v>4479</v>
      </c>
      <c r="E85" t="s">
        <v>10855</v>
      </c>
      <c r="F85" t="s">
        <v>10896</v>
      </c>
      <c r="G85" t="str">
        <f>Config!$B$5</f>
        <v>SCH/L_ANSI.SchLib</v>
      </c>
      <c r="H85" t="s">
        <v>10908</v>
      </c>
      <c r="I85" t="s">
        <v>12503</v>
      </c>
      <c r="J85" t="s">
        <v>10855</v>
      </c>
      <c r="K85" s="46">
        <v>1.2499999999999999E-7</v>
      </c>
      <c r="L85" t="s">
        <v>10918</v>
      </c>
      <c r="N85" t="s">
        <v>10907</v>
      </c>
    </row>
    <row r="86" spans="1:16">
      <c r="A86" t="s">
        <v>12738</v>
      </c>
      <c r="B86" t="s">
        <v>10874</v>
      </c>
      <c r="C86" t="s">
        <v>10885</v>
      </c>
      <c r="D86" t="s">
        <v>4479</v>
      </c>
      <c r="E86" t="s">
        <v>10855</v>
      </c>
      <c r="F86" t="s">
        <v>10896</v>
      </c>
      <c r="G86" t="str">
        <f>Config!$B$5</f>
        <v>SCH/L_ANSI.SchLib</v>
      </c>
      <c r="H86" t="s">
        <v>10908</v>
      </c>
      <c r="I86" t="s">
        <v>12503</v>
      </c>
      <c r="J86" t="s">
        <v>12725</v>
      </c>
      <c r="K86" s="46">
        <v>1.2499999999999999E-7</v>
      </c>
      <c r="L86" t="s">
        <v>10918</v>
      </c>
      <c r="N86" t="s">
        <v>10907</v>
      </c>
    </row>
    <row r="87" spans="1:16">
      <c r="A87" t="s">
        <v>12747</v>
      </c>
      <c r="B87" t="s">
        <v>10874</v>
      </c>
      <c r="C87" t="s">
        <v>10885</v>
      </c>
      <c r="D87" t="s">
        <v>4479</v>
      </c>
      <c r="E87" t="s">
        <v>10855</v>
      </c>
      <c r="F87" t="s">
        <v>10896</v>
      </c>
      <c r="G87" t="str">
        <f>Config!$B$5</f>
        <v>SCH/L_ANSI.SchLib</v>
      </c>
      <c r="H87" t="s">
        <v>10908</v>
      </c>
      <c r="I87" t="s">
        <v>12503</v>
      </c>
      <c r="J87" t="s">
        <v>12726</v>
      </c>
      <c r="K87" s="46">
        <v>1.2499999999999999E-7</v>
      </c>
      <c r="L87" t="s">
        <v>10918</v>
      </c>
      <c r="N87" t="s">
        <v>10907</v>
      </c>
    </row>
    <row r="88" spans="1:16">
      <c r="A88" t="s">
        <v>12748</v>
      </c>
      <c r="B88" t="s">
        <v>12748</v>
      </c>
      <c r="C88" t="s">
        <v>10923</v>
      </c>
      <c r="D88" t="s">
        <v>4479</v>
      </c>
      <c r="E88" t="s">
        <v>10921</v>
      </c>
      <c r="G88" t="str">
        <f>Config!$B$5</f>
        <v>SCH/L_ANSI.SchLib</v>
      </c>
      <c r="H88" t="s">
        <v>10927</v>
      </c>
      <c r="I88" t="s">
        <v>12503</v>
      </c>
      <c r="J88" t="s">
        <v>12750</v>
      </c>
      <c r="L88" t="s">
        <v>10918</v>
      </c>
      <c r="M88" t="s">
        <v>10922</v>
      </c>
      <c r="N88" t="s">
        <v>10922</v>
      </c>
      <c r="O88" t="s">
        <v>25</v>
      </c>
      <c r="P88" t="s">
        <v>12504</v>
      </c>
    </row>
    <row r="89" spans="1:16">
      <c r="A89" t="s">
        <v>12752</v>
      </c>
      <c r="B89" t="s">
        <v>12748</v>
      </c>
      <c r="C89" t="s">
        <v>10923</v>
      </c>
      <c r="D89" t="s">
        <v>4479</v>
      </c>
      <c r="E89" t="s">
        <v>10921</v>
      </c>
      <c r="G89" t="str">
        <f>Config!$B$5</f>
        <v>SCH/L_ANSI.SchLib</v>
      </c>
      <c r="H89" t="s">
        <v>10927</v>
      </c>
      <c r="I89" t="s">
        <v>12503</v>
      </c>
      <c r="J89" t="s">
        <v>12753</v>
      </c>
      <c r="L89" t="s">
        <v>10918</v>
      </c>
      <c r="M89" t="s">
        <v>10922</v>
      </c>
      <c r="N89" t="s">
        <v>10922</v>
      </c>
      <c r="O89" t="s">
        <v>25</v>
      </c>
      <c r="P89" t="s">
        <v>12504</v>
      </c>
    </row>
    <row r="90" spans="1:16">
      <c r="A90" t="s">
        <v>12749</v>
      </c>
      <c r="B90" t="s">
        <v>12749</v>
      </c>
      <c r="C90" t="s">
        <v>10925</v>
      </c>
      <c r="D90" t="s">
        <v>4479</v>
      </c>
      <c r="E90" t="s">
        <v>10924</v>
      </c>
      <c r="G90" t="str">
        <f>Config!$B$5</f>
        <v>SCH/L_ANSI.SchLib</v>
      </c>
      <c r="H90" t="s">
        <v>10927</v>
      </c>
      <c r="I90" t="s">
        <v>12503</v>
      </c>
      <c r="J90" t="s">
        <v>12751</v>
      </c>
      <c r="L90" t="s">
        <v>10918</v>
      </c>
      <c r="M90" t="s">
        <v>7496</v>
      </c>
      <c r="N90" t="s">
        <v>10926</v>
      </c>
      <c r="O90" t="s">
        <v>25</v>
      </c>
      <c r="P90" t="s">
        <v>12505</v>
      </c>
    </row>
    <row r="91" spans="1:16">
      <c r="A91" t="s">
        <v>10862</v>
      </c>
      <c r="B91" t="s">
        <v>10858</v>
      </c>
      <c r="C91" t="s">
        <v>10909</v>
      </c>
      <c r="E91" t="s">
        <v>10855</v>
      </c>
      <c r="F91" t="s">
        <v>10914</v>
      </c>
      <c r="G91" t="str">
        <f>Config!$B$5</f>
        <v>SCH/L_ANSI.SchLib</v>
      </c>
      <c r="H91" t="s">
        <v>10856</v>
      </c>
      <c r="I91" t="s">
        <v>12503</v>
      </c>
      <c r="J91" t="s">
        <v>10928</v>
      </c>
      <c r="K91" s="46">
        <v>1</v>
      </c>
      <c r="L91" t="s">
        <v>10918</v>
      </c>
    </row>
    <row r="92" spans="1:16">
      <c r="A92" t="s">
        <v>10861</v>
      </c>
      <c r="B92" t="s">
        <v>10857</v>
      </c>
      <c r="C92" t="s">
        <v>10910</v>
      </c>
      <c r="E92" t="s">
        <v>10855</v>
      </c>
      <c r="F92" t="s">
        <v>10915</v>
      </c>
      <c r="G92" t="str">
        <f>Config!$B$5</f>
        <v>SCH/L_ANSI.SchLib</v>
      </c>
      <c r="H92" t="s">
        <v>10856</v>
      </c>
      <c r="I92" t="s">
        <v>12503</v>
      </c>
      <c r="J92" t="s">
        <v>10929</v>
      </c>
      <c r="K92" s="46">
        <v>2</v>
      </c>
      <c r="L92" t="s">
        <v>10918</v>
      </c>
    </row>
    <row r="93" spans="1:16">
      <c r="A93" t="s">
        <v>10859</v>
      </c>
      <c r="B93" t="s">
        <v>10919</v>
      </c>
      <c r="C93" t="s">
        <v>10912</v>
      </c>
      <c r="E93" t="s">
        <v>10855</v>
      </c>
      <c r="F93" t="s">
        <v>10916</v>
      </c>
      <c r="G93" t="str">
        <f>Config!$B$5</f>
        <v>SCH/L_ANSI.SchLib</v>
      </c>
      <c r="H93" t="s">
        <v>10856</v>
      </c>
      <c r="I93" t="s">
        <v>12503</v>
      </c>
      <c r="J93" t="s">
        <v>10930</v>
      </c>
      <c r="K93" s="46">
        <v>8</v>
      </c>
      <c r="L93" t="s">
        <v>10918</v>
      </c>
    </row>
    <row r="94" spans="1:16">
      <c r="A94" t="s">
        <v>10860</v>
      </c>
      <c r="B94" t="s">
        <v>10920</v>
      </c>
      <c r="C94" t="s">
        <v>10911</v>
      </c>
      <c r="E94" t="s">
        <v>10855</v>
      </c>
      <c r="F94" t="s">
        <v>10917</v>
      </c>
      <c r="G94" t="str">
        <f>Config!$B$5</f>
        <v>SCH/L_ANSI.SchLib</v>
      </c>
      <c r="H94" t="s">
        <v>10856</v>
      </c>
      <c r="I94" t="s">
        <v>12503</v>
      </c>
      <c r="J94" t="s">
        <v>10931</v>
      </c>
      <c r="K94" s="46">
        <v>24</v>
      </c>
      <c r="L94" t="s">
        <v>10918</v>
      </c>
    </row>
    <row r="95" spans="1:16">
      <c r="A95" t="s">
        <v>12699</v>
      </c>
      <c r="B95" t="s">
        <v>10858</v>
      </c>
      <c r="C95" t="s">
        <v>12702</v>
      </c>
      <c r="E95" t="s">
        <v>10855</v>
      </c>
      <c r="F95" t="s">
        <v>10914</v>
      </c>
      <c r="G95" t="str">
        <f>Config!$B$5</f>
        <v>SCH/L_ANSI.SchLib</v>
      </c>
      <c r="H95" t="s">
        <v>10856</v>
      </c>
      <c r="I95" t="s">
        <v>12503</v>
      </c>
      <c r="J95" s="39"/>
      <c r="K95" s="46">
        <v>1</v>
      </c>
      <c r="L95" t="s">
        <v>10918</v>
      </c>
    </row>
    <row r="96" spans="1:16">
      <c r="A96" t="s">
        <v>12700</v>
      </c>
      <c r="B96" t="s">
        <v>10857</v>
      </c>
      <c r="C96" t="s">
        <v>12703</v>
      </c>
      <c r="E96" t="s">
        <v>10855</v>
      </c>
      <c r="F96" t="s">
        <v>10915</v>
      </c>
      <c r="G96" t="str">
        <f>Config!$B$5</f>
        <v>SCH/L_ANSI.SchLib</v>
      </c>
      <c r="H96" t="s">
        <v>10856</v>
      </c>
      <c r="I96" t="s">
        <v>12503</v>
      </c>
      <c r="J96" s="39"/>
      <c r="K96" s="46">
        <v>2</v>
      </c>
      <c r="L96" t="s">
        <v>10918</v>
      </c>
    </row>
    <row r="97" spans="1:12">
      <c r="A97" t="s">
        <v>10865</v>
      </c>
      <c r="B97" t="s">
        <v>10919</v>
      </c>
      <c r="C97" t="s">
        <v>10913</v>
      </c>
      <c r="E97" t="s">
        <v>10855</v>
      </c>
      <c r="F97" t="s">
        <v>10916</v>
      </c>
      <c r="G97" t="str">
        <f>Config!$B$5</f>
        <v>SCH/L_ANSI.SchLib</v>
      </c>
      <c r="H97" t="s">
        <v>10856</v>
      </c>
      <c r="I97" t="s">
        <v>12503</v>
      </c>
      <c r="J97" s="39"/>
      <c r="K97" s="46">
        <v>8</v>
      </c>
      <c r="L97" t="s">
        <v>10918</v>
      </c>
    </row>
    <row r="98" spans="1:12">
      <c r="A98" t="s">
        <v>12701</v>
      </c>
      <c r="B98" t="s">
        <v>10920</v>
      </c>
      <c r="C98" t="s">
        <v>12704</v>
      </c>
      <c r="E98" t="s">
        <v>10855</v>
      </c>
      <c r="F98" t="s">
        <v>10917</v>
      </c>
      <c r="G98" t="str">
        <f>Config!$B$5</f>
        <v>SCH/L_ANSI.SchLib</v>
      </c>
      <c r="H98" t="s">
        <v>10856</v>
      </c>
      <c r="I98" t="s">
        <v>12503</v>
      </c>
      <c r="J98" s="39"/>
      <c r="K98" s="46">
        <v>24</v>
      </c>
      <c r="L98" t="s">
        <v>10918</v>
      </c>
    </row>
    <row r="99" spans="1:12">
      <c r="A99" t="s">
        <v>12664</v>
      </c>
      <c r="B99" t="s">
        <v>10858</v>
      </c>
      <c r="C99" t="s">
        <v>12669</v>
      </c>
      <c r="E99" t="s">
        <v>10855</v>
      </c>
      <c r="F99" t="s">
        <v>10914</v>
      </c>
      <c r="G99" t="str">
        <f>Config!$B$5</f>
        <v>SCH/L_ANSI.SchLib</v>
      </c>
      <c r="H99" t="s">
        <v>10856</v>
      </c>
      <c r="I99" t="s">
        <v>12503</v>
      </c>
      <c r="J99" t="s">
        <v>12674</v>
      </c>
      <c r="K99" s="46">
        <v>1</v>
      </c>
      <c r="L99" t="s">
        <v>10918</v>
      </c>
    </row>
    <row r="100" spans="1:12">
      <c r="A100" t="s">
        <v>12665</v>
      </c>
      <c r="B100" t="s">
        <v>10858</v>
      </c>
      <c r="C100" t="s">
        <v>12670</v>
      </c>
      <c r="E100" t="s">
        <v>10855</v>
      </c>
      <c r="F100" t="s">
        <v>10914</v>
      </c>
      <c r="G100" t="str">
        <f>Config!$B$5</f>
        <v>SCH/L_ANSI.SchLib</v>
      </c>
      <c r="H100" t="s">
        <v>10856</v>
      </c>
      <c r="I100" t="s">
        <v>12503</v>
      </c>
      <c r="J100" t="s">
        <v>12675</v>
      </c>
      <c r="K100" s="46">
        <v>1</v>
      </c>
      <c r="L100" t="s">
        <v>10918</v>
      </c>
    </row>
    <row r="101" spans="1:12">
      <c r="A101" t="s">
        <v>12666</v>
      </c>
      <c r="B101" t="s">
        <v>10858</v>
      </c>
      <c r="C101" t="s">
        <v>12671</v>
      </c>
      <c r="E101" t="s">
        <v>10855</v>
      </c>
      <c r="F101" t="s">
        <v>10914</v>
      </c>
      <c r="G101" t="str">
        <f>Config!$B$5</f>
        <v>SCH/L_ANSI.SchLib</v>
      </c>
      <c r="H101" t="s">
        <v>10856</v>
      </c>
      <c r="I101" t="s">
        <v>12503</v>
      </c>
      <c r="J101" t="s">
        <v>12676</v>
      </c>
      <c r="K101" s="46">
        <v>1</v>
      </c>
      <c r="L101" t="s">
        <v>10918</v>
      </c>
    </row>
    <row r="102" spans="1:12">
      <c r="A102" t="s">
        <v>12667</v>
      </c>
      <c r="B102" t="s">
        <v>10858</v>
      </c>
      <c r="C102" t="s">
        <v>12672</v>
      </c>
      <c r="E102" t="s">
        <v>10855</v>
      </c>
      <c r="F102" t="s">
        <v>10914</v>
      </c>
      <c r="G102" t="str">
        <f>Config!$B$5</f>
        <v>SCH/L_ANSI.SchLib</v>
      </c>
      <c r="H102" t="s">
        <v>10856</v>
      </c>
      <c r="I102" t="s">
        <v>12503</v>
      </c>
      <c r="J102" t="s">
        <v>12677</v>
      </c>
      <c r="K102" s="46">
        <v>1</v>
      </c>
      <c r="L102" t="s">
        <v>10918</v>
      </c>
    </row>
    <row r="103" spans="1:12">
      <c r="A103" t="s">
        <v>12668</v>
      </c>
      <c r="B103" t="s">
        <v>10858</v>
      </c>
      <c r="C103" t="s">
        <v>12673</v>
      </c>
      <c r="E103" t="s">
        <v>10855</v>
      </c>
      <c r="F103" t="s">
        <v>10914</v>
      </c>
      <c r="G103" t="str">
        <f>Config!$B$5</f>
        <v>SCH/L_ANSI.SchLib</v>
      </c>
      <c r="H103" t="s">
        <v>10856</v>
      </c>
      <c r="I103" t="s">
        <v>12503</v>
      </c>
      <c r="J103" t="s">
        <v>12678</v>
      </c>
      <c r="K103" s="46">
        <v>1</v>
      </c>
      <c r="L103" t="s">
        <v>10918</v>
      </c>
    </row>
    <row r="104" spans="1:12">
      <c r="A104" t="s">
        <v>12715</v>
      </c>
      <c r="B104" t="s">
        <v>10858</v>
      </c>
      <c r="C104" t="s">
        <v>12716</v>
      </c>
      <c r="E104" t="s">
        <v>10855</v>
      </c>
      <c r="F104" t="s">
        <v>10914</v>
      </c>
      <c r="G104" t="str">
        <f>Config!$B$5</f>
        <v>SCH/L_ANSI.SchLib</v>
      </c>
      <c r="H104" t="s">
        <v>10856</v>
      </c>
      <c r="I104" t="s">
        <v>12503</v>
      </c>
      <c r="J104" t="s">
        <v>12717</v>
      </c>
      <c r="K104" s="46">
        <v>1</v>
      </c>
      <c r="L104" t="s">
        <v>10918</v>
      </c>
    </row>
    <row r="105" spans="1:12">
      <c r="A105" t="s">
        <v>12679</v>
      </c>
      <c r="B105" t="s">
        <v>10857</v>
      </c>
      <c r="C105" t="s">
        <v>12705</v>
      </c>
      <c r="E105" t="s">
        <v>10855</v>
      </c>
      <c r="F105" t="s">
        <v>10915</v>
      </c>
      <c r="G105" t="str">
        <f>Config!$B$5</f>
        <v>SCH/L_ANSI.SchLib</v>
      </c>
      <c r="H105" t="s">
        <v>10856</v>
      </c>
      <c r="I105" t="s">
        <v>12503</v>
      </c>
      <c r="J105" t="s">
        <v>12684</v>
      </c>
      <c r="K105" s="46">
        <v>2</v>
      </c>
      <c r="L105" t="s">
        <v>10918</v>
      </c>
    </row>
    <row r="106" spans="1:12">
      <c r="A106" t="s">
        <v>12680</v>
      </c>
      <c r="B106" t="s">
        <v>10857</v>
      </c>
      <c r="C106" t="s">
        <v>12706</v>
      </c>
      <c r="E106" t="s">
        <v>10855</v>
      </c>
      <c r="F106" t="s">
        <v>10915</v>
      </c>
      <c r="G106" t="str">
        <f>Config!$B$5</f>
        <v>SCH/L_ANSI.SchLib</v>
      </c>
      <c r="H106" t="s">
        <v>10856</v>
      </c>
      <c r="I106" t="s">
        <v>12503</v>
      </c>
      <c r="J106" t="s">
        <v>12685</v>
      </c>
      <c r="K106" s="46">
        <v>2</v>
      </c>
      <c r="L106" t="s">
        <v>10918</v>
      </c>
    </row>
    <row r="107" spans="1:12">
      <c r="A107" t="s">
        <v>12681</v>
      </c>
      <c r="B107" t="s">
        <v>10857</v>
      </c>
      <c r="C107" t="s">
        <v>12707</v>
      </c>
      <c r="E107" t="s">
        <v>10855</v>
      </c>
      <c r="F107" t="s">
        <v>10915</v>
      </c>
      <c r="G107" t="str">
        <f>Config!$B$5</f>
        <v>SCH/L_ANSI.SchLib</v>
      </c>
      <c r="H107" t="s">
        <v>10856</v>
      </c>
      <c r="I107" t="s">
        <v>12503</v>
      </c>
      <c r="J107" t="s">
        <v>12686</v>
      </c>
      <c r="K107" s="46">
        <v>2</v>
      </c>
      <c r="L107" t="s">
        <v>10918</v>
      </c>
    </row>
    <row r="108" spans="1:12">
      <c r="A108" t="s">
        <v>12682</v>
      </c>
      <c r="B108" t="s">
        <v>10857</v>
      </c>
      <c r="C108" t="s">
        <v>12708</v>
      </c>
      <c r="E108" t="s">
        <v>10855</v>
      </c>
      <c r="F108" t="s">
        <v>10915</v>
      </c>
      <c r="G108" t="str">
        <f>Config!$B$5</f>
        <v>SCH/L_ANSI.SchLib</v>
      </c>
      <c r="H108" t="s">
        <v>10856</v>
      </c>
      <c r="I108" t="s">
        <v>12503</v>
      </c>
      <c r="J108" t="s">
        <v>12687</v>
      </c>
      <c r="K108" s="46">
        <v>2</v>
      </c>
      <c r="L108" t="s">
        <v>10918</v>
      </c>
    </row>
    <row r="109" spans="1:12">
      <c r="A109" t="s">
        <v>12683</v>
      </c>
      <c r="B109" t="s">
        <v>10857</v>
      </c>
      <c r="C109" t="s">
        <v>12709</v>
      </c>
      <c r="E109" t="s">
        <v>10855</v>
      </c>
      <c r="F109" t="s">
        <v>10915</v>
      </c>
      <c r="G109" t="str">
        <f>Config!$B$5</f>
        <v>SCH/L_ANSI.SchLib</v>
      </c>
      <c r="H109" t="s">
        <v>10856</v>
      </c>
      <c r="I109" t="s">
        <v>12503</v>
      </c>
      <c r="J109" t="s">
        <v>12688</v>
      </c>
      <c r="K109" s="46">
        <v>2</v>
      </c>
      <c r="L109" t="s">
        <v>10918</v>
      </c>
    </row>
    <row r="110" spans="1:12">
      <c r="A110" t="s">
        <v>12718</v>
      </c>
      <c r="B110" t="s">
        <v>10857</v>
      </c>
      <c r="C110" t="s">
        <v>12719</v>
      </c>
      <c r="E110" t="s">
        <v>10855</v>
      </c>
      <c r="F110" t="s">
        <v>10915</v>
      </c>
      <c r="G110" t="str">
        <f>Config!$B$5</f>
        <v>SCH/L_ANSI.SchLib</v>
      </c>
      <c r="H110" t="s">
        <v>10856</v>
      </c>
      <c r="I110" t="s">
        <v>12503</v>
      </c>
      <c r="J110" t="s">
        <v>12720</v>
      </c>
      <c r="K110" s="46">
        <v>2</v>
      </c>
      <c r="L110" t="s">
        <v>10918</v>
      </c>
    </row>
    <row r="111" spans="1:12">
      <c r="A111" t="s">
        <v>12694</v>
      </c>
      <c r="B111" t="s">
        <v>10920</v>
      </c>
      <c r="C111" t="s">
        <v>12710</v>
      </c>
      <c r="E111" t="s">
        <v>10855</v>
      </c>
      <c r="F111" t="s">
        <v>10917</v>
      </c>
      <c r="G111" t="str">
        <f>Config!$B$5</f>
        <v>SCH/L_ANSI.SchLib</v>
      </c>
      <c r="H111" t="s">
        <v>10856</v>
      </c>
      <c r="I111" t="s">
        <v>12503</v>
      </c>
      <c r="J111" t="s">
        <v>12689</v>
      </c>
      <c r="K111" s="46">
        <v>24</v>
      </c>
      <c r="L111" t="s">
        <v>10918</v>
      </c>
    </row>
    <row r="112" spans="1:12">
      <c r="A112" t="s">
        <v>12695</v>
      </c>
      <c r="B112" t="s">
        <v>10920</v>
      </c>
      <c r="C112" t="s">
        <v>12711</v>
      </c>
      <c r="E112" t="s">
        <v>10855</v>
      </c>
      <c r="F112" t="s">
        <v>10917</v>
      </c>
      <c r="G112" t="str">
        <f>Config!$B$5</f>
        <v>SCH/L_ANSI.SchLib</v>
      </c>
      <c r="H112" t="s">
        <v>10856</v>
      </c>
      <c r="I112" t="s">
        <v>12503</v>
      </c>
      <c r="J112" t="s">
        <v>12690</v>
      </c>
      <c r="K112" s="46">
        <v>24</v>
      </c>
      <c r="L112" t="s">
        <v>10918</v>
      </c>
    </row>
    <row r="113" spans="1:16">
      <c r="A113" t="s">
        <v>12696</v>
      </c>
      <c r="B113" t="s">
        <v>10920</v>
      </c>
      <c r="C113" t="s">
        <v>12712</v>
      </c>
      <c r="E113" t="s">
        <v>10855</v>
      </c>
      <c r="F113" t="s">
        <v>10917</v>
      </c>
      <c r="G113" t="str">
        <f>Config!$B$5</f>
        <v>SCH/L_ANSI.SchLib</v>
      </c>
      <c r="H113" t="s">
        <v>10856</v>
      </c>
      <c r="I113" t="s">
        <v>12503</v>
      </c>
      <c r="J113" t="s">
        <v>12691</v>
      </c>
      <c r="K113" s="46">
        <v>24</v>
      </c>
      <c r="L113" t="s">
        <v>10918</v>
      </c>
    </row>
    <row r="114" spans="1:16">
      <c r="A114" t="s">
        <v>12697</v>
      </c>
      <c r="B114" t="s">
        <v>10920</v>
      </c>
      <c r="C114" t="s">
        <v>12713</v>
      </c>
      <c r="E114" t="s">
        <v>10855</v>
      </c>
      <c r="F114" t="s">
        <v>10917</v>
      </c>
      <c r="G114" t="str">
        <f>Config!$B$5</f>
        <v>SCH/L_ANSI.SchLib</v>
      </c>
      <c r="H114" t="s">
        <v>10856</v>
      </c>
      <c r="I114" t="s">
        <v>12503</v>
      </c>
      <c r="J114" t="s">
        <v>12692</v>
      </c>
      <c r="K114" s="46">
        <v>24</v>
      </c>
      <c r="L114" t="s">
        <v>10918</v>
      </c>
    </row>
    <row r="115" spans="1:16">
      <c r="A115" t="s">
        <v>12698</v>
      </c>
      <c r="B115" t="s">
        <v>10920</v>
      </c>
      <c r="C115" t="s">
        <v>12714</v>
      </c>
      <c r="E115" t="s">
        <v>10855</v>
      </c>
      <c r="F115" t="s">
        <v>10917</v>
      </c>
      <c r="G115" t="str">
        <f>Config!$B$5</f>
        <v>SCH/L_ANSI.SchLib</v>
      </c>
      <c r="H115" t="s">
        <v>10856</v>
      </c>
      <c r="I115" t="s">
        <v>12503</v>
      </c>
      <c r="J115" t="s">
        <v>12693</v>
      </c>
      <c r="K115" s="46">
        <v>24</v>
      </c>
      <c r="L115" t="s">
        <v>10918</v>
      </c>
    </row>
    <row r="116" spans="1:16">
      <c r="A116" t="s">
        <v>12721</v>
      </c>
      <c r="B116" t="s">
        <v>10920</v>
      </c>
      <c r="C116" t="s">
        <v>12722</v>
      </c>
      <c r="E116" t="s">
        <v>10855</v>
      </c>
      <c r="F116" t="s">
        <v>10917</v>
      </c>
      <c r="G116" t="str">
        <f>Config!$B$5</f>
        <v>SCH/L_ANSI.SchLib</v>
      </c>
      <c r="H116" t="s">
        <v>10856</v>
      </c>
      <c r="I116" t="s">
        <v>12503</v>
      </c>
      <c r="J116" t="s">
        <v>12723</v>
      </c>
      <c r="K116" s="46">
        <v>24</v>
      </c>
      <c r="L116" t="s">
        <v>10918</v>
      </c>
    </row>
    <row r="117" spans="1:16">
      <c r="A117" t="s">
        <v>11248</v>
      </c>
      <c r="B117" t="s">
        <v>11248</v>
      </c>
      <c r="C117" t="s">
        <v>11294</v>
      </c>
      <c r="D117" t="s">
        <v>11340</v>
      </c>
      <c r="E117">
        <v>7635</v>
      </c>
      <c r="F117" t="s">
        <v>6778</v>
      </c>
      <c r="G117" t="str">
        <f>Config!$B$5</f>
        <v>SCH/L_ANSI.SchLib</v>
      </c>
      <c r="H117" t="s">
        <v>424</v>
      </c>
      <c r="I117" t="s">
        <v>6535</v>
      </c>
      <c r="J117" t="s">
        <v>11350</v>
      </c>
      <c r="K117" s="46">
        <v>1.0000000000000001E-5</v>
      </c>
      <c r="L117" t="s">
        <v>11349</v>
      </c>
      <c r="M117" t="s">
        <v>11340</v>
      </c>
      <c r="N117" t="s">
        <v>11201</v>
      </c>
      <c r="O117" t="s">
        <v>25</v>
      </c>
      <c r="P117" t="s">
        <v>12124</v>
      </c>
    </row>
    <row r="118" spans="1:16">
      <c r="A118" t="s">
        <v>11249</v>
      </c>
      <c r="B118" t="s">
        <v>11249</v>
      </c>
      <c r="C118" t="s">
        <v>11295</v>
      </c>
      <c r="D118" t="s">
        <v>11340</v>
      </c>
      <c r="E118">
        <v>7635</v>
      </c>
      <c r="F118" t="s">
        <v>11341</v>
      </c>
      <c r="G118" t="str">
        <f>Config!$B$5</f>
        <v>SCH/L_ANSI.SchLib</v>
      </c>
      <c r="H118" t="s">
        <v>424</v>
      </c>
      <c r="I118" t="s">
        <v>6535</v>
      </c>
      <c r="J118" t="s">
        <v>11350</v>
      </c>
      <c r="K118" s="46">
        <v>1E-4</v>
      </c>
      <c r="L118" t="s">
        <v>11349</v>
      </c>
      <c r="M118" t="s">
        <v>11340</v>
      </c>
      <c r="N118" t="s">
        <v>11202</v>
      </c>
      <c r="O118" t="s">
        <v>25</v>
      </c>
      <c r="P118" t="s">
        <v>12125</v>
      </c>
    </row>
    <row r="119" spans="1:16">
      <c r="A119" t="s">
        <v>11250</v>
      </c>
      <c r="B119" t="s">
        <v>11250</v>
      </c>
      <c r="C119" t="s">
        <v>11296</v>
      </c>
      <c r="D119" t="s">
        <v>11340</v>
      </c>
      <c r="E119">
        <v>7635</v>
      </c>
      <c r="F119" t="s">
        <v>7510</v>
      </c>
      <c r="G119" t="str">
        <f>Config!$B$5</f>
        <v>SCH/L_ANSI.SchLib</v>
      </c>
      <c r="H119" t="s">
        <v>424</v>
      </c>
      <c r="I119" t="s">
        <v>6535</v>
      </c>
      <c r="J119" t="s">
        <v>11350</v>
      </c>
      <c r="K119" s="46">
        <v>1E-3</v>
      </c>
      <c r="L119" t="s">
        <v>11349</v>
      </c>
      <c r="M119" t="s">
        <v>11340</v>
      </c>
      <c r="N119" t="s">
        <v>11203</v>
      </c>
      <c r="O119" t="s">
        <v>25</v>
      </c>
      <c r="P119" t="s">
        <v>12126</v>
      </c>
    </row>
    <row r="120" spans="1:16">
      <c r="A120" t="s">
        <v>11251</v>
      </c>
      <c r="B120" t="s">
        <v>11251</v>
      </c>
      <c r="C120" t="s">
        <v>11297</v>
      </c>
      <c r="D120" t="s">
        <v>11340</v>
      </c>
      <c r="E120">
        <v>7635</v>
      </c>
      <c r="F120" t="s">
        <v>6718</v>
      </c>
      <c r="G120" t="str">
        <f>Config!$B$5</f>
        <v>SCH/L_ANSI.SchLib</v>
      </c>
      <c r="H120" t="s">
        <v>424</v>
      </c>
      <c r="I120" t="s">
        <v>6535</v>
      </c>
      <c r="J120" t="s">
        <v>11350</v>
      </c>
      <c r="K120" s="46">
        <v>1.5E-5</v>
      </c>
      <c r="L120" t="s">
        <v>11349</v>
      </c>
      <c r="M120" t="s">
        <v>11340</v>
      </c>
      <c r="N120" t="s">
        <v>11204</v>
      </c>
      <c r="O120" t="s">
        <v>25</v>
      </c>
      <c r="P120" t="s">
        <v>12127</v>
      </c>
    </row>
    <row r="121" spans="1:16">
      <c r="A121" t="s">
        <v>11252</v>
      </c>
      <c r="B121" t="s">
        <v>11252</v>
      </c>
      <c r="C121" t="s">
        <v>11298</v>
      </c>
      <c r="D121" t="s">
        <v>11340</v>
      </c>
      <c r="E121">
        <v>7635</v>
      </c>
      <c r="F121" t="s">
        <v>11342</v>
      </c>
      <c r="G121" t="str">
        <f>Config!$B$5</f>
        <v>SCH/L_ANSI.SchLib</v>
      </c>
      <c r="H121" t="s">
        <v>424</v>
      </c>
      <c r="I121" t="s">
        <v>6535</v>
      </c>
      <c r="J121" t="s">
        <v>11350</v>
      </c>
      <c r="K121" s="46">
        <v>1.4999999999999999E-4</v>
      </c>
      <c r="L121" t="s">
        <v>11349</v>
      </c>
      <c r="M121" t="s">
        <v>11340</v>
      </c>
      <c r="N121" t="s">
        <v>11205</v>
      </c>
      <c r="O121" t="s">
        <v>25</v>
      </c>
      <c r="P121" t="s">
        <v>12128</v>
      </c>
    </row>
    <row r="122" spans="1:16">
      <c r="A122" t="s">
        <v>11253</v>
      </c>
      <c r="B122" t="s">
        <v>11253</v>
      </c>
      <c r="C122" t="s">
        <v>11299</v>
      </c>
      <c r="D122" t="s">
        <v>11340</v>
      </c>
      <c r="E122">
        <v>7635</v>
      </c>
      <c r="F122" t="s">
        <v>4583</v>
      </c>
      <c r="G122" t="str">
        <f>Config!$B$5</f>
        <v>SCH/L_ANSI.SchLib</v>
      </c>
      <c r="H122" t="s">
        <v>424</v>
      </c>
      <c r="I122" t="s">
        <v>6535</v>
      </c>
      <c r="J122" t="s">
        <v>11350</v>
      </c>
      <c r="K122" s="46">
        <v>9.9999999999999995E-7</v>
      </c>
      <c r="L122" t="s">
        <v>11349</v>
      </c>
      <c r="M122" t="s">
        <v>11340</v>
      </c>
      <c r="N122" t="s">
        <v>11206</v>
      </c>
      <c r="O122" t="s">
        <v>25</v>
      </c>
      <c r="P122" t="s">
        <v>12162</v>
      </c>
    </row>
    <row r="123" spans="1:16">
      <c r="A123" t="s">
        <v>11254</v>
      </c>
      <c r="B123" t="s">
        <v>11254</v>
      </c>
      <c r="C123" t="s">
        <v>11300</v>
      </c>
      <c r="D123" t="s">
        <v>11340</v>
      </c>
      <c r="E123">
        <v>7635</v>
      </c>
      <c r="F123" t="s">
        <v>4584</v>
      </c>
      <c r="G123" t="str">
        <f>Config!$B$5</f>
        <v>SCH/L_ANSI.SchLib</v>
      </c>
      <c r="H123" t="s">
        <v>424</v>
      </c>
      <c r="I123" t="s">
        <v>6535</v>
      </c>
      <c r="J123" t="s">
        <v>11350</v>
      </c>
      <c r="K123" s="46">
        <v>1.5E-6</v>
      </c>
      <c r="L123" t="s">
        <v>11349</v>
      </c>
      <c r="M123" t="s">
        <v>11340</v>
      </c>
      <c r="N123" t="s">
        <v>11207</v>
      </c>
      <c r="O123" t="s">
        <v>25</v>
      </c>
      <c r="P123" t="s">
        <v>12163</v>
      </c>
    </row>
    <row r="124" spans="1:16">
      <c r="A124" t="s">
        <v>11255</v>
      </c>
      <c r="B124" t="s">
        <v>11255</v>
      </c>
      <c r="C124" t="s">
        <v>11301</v>
      </c>
      <c r="D124" t="s">
        <v>11340</v>
      </c>
      <c r="E124">
        <v>7635</v>
      </c>
      <c r="F124" t="s">
        <v>6845</v>
      </c>
      <c r="G124" t="str">
        <f>Config!$B$5</f>
        <v>SCH/L_ANSI.SchLib</v>
      </c>
      <c r="H124" t="s">
        <v>424</v>
      </c>
      <c r="I124" t="s">
        <v>6535</v>
      </c>
      <c r="J124" t="s">
        <v>11350</v>
      </c>
      <c r="K124" s="46">
        <v>2.1999999999999999E-5</v>
      </c>
      <c r="L124" t="s">
        <v>11349</v>
      </c>
      <c r="M124" t="s">
        <v>11340</v>
      </c>
      <c r="N124" t="s">
        <v>11208</v>
      </c>
      <c r="O124" t="s">
        <v>25</v>
      </c>
      <c r="P124" t="s">
        <v>12164</v>
      </c>
    </row>
    <row r="125" spans="1:16">
      <c r="A125" t="s">
        <v>11256</v>
      </c>
      <c r="B125" t="s">
        <v>11256</v>
      </c>
      <c r="C125" t="s">
        <v>11302</v>
      </c>
      <c r="D125" t="s">
        <v>11340</v>
      </c>
      <c r="E125">
        <v>7635</v>
      </c>
      <c r="F125" t="s">
        <v>6387</v>
      </c>
      <c r="G125" t="str">
        <f>Config!$B$5</f>
        <v>SCH/L_ANSI.SchLib</v>
      </c>
      <c r="H125" t="s">
        <v>424</v>
      </c>
      <c r="I125" t="s">
        <v>6535</v>
      </c>
      <c r="J125" t="s">
        <v>11350</v>
      </c>
      <c r="K125" s="46">
        <v>2.2000000000000001E-4</v>
      </c>
      <c r="L125" t="s">
        <v>11349</v>
      </c>
      <c r="M125" t="s">
        <v>11340</v>
      </c>
      <c r="N125" t="s">
        <v>11209</v>
      </c>
      <c r="O125" t="s">
        <v>25</v>
      </c>
      <c r="P125" t="s">
        <v>12129</v>
      </c>
    </row>
    <row r="126" spans="1:16">
      <c r="A126" t="s">
        <v>11257</v>
      </c>
      <c r="B126" t="s">
        <v>11257</v>
      </c>
      <c r="C126" t="s">
        <v>11303</v>
      </c>
      <c r="D126" t="s">
        <v>11340</v>
      </c>
      <c r="E126">
        <v>7635</v>
      </c>
      <c r="F126" t="s">
        <v>4585</v>
      </c>
      <c r="G126" t="str">
        <f>Config!$B$5</f>
        <v>SCH/L_ANSI.SchLib</v>
      </c>
      <c r="H126" t="s">
        <v>424</v>
      </c>
      <c r="I126" t="s">
        <v>6535</v>
      </c>
      <c r="J126" t="s">
        <v>11350</v>
      </c>
      <c r="K126" s="46">
        <v>2.2000000000000001E-6</v>
      </c>
      <c r="L126" t="s">
        <v>11349</v>
      </c>
      <c r="M126" t="s">
        <v>11340</v>
      </c>
      <c r="N126" t="s">
        <v>11210</v>
      </c>
      <c r="O126" t="s">
        <v>25</v>
      </c>
      <c r="P126" t="s">
        <v>12165</v>
      </c>
    </row>
    <row r="127" spans="1:16">
      <c r="A127" t="s">
        <v>11258</v>
      </c>
      <c r="B127" t="s">
        <v>11258</v>
      </c>
      <c r="C127" t="s">
        <v>11304</v>
      </c>
      <c r="D127" t="s">
        <v>11340</v>
      </c>
      <c r="E127">
        <v>7635</v>
      </c>
      <c r="F127" t="s">
        <v>6846</v>
      </c>
      <c r="G127" t="str">
        <f>Config!$B$5</f>
        <v>SCH/L_ANSI.SchLib</v>
      </c>
      <c r="H127" t="s">
        <v>424</v>
      </c>
      <c r="I127" t="s">
        <v>6535</v>
      </c>
      <c r="J127" t="s">
        <v>11350</v>
      </c>
      <c r="K127" s="46">
        <v>3.3000000000000003E-5</v>
      </c>
      <c r="L127" t="s">
        <v>11349</v>
      </c>
      <c r="M127" t="s">
        <v>11340</v>
      </c>
      <c r="N127" t="s">
        <v>11211</v>
      </c>
      <c r="O127" t="s">
        <v>25</v>
      </c>
      <c r="P127" t="s">
        <v>12130</v>
      </c>
    </row>
    <row r="128" spans="1:16">
      <c r="A128" t="s">
        <v>11259</v>
      </c>
      <c r="B128" t="s">
        <v>11259</v>
      </c>
      <c r="C128" t="s">
        <v>11305</v>
      </c>
      <c r="D128" t="s">
        <v>11340</v>
      </c>
      <c r="E128">
        <v>7635</v>
      </c>
      <c r="F128" t="s">
        <v>11343</v>
      </c>
      <c r="G128" t="str">
        <f>Config!$B$5</f>
        <v>SCH/L_ANSI.SchLib</v>
      </c>
      <c r="H128" t="s">
        <v>424</v>
      </c>
      <c r="I128" t="s">
        <v>6535</v>
      </c>
      <c r="J128" t="s">
        <v>11350</v>
      </c>
      <c r="K128" s="46">
        <v>3.3E-4</v>
      </c>
      <c r="L128" t="s">
        <v>11349</v>
      </c>
      <c r="M128" t="s">
        <v>11340</v>
      </c>
      <c r="N128" t="s">
        <v>11212</v>
      </c>
      <c r="O128" t="s">
        <v>25</v>
      </c>
      <c r="P128" t="s">
        <v>12131</v>
      </c>
    </row>
    <row r="129" spans="1:16">
      <c r="A129" t="s">
        <v>11260</v>
      </c>
      <c r="B129" t="s">
        <v>11260</v>
      </c>
      <c r="C129" t="s">
        <v>11306</v>
      </c>
      <c r="D129" t="s">
        <v>11340</v>
      </c>
      <c r="E129">
        <v>7635</v>
      </c>
      <c r="F129" t="s">
        <v>6796</v>
      </c>
      <c r="G129" t="str">
        <f>Config!$B$5</f>
        <v>SCH/L_ANSI.SchLib</v>
      </c>
      <c r="H129" t="s">
        <v>424</v>
      </c>
      <c r="I129" t="s">
        <v>6535</v>
      </c>
      <c r="J129" t="s">
        <v>11350</v>
      </c>
      <c r="K129" s="46">
        <v>3.3000000000000002E-6</v>
      </c>
      <c r="L129" t="s">
        <v>11349</v>
      </c>
      <c r="M129" t="s">
        <v>11340</v>
      </c>
      <c r="N129" t="s">
        <v>11213</v>
      </c>
      <c r="O129" t="s">
        <v>25</v>
      </c>
      <c r="P129" t="s">
        <v>12132</v>
      </c>
    </row>
    <row r="130" spans="1:16">
      <c r="A130" t="s">
        <v>11261</v>
      </c>
      <c r="B130" t="s">
        <v>11261</v>
      </c>
      <c r="C130" t="s">
        <v>11307</v>
      </c>
      <c r="D130" t="s">
        <v>11340</v>
      </c>
      <c r="E130">
        <v>7635</v>
      </c>
      <c r="F130" t="s">
        <v>11344</v>
      </c>
      <c r="G130" t="str">
        <f>Config!$B$5</f>
        <v>SCH/L_ANSI.SchLib</v>
      </c>
      <c r="H130" t="s">
        <v>424</v>
      </c>
      <c r="I130" t="s">
        <v>6535</v>
      </c>
      <c r="J130" t="s">
        <v>11350</v>
      </c>
      <c r="K130" s="46">
        <v>4.6999999999999997E-5</v>
      </c>
      <c r="L130" t="s">
        <v>11349</v>
      </c>
      <c r="M130" t="s">
        <v>11340</v>
      </c>
      <c r="N130" t="s">
        <v>11214</v>
      </c>
      <c r="O130" t="s">
        <v>25</v>
      </c>
      <c r="P130" t="s">
        <v>12133</v>
      </c>
    </row>
    <row r="131" spans="1:16">
      <c r="A131" t="s">
        <v>11262</v>
      </c>
      <c r="B131" t="s">
        <v>11262</v>
      </c>
      <c r="C131" t="s">
        <v>11308</v>
      </c>
      <c r="D131" t="s">
        <v>11340</v>
      </c>
      <c r="E131">
        <v>7635</v>
      </c>
      <c r="F131" t="s">
        <v>11345</v>
      </c>
      <c r="G131" t="str">
        <f>Config!$B$5</f>
        <v>SCH/L_ANSI.SchLib</v>
      </c>
      <c r="H131" t="s">
        <v>424</v>
      </c>
      <c r="I131" t="s">
        <v>6535</v>
      </c>
      <c r="J131" t="s">
        <v>11350</v>
      </c>
      <c r="K131" s="46">
        <v>4.6999999999999999E-4</v>
      </c>
      <c r="L131" t="s">
        <v>11349</v>
      </c>
      <c r="M131" t="s">
        <v>11340</v>
      </c>
      <c r="N131" t="s">
        <v>11215</v>
      </c>
      <c r="O131" t="s">
        <v>25</v>
      </c>
      <c r="P131" t="s">
        <v>12134</v>
      </c>
    </row>
    <row r="132" spans="1:16">
      <c r="A132" t="s">
        <v>11263</v>
      </c>
      <c r="B132" t="s">
        <v>11263</v>
      </c>
      <c r="C132" t="s">
        <v>11309</v>
      </c>
      <c r="D132" t="s">
        <v>11340</v>
      </c>
      <c r="E132">
        <v>7635</v>
      </c>
      <c r="F132" t="s">
        <v>4588</v>
      </c>
      <c r="G132" t="str">
        <f>Config!$B$5</f>
        <v>SCH/L_ANSI.SchLib</v>
      </c>
      <c r="H132" t="s">
        <v>424</v>
      </c>
      <c r="I132" t="s">
        <v>6535</v>
      </c>
      <c r="J132" t="s">
        <v>11350</v>
      </c>
      <c r="K132" s="46">
        <v>4.6999999999999999E-6</v>
      </c>
      <c r="L132" t="s">
        <v>11349</v>
      </c>
      <c r="M132" t="s">
        <v>11340</v>
      </c>
      <c r="N132" t="s">
        <v>11216</v>
      </c>
      <c r="O132" t="s">
        <v>25</v>
      </c>
      <c r="P132" t="s">
        <v>12166</v>
      </c>
    </row>
    <row r="133" spans="1:16">
      <c r="A133" t="s">
        <v>11264</v>
      </c>
      <c r="B133" t="s">
        <v>11264</v>
      </c>
      <c r="C133" t="s">
        <v>11310</v>
      </c>
      <c r="D133" t="s">
        <v>11340</v>
      </c>
      <c r="E133">
        <v>7635</v>
      </c>
      <c r="F133" t="s">
        <v>11346</v>
      </c>
      <c r="G133" t="str">
        <f>Config!$B$5</f>
        <v>SCH/L_ANSI.SchLib</v>
      </c>
      <c r="H133" t="s">
        <v>424</v>
      </c>
      <c r="I133" t="s">
        <v>6535</v>
      </c>
      <c r="J133" t="s">
        <v>11350</v>
      </c>
      <c r="K133" s="46">
        <v>6.7999999999999999E-5</v>
      </c>
      <c r="L133" t="s">
        <v>11349</v>
      </c>
      <c r="M133" t="s">
        <v>11340</v>
      </c>
      <c r="N133" t="s">
        <v>11217</v>
      </c>
      <c r="O133" t="s">
        <v>25</v>
      </c>
      <c r="P133" t="s">
        <v>12135</v>
      </c>
    </row>
    <row r="134" spans="1:16">
      <c r="A134" t="s">
        <v>11265</v>
      </c>
      <c r="B134" t="s">
        <v>11265</v>
      </c>
      <c r="C134" t="s">
        <v>11311</v>
      </c>
      <c r="D134" t="s">
        <v>11340</v>
      </c>
      <c r="E134">
        <v>7635</v>
      </c>
      <c r="F134" t="s">
        <v>11347</v>
      </c>
      <c r="G134" t="str">
        <f>Config!$B$5</f>
        <v>SCH/L_ANSI.SchLib</v>
      </c>
      <c r="H134" t="s">
        <v>424</v>
      </c>
      <c r="I134" t="s">
        <v>6535</v>
      </c>
      <c r="J134" t="s">
        <v>11350</v>
      </c>
      <c r="K134" s="46">
        <v>6.8000000000000005E-4</v>
      </c>
      <c r="L134" t="s">
        <v>11349</v>
      </c>
      <c r="M134" t="s">
        <v>11340</v>
      </c>
      <c r="N134" t="s">
        <v>11218</v>
      </c>
      <c r="O134" t="s">
        <v>25</v>
      </c>
      <c r="P134" t="s">
        <v>12136</v>
      </c>
    </row>
    <row r="135" spans="1:16">
      <c r="A135" t="s">
        <v>11266</v>
      </c>
      <c r="B135" t="s">
        <v>11266</v>
      </c>
      <c r="C135" t="s">
        <v>11312</v>
      </c>
      <c r="D135" t="s">
        <v>11340</v>
      </c>
      <c r="E135">
        <v>7635</v>
      </c>
      <c r="F135" t="s">
        <v>6927</v>
      </c>
      <c r="G135" t="str">
        <f>Config!$B$5</f>
        <v>SCH/L_ANSI.SchLib</v>
      </c>
      <c r="H135" t="s">
        <v>424</v>
      </c>
      <c r="I135" t="s">
        <v>6535</v>
      </c>
      <c r="J135" t="s">
        <v>11350</v>
      </c>
      <c r="K135" s="46">
        <v>6.8000000000000001E-6</v>
      </c>
      <c r="L135" t="s">
        <v>11349</v>
      </c>
      <c r="M135" t="s">
        <v>11340</v>
      </c>
      <c r="N135" t="s">
        <v>11219</v>
      </c>
      <c r="O135" t="s">
        <v>25</v>
      </c>
      <c r="P135" t="s">
        <v>12137</v>
      </c>
    </row>
    <row r="136" spans="1:16">
      <c r="A136" t="s">
        <v>11267</v>
      </c>
      <c r="B136" t="s">
        <v>11267</v>
      </c>
      <c r="C136" t="s">
        <v>11313</v>
      </c>
      <c r="D136" t="s">
        <v>11340</v>
      </c>
      <c r="E136">
        <v>7635</v>
      </c>
      <c r="F136" t="s">
        <v>11348</v>
      </c>
      <c r="G136" t="str">
        <f>Config!$B$5</f>
        <v>SCH/L_ANSI.SchLib</v>
      </c>
      <c r="H136" t="s">
        <v>424</v>
      </c>
      <c r="I136" t="s">
        <v>6535</v>
      </c>
      <c r="J136" t="s">
        <v>11350</v>
      </c>
      <c r="K136" s="46">
        <v>8.2000000000000001E-5</v>
      </c>
      <c r="L136" t="s">
        <v>11349</v>
      </c>
      <c r="M136" t="s">
        <v>11340</v>
      </c>
      <c r="N136" t="s">
        <v>11220</v>
      </c>
      <c r="O136" t="s">
        <v>25</v>
      </c>
      <c r="P136" t="s">
        <v>12138</v>
      </c>
    </row>
    <row r="137" spans="1:16">
      <c r="A137" t="s">
        <v>11268</v>
      </c>
      <c r="B137" t="s">
        <v>11268</v>
      </c>
      <c r="C137" t="s">
        <v>11314</v>
      </c>
      <c r="D137" t="s">
        <v>11340</v>
      </c>
      <c r="E137">
        <v>7635</v>
      </c>
      <c r="F137" t="s">
        <v>7981</v>
      </c>
      <c r="G137" t="str">
        <f>Config!$B$5</f>
        <v>SCH/L_ANSI.SchLib</v>
      </c>
      <c r="H137" t="s">
        <v>424</v>
      </c>
      <c r="I137" t="s">
        <v>6535</v>
      </c>
      <c r="J137" t="s">
        <v>11350</v>
      </c>
      <c r="K137" s="46">
        <v>8.1999999999999998E-4</v>
      </c>
      <c r="L137" t="s">
        <v>11349</v>
      </c>
      <c r="M137" t="s">
        <v>11340</v>
      </c>
      <c r="N137" t="s">
        <v>11221</v>
      </c>
      <c r="O137" t="s">
        <v>25</v>
      </c>
      <c r="P137" t="s">
        <v>12167</v>
      </c>
    </row>
    <row r="138" spans="1:16">
      <c r="A138" t="s">
        <v>11269</v>
      </c>
      <c r="B138" t="s">
        <v>11269</v>
      </c>
      <c r="C138" t="s">
        <v>11315</v>
      </c>
      <c r="D138" t="s">
        <v>11340</v>
      </c>
      <c r="E138">
        <v>7635</v>
      </c>
      <c r="F138" t="s">
        <v>6895</v>
      </c>
      <c r="G138" t="str">
        <f>Config!$B$5</f>
        <v>SCH/L_ANSI.SchLib</v>
      </c>
      <c r="H138" t="s">
        <v>424</v>
      </c>
      <c r="I138" t="s">
        <v>6535</v>
      </c>
      <c r="J138" t="s">
        <v>11350</v>
      </c>
      <c r="K138" s="46">
        <v>8.1999999999999994E-6</v>
      </c>
      <c r="L138" t="s">
        <v>11349</v>
      </c>
      <c r="M138" t="s">
        <v>11340</v>
      </c>
      <c r="N138" t="s">
        <v>11222</v>
      </c>
      <c r="O138" t="s">
        <v>25</v>
      </c>
      <c r="P138" t="s">
        <v>12139</v>
      </c>
    </row>
    <row r="139" spans="1:16">
      <c r="A139" t="s">
        <v>11270</v>
      </c>
      <c r="B139" t="s">
        <v>11270</v>
      </c>
      <c r="C139" t="s">
        <v>11316</v>
      </c>
      <c r="D139" t="s">
        <v>11340</v>
      </c>
      <c r="E139">
        <v>7635</v>
      </c>
      <c r="F139" t="s">
        <v>4586</v>
      </c>
      <c r="G139" t="str">
        <f>Config!$B$5</f>
        <v>SCH/L_ANSI.SchLib</v>
      </c>
      <c r="H139" t="s">
        <v>424</v>
      </c>
      <c r="I139" t="s">
        <v>6535</v>
      </c>
      <c r="J139" t="s">
        <v>11350</v>
      </c>
      <c r="K139" s="46">
        <v>3.3000000000000002E-7</v>
      </c>
      <c r="L139" t="s">
        <v>11349</v>
      </c>
      <c r="M139" t="s">
        <v>11340</v>
      </c>
      <c r="N139" t="s">
        <v>11223</v>
      </c>
      <c r="O139" t="s">
        <v>25</v>
      </c>
      <c r="P139" t="s">
        <v>12168</v>
      </c>
    </row>
    <row r="140" spans="1:16">
      <c r="A140" t="s">
        <v>11271</v>
      </c>
      <c r="B140" t="s">
        <v>11271</v>
      </c>
      <c r="C140" t="s">
        <v>11317</v>
      </c>
      <c r="D140" t="s">
        <v>11340</v>
      </c>
      <c r="E140">
        <v>7643</v>
      </c>
      <c r="F140" t="s">
        <v>6778</v>
      </c>
      <c r="G140" t="str">
        <f>Config!$B$5</f>
        <v>SCH/L_ANSI.SchLib</v>
      </c>
      <c r="H140" t="s">
        <v>424</v>
      </c>
      <c r="I140" t="s">
        <v>6535</v>
      </c>
      <c r="J140" t="s">
        <v>11351</v>
      </c>
      <c r="K140" s="46">
        <v>1.0000000000000001E-5</v>
      </c>
      <c r="L140" t="s">
        <v>11349</v>
      </c>
      <c r="M140" t="s">
        <v>11340</v>
      </c>
      <c r="N140" t="s">
        <v>11224</v>
      </c>
      <c r="O140" t="s">
        <v>25</v>
      </c>
      <c r="P140" t="s">
        <v>12140</v>
      </c>
    </row>
    <row r="141" spans="1:16">
      <c r="A141" t="s">
        <v>11272</v>
      </c>
      <c r="B141" t="s">
        <v>11272</v>
      </c>
      <c r="C141" t="s">
        <v>11318</v>
      </c>
      <c r="D141" t="s">
        <v>11340</v>
      </c>
      <c r="E141">
        <v>7643</v>
      </c>
      <c r="F141" t="s">
        <v>11341</v>
      </c>
      <c r="G141" t="str">
        <f>Config!$B$5</f>
        <v>SCH/L_ANSI.SchLib</v>
      </c>
      <c r="H141" t="s">
        <v>424</v>
      </c>
      <c r="I141" t="s">
        <v>6535</v>
      </c>
      <c r="J141" t="s">
        <v>11351</v>
      </c>
      <c r="K141" s="46">
        <v>1E-4</v>
      </c>
      <c r="L141" t="s">
        <v>11349</v>
      </c>
      <c r="M141" t="s">
        <v>11340</v>
      </c>
      <c r="N141" t="s">
        <v>11225</v>
      </c>
      <c r="O141" t="s">
        <v>25</v>
      </c>
      <c r="P141" t="s">
        <v>12141</v>
      </c>
    </row>
    <row r="142" spans="1:16">
      <c r="A142" t="s">
        <v>11272</v>
      </c>
      <c r="B142" t="s">
        <v>11272</v>
      </c>
      <c r="C142" t="s">
        <v>11318</v>
      </c>
      <c r="D142" t="s">
        <v>11340</v>
      </c>
      <c r="E142">
        <v>7643</v>
      </c>
      <c r="F142" t="s">
        <v>11341</v>
      </c>
      <c r="G142" t="str">
        <f>Config!$B$5</f>
        <v>SCH/L_ANSI.SchLib</v>
      </c>
      <c r="H142" t="s">
        <v>424</v>
      </c>
      <c r="I142" t="s">
        <v>6535</v>
      </c>
      <c r="J142" t="s">
        <v>11351</v>
      </c>
      <c r="K142" s="46">
        <v>1E-4</v>
      </c>
      <c r="L142" t="s">
        <v>11349</v>
      </c>
      <c r="M142" t="s">
        <v>11340</v>
      </c>
      <c r="N142" t="s">
        <v>11226</v>
      </c>
      <c r="O142" t="s">
        <v>25</v>
      </c>
      <c r="P142" t="s">
        <v>12169</v>
      </c>
    </row>
    <row r="143" spans="1:16">
      <c r="A143" t="s">
        <v>11273</v>
      </c>
      <c r="B143" t="s">
        <v>11273</v>
      </c>
      <c r="C143" t="s">
        <v>11319</v>
      </c>
      <c r="D143" t="s">
        <v>11340</v>
      </c>
      <c r="E143">
        <v>7643</v>
      </c>
      <c r="F143" t="s">
        <v>7510</v>
      </c>
      <c r="G143" t="str">
        <f>Config!$B$5</f>
        <v>SCH/L_ANSI.SchLib</v>
      </c>
      <c r="H143" t="s">
        <v>424</v>
      </c>
      <c r="I143" t="s">
        <v>6535</v>
      </c>
      <c r="J143" t="s">
        <v>11351</v>
      </c>
      <c r="K143" s="46">
        <v>1E-3</v>
      </c>
      <c r="L143" t="s">
        <v>11349</v>
      </c>
      <c r="M143" t="s">
        <v>11340</v>
      </c>
      <c r="N143" t="s">
        <v>11227</v>
      </c>
      <c r="O143" t="s">
        <v>25</v>
      </c>
      <c r="P143" t="s">
        <v>12142</v>
      </c>
    </row>
    <row r="144" spans="1:16">
      <c r="A144" t="s">
        <v>11274</v>
      </c>
      <c r="B144" t="s">
        <v>11274</v>
      </c>
      <c r="C144" t="s">
        <v>11320</v>
      </c>
      <c r="D144" t="s">
        <v>11340</v>
      </c>
      <c r="E144">
        <v>7643</v>
      </c>
      <c r="F144" t="s">
        <v>6718</v>
      </c>
      <c r="G144" t="str">
        <f>Config!$B$5</f>
        <v>SCH/L_ANSI.SchLib</v>
      </c>
      <c r="H144" t="s">
        <v>424</v>
      </c>
      <c r="I144" t="s">
        <v>6535</v>
      </c>
      <c r="J144" t="s">
        <v>11351</v>
      </c>
      <c r="K144" s="46">
        <v>1.5E-5</v>
      </c>
      <c r="L144" t="s">
        <v>11349</v>
      </c>
      <c r="M144" t="s">
        <v>11340</v>
      </c>
      <c r="N144" t="s">
        <v>11228</v>
      </c>
      <c r="O144" t="s">
        <v>25</v>
      </c>
      <c r="P144" t="s">
        <v>12143</v>
      </c>
    </row>
    <row r="145" spans="1:24">
      <c r="A145" t="s">
        <v>11275</v>
      </c>
      <c r="B145" t="s">
        <v>11275</v>
      </c>
      <c r="C145" t="s">
        <v>11321</v>
      </c>
      <c r="D145" t="s">
        <v>11340</v>
      </c>
      <c r="E145">
        <v>7643</v>
      </c>
      <c r="F145" t="s">
        <v>11342</v>
      </c>
      <c r="G145" t="str">
        <f>Config!$B$5</f>
        <v>SCH/L_ANSI.SchLib</v>
      </c>
      <c r="H145" t="s">
        <v>424</v>
      </c>
      <c r="I145" t="s">
        <v>6535</v>
      </c>
      <c r="J145" t="s">
        <v>11351</v>
      </c>
      <c r="K145" s="46">
        <v>1.4999999999999999E-4</v>
      </c>
      <c r="L145" t="s">
        <v>11349</v>
      </c>
      <c r="M145" t="s">
        <v>11340</v>
      </c>
      <c r="N145" t="s">
        <v>11229</v>
      </c>
      <c r="O145" t="s">
        <v>25</v>
      </c>
      <c r="P145" t="s">
        <v>12144</v>
      </c>
    </row>
    <row r="146" spans="1:24">
      <c r="A146" t="s">
        <v>11276</v>
      </c>
      <c r="B146" t="s">
        <v>11276</v>
      </c>
      <c r="C146" t="s">
        <v>11322</v>
      </c>
      <c r="D146" t="s">
        <v>11340</v>
      </c>
      <c r="E146">
        <v>7643</v>
      </c>
      <c r="F146" t="s">
        <v>4583</v>
      </c>
      <c r="G146" t="str">
        <f>Config!$B$5</f>
        <v>SCH/L_ANSI.SchLib</v>
      </c>
      <c r="H146" t="s">
        <v>424</v>
      </c>
      <c r="I146" t="s">
        <v>6535</v>
      </c>
      <c r="J146" t="s">
        <v>11351</v>
      </c>
      <c r="K146" s="46">
        <v>9.9999999999999995E-7</v>
      </c>
      <c r="L146" t="s">
        <v>11349</v>
      </c>
      <c r="M146" t="s">
        <v>11340</v>
      </c>
      <c r="N146" t="s">
        <v>11230</v>
      </c>
      <c r="O146" t="s">
        <v>25</v>
      </c>
      <c r="P146" t="s">
        <v>12145</v>
      </c>
    </row>
    <row r="147" spans="1:24">
      <c r="A147" t="s">
        <v>11277</v>
      </c>
      <c r="B147" t="s">
        <v>11277</v>
      </c>
      <c r="C147" t="s">
        <v>11323</v>
      </c>
      <c r="D147" t="s">
        <v>11340</v>
      </c>
      <c r="E147">
        <v>7643</v>
      </c>
      <c r="F147" t="s">
        <v>4584</v>
      </c>
      <c r="G147" t="str">
        <f>Config!$B$5</f>
        <v>SCH/L_ANSI.SchLib</v>
      </c>
      <c r="H147" t="s">
        <v>424</v>
      </c>
      <c r="I147" t="s">
        <v>6535</v>
      </c>
      <c r="J147" t="s">
        <v>11351</v>
      </c>
      <c r="K147" s="46">
        <v>1.5E-6</v>
      </c>
      <c r="L147" t="s">
        <v>11349</v>
      </c>
      <c r="M147" t="s">
        <v>11340</v>
      </c>
      <c r="N147" t="s">
        <v>11231</v>
      </c>
      <c r="O147" t="s">
        <v>25</v>
      </c>
      <c r="P147" t="s">
        <v>12146</v>
      </c>
    </row>
    <row r="148" spans="1:24">
      <c r="A148" t="s">
        <v>11278</v>
      </c>
      <c r="B148" t="s">
        <v>11278</v>
      </c>
      <c r="C148" t="s">
        <v>11324</v>
      </c>
      <c r="D148" t="s">
        <v>11340</v>
      </c>
      <c r="E148">
        <v>7643</v>
      </c>
      <c r="F148" t="s">
        <v>6845</v>
      </c>
      <c r="G148" t="str">
        <f>Config!$B$5</f>
        <v>SCH/L_ANSI.SchLib</v>
      </c>
      <c r="H148" t="s">
        <v>424</v>
      </c>
      <c r="I148" t="s">
        <v>6535</v>
      </c>
      <c r="J148" t="s">
        <v>11351</v>
      </c>
      <c r="K148" s="46">
        <v>2.1999999999999999E-5</v>
      </c>
      <c r="L148" t="s">
        <v>11349</v>
      </c>
      <c r="M148" t="s">
        <v>11340</v>
      </c>
      <c r="N148" t="s">
        <v>11232</v>
      </c>
      <c r="O148" t="s">
        <v>25</v>
      </c>
      <c r="P148" t="s">
        <v>12147</v>
      </c>
      <c r="U148" t="s">
        <v>13546</v>
      </c>
      <c r="V148" t="s">
        <v>13544</v>
      </c>
      <c r="W148" t="s">
        <v>4559</v>
      </c>
      <c r="X148" s="26" t="s">
        <v>13545</v>
      </c>
    </row>
    <row r="149" spans="1:24">
      <c r="A149" t="s">
        <v>11279</v>
      </c>
      <c r="B149" t="s">
        <v>11279</v>
      </c>
      <c r="C149" t="s">
        <v>11325</v>
      </c>
      <c r="D149" t="s">
        <v>11340</v>
      </c>
      <c r="E149">
        <v>7643</v>
      </c>
      <c r="F149" t="s">
        <v>6387</v>
      </c>
      <c r="G149" t="str">
        <f>Config!$B$5</f>
        <v>SCH/L_ANSI.SchLib</v>
      </c>
      <c r="H149" t="s">
        <v>424</v>
      </c>
      <c r="I149" t="s">
        <v>6535</v>
      </c>
      <c r="J149" t="s">
        <v>11351</v>
      </c>
      <c r="K149" s="46">
        <v>2.2000000000000001E-4</v>
      </c>
      <c r="L149" t="s">
        <v>11349</v>
      </c>
      <c r="M149" t="s">
        <v>11340</v>
      </c>
      <c r="N149" t="s">
        <v>11233</v>
      </c>
      <c r="O149" t="s">
        <v>25</v>
      </c>
      <c r="P149" t="s">
        <v>12148</v>
      </c>
    </row>
    <row r="150" spans="1:24">
      <c r="A150" t="s">
        <v>11280</v>
      </c>
      <c r="B150" t="s">
        <v>11280</v>
      </c>
      <c r="C150" t="s">
        <v>11326</v>
      </c>
      <c r="D150" t="s">
        <v>11340</v>
      </c>
      <c r="E150">
        <v>7643</v>
      </c>
      <c r="F150" t="s">
        <v>4585</v>
      </c>
      <c r="G150" t="str">
        <f>Config!$B$5</f>
        <v>SCH/L_ANSI.SchLib</v>
      </c>
      <c r="H150" t="s">
        <v>424</v>
      </c>
      <c r="I150" t="s">
        <v>6535</v>
      </c>
      <c r="J150" t="s">
        <v>11351</v>
      </c>
      <c r="K150" s="46">
        <v>2.2000000000000001E-6</v>
      </c>
      <c r="L150" t="s">
        <v>11349</v>
      </c>
      <c r="M150" t="s">
        <v>11340</v>
      </c>
      <c r="N150" t="s">
        <v>11234</v>
      </c>
      <c r="O150" t="s">
        <v>25</v>
      </c>
      <c r="P150" t="s">
        <v>12149</v>
      </c>
    </row>
    <row r="151" spans="1:24">
      <c r="A151" t="s">
        <v>11281</v>
      </c>
      <c r="B151" t="s">
        <v>11281</v>
      </c>
      <c r="C151" t="s">
        <v>11327</v>
      </c>
      <c r="D151" t="s">
        <v>11340</v>
      </c>
      <c r="E151">
        <v>7643</v>
      </c>
      <c r="F151" t="s">
        <v>6846</v>
      </c>
      <c r="G151" t="str">
        <f>Config!$B$5</f>
        <v>SCH/L_ANSI.SchLib</v>
      </c>
      <c r="H151" t="s">
        <v>424</v>
      </c>
      <c r="I151" t="s">
        <v>6535</v>
      </c>
      <c r="J151" t="s">
        <v>11351</v>
      </c>
      <c r="K151" s="46">
        <v>3.3000000000000003E-5</v>
      </c>
      <c r="L151" t="s">
        <v>11349</v>
      </c>
      <c r="M151" t="s">
        <v>11340</v>
      </c>
      <c r="N151" t="s">
        <v>11235</v>
      </c>
      <c r="O151" t="s">
        <v>25</v>
      </c>
      <c r="P151" t="s">
        <v>12150</v>
      </c>
    </row>
    <row r="152" spans="1:24">
      <c r="A152" t="s">
        <v>11282</v>
      </c>
      <c r="B152" t="s">
        <v>11282</v>
      </c>
      <c r="C152" t="s">
        <v>11328</v>
      </c>
      <c r="D152" t="s">
        <v>11340</v>
      </c>
      <c r="E152">
        <v>7643</v>
      </c>
      <c r="F152" t="s">
        <v>11343</v>
      </c>
      <c r="G152" t="str">
        <f>Config!$B$5</f>
        <v>SCH/L_ANSI.SchLib</v>
      </c>
      <c r="H152" t="s">
        <v>424</v>
      </c>
      <c r="I152" t="s">
        <v>6535</v>
      </c>
      <c r="J152" t="s">
        <v>11351</v>
      </c>
      <c r="K152" s="46">
        <v>3.3E-4</v>
      </c>
      <c r="L152" t="s">
        <v>11349</v>
      </c>
      <c r="M152" t="s">
        <v>11340</v>
      </c>
      <c r="N152" t="s">
        <v>11236</v>
      </c>
      <c r="O152" t="s">
        <v>25</v>
      </c>
      <c r="P152" t="s">
        <v>12151</v>
      </c>
      <c r="U152" s="45" t="s">
        <v>13546</v>
      </c>
      <c r="V152" s="45" t="s">
        <v>13586</v>
      </c>
      <c r="W152" t="s">
        <v>4559</v>
      </c>
      <c r="X152" s="44" t="s">
        <v>13585</v>
      </c>
    </row>
    <row r="153" spans="1:24">
      <c r="A153" t="s">
        <v>11283</v>
      </c>
      <c r="B153" t="s">
        <v>11283</v>
      </c>
      <c r="C153" t="s">
        <v>11329</v>
      </c>
      <c r="D153" t="s">
        <v>11340</v>
      </c>
      <c r="E153">
        <v>7643</v>
      </c>
      <c r="F153" t="s">
        <v>6796</v>
      </c>
      <c r="G153" t="str">
        <f>Config!$B$5</f>
        <v>SCH/L_ANSI.SchLib</v>
      </c>
      <c r="H153" t="s">
        <v>424</v>
      </c>
      <c r="I153" t="s">
        <v>6535</v>
      </c>
      <c r="J153" t="s">
        <v>11351</v>
      </c>
      <c r="K153" s="46">
        <v>3.3000000000000002E-6</v>
      </c>
      <c r="L153" t="s">
        <v>11349</v>
      </c>
      <c r="M153" t="s">
        <v>11340</v>
      </c>
      <c r="N153" t="s">
        <v>11237</v>
      </c>
      <c r="O153" t="s">
        <v>25</v>
      </c>
      <c r="P153" t="s">
        <v>12152</v>
      </c>
    </row>
    <row r="154" spans="1:24">
      <c r="A154" t="s">
        <v>11284</v>
      </c>
      <c r="B154" t="s">
        <v>11284</v>
      </c>
      <c r="C154" t="s">
        <v>11330</v>
      </c>
      <c r="D154" t="s">
        <v>11340</v>
      </c>
      <c r="E154">
        <v>7643</v>
      </c>
      <c r="F154" t="s">
        <v>11344</v>
      </c>
      <c r="G154" t="str">
        <f>Config!$B$5</f>
        <v>SCH/L_ANSI.SchLib</v>
      </c>
      <c r="H154" t="s">
        <v>424</v>
      </c>
      <c r="I154" t="s">
        <v>6535</v>
      </c>
      <c r="J154" t="s">
        <v>11351</v>
      </c>
      <c r="K154" s="46">
        <v>4.6999999999999997E-5</v>
      </c>
      <c r="L154" t="s">
        <v>11349</v>
      </c>
      <c r="M154" t="s">
        <v>11340</v>
      </c>
      <c r="N154" t="s">
        <v>11238</v>
      </c>
      <c r="O154" t="s">
        <v>25</v>
      </c>
      <c r="P154" t="s">
        <v>12153</v>
      </c>
    </row>
    <row r="155" spans="1:24">
      <c r="A155" t="s">
        <v>11285</v>
      </c>
      <c r="B155" t="s">
        <v>11285</v>
      </c>
      <c r="C155" t="s">
        <v>11331</v>
      </c>
      <c r="D155" t="s">
        <v>11340</v>
      </c>
      <c r="E155">
        <v>7643</v>
      </c>
      <c r="F155" t="s">
        <v>11345</v>
      </c>
      <c r="G155" t="str">
        <f>Config!$B$5</f>
        <v>SCH/L_ANSI.SchLib</v>
      </c>
      <c r="H155" t="s">
        <v>424</v>
      </c>
      <c r="I155" t="s">
        <v>6535</v>
      </c>
      <c r="J155" t="s">
        <v>11351</v>
      </c>
      <c r="K155" s="46">
        <v>4.6999999999999999E-4</v>
      </c>
      <c r="L155" t="s">
        <v>11349</v>
      </c>
      <c r="M155" t="s">
        <v>11340</v>
      </c>
      <c r="N155" t="s">
        <v>11239</v>
      </c>
      <c r="O155" t="s">
        <v>25</v>
      </c>
      <c r="P155" t="s">
        <v>12154</v>
      </c>
    </row>
    <row r="156" spans="1:24">
      <c r="A156" t="s">
        <v>11286</v>
      </c>
      <c r="B156" t="s">
        <v>11286</v>
      </c>
      <c r="C156" t="s">
        <v>11332</v>
      </c>
      <c r="D156" t="s">
        <v>11340</v>
      </c>
      <c r="E156">
        <v>7643</v>
      </c>
      <c r="F156" t="s">
        <v>4588</v>
      </c>
      <c r="G156" t="str">
        <f>Config!$B$5</f>
        <v>SCH/L_ANSI.SchLib</v>
      </c>
      <c r="H156" t="s">
        <v>424</v>
      </c>
      <c r="I156" t="s">
        <v>6535</v>
      </c>
      <c r="J156" t="s">
        <v>11351</v>
      </c>
      <c r="K156" s="46">
        <v>4.6999999999999999E-6</v>
      </c>
      <c r="L156" t="s">
        <v>11349</v>
      </c>
      <c r="M156" t="s">
        <v>11340</v>
      </c>
      <c r="N156" t="s">
        <v>11240</v>
      </c>
      <c r="O156" t="s">
        <v>25</v>
      </c>
      <c r="P156" t="s">
        <v>12155</v>
      </c>
    </row>
    <row r="157" spans="1:24">
      <c r="A157" t="s">
        <v>11287</v>
      </c>
      <c r="B157" t="s">
        <v>11287</v>
      </c>
      <c r="C157" t="s">
        <v>11333</v>
      </c>
      <c r="D157" t="s">
        <v>11340</v>
      </c>
      <c r="E157">
        <v>7643</v>
      </c>
      <c r="F157" t="s">
        <v>11346</v>
      </c>
      <c r="G157" t="str">
        <f>Config!$B$5</f>
        <v>SCH/L_ANSI.SchLib</v>
      </c>
      <c r="H157" t="s">
        <v>424</v>
      </c>
      <c r="I157" t="s">
        <v>6535</v>
      </c>
      <c r="J157" t="s">
        <v>11351</v>
      </c>
      <c r="K157" s="46">
        <v>6.7999999999999999E-5</v>
      </c>
      <c r="L157" t="s">
        <v>11349</v>
      </c>
      <c r="M157" t="s">
        <v>11340</v>
      </c>
      <c r="N157" t="s">
        <v>11241</v>
      </c>
      <c r="O157" t="s">
        <v>25</v>
      </c>
      <c r="P157" t="s">
        <v>12156</v>
      </c>
    </row>
    <row r="158" spans="1:24">
      <c r="A158" t="s">
        <v>11288</v>
      </c>
      <c r="B158" t="s">
        <v>11288</v>
      </c>
      <c r="C158" t="s">
        <v>11334</v>
      </c>
      <c r="D158" t="s">
        <v>11340</v>
      </c>
      <c r="E158">
        <v>7643</v>
      </c>
      <c r="F158" t="s">
        <v>11347</v>
      </c>
      <c r="G158" t="str">
        <f>Config!$B$5</f>
        <v>SCH/L_ANSI.SchLib</v>
      </c>
      <c r="H158" t="s">
        <v>424</v>
      </c>
      <c r="I158" t="s">
        <v>6535</v>
      </c>
      <c r="J158" t="s">
        <v>11351</v>
      </c>
      <c r="K158" s="46">
        <v>6.8000000000000005E-4</v>
      </c>
      <c r="L158" t="s">
        <v>11349</v>
      </c>
      <c r="M158" t="s">
        <v>11340</v>
      </c>
      <c r="N158" t="s">
        <v>11242</v>
      </c>
      <c r="O158" t="s">
        <v>25</v>
      </c>
      <c r="P158" t="s">
        <v>12157</v>
      </c>
    </row>
    <row r="159" spans="1:24">
      <c r="A159" t="s">
        <v>11289</v>
      </c>
      <c r="B159" t="s">
        <v>11289</v>
      </c>
      <c r="C159" t="s">
        <v>11335</v>
      </c>
      <c r="D159" t="s">
        <v>11340</v>
      </c>
      <c r="E159">
        <v>7643</v>
      </c>
      <c r="F159" t="s">
        <v>6927</v>
      </c>
      <c r="G159" t="str">
        <f>Config!$B$5</f>
        <v>SCH/L_ANSI.SchLib</v>
      </c>
      <c r="H159" t="s">
        <v>424</v>
      </c>
      <c r="I159" t="s">
        <v>6535</v>
      </c>
      <c r="J159" t="s">
        <v>11351</v>
      </c>
      <c r="K159" s="46">
        <v>6.8000000000000001E-6</v>
      </c>
      <c r="L159" t="s">
        <v>11349</v>
      </c>
      <c r="M159" t="s">
        <v>11340</v>
      </c>
      <c r="N159" t="s">
        <v>11243</v>
      </c>
      <c r="O159" t="s">
        <v>25</v>
      </c>
      <c r="P159" t="s">
        <v>12158</v>
      </c>
    </row>
    <row r="160" spans="1:24">
      <c r="A160" t="s">
        <v>11290</v>
      </c>
      <c r="B160" t="s">
        <v>11290</v>
      </c>
      <c r="C160" t="s">
        <v>11336</v>
      </c>
      <c r="D160" t="s">
        <v>11340</v>
      </c>
      <c r="E160">
        <v>7643</v>
      </c>
      <c r="F160" t="s">
        <v>11348</v>
      </c>
      <c r="G160" t="str">
        <f>Config!$B$5</f>
        <v>SCH/L_ANSI.SchLib</v>
      </c>
      <c r="H160" t="s">
        <v>424</v>
      </c>
      <c r="I160" t="s">
        <v>6535</v>
      </c>
      <c r="J160" t="s">
        <v>11351</v>
      </c>
      <c r="K160" s="46">
        <v>8.2000000000000001E-5</v>
      </c>
      <c r="L160" t="s">
        <v>11349</v>
      </c>
      <c r="M160" t="s">
        <v>11340</v>
      </c>
      <c r="N160" t="s">
        <v>11244</v>
      </c>
      <c r="O160" t="s">
        <v>25</v>
      </c>
      <c r="P160" t="s">
        <v>12159</v>
      </c>
    </row>
    <row r="161" spans="1:24">
      <c r="A161" t="s">
        <v>11291</v>
      </c>
      <c r="B161" t="s">
        <v>11291</v>
      </c>
      <c r="C161" t="s">
        <v>11337</v>
      </c>
      <c r="D161" t="s">
        <v>11340</v>
      </c>
      <c r="E161">
        <v>7643</v>
      </c>
      <c r="F161" t="s">
        <v>7981</v>
      </c>
      <c r="G161" t="str">
        <f>Config!$B$5</f>
        <v>SCH/L_ANSI.SchLib</v>
      </c>
      <c r="H161" t="s">
        <v>424</v>
      </c>
      <c r="I161" t="s">
        <v>6535</v>
      </c>
      <c r="J161" t="s">
        <v>11351</v>
      </c>
      <c r="K161" s="46">
        <v>8.1999999999999998E-4</v>
      </c>
      <c r="L161" t="s">
        <v>11349</v>
      </c>
      <c r="M161" t="s">
        <v>11340</v>
      </c>
      <c r="N161" t="s">
        <v>11245</v>
      </c>
      <c r="O161" t="s">
        <v>25</v>
      </c>
      <c r="P161" t="s">
        <v>12160</v>
      </c>
    </row>
    <row r="162" spans="1:24">
      <c r="A162" t="s">
        <v>11292</v>
      </c>
      <c r="B162" t="s">
        <v>11292</v>
      </c>
      <c r="C162" t="s">
        <v>11338</v>
      </c>
      <c r="D162" t="s">
        <v>11340</v>
      </c>
      <c r="E162">
        <v>7643</v>
      </c>
      <c r="F162" t="s">
        <v>6895</v>
      </c>
      <c r="G162" t="str">
        <f>Config!$B$5</f>
        <v>SCH/L_ANSI.SchLib</v>
      </c>
      <c r="H162" t="s">
        <v>424</v>
      </c>
      <c r="I162" t="s">
        <v>6535</v>
      </c>
      <c r="J162" t="s">
        <v>11351</v>
      </c>
      <c r="K162" s="46">
        <v>8.1999999999999994E-6</v>
      </c>
      <c r="L162" t="s">
        <v>11349</v>
      </c>
      <c r="M162" t="s">
        <v>11340</v>
      </c>
      <c r="N162" t="s">
        <v>11246</v>
      </c>
      <c r="O162" t="s">
        <v>25</v>
      </c>
      <c r="P162" t="s">
        <v>12170</v>
      </c>
    </row>
    <row r="163" spans="1:24">
      <c r="A163" t="s">
        <v>11293</v>
      </c>
      <c r="B163" t="s">
        <v>11293</v>
      </c>
      <c r="C163" t="s">
        <v>11339</v>
      </c>
      <c r="D163" t="s">
        <v>11340</v>
      </c>
      <c r="E163">
        <v>7643</v>
      </c>
      <c r="F163" t="s">
        <v>4586</v>
      </c>
      <c r="G163" t="str">
        <f>Config!$B$5</f>
        <v>SCH/L_ANSI.SchLib</v>
      </c>
      <c r="H163" t="s">
        <v>424</v>
      </c>
      <c r="I163" t="s">
        <v>6535</v>
      </c>
      <c r="J163" t="s">
        <v>11351</v>
      </c>
      <c r="K163" s="46">
        <v>3.3000000000000002E-7</v>
      </c>
      <c r="L163" s="26" t="s">
        <v>11349</v>
      </c>
      <c r="M163" t="s">
        <v>11340</v>
      </c>
      <c r="N163" t="s">
        <v>11247</v>
      </c>
      <c r="O163" t="s">
        <v>25</v>
      </c>
      <c r="P163" t="s">
        <v>12161</v>
      </c>
    </row>
    <row r="164" spans="1:24">
      <c r="A164" t="s">
        <v>13215</v>
      </c>
      <c r="B164" t="s">
        <v>13215</v>
      </c>
      <c r="C164" t="s">
        <v>13160</v>
      </c>
      <c r="D164" t="s">
        <v>4546</v>
      </c>
      <c r="E164">
        <v>603</v>
      </c>
      <c r="F164" t="s">
        <v>13202</v>
      </c>
      <c r="G164" t="str">
        <f>Config!$B$5</f>
        <v>SCH/L_ANSI.SchLib</v>
      </c>
      <c r="H164" t="s">
        <v>424</v>
      </c>
      <c r="I164" t="s">
        <v>461</v>
      </c>
      <c r="J164" t="s">
        <v>13137</v>
      </c>
      <c r="K164" s="46">
        <v>2.7000000000000001E-7</v>
      </c>
      <c r="L164" t="s">
        <v>13138</v>
      </c>
      <c r="M164" t="s">
        <v>4546</v>
      </c>
      <c r="N164" t="s">
        <v>13181</v>
      </c>
      <c r="O164" t="s">
        <v>25</v>
      </c>
      <c r="P164" t="s">
        <v>13139</v>
      </c>
    </row>
    <row r="165" spans="1:24">
      <c r="A165" t="s">
        <v>13216</v>
      </c>
      <c r="B165" t="s">
        <v>13216</v>
      </c>
      <c r="C165" t="s">
        <v>13161</v>
      </c>
      <c r="D165" t="s">
        <v>4546</v>
      </c>
      <c r="E165">
        <v>603</v>
      </c>
      <c r="F165" t="s">
        <v>4583</v>
      </c>
      <c r="G165" t="str">
        <f>Config!$B$5</f>
        <v>SCH/L_ANSI.SchLib</v>
      </c>
      <c r="H165" t="s">
        <v>424</v>
      </c>
      <c r="I165" t="s">
        <v>461</v>
      </c>
      <c r="J165" t="s">
        <v>13137</v>
      </c>
      <c r="K165" s="46">
        <v>9.9999999999999995E-7</v>
      </c>
      <c r="L165" t="s">
        <v>13138</v>
      </c>
      <c r="M165" t="s">
        <v>4546</v>
      </c>
      <c r="N165" t="s">
        <v>13182</v>
      </c>
      <c r="O165" t="s">
        <v>25</v>
      </c>
      <c r="P165" t="s">
        <v>13140</v>
      </c>
    </row>
    <row r="166" spans="1:24">
      <c r="A166" t="s">
        <v>13217</v>
      </c>
      <c r="B166" t="s">
        <v>13217</v>
      </c>
      <c r="C166" t="s">
        <v>13162</v>
      </c>
      <c r="D166" t="s">
        <v>4546</v>
      </c>
      <c r="E166">
        <v>603</v>
      </c>
      <c r="F166" t="s">
        <v>4582</v>
      </c>
      <c r="G166" t="str">
        <f>Config!$B$5</f>
        <v>SCH/L_ANSI.SchLib</v>
      </c>
      <c r="H166" t="s">
        <v>424</v>
      </c>
      <c r="I166" t="s">
        <v>461</v>
      </c>
      <c r="J166" t="s">
        <v>13137</v>
      </c>
      <c r="K166" s="46">
        <v>6.7999999999999995E-7</v>
      </c>
      <c r="L166" t="s">
        <v>13138</v>
      </c>
      <c r="M166" t="s">
        <v>4546</v>
      </c>
      <c r="N166" t="s">
        <v>13183</v>
      </c>
      <c r="O166" t="s">
        <v>25</v>
      </c>
      <c r="P166" t="s">
        <v>13141</v>
      </c>
    </row>
    <row r="167" spans="1:24">
      <c r="A167" t="s">
        <v>13218</v>
      </c>
      <c r="B167" t="s">
        <v>13218</v>
      </c>
      <c r="C167" t="s">
        <v>13163</v>
      </c>
      <c r="D167" t="s">
        <v>4546</v>
      </c>
      <c r="E167">
        <v>603</v>
      </c>
      <c r="F167" t="s">
        <v>13203</v>
      </c>
      <c r="G167" t="str">
        <f>Config!$B$5</f>
        <v>SCH/L_ANSI.SchLib</v>
      </c>
      <c r="H167" t="s">
        <v>424</v>
      </c>
      <c r="I167" t="s">
        <v>461</v>
      </c>
      <c r="J167" t="s">
        <v>13137</v>
      </c>
      <c r="K167" s="46">
        <v>1.1999999999999999E-6</v>
      </c>
      <c r="L167" t="s">
        <v>13138</v>
      </c>
      <c r="M167" t="s">
        <v>4546</v>
      </c>
      <c r="N167" t="s">
        <v>13184</v>
      </c>
      <c r="O167" t="s">
        <v>25</v>
      </c>
      <c r="P167" t="s">
        <v>13142</v>
      </c>
    </row>
    <row r="168" spans="1:24">
      <c r="A168" t="s">
        <v>13219</v>
      </c>
      <c r="B168" t="s">
        <v>13219</v>
      </c>
      <c r="C168" t="s">
        <v>13164</v>
      </c>
      <c r="D168" t="s">
        <v>4546</v>
      </c>
      <c r="E168">
        <v>603</v>
      </c>
      <c r="F168" t="s">
        <v>13204</v>
      </c>
      <c r="G168" t="str">
        <f>Config!$B$5</f>
        <v>SCH/L_ANSI.SchLib</v>
      </c>
      <c r="H168" t="s">
        <v>424</v>
      </c>
      <c r="I168" t="s">
        <v>461</v>
      </c>
      <c r="J168" t="s">
        <v>13137</v>
      </c>
      <c r="K168" s="46">
        <v>5.6000000000000004E-7</v>
      </c>
      <c r="L168" t="s">
        <v>13138</v>
      </c>
      <c r="M168" t="s">
        <v>4546</v>
      </c>
      <c r="N168" t="s">
        <v>13185</v>
      </c>
      <c r="O168" t="s">
        <v>25</v>
      </c>
      <c r="P168" t="s">
        <v>13143</v>
      </c>
      <c r="U168" t="s">
        <v>4592</v>
      </c>
      <c r="V168" t="s">
        <v>13236</v>
      </c>
      <c r="W168" t="s">
        <v>4559</v>
      </c>
      <c r="X168" t="s">
        <v>13237</v>
      </c>
    </row>
    <row r="169" spans="1:24">
      <c r="A169" t="s">
        <v>13220</v>
      </c>
      <c r="B169" t="s">
        <v>13220</v>
      </c>
      <c r="C169" t="s">
        <v>13165</v>
      </c>
      <c r="D169" t="s">
        <v>4546</v>
      </c>
      <c r="E169">
        <v>603</v>
      </c>
      <c r="F169" t="s">
        <v>13205</v>
      </c>
      <c r="G169" t="str">
        <f>Config!$B$5</f>
        <v>SCH/L_ANSI.SchLib</v>
      </c>
      <c r="H169" t="s">
        <v>424</v>
      </c>
      <c r="I169" t="s">
        <v>461</v>
      </c>
      <c r="J169" t="s">
        <v>13137</v>
      </c>
      <c r="K169" s="46">
        <v>8.1999999999999998E-7</v>
      </c>
      <c r="L169" t="s">
        <v>13138</v>
      </c>
      <c r="M169" t="s">
        <v>4546</v>
      </c>
      <c r="N169" t="s">
        <v>13186</v>
      </c>
      <c r="O169" t="s">
        <v>25</v>
      </c>
      <c r="P169" t="s">
        <v>13144</v>
      </c>
    </row>
    <row r="170" spans="1:24">
      <c r="A170" t="s">
        <v>13221</v>
      </c>
      <c r="B170" t="s">
        <v>13221</v>
      </c>
      <c r="C170" t="s">
        <v>13166</v>
      </c>
      <c r="D170" t="s">
        <v>4546</v>
      </c>
      <c r="E170">
        <v>603</v>
      </c>
      <c r="F170" t="s">
        <v>13206</v>
      </c>
      <c r="G170" t="str">
        <f>Config!$B$5</f>
        <v>SCH/L_ANSI.SchLib</v>
      </c>
      <c r="H170" t="s">
        <v>424</v>
      </c>
      <c r="I170" t="s">
        <v>461</v>
      </c>
      <c r="J170" t="s">
        <v>13137</v>
      </c>
      <c r="K170" s="46">
        <v>1.7999999999999999E-6</v>
      </c>
      <c r="L170" t="s">
        <v>13138</v>
      </c>
      <c r="M170" t="s">
        <v>4546</v>
      </c>
      <c r="N170" t="s">
        <v>13187</v>
      </c>
      <c r="O170" t="s">
        <v>25</v>
      </c>
      <c r="P170" t="s">
        <v>13145</v>
      </c>
    </row>
    <row r="171" spans="1:24">
      <c r="A171" t="s">
        <v>13222</v>
      </c>
      <c r="B171" t="s">
        <v>13222</v>
      </c>
      <c r="C171" t="s">
        <v>13167</v>
      </c>
      <c r="D171" t="s">
        <v>4546</v>
      </c>
      <c r="E171">
        <v>603</v>
      </c>
      <c r="F171" t="s">
        <v>13207</v>
      </c>
      <c r="G171" t="str">
        <f>Config!$B$5</f>
        <v>SCH/L_ANSI.SchLib</v>
      </c>
      <c r="H171" t="s">
        <v>424</v>
      </c>
      <c r="I171" t="s">
        <v>461</v>
      </c>
      <c r="J171" t="s">
        <v>13137</v>
      </c>
      <c r="K171" s="46">
        <v>9.9999999999999995E-8</v>
      </c>
      <c r="L171" t="s">
        <v>13138</v>
      </c>
      <c r="M171" t="s">
        <v>4546</v>
      </c>
      <c r="N171" t="s">
        <v>13188</v>
      </c>
      <c r="O171" t="s">
        <v>25</v>
      </c>
      <c r="P171" t="s">
        <v>13146</v>
      </c>
    </row>
    <row r="172" spans="1:24">
      <c r="A172" t="s">
        <v>13223</v>
      </c>
      <c r="B172" t="s">
        <v>13223</v>
      </c>
      <c r="C172" t="s">
        <v>13168</v>
      </c>
      <c r="D172" t="s">
        <v>4546</v>
      </c>
      <c r="E172">
        <v>603</v>
      </c>
      <c r="F172" t="s">
        <v>4581</v>
      </c>
      <c r="G172" t="str">
        <f>Config!$B$5</f>
        <v>SCH/L_ANSI.SchLib</v>
      </c>
      <c r="H172" t="s">
        <v>424</v>
      </c>
      <c r="I172" t="s">
        <v>461</v>
      </c>
      <c r="J172" t="s">
        <v>13137</v>
      </c>
      <c r="K172" s="46">
        <v>4.7E-7</v>
      </c>
      <c r="L172" t="s">
        <v>13138</v>
      </c>
      <c r="M172" t="s">
        <v>4546</v>
      </c>
      <c r="N172" t="s">
        <v>13189</v>
      </c>
      <c r="O172" t="s">
        <v>25</v>
      </c>
      <c r="P172" t="s">
        <v>13147</v>
      </c>
    </row>
    <row r="173" spans="1:24">
      <c r="A173" t="s">
        <v>13224</v>
      </c>
      <c r="B173" t="s">
        <v>13224</v>
      </c>
      <c r="C173" t="s">
        <v>13169</v>
      </c>
      <c r="D173" t="s">
        <v>4546</v>
      </c>
      <c r="E173">
        <v>603</v>
      </c>
      <c r="F173" t="s">
        <v>4585</v>
      </c>
      <c r="G173" t="str">
        <f>Config!$B$5</f>
        <v>SCH/L_ANSI.SchLib</v>
      </c>
      <c r="H173" t="s">
        <v>424</v>
      </c>
      <c r="I173" t="s">
        <v>461</v>
      </c>
      <c r="J173" t="s">
        <v>13137</v>
      </c>
      <c r="K173" s="46">
        <v>2.2000000000000001E-6</v>
      </c>
      <c r="L173" t="s">
        <v>13138</v>
      </c>
      <c r="M173" t="s">
        <v>4546</v>
      </c>
      <c r="N173" t="s">
        <v>13190</v>
      </c>
      <c r="O173" t="s">
        <v>25</v>
      </c>
      <c r="P173" t="s">
        <v>13148</v>
      </c>
    </row>
    <row r="174" spans="1:24">
      <c r="A174" t="s">
        <v>13225</v>
      </c>
      <c r="B174" t="s">
        <v>13225</v>
      </c>
      <c r="C174" t="s">
        <v>13170</v>
      </c>
      <c r="D174" t="s">
        <v>4546</v>
      </c>
      <c r="E174">
        <v>603</v>
      </c>
      <c r="F174" t="s">
        <v>6844</v>
      </c>
      <c r="G174" t="str">
        <f>Config!$B$5</f>
        <v>SCH/L_ANSI.SchLib</v>
      </c>
      <c r="H174" t="s">
        <v>424</v>
      </c>
      <c r="I174" t="s">
        <v>461</v>
      </c>
      <c r="J174" t="s">
        <v>13137</v>
      </c>
      <c r="K174" s="46">
        <v>2.2000000000000001E-7</v>
      </c>
      <c r="L174" t="s">
        <v>13138</v>
      </c>
      <c r="M174" t="s">
        <v>4546</v>
      </c>
      <c r="N174" t="s">
        <v>13191</v>
      </c>
      <c r="O174" t="s">
        <v>25</v>
      </c>
      <c r="P174" t="s">
        <v>13149</v>
      </c>
    </row>
    <row r="175" spans="1:24">
      <c r="A175" t="s">
        <v>13226</v>
      </c>
      <c r="B175" t="s">
        <v>13226</v>
      </c>
      <c r="C175" t="s">
        <v>13171</v>
      </c>
      <c r="D175" t="s">
        <v>4546</v>
      </c>
      <c r="E175">
        <v>603</v>
      </c>
      <c r="F175" t="s">
        <v>13208</v>
      </c>
      <c r="G175" t="str">
        <f>Config!$B$5</f>
        <v>SCH/L_ANSI.SchLib</v>
      </c>
      <c r="H175" t="s">
        <v>424</v>
      </c>
      <c r="I175" t="s">
        <v>461</v>
      </c>
      <c r="J175" t="s">
        <v>13137</v>
      </c>
      <c r="K175" s="46">
        <v>1.1999999999999999E-7</v>
      </c>
      <c r="L175" t="s">
        <v>13138</v>
      </c>
      <c r="M175" t="s">
        <v>4546</v>
      </c>
      <c r="N175" t="s">
        <v>13192</v>
      </c>
      <c r="O175" t="s">
        <v>25</v>
      </c>
      <c r="P175" t="s">
        <v>13150</v>
      </c>
    </row>
    <row r="176" spans="1:24">
      <c r="A176" t="s">
        <v>13227</v>
      </c>
      <c r="B176" t="s">
        <v>13227</v>
      </c>
      <c r="C176" t="s">
        <v>13172</v>
      </c>
      <c r="D176" t="s">
        <v>4546</v>
      </c>
      <c r="E176">
        <v>603</v>
      </c>
      <c r="F176" t="s">
        <v>13209</v>
      </c>
      <c r="G176" t="str">
        <f>Config!$B$5</f>
        <v>SCH/L_ANSI.SchLib</v>
      </c>
      <c r="H176" t="s">
        <v>424</v>
      </c>
      <c r="I176" t="s">
        <v>461</v>
      </c>
      <c r="J176" t="s">
        <v>13137</v>
      </c>
      <c r="K176" s="46">
        <v>6.8E-8</v>
      </c>
      <c r="L176" t="s">
        <v>13138</v>
      </c>
      <c r="M176" t="s">
        <v>4546</v>
      </c>
      <c r="N176" t="s">
        <v>13193</v>
      </c>
      <c r="O176" t="s">
        <v>25</v>
      </c>
      <c r="P176" t="s">
        <v>13151</v>
      </c>
    </row>
    <row r="177" spans="1:25">
      <c r="A177" t="s">
        <v>13228</v>
      </c>
      <c r="B177" t="s">
        <v>13228</v>
      </c>
      <c r="C177" t="s">
        <v>13173</v>
      </c>
      <c r="D177" t="s">
        <v>4546</v>
      </c>
      <c r="E177">
        <v>603</v>
      </c>
      <c r="F177" t="s">
        <v>4584</v>
      </c>
      <c r="G177" t="str">
        <f>Config!$B$5</f>
        <v>SCH/L_ANSI.SchLib</v>
      </c>
      <c r="H177" t="s">
        <v>424</v>
      </c>
      <c r="I177" t="s">
        <v>461</v>
      </c>
      <c r="J177" t="s">
        <v>13137</v>
      </c>
      <c r="K177" s="46">
        <v>1.5E-6</v>
      </c>
      <c r="L177" t="s">
        <v>13138</v>
      </c>
      <c r="M177" t="s">
        <v>4546</v>
      </c>
      <c r="N177" t="s">
        <v>13194</v>
      </c>
      <c r="O177" t="s">
        <v>25</v>
      </c>
      <c r="P177" t="s">
        <v>13152</v>
      </c>
    </row>
    <row r="178" spans="1:25">
      <c r="A178" t="s">
        <v>13229</v>
      </c>
      <c r="B178" t="s">
        <v>13229</v>
      </c>
      <c r="C178" t="s">
        <v>13174</v>
      </c>
      <c r="D178" t="s">
        <v>4546</v>
      </c>
      <c r="E178">
        <v>603</v>
      </c>
      <c r="F178" t="s">
        <v>4586</v>
      </c>
      <c r="G178" t="str">
        <f>Config!$B$5</f>
        <v>SCH/L_ANSI.SchLib</v>
      </c>
      <c r="H178" t="s">
        <v>424</v>
      </c>
      <c r="I178" t="s">
        <v>461</v>
      </c>
      <c r="J178" t="s">
        <v>13137</v>
      </c>
      <c r="K178" s="46">
        <v>3.3000000000000002E-7</v>
      </c>
      <c r="L178" t="s">
        <v>13138</v>
      </c>
      <c r="M178" t="s">
        <v>4546</v>
      </c>
      <c r="N178" t="s">
        <v>13195</v>
      </c>
      <c r="O178" t="s">
        <v>25</v>
      </c>
      <c r="P178" t="s">
        <v>13153</v>
      </c>
    </row>
    <row r="179" spans="1:25">
      <c r="A179" t="s">
        <v>13230</v>
      </c>
      <c r="B179" t="s">
        <v>13230</v>
      </c>
      <c r="C179" t="s">
        <v>13175</v>
      </c>
      <c r="D179" t="s">
        <v>4546</v>
      </c>
      <c r="E179">
        <v>603</v>
      </c>
      <c r="F179" t="s">
        <v>13210</v>
      </c>
      <c r="G179" t="str">
        <f>Config!$B$5</f>
        <v>SCH/L_ANSI.SchLib</v>
      </c>
      <c r="H179" t="s">
        <v>424</v>
      </c>
      <c r="I179" t="s">
        <v>461</v>
      </c>
      <c r="J179" t="s">
        <v>13137</v>
      </c>
      <c r="K179" s="46">
        <v>2.7E-6</v>
      </c>
      <c r="L179" t="s">
        <v>13138</v>
      </c>
      <c r="M179" t="s">
        <v>4546</v>
      </c>
      <c r="N179" t="s">
        <v>13196</v>
      </c>
      <c r="O179" t="s">
        <v>25</v>
      </c>
      <c r="P179" t="s">
        <v>13154</v>
      </c>
    </row>
    <row r="180" spans="1:25">
      <c r="A180" t="s">
        <v>13231</v>
      </c>
      <c r="B180" t="s">
        <v>13231</v>
      </c>
      <c r="C180" t="s">
        <v>13176</v>
      </c>
      <c r="D180" t="s">
        <v>4546</v>
      </c>
      <c r="E180">
        <v>603</v>
      </c>
      <c r="F180" t="s">
        <v>13211</v>
      </c>
      <c r="G180" t="str">
        <f>Config!$B$5</f>
        <v>SCH/L_ANSI.SchLib</v>
      </c>
      <c r="H180" t="s">
        <v>424</v>
      </c>
      <c r="I180" t="s">
        <v>461</v>
      </c>
      <c r="J180" t="s">
        <v>13137</v>
      </c>
      <c r="K180" s="46">
        <v>4.6999999999999997E-8</v>
      </c>
      <c r="L180" t="s">
        <v>13138</v>
      </c>
      <c r="M180" t="s">
        <v>4546</v>
      </c>
      <c r="N180" t="s">
        <v>13197</v>
      </c>
      <c r="O180" t="s">
        <v>25</v>
      </c>
      <c r="P180" t="s">
        <v>13155</v>
      </c>
    </row>
    <row r="181" spans="1:25">
      <c r="A181" t="s">
        <v>13232</v>
      </c>
      <c r="B181" t="s">
        <v>13232</v>
      </c>
      <c r="C181" t="s">
        <v>13177</v>
      </c>
      <c r="D181" t="s">
        <v>4546</v>
      </c>
      <c r="E181">
        <v>603</v>
      </c>
      <c r="F181" t="s">
        <v>13212</v>
      </c>
      <c r="G181" t="str">
        <f>Config!$B$5</f>
        <v>SCH/L_ANSI.SchLib</v>
      </c>
      <c r="H181" t="s">
        <v>424</v>
      </c>
      <c r="I181" t="s">
        <v>461</v>
      </c>
      <c r="J181" t="s">
        <v>13137</v>
      </c>
      <c r="K181" s="46">
        <v>8.2000000000000006E-8</v>
      </c>
      <c r="L181" t="s">
        <v>13138</v>
      </c>
      <c r="M181" t="s">
        <v>4546</v>
      </c>
      <c r="N181" t="s">
        <v>13198</v>
      </c>
      <c r="O181" t="s">
        <v>25</v>
      </c>
      <c r="P181" t="s">
        <v>13156</v>
      </c>
    </row>
    <row r="182" spans="1:25">
      <c r="A182" t="s">
        <v>13233</v>
      </c>
      <c r="B182" t="s">
        <v>13233</v>
      </c>
      <c r="C182" t="s">
        <v>13178</v>
      </c>
      <c r="D182" t="s">
        <v>4546</v>
      </c>
      <c r="E182">
        <v>603</v>
      </c>
      <c r="F182" t="s">
        <v>6924</v>
      </c>
      <c r="G182" t="str">
        <f>Config!$B$5</f>
        <v>SCH/L_ANSI.SchLib</v>
      </c>
      <c r="H182" t="s">
        <v>424</v>
      </c>
      <c r="I182" t="s">
        <v>461</v>
      </c>
      <c r="J182" t="s">
        <v>13137</v>
      </c>
      <c r="K182" s="46">
        <v>1.4999999999999999E-7</v>
      </c>
      <c r="L182" t="s">
        <v>13138</v>
      </c>
      <c r="M182" t="s">
        <v>4546</v>
      </c>
      <c r="N182" t="s">
        <v>13199</v>
      </c>
      <c r="O182" t="s">
        <v>25</v>
      </c>
      <c r="P182" t="s">
        <v>13157</v>
      </c>
    </row>
    <row r="183" spans="1:25">
      <c r="A183" t="s">
        <v>13234</v>
      </c>
      <c r="B183" t="s">
        <v>13234</v>
      </c>
      <c r="C183" t="s">
        <v>13179</v>
      </c>
      <c r="D183" t="s">
        <v>4546</v>
      </c>
      <c r="E183">
        <v>603</v>
      </c>
      <c r="F183" t="s">
        <v>13213</v>
      </c>
      <c r="G183" t="str">
        <f>Config!$B$5</f>
        <v>SCH/L_ANSI.SchLib</v>
      </c>
      <c r="H183" t="s">
        <v>424</v>
      </c>
      <c r="I183" t="s">
        <v>461</v>
      </c>
      <c r="J183" t="s">
        <v>13137</v>
      </c>
      <c r="K183" s="46">
        <v>1.8E-7</v>
      </c>
      <c r="L183" t="s">
        <v>13138</v>
      </c>
      <c r="M183" t="s">
        <v>4546</v>
      </c>
      <c r="N183" t="s">
        <v>13200</v>
      </c>
      <c r="O183" t="s">
        <v>25</v>
      </c>
      <c r="P183" t="s">
        <v>13158</v>
      </c>
    </row>
    <row r="184" spans="1:25">
      <c r="A184" t="s">
        <v>13235</v>
      </c>
      <c r="B184" t="s">
        <v>13235</v>
      </c>
      <c r="C184" t="s">
        <v>13180</v>
      </c>
      <c r="D184" t="s">
        <v>4546</v>
      </c>
      <c r="E184">
        <v>603</v>
      </c>
      <c r="F184" t="s">
        <v>13214</v>
      </c>
      <c r="G184" t="str">
        <f>Config!$B$5</f>
        <v>SCH/L_ANSI.SchLib</v>
      </c>
      <c r="H184" t="s">
        <v>424</v>
      </c>
      <c r="I184" t="s">
        <v>461</v>
      </c>
      <c r="J184" t="s">
        <v>13137</v>
      </c>
      <c r="K184" s="46">
        <v>3.9000000000000002E-7</v>
      </c>
      <c r="L184" t="s">
        <v>13138</v>
      </c>
      <c r="M184" t="s">
        <v>4546</v>
      </c>
      <c r="N184" t="s">
        <v>13201</v>
      </c>
      <c r="O184" t="s">
        <v>25</v>
      </c>
      <c r="P184" t="s">
        <v>13159</v>
      </c>
    </row>
    <row r="185" spans="1:25">
      <c r="A185" t="s">
        <v>13278</v>
      </c>
      <c r="B185" t="s">
        <v>13278</v>
      </c>
      <c r="C185" t="s">
        <v>13277</v>
      </c>
      <c r="D185" t="s">
        <v>13272</v>
      </c>
      <c r="E185">
        <v>4040</v>
      </c>
      <c r="F185" t="s">
        <v>11344</v>
      </c>
      <c r="G185" t="str">
        <f>Config!$B$5</f>
        <v>SCH/L_ANSI.SchLib</v>
      </c>
      <c r="H185" t="s">
        <v>424</v>
      </c>
      <c r="I185" t="s">
        <v>6535</v>
      </c>
      <c r="J185" t="s">
        <v>13273</v>
      </c>
      <c r="K185" s="46">
        <v>4.6999999999999997E-5</v>
      </c>
      <c r="L185" t="s">
        <v>13276</v>
      </c>
      <c r="M185" t="s">
        <v>13272</v>
      </c>
      <c r="N185" t="s">
        <v>13275</v>
      </c>
      <c r="O185" t="s">
        <v>25</v>
      </c>
      <c r="P185" t="s">
        <v>13274</v>
      </c>
      <c r="U185" t="s">
        <v>13272</v>
      </c>
      <c r="V185" t="s">
        <v>13275</v>
      </c>
      <c r="W185" t="s">
        <v>4559</v>
      </c>
      <c r="X185" t="s">
        <v>13279</v>
      </c>
    </row>
    <row r="186" spans="1:25">
      <c r="A186" t="s">
        <v>14025</v>
      </c>
      <c r="B186" t="s">
        <v>14025</v>
      </c>
      <c r="C186" t="s">
        <v>14480</v>
      </c>
      <c r="E186" t="s">
        <v>14021</v>
      </c>
      <c r="G186" t="str">
        <f>Config!$B$5</f>
        <v>SCH/L_ANSI.SchLib</v>
      </c>
      <c r="H186" t="s">
        <v>14022</v>
      </c>
      <c r="I186" t="s">
        <v>14023</v>
      </c>
      <c r="J186" t="s">
        <v>14024</v>
      </c>
    </row>
    <row r="187" spans="1:25">
      <c r="A187" t="s">
        <v>14515</v>
      </c>
      <c r="B187" t="s">
        <v>14515</v>
      </c>
      <c r="C187" t="s">
        <v>14519</v>
      </c>
      <c r="D187" t="s">
        <v>14481</v>
      </c>
      <c r="E187">
        <v>1350</v>
      </c>
      <c r="F187" t="s">
        <v>4583</v>
      </c>
      <c r="G187" t="str">
        <f>Config!$B$5</f>
        <v>SCH/L_ANSI.SchLib</v>
      </c>
      <c r="H187" t="s">
        <v>424</v>
      </c>
      <c r="I187" t="s">
        <v>6535</v>
      </c>
      <c r="J187" t="s">
        <v>14631</v>
      </c>
      <c r="K187" s="46">
        <v>9.9999999999999995E-7</v>
      </c>
      <c r="L187" t="s">
        <v>14507</v>
      </c>
      <c r="U187" t="s">
        <v>14485</v>
      </c>
      <c r="V187" t="s">
        <v>14529</v>
      </c>
      <c r="W187" t="s">
        <v>4559</v>
      </c>
      <c r="X187" t="s">
        <v>14534</v>
      </c>
      <c r="Y187" t="s">
        <v>4727</v>
      </c>
    </row>
    <row r="188" spans="1:25">
      <c r="A188" t="s">
        <v>14516</v>
      </c>
      <c r="B188" t="s">
        <v>14516</v>
      </c>
      <c r="C188" t="s">
        <v>14520</v>
      </c>
      <c r="D188" t="s">
        <v>14481</v>
      </c>
      <c r="E188">
        <v>1350</v>
      </c>
      <c r="F188" t="s">
        <v>4584</v>
      </c>
      <c r="G188" t="str">
        <f>Config!$B$5</f>
        <v>SCH/L_ANSI.SchLib</v>
      </c>
      <c r="H188" t="s">
        <v>424</v>
      </c>
      <c r="I188" t="s">
        <v>6535</v>
      </c>
      <c r="J188" t="s">
        <v>14631</v>
      </c>
      <c r="K188" s="46">
        <v>1.5E-6</v>
      </c>
      <c r="L188" t="s">
        <v>14507</v>
      </c>
      <c r="U188" t="s">
        <v>14485</v>
      </c>
      <c r="V188" t="s">
        <v>14530</v>
      </c>
      <c r="W188" t="s">
        <v>4559</v>
      </c>
      <c r="X188" t="s">
        <v>14531</v>
      </c>
      <c r="Y188" t="s">
        <v>4727</v>
      </c>
    </row>
    <row r="189" spans="1:25">
      <c r="A189" t="s">
        <v>14517</v>
      </c>
      <c r="B189" t="s">
        <v>14517</v>
      </c>
      <c r="C189" t="s">
        <v>14521</v>
      </c>
      <c r="D189" t="s">
        <v>14481</v>
      </c>
      <c r="E189">
        <v>1350</v>
      </c>
      <c r="F189" t="s">
        <v>4585</v>
      </c>
      <c r="G189" t="str">
        <f>Config!$B$5</f>
        <v>SCH/L_ANSI.SchLib</v>
      </c>
      <c r="H189" t="s">
        <v>424</v>
      </c>
      <c r="I189" t="s">
        <v>6535</v>
      </c>
      <c r="J189" t="s">
        <v>14631</v>
      </c>
      <c r="K189" s="46">
        <v>2.2000000000000001E-6</v>
      </c>
      <c r="L189" t="s">
        <v>14507</v>
      </c>
      <c r="U189" t="s">
        <v>14485</v>
      </c>
      <c r="V189" t="s">
        <v>14532</v>
      </c>
      <c r="W189" t="s">
        <v>4559</v>
      </c>
      <c r="X189" t="s">
        <v>14533</v>
      </c>
      <c r="Y189" t="s">
        <v>4727</v>
      </c>
    </row>
    <row r="190" spans="1:25">
      <c r="A190" t="s">
        <v>14514</v>
      </c>
      <c r="B190" t="s">
        <v>14514</v>
      </c>
      <c r="C190" t="s">
        <v>14518</v>
      </c>
      <c r="D190" t="s">
        <v>14481</v>
      </c>
      <c r="E190">
        <v>1350</v>
      </c>
      <c r="F190" t="s">
        <v>6796</v>
      </c>
      <c r="G190" t="str">
        <f>Config!$B$5</f>
        <v>SCH/L_ANSI.SchLib</v>
      </c>
      <c r="H190" t="s">
        <v>424</v>
      </c>
      <c r="I190" t="s">
        <v>6535</v>
      </c>
      <c r="J190" t="s">
        <v>14631</v>
      </c>
      <c r="K190" s="46">
        <v>3.3000000000000002E-6</v>
      </c>
      <c r="L190" t="s">
        <v>14507</v>
      </c>
      <c r="U190" t="s">
        <v>14485</v>
      </c>
      <c r="V190" t="s">
        <v>14535</v>
      </c>
      <c r="W190" t="s">
        <v>4559</v>
      </c>
      <c r="X190" t="s">
        <v>14536</v>
      </c>
      <c r="Y190" t="s">
        <v>4727</v>
      </c>
    </row>
    <row r="191" spans="1:25">
      <c r="A191" t="s">
        <v>14513</v>
      </c>
      <c r="B191" t="s">
        <v>14513</v>
      </c>
      <c r="C191" t="s">
        <v>14522</v>
      </c>
      <c r="D191" t="s">
        <v>14481</v>
      </c>
      <c r="E191">
        <v>1350</v>
      </c>
      <c r="F191" t="s">
        <v>4588</v>
      </c>
      <c r="G191" t="str">
        <f>Config!$B$5</f>
        <v>SCH/L_ANSI.SchLib</v>
      </c>
      <c r="H191" t="s">
        <v>424</v>
      </c>
      <c r="I191" t="s">
        <v>6535</v>
      </c>
      <c r="J191" t="s">
        <v>14631</v>
      </c>
      <c r="K191" s="46">
        <v>4.6999999999999999E-6</v>
      </c>
      <c r="L191" t="s">
        <v>14507</v>
      </c>
      <c r="U191" t="s">
        <v>14485</v>
      </c>
      <c r="V191" t="s">
        <v>14537</v>
      </c>
      <c r="W191" t="s">
        <v>4559</v>
      </c>
      <c r="X191" t="s">
        <v>14538</v>
      </c>
      <c r="Y191" t="s">
        <v>4727</v>
      </c>
    </row>
    <row r="192" spans="1:25">
      <c r="A192" t="s">
        <v>14512</v>
      </c>
      <c r="B192" t="s">
        <v>14512</v>
      </c>
      <c r="C192" t="s">
        <v>14523</v>
      </c>
      <c r="D192" t="s">
        <v>14481</v>
      </c>
      <c r="E192">
        <v>1350</v>
      </c>
      <c r="F192" t="s">
        <v>6927</v>
      </c>
      <c r="G192" t="str">
        <f>Config!$B$5</f>
        <v>SCH/L_ANSI.SchLib</v>
      </c>
      <c r="H192" t="s">
        <v>424</v>
      </c>
      <c r="I192" t="s">
        <v>6535</v>
      </c>
      <c r="J192" t="s">
        <v>14631</v>
      </c>
      <c r="K192" s="46">
        <v>6.8000000000000001E-6</v>
      </c>
      <c r="L192" t="s">
        <v>14507</v>
      </c>
      <c r="U192" t="s">
        <v>14485</v>
      </c>
      <c r="V192" t="s">
        <v>14539</v>
      </c>
      <c r="W192" t="s">
        <v>4559</v>
      </c>
      <c r="X192" t="s">
        <v>14540</v>
      </c>
      <c r="Y192" t="s">
        <v>4727</v>
      </c>
    </row>
    <row r="193" spans="1:25">
      <c r="A193" t="s">
        <v>14476</v>
      </c>
      <c r="B193" t="s">
        <v>14476</v>
      </c>
      <c r="C193" t="s">
        <v>14525</v>
      </c>
      <c r="D193" t="s">
        <v>14481</v>
      </c>
      <c r="E193">
        <v>1350</v>
      </c>
      <c r="F193" t="s">
        <v>6778</v>
      </c>
      <c r="G193" t="str">
        <f>Config!$B$5</f>
        <v>SCH/L_ANSI.SchLib</v>
      </c>
      <c r="H193" t="s">
        <v>424</v>
      </c>
      <c r="I193" t="s">
        <v>6535</v>
      </c>
      <c r="J193" t="s">
        <v>14631</v>
      </c>
      <c r="K193" s="46">
        <v>1.0000000000000001E-5</v>
      </c>
      <c r="L193" t="s">
        <v>14507</v>
      </c>
      <c r="U193" t="s">
        <v>14485</v>
      </c>
      <c r="V193" t="s">
        <v>14486</v>
      </c>
      <c r="W193" t="s">
        <v>4559</v>
      </c>
      <c r="X193" t="s">
        <v>14487</v>
      </c>
      <c r="Y193" t="s">
        <v>4727</v>
      </c>
    </row>
    <row r="194" spans="1:25">
      <c r="A194" t="s">
        <v>14510</v>
      </c>
      <c r="B194" t="s">
        <v>14510</v>
      </c>
      <c r="C194" t="s">
        <v>14524</v>
      </c>
      <c r="D194" t="s">
        <v>14481</v>
      </c>
      <c r="E194">
        <v>1350</v>
      </c>
      <c r="F194" t="s">
        <v>6718</v>
      </c>
      <c r="G194" t="str">
        <f>Config!$B$5</f>
        <v>SCH/L_ANSI.SchLib</v>
      </c>
      <c r="H194" t="s">
        <v>424</v>
      </c>
      <c r="I194" t="s">
        <v>6535</v>
      </c>
      <c r="J194" t="s">
        <v>14631</v>
      </c>
      <c r="K194" s="46">
        <v>1.5E-5</v>
      </c>
      <c r="L194" t="s">
        <v>14507</v>
      </c>
      <c r="U194" t="s">
        <v>14485</v>
      </c>
      <c r="V194" t="s">
        <v>14541</v>
      </c>
      <c r="W194" t="s">
        <v>4559</v>
      </c>
      <c r="X194" t="s">
        <v>14542</v>
      </c>
      <c r="Y194" t="s">
        <v>4727</v>
      </c>
    </row>
    <row r="195" spans="1:25">
      <c r="A195" t="s">
        <v>14511</v>
      </c>
      <c r="B195" t="s">
        <v>14511</v>
      </c>
      <c r="C195" t="s">
        <v>14526</v>
      </c>
      <c r="D195" t="s">
        <v>14481</v>
      </c>
      <c r="E195">
        <v>1350</v>
      </c>
      <c r="F195" t="s">
        <v>6845</v>
      </c>
      <c r="G195" t="str">
        <f>Config!$B$5</f>
        <v>SCH/L_ANSI.SchLib</v>
      </c>
      <c r="H195" t="s">
        <v>424</v>
      </c>
      <c r="I195" t="s">
        <v>6535</v>
      </c>
      <c r="J195" t="s">
        <v>14631</v>
      </c>
      <c r="K195" s="46">
        <v>2.1999999999999999E-5</v>
      </c>
      <c r="L195" t="s">
        <v>14507</v>
      </c>
      <c r="U195" t="s">
        <v>14485</v>
      </c>
      <c r="V195" t="s">
        <v>14543</v>
      </c>
      <c r="W195" t="s">
        <v>4559</v>
      </c>
      <c r="X195" t="s">
        <v>14544</v>
      </c>
      <c r="Y195" t="s">
        <v>4727</v>
      </c>
    </row>
    <row r="196" spans="1:25">
      <c r="A196" t="s">
        <v>14509</v>
      </c>
      <c r="B196" t="s">
        <v>14509</v>
      </c>
      <c r="C196" t="s">
        <v>14527</v>
      </c>
      <c r="D196" t="s">
        <v>14481</v>
      </c>
      <c r="E196">
        <v>1350</v>
      </c>
      <c r="F196" t="s">
        <v>6846</v>
      </c>
      <c r="G196" t="str">
        <f>Config!$B$5</f>
        <v>SCH/L_ANSI.SchLib</v>
      </c>
      <c r="H196" t="s">
        <v>424</v>
      </c>
      <c r="I196" t="s">
        <v>6535</v>
      </c>
      <c r="J196" t="s">
        <v>14631</v>
      </c>
      <c r="K196" s="46">
        <v>3.3000000000000003E-5</v>
      </c>
      <c r="L196" t="s">
        <v>14507</v>
      </c>
      <c r="U196" t="s">
        <v>14485</v>
      </c>
      <c r="V196" t="s">
        <v>14545</v>
      </c>
      <c r="W196" t="s">
        <v>4559</v>
      </c>
      <c r="X196" t="s">
        <v>14546</v>
      </c>
      <c r="Y196" t="s">
        <v>4727</v>
      </c>
    </row>
    <row r="197" spans="1:25">
      <c r="A197" t="s">
        <v>14508</v>
      </c>
      <c r="B197" t="s">
        <v>14508</v>
      </c>
      <c r="C197" t="s">
        <v>14528</v>
      </c>
      <c r="D197" t="s">
        <v>14481</v>
      </c>
      <c r="E197">
        <v>1350</v>
      </c>
      <c r="F197" t="s">
        <v>11344</v>
      </c>
      <c r="G197" t="str">
        <f>Config!$B$5</f>
        <v>SCH/L_ANSI.SchLib</v>
      </c>
      <c r="H197" t="s">
        <v>424</v>
      </c>
      <c r="I197" t="s">
        <v>6535</v>
      </c>
      <c r="J197" t="s">
        <v>14631</v>
      </c>
      <c r="K197" s="46">
        <v>4.6999999999999997E-5</v>
      </c>
      <c r="L197" t="s">
        <v>14507</v>
      </c>
      <c r="U197" t="s">
        <v>14485</v>
      </c>
      <c r="V197" t="s">
        <v>14547</v>
      </c>
      <c r="W197" t="s">
        <v>4559</v>
      </c>
      <c r="X197" t="s">
        <v>14548</v>
      </c>
      <c r="Y197" t="s">
        <v>4727</v>
      </c>
    </row>
    <row r="198" spans="1:25">
      <c r="A198" t="s">
        <v>14554</v>
      </c>
      <c r="B198" t="s">
        <v>14554</v>
      </c>
      <c r="C198" t="s">
        <v>14550</v>
      </c>
      <c r="D198" t="s">
        <v>14481</v>
      </c>
      <c r="E198">
        <v>1360</v>
      </c>
      <c r="F198" t="s">
        <v>4584</v>
      </c>
      <c r="G198" t="str">
        <f>Config!$B$5</f>
        <v>SCH/L_ANSI.SchLib</v>
      </c>
      <c r="H198" t="s">
        <v>424</v>
      </c>
      <c r="I198" t="s">
        <v>6535</v>
      </c>
      <c r="J198" t="s">
        <v>14632</v>
      </c>
      <c r="K198" s="46">
        <v>1.5E-6</v>
      </c>
      <c r="L198" t="s">
        <v>14549</v>
      </c>
      <c r="U198" t="s">
        <v>14485</v>
      </c>
      <c r="V198" t="s">
        <v>14557</v>
      </c>
      <c r="W198" t="s">
        <v>4559</v>
      </c>
      <c r="X198" t="s">
        <v>14558</v>
      </c>
      <c r="Y198" t="s">
        <v>4727</v>
      </c>
    </row>
    <row r="199" spans="1:25">
      <c r="A199" t="s">
        <v>14477</v>
      </c>
      <c r="B199" t="s">
        <v>14477</v>
      </c>
      <c r="C199" t="s">
        <v>14551</v>
      </c>
      <c r="D199" t="s">
        <v>14481</v>
      </c>
      <c r="E199">
        <v>1360</v>
      </c>
      <c r="F199" t="s">
        <v>6778</v>
      </c>
      <c r="G199" t="str">
        <f>Config!$B$5</f>
        <v>SCH/L_ANSI.SchLib</v>
      </c>
      <c r="H199" t="s">
        <v>424</v>
      </c>
      <c r="I199" t="s">
        <v>6535</v>
      </c>
      <c r="J199" t="s">
        <v>14632</v>
      </c>
      <c r="K199" s="46">
        <v>1.0000000000000001E-5</v>
      </c>
      <c r="L199" t="s">
        <v>14549</v>
      </c>
      <c r="U199" t="s">
        <v>14485</v>
      </c>
      <c r="V199" t="s">
        <v>14488</v>
      </c>
      <c r="W199" t="s">
        <v>4559</v>
      </c>
      <c r="X199" t="s">
        <v>14489</v>
      </c>
      <c r="Y199" t="s">
        <v>4727</v>
      </c>
    </row>
    <row r="200" spans="1:25">
      <c r="A200" t="s">
        <v>14555</v>
      </c>
      <c r="B200" t="s">
        <v>14555</v>
      </c>
      <c r="C200" t="s">
        <v>14552</v>
      </c>
      <c r="D200" t="s">
        <v>14481</v>
      </c>
      <c r="E200">
        <v>1360</v>
      </c>
      <c r="F200" t="s">
        <v>6718</v>
      </c>
      <c r="G200" t="str">
        <f>Config!$B$5</f>
        <v>SCH/L_ANSI.SchLib</v>
      </c>
      <c r="H200" t="s">
        <v>424</v>
      </c>
      <c r="I200" t="s">
        <v>6535</v>
      </c>
      <c r="J200" t="s">
        <v>14632</v>
      </c>
      <c r="K200" s="46">
        <v>1.5E-5</v>
      </c>
      <c r="L200" t="s">
        <v>14549</v>
      </c>
      <c r="U200" t="s">
        <v>14485</v>
      </c>
      <c r="V200" t="s">
        <v>14559</v>
      </c>
      <c r="W200" t="s">
        <v>4559</v>
      </c>
      <c r="X200" t="s">
        <v>14560</v>
      </c>
      <c r="Y200" t="s">
        <v>4727</v>
      </c>
    </row>
    <row r="201" spans="1:25">
      <c r="A201" t="s">
        <v>14556</v>
      </c>
      <c r="B201" t="s">
        <v>14556</v>
      </c>
      <c r="C201" t="s">
        <v>14553</v>
      </c>
      <c r="D201" t="s">
        <v>14481</v>
      </c>
      <c r="E201">
        <v>1360</v>
      </c>
      <c r="F201" t="s">
        <v>11344</v>
      </c>
      <c r="G201" t="str">
        <f>Config!$B$5</f>
        <v>SCH/L_ANSI.SchLib</v>
      </c>
      <c r="H201" t="s">
        <v>424</v>
      </c>
      <c r="I201" t="s">
        <v>6535</v>
      </c>
      <c r="J201" t="s">
        <v>14632</v>
      </c>
      <c r="K201" s="46">
        <v>4.6999999999999997E-5</v>
      </c>
      <c r="L201" t="s">
        <v>14549</v>
      </c>
      <c r="U201" t="s">
        <v>14485</v>
      </c>
      <c r="V201" t="s">
        <v>14561</v>
      </c>
      <c r="W201" t="s">
        <v>4559</v>
      </c>
      <c r="X201" t="s">
        <v>14562</v>
      </c>
      <c r="Y201" t="s">
        <v>4727</v>
      </c>
    </row>
    <row r="202" spans="1:25">
      <c r="A202" t="s">
        <v>14563</v>
      </c>
      <c r="B202" t="s">
        <v>14563</v>
      </c>
      <c r="C202" t="s">
        <v>14585</v>
      </c>
      <c r="D202" t="s">
        <v>14481</v>
      </c>
      <c r="E202">
        <v>1365</v>
      </c>
      <c r="F202" t="s">
        <v>4581</v>
      </c>
      <c r="G202" t="str">
        <f>Config!$B$5</f>
        <v>SCH/L_ANSI.SchLib</v>
      </c>
      <c r="H202" t="s">
        <v>424</v>
      </c>
      <c r="I202" t="s">
        <v>6535</v>
      </c>
      <c r="J202" t="s">
        <v>14633</v>
      </c>
      <c r="K202" s="46">
        <v>4.7E-7</v>
      </c>
      <c r="L202" t="s">
        <v>14584</v>
      </c>
      <c r="U202" t="s">
        <v>14485</v>
      </c>
      <c r="V202" t="s">
        <v>14586</v>
      </c>
      <c r="W202" t="s">
        <v>4559</v>
      </c>
      <c r="X202" t="s">
        <v>14587</v>
      </c>
      <c r="Y202" t="s">
        <v>4727</v>
      </c>
    </row>
    <row r="203" spans="1:25">
      <c r="A203" t="s">
        <v>14564</v>
      </c>
      <c r="B203" t="s">
        <v>14564</v>
      </c>
      <c r="C203" t="s">
        <v>14573</v>
      </c>
      <c r="D203" t="s">
        <v>14481</v>
      </c>
      <c r="E203">
        <v>1365</v>
      </c>
      <c r="F203" t="s">
        <v>4583</v>
      </c>
      <c r="G203" t="str">
        <f>Config!$B$5</f>
        <v>SCH/L_ANSI.SchLib</v>
      </c>
      <c r="H203" t="s">
        <v>424</v>
      </c>
      <c r="I203" t="s">
        <v>6535</v>
      </c>
      <c r="J203" t="s">
        <v>14633</v>
      </c>
      <c r="K203" s="46">
        <v>9.9999999999999995E-7</v>
      </c>
      <c r="L203" t="s">
        <v>14584</v>
      </c>
      <c r="U203" t="s">
        <v>14485</v>
      </c>
      <c r="V203" t="s">
        <v>14588</v>
      </c>
      <c r="W203" t="s">
        <v>4559</v>
      </c>
      <c r="X203" t="s">
        <v>14589</v>
      </c>
      <c r="Y203" t="s">
        <v>4727</v>
      </c>
    </row>
    <row r="204" spans="1:25">
      <c r="A204" t="s">
        <v>14565</v>
      </c>
      <c r="B204" t="s">
        <v>14565</v>
      </c>
      <c r="C204" t="s">
        <v>14574</v>
      </c>
      <c r="D204" t="s">
        <v>14481</v>
      </c>
      <c r="E204">
        <v>1365</v>
      </c>
      <c r="F204" t="s">
        <v>4584</v>
      </c>
      <c r="G204" t="str">
        <f>Config!$B$5</f>
        <v>SCH/L_ANSI.SchLib</v>
      </c>
      <c r="H204" t="s">
        <v>424</v>
      </c>
      <c r="I204" t="s">
        <v>6535</v>
      </c>
      <c r="J204" t="s">
        <v>14633</v>
      </c>
      <c r="K204" s="46">
        <v>1.5E-6</v>
      </c>
      <c r="L204" t="s">
        <v>14584</v>
      </c>
      <c r="U204" t="s">
        <v>14485</v>
      </c>
      <c r="V204" t="s">
        <v>14590</v>
      </c>
      <c r="W204" t="s">
        <v>4559</v>
      </c>
      <c r="X204" t="s">
        <v>14591</v>
      </c>
      <c r="Y204" t="s">
        <v>4727</v>
      </c>
    </row>
    <row r="205" spans="1:25">
      <c r="A205" t="s">
        <v>14566</v>
      </c>
      <c r="B205" t="s">
        <v>14566</v>
      </c>
      <c r="C205" t="s">
        <v>14575</v>
      </c>
      <c r="D205" t="s">
        <v>14481</v>
      </c>
      <c r="E205">
        <v>1365</v>
      </c>
      <c r="F205" t="s">
        <v>4585</v>
      </c>
      <c r="G205" t="str">
        <f>Config!$B$5</f>
        <v>SCH/L_ANSI.SchLib</v>
      </c>
      <c r="H205" t="s">
        <v>424</v>
      </c>
      <c r="I205" t="s">
        <v>6535</v>
      </c>
      <c r="J205" t="s">
        <v>14633</v>
      </c>
      <c r="K205" s="46">
        <v>2.2000000000000001E-6</v>
      </c>
      <c r="L205" t="s">
        <v>14584</v>
      </c>
      <c r="U205" t="s">
        <v>14485</v>
      </c>
      <c r="V205" t="s">
        <v>14592</v>
      </c>
      <c r="W205" t="s">
        <v>4559</v>
      </c>
      <c r="X205" t="s">
        <v>14593</v>
      </c>
      <c r="Y205" t="s">
        <v>4727</v>
      </c>
    </row>
    <row r="206" spans="1:25">
      <c r="A206" t="s">
        <v>14567</v>
      </c>
      <c r="B206" t="s">
        <v>14567</v>
      </c>
      <c r="C206" t="s">
        <v>14576</v>
      </c>
      <c r="D206" t="s">
        <v>14481</v>
      </c>
      <c r="E206">
        <v>1365</v>
      </c>
      <c r="F206" t="s">
        <v>6796</v>
      </c>
      <c r="G206" t="str">
        <f>Config!$B$5</f>
        <v>SCH/L_ANSI.SchLib</v>
      </c>
      <c r="H206" t="s">
        <v>424</v>
      </c>
      <c r="I206" t="s">
        <v>6535</v>
      </c>
      <c r="J206" t="s">
        <v>14633</v>
      </c>
      <c r="K206" s="46">
        <v>3.3000000000000002E-6</v>
      </c>
      <c r="L206" t="s">
        <v>14584</v>
      </c>
      <c r="U206" t="s">
        <v>14485</v>
      </c>
      <c r="V206" t="s">
        <v>14594</v>
      </c>
      <c r="W206" t="s">
        <v>4559</v>
      </c>
      <c r="X206" t="s">
        <v>14595</v>
      </c>
      <c r="Y206" t="s">
        <v>4727</v>
      </c>
    </row>
    <row r="207" spans="1:25">
      <c r="A207" t="s">
        <v>14568</v>
      </c>
      <c r="B207" t="s">
        <v>14568</v>
      </c>
      <c r="C207" t="s">
        <v>14577</v>
      </c>
      <c r="D207" t="s">
        <v>14481</v>
      </c>
      <c r="E207">
        <v>1365</v>
      </c>
      <c r="F207" t="s">
        <v>4588</v>
      </c>
      <c r="G207" t="str">
        <f>Config!$B$5</f>
        <v>SCH/L_ANSI.SchLib</v>
      </c>
      <c r="H207" t="s">
        <v>424</v>
      </c>
      <c r="I207" t="s">
        <v>6535</v>
      </c>
      <c r="J207" t="s">
        <v>14633</v>
      </c>
      <c r="K207" s="46">
        <v>4.6999999999999999E-6</v>
      </c>
      <c r="L207" t="s">
        <v>14584</v>
      </c>
      <c r="U207" t="s">
        <v>14485</v>
      </c>
      <c r="V207" t="s">
        <v>14596</v>
      </c>
      <c r="W207" t="s">
        <v>4559</v>
      </c>
      <c r="X207" t="s">
        <v>14597</v>
      </c>
      <c r="Y207" t="s">
        <v>4727</v>
      </c>
    </row>
    <row r="208" spans="1:25">
      <c r="A208" t="s">
        <v>14569</v>
      </c>
      <c r="B208" t="s">
        <v>14569</v>
      </c>
      <c r="C208" t="s">
        <v>14578</v>
      </c>
      <c r="D208" t="s">
        <v>14481</v>
      </c>
      <c r="E208">
        <v>1365</v>
      </c>
      <c r="F208" t="s">
        <v>6927</v>
      </c>
      <c r="G208" t="str">
        <f>Config!$B$5</f>
        <v>SCH/L_ANSI.SchLib</v>
      </c>
      <c r="H208" t="s">
        <v>424</v>
      </c>
      <c r="I208" t="s">
        <v>6535</v>
      </c>
      <c r="J208" t="s">
        <v>14633</v>
      </c>
      <c r="K208" s="46">
        <v>6.8000000000000001E-6</v>
      </c>
      <c r="L208" t="s">
        <v>14584</v>
      </c>
      <c r="U208" t="s">
        <v>14485</v>
      </c>
      <c r="V208" t="s">
        <v>14598</v>
      </c>
      <c r="W208" t="s">
        <v>4559</v>
      </c>
      <c r="X208" t="s">
        <v>14599</v>
      </c>
      <c r="Y208" t="s">
        <v>4727</v>
      </c>
    </row>
    <row r="209" spans="1:25">
      <c r="A209" t="s">
        <v>14478</v>
      </c>
      <c r="B209" t="s">
        <v>14478</v>
      </c>
      <c r="C209" t="s">
        <v>14582</v>
      </c>
      <c r="D209" t="s">
        <v>14481</v>
      </c>
      <c r="E209">
        <v>1365</v>
      </c>
      <c r="F209" t="s">
        <v>6778</v>
      </c>
      <c r="G209" t="str">
        <f>Config!$B$5</f>
        <v>SCH/L_ANSI.SchLib</v>
      </c>
      <c r="H209" t="s">
        <v>424</v>
      </c>
      <c r="I209" t="s">
        <v>6535</v>
      </c>
      <c r="J209" t="s">
        <v>14633</v>
      </c>
      <c r="K209" s="46">
        <v>1.0000000000000001E-5</v>
      </c>
      <c r="L209" t="s">
        <v>14584</v>
      </c>
      <c r="U209" t="s">
        <v>14485</v>
      </c>
      <c r="V209" t="s">
        <v>14490</v>
      </c>
      <c r="W209" t="s">
        <v>4559</v>
      </c>
      <c r="X209" t="s">
        <v>14491</v>
      </c>
      <c r="Y209" t="s">
        <v>4727</v>
      </c>
    </row>
    <row r="210" spans="1:25">
      <c r="A210" t="s">
        <v>14504</v>
      </c>
      <c r="B210" t="s">
        <v>14504</v>
      </c>
      <c r="C210" t="s">
        <v>14583</v>
      </c>
      <c r="D210" t="s">
        <v>14481</v>
      </c>
      <c r="E210">
        <v>1365</v>
      </c>
      <c r="F210" t="s">
        <v>6718</v>
      </c>
      <c r="G210" t="str">
        <f>Config!$B$5</f>
        <v>SCH/L_ANSI.SchLib</v>
      </c>
      <c r="H210" t="s">
        <v>424</v>
      </c>
      <c r="I210" t="s">
        <v>6535</v>
      </c>
      <c r="J210" t="s">
        <v>14633</v>
      </c>
      <c r="K210" s="46">
        <v>1.5E-5</v>
      </c>
      <c r="L210" t="s">
        <v>14584</v>
      </c>
      <c r="U210" t="s">
        <v>14485</v>
      </c>
      <c r="V210" t="s">
        <v>14505</v>
      </c>
      <c r="W210" t="s">
        <v>4559</v>
      </c>
      <c r="X210" t="s">
        <v>14506</v>
      </c>
      <c r="Y210" t="s">
        <v>4727</v>
      </c>
    </row>
    <row r="211" spans="1:25">
      <c r="A211" t="s">
        <v>14570</v>
      </c>
      <c r="B211" t="s">
        <v>14570</v>
      </c>
      <c r="C211" t="s">
        <v>14579</v>
      </c>
      <c r="D211" t="s">
        <v>14481</v>
      </c>
      <c r="E211">
        <v>1365</v>
      </c>
      <c r="F211" t="s">
        <v>6845</v>
      </c>
      <c r="G211" t="str">
        <f>Config!$B$5</f>
        <v>SCH/L_ANSI.SchLib</v>
      </c>
      <c r="H211" t="s">
        <v>424</v>
      </c>
      <c r="I211" t="s">
        <v>6535</v>
      </c>
      <c r="J211" t="s">
        <v>14633</v>
      </c>
      <c r="K211" s="46">
        <v>2.1999999999999999E-5</v>
      </c>
      <c r="L211" t="s">
        <v>14584</v>
      </c>
      <c r="U211" t="s">
        <v>14485</v>
      </c>
      <c r="V211" t="s">
        <v>14600</v>
      </c>
      <c r="W211" t="s">
        <v>4559</v>
      </c>
      <c r="X211" t="s">
        <v>14601</v>
      </c>
      <c r="Y211" t="s">
        <v>4727</v>
      </c>
    </row>
    <row r="212" spans="1:25">
      <c r="A212" t="s">
        <v>14571</v>
      </c>
      <c r="B212" t="s">
        <v>14571</v>
      </c>
      <c r="C212" t="s">
        <v>14580</v>
      </c>
      <c r="D212" t="s">
        <v>14481</v>
      </c>
      <c r="E212">
        <v>1365</v>
      </c>
      <c r="F212" t="s">
        <v>6846</v>
      </c>
      <c r="G212" t="str">
        <f>Config!$B$5</f>
        <v>SCH/L_ANSI.SchLib</v>
      </c>
      <c r="H212" t="s">
        <v>424</v>
      </c>
      <c r="I212" t="s">
        <v>6535</v>
      </c>
      <c r="J212" t="s">
        <v>14633</v>
      </c>
      <c r="K212" s="46">
        <v>3.3000000000000003E-5</v>
      </c>
      <c r="L212" t="s">
        <v>14584</v>
      </c>
      <c r="U212" t="s">
        <v>14485</v>
      </c>
      <c r="V212" t="s">
        <v>14602</v>
      </c>
      <c r="W212" t="s">
        <v>4559</v>
      </c>
      <c r="X212" t="s">
        <v>14603</v>
      </c>
      <c r="Y212" t="s">
        <v>4727</v>
      </c>
    </row>
    <row r="213" spans="1:25">
      <c r="A213" t="s">
        <v>14572</v>
      </c>
      <c r="B213" t="s">
        <v>14572</v>
      </c>
      <c r="C213" t="s">
        <v>14581</v>
      </c>
      <c r="D213" t="s">
        <v>14481</v>
      </c>
      <c r="E213">
        <v>1365</v>
      </c>
      <c r="F213" t="s">
        <v>11344</v>
      </c>
      <c r="G213" t="str">
        <f>Config!$B$5</f>
        <v>SCH/L_ANSI.SchLib</v>
      </c>
      <c r="H213" t="s">
        <v>424</v>
      </c>
      <c r="I213" t="s">
        <v>6535</v>
      </c>
      <c r="J213" t="s">
        <v>14633</v>
      </c>
      <c r="K213" s="46">
        <v>4.6999999999999997E-5</v>
      </c>
      <c r="L213" t="s">
        <v>14584</v>
      </c>
      <c r="U213" t="s">
        <v>14485</v>
      </c>
      <c r="V213" t="s">
        <v>14604</v>
      </c>
      <c r="W213" t="s">
        <v>4559</v>
      </c>
      <c r="X213" t="s">
        <v>14605</v>
      </c>
      <c r="Y213" t="s">
        <v>4727</v>
      </c>
    </row>
    <row r="214" spans="1:25">
      <c r="A214" t="s">
        <v>14606</v>
      </c>
      <c r="B214" t="s">
        <v>14606</v>
      </c>
      <c r="C214" t="s">
        <v>14611</v>
      </c>
      <c r="D214" t="s">
        <v>6392</v>
      </c>
      <c r="E214" t="s">
        <v>14482</v>
      </c>
      <c r="F214" t="s">
        <v>6796</v>
      </c>
      <c r="G214" t="str">
        <f>Config!$B$5</f>
        <v>SCH/L_ANSI.SchLib</v>
      </c>
      <c r="H214" t="s">
        <v>14635</v>
      </c>
      <c r="I214" t="s">
        <v>6535</v>
      </c>
      <c r="J214" t="s">
        <v>14634</v>
      </c>
      <c r="K214" s="46">
        <v>3.3000000000000002E-6</v>
      </c>
      <c r="L214" t="s">
        <v>14616</v>
      </c>
      <c r="U214" t="s">
        <v>6392</v>
      </c>
      <c r="V214" t="s">
        <v>14621</v>
      </c>
      <c r="W214" t="s">
        <v>4559</v>
      </c>
      <c r="X214" t="s">
        <v>14622</v>
      </c>
      <c r="Y214" t="s">
        <v>4727</v>
      </c>
    </row>
    <row r="215" spans="1:25">
      <c r="A215" t="s">
        <v>14607</v>
      </c>
      <c r="B215" t="s">
        <v>14607</v>
      </c>
      <c r="C215" t="s">
        <v>14612</v>
      </c>
      <c r="D215" t="s">
        <v>6392</v>
      </c>
      <c r="E215" t="s">
        <v>14482</v>
      </c>
      <c r="F215" t="s">
        <v>4588</v>
      </c>
      <c r="G215" t="str">
        <f>Config!$B$5</f>
        <v>SCH/L_ANSI.SchLib</v>
      </c>
      <c r="H215" t="s">
        <v>14635</v>
      </c>
      <c r="I215" t="s">
        <v>6535</v>
      </c>
      <c r="J215" t="s">
        <v>14634</v>
      </c>
      <c r="K215" s="46">
        <v>4.6999999999999999E-6</v>
      </c>
      <c r="L215" t="s">
        <v>14617</v>
      </c>
      <c r="U215" t="s">
        <v>6392</v>
      </c>
      <c r="V215" t="s">
        <v>14623</v>
      </c>
      <c r="W215" t="s">
        <v>4559</v>
      </c>
      <c r="X215" t="s">
        <v>14624</v>
      </c>
      <c r="Y215" t="s">
        <v>4727</v>
      </c>
    </row>
    <row r="216" spans="1:25">
      <c r="A216" t="s">
        <v>14608</v>
      </c>
      <c r="B216" t="s">
        <v>14608</v>
      </c>
      <c r="C216" t="s">
        <v>14613</v>
      </c>
      <c r="D216" t="s">
        <v>6392</v>
      </c>
      <c r="E216" t="s">
        <v>14482</v>
      </c>
      <c r="F216" t="s">
        <v>6927</v>
      </c>
      <c r="G216" t="str">
        <f>Config!$B$5</f>
        <v>SCH/L_ANSI.SchLib</v>
      </c>
      <c r="H216" t="s">
        <v>14635</v>
      </c>
      <c r="I216" t="s">
        <v>6535</v>
      </c>
      <c r="J216" t="s">
        <v>14634</v>
      </c>
      <c r="K216" s="46">
        <v>6.8000000000000001E-6</v>
      </c>
      <c r="L216" t="s">
        <v>14618</v>
      </c>
      <c r="U216" t="s">
        <v>6392</v>
      </c>
      <c r="V216" t="s">
        <v>14625</v>
      </c>
      <c r="W216" t="s">
        <v>4559</v>
      </c>
      <c r="X216" t="s">
        <v>14626</v>
      </c>
      <c r="Y216" t="s">
        <v>4727</v>
      </c>
    </row>
    <row r="217" spans="1:25">
      <c r="A217" t="s">
        <v>14609</v>
      </c>
      <c r="B217" t="s">
        <v>14609</v>
      </c>
      <c r="C217" t="s">
        <v>14614</v>
      </c>
      <c r="D217" t="s">
        <v>6392</v>
      </c>
      <c r="E217" t="s">
        <v>14482</v>
      </c>
      <c r="F217" t="s">
        <v>6895</v>
      </c>
      <c r="G217" t="str">
        <f>Config!$B$5</f>
        <v>SCH/L_ANSI.SchLib</v>
      </c>
      <c r="H217" t="s">
        <v>14635</v>
      </c>
      <c r="I217" t="s">
        <v>6535</v>
      </c>
      <c r="J217" t="s">
        <v>14634</v>
      </c>
      <c r="K217" s="46">
        <v>8.1999999999999994E-6</v>
      </c>
      <c r="L217" t="s">
        <v>14619</v>
      </c>
      <c r="U217" t="s">
        <v>6392</v>
      </c>
      <c r="V217" t="s">
        <v>14627</v>
      </c>
      <c r="W217" t="s">
        <v>4559</v>
      </c>
      <c r="X217" t="s">
        <v>14628</v>
      </c>
      <c r="Y217" t="s">
        <v>4727</v>
      </c>
    </row>
    <row r="218" spans="1:25">
      <c r="A218" t="s">
        <v>14479</v>
      </c>
      <c r="B218" t="s">
        <v>14479</v>
      </c>
      <c r="C218" t="s">
        <v>14483</v>
      </c>
      <c r="D218" t="s">
        <v>6392</v>
      </c>
      <c r="E218" t="s">
        <v>14482</v>
      </c>
      <c r="F218" t="s">
        <v>6778</v>
      </c>
      <c r="G218" t="str">
        <f>Config!$B$5</f>
        <v>SCH/L_ANSI.SchLib</v>
      </c>
      <c r="H218" t="s">
        <v>14635</v>
      </c>
      <c r="I218" t="s">
        <v>6535</v>
      </c>
      <c r="J218" t="s">
        <v>14634</v>
      </c>
      <c r="K218" s="46">
        <v>1.0000000000000001E-5</v>
      </c>
      <c r="L218" t="s">
        <v>14484</v>
      </c>
      <c r="U218" t="s">
        <v>6392</v>
      </c>
      <c r="V218" t="s">
        <v>14492</v>
      </c>
      <c r="W218" t="s">
        <v>4559</v>
      </c>
      <c r="X218" t="s">
        <v>14493</v>
      </c>
      <c r="Y218" t="s">
        <v>4727</v>
      </c>
    </row>
    <row r="219" spans="1:25">
      <c r="A219" t="s">
        <v>14500</v>
      </c>
      <c r="B219" t="s">
        <v>14500</v>
      </c>
      <c r="C219" t="s">
        <v>14502</v>
      </c>
      <c r="D219" t="s">
        <v>6392</v>
      </c>
      <c r="E219" t="s">
        <v>14482</v>
      </c>
      <c r="F219" t="s">
        <v>6718</v>
      </c>
      <c r="G219" t="str">
        <f>Config!$B$5</f>
        <v>SCH/L_ANSI.SchLib</v>
      </c>
      <c r="H219" t="s">
        <v>14635</v>
      </c>
      <c r="I219" t="s">
        <v>6535</v>
      </c>
      <c r="J219" t="s">
        <v>14634</v>
      </c>
      <c r="K219" s="46">
        <v>1.5E-5</v>
      </c>
      <c r="L219" t="s">
        <v>14498</v>
      </c>
      <c r="U219" t="s">
        <v>6392</v>
      </c>
      <c r="V219" t="s">
        <v>14494</v>
      </c>
      <c r="W219" t="s">
        <v>4559</v>
      </c>
      <c r="X219" t="s">
        <v>14497</v>
      </c>
      <c r="Y219" t="s">
        <v>4727</v>
      </c>
    </row>
    <row r="220" spans="1:25">
      <c r="A220" t="s">
        <v>14501</v>
      </c>
      <c r="B220" t="s">
        <v>14501</v>
      </c>
      <c r="C220" t="s">
        <v>14503</v>
      </c>
      <c r="D220" t="s">
        <v>6392</v>
      </c>
      <c r="E220" t="s">
        <v>14482</v>
      </c>
      <c r="F220" t="s">
        <v>6845</v>
      </c>
      <c r="G220" t="str">
        <f>Config!$B$5</f>
        <v>SCH/L_ANSI.SchLib</v>
      </c>
      <c r="H220" t="s">
        <v>14635</v>
      </c>
      <c r="I220" t="s">
        <v>6535</v>
      </c>
      <c r="J220" t="s">
        <v>14634</v>
      </c>
      <c r="K220" s="46">
        <v>2.1999999999999999E-5</v>
      </c>
      <c r="L220" t="s">
        <v>14499</v>
      </c>
      <c r="U220" t="s">
        <v>6392</v>
      </c>
      <c r="V220" t="s">
        <v>14495</v>
      </c>
      <c r="W220" t="s">
        <v>4559</v>
      </c>
      <c r="X220" t="s">
        <v>14496</v>
      </c>
      <c r="Y220" t="s">
        <v>4727</v>
      </c>
    </row>
    <row r="221" spans="1:25">
      <c r="A221" t="s">
        <v>14610</v>
      </c>
      <c r="B221" t="s">
        <v>14610</v>
      </c>
      <c r="C221" t="s">
        <v>14615</v>
      </c>
      <c r="D221" t="s">
        <v>6392</v>
      </c>
      <c r="E221" t="s">
        <v>14482</v>
      </c>
      <c r="F221" t="s">
        <v>6846</v>
      </c>
      <c r="G221" t="str">
        <f>Config!$B$5</f>
        <v>SCH/L_ANSI.SchLib</v>
      </c>
      <c r="H221" t="s">
        <v>14635</v>
      </c>
      <c r="I221" t="s">
        <v>6535</v>
      </c>
      <c r="J221" t="s">
        <v>14634</v>
      </c>
      <c r="K221" s="46">
        <v>3.3000000000000003E-5</v>
      </c>
      <c r="L221" t="s">
        <v>14620</v>
      </c>
      <c r="U221" t="s">
        <v>6392</v>
      </c>
      <c r="V221" t="s">
        <v>14629</v>
      </c>
      <c r="W221" t="s">
        <v>4559</v>
      </c>
      <c r="X221" t="s">
        <v>14630</v>
      </c>
      <c r="Y221" t="s">
        <v>4727</v>
      </c>
    </row>
    <row r="222" spans="1:25">
      <c r="A222" t="s">
        <v>14726</v>
      </c>
      <c r="B222" t="s">
        <v>14726</v>
      </c>
      <c r="C222" t="s">
        <v>14735</v>
      </c>
      <c r="D222" t="s">
        <v>14720</v>
      </c>
      <c r="E222" t="s">
        <v>14816</v>
      </c>
      <c r="G222" t="str">
        <f>Config!$B$5</f>
        <v>SCH/L_ANSI.SchLib</v>
      </c>
      <c r="H222" t="s">
        <v>14803</v>
      </c>
      <c r="I222" t="s">
        <v>6535</v>
      </c>
      <c r="J222" t="s">
        <v>14756</v>
      </c>
      <c r="L222" t="s">
        <v>14727</v>
      </c>
      <c r="M222" t="s">
        <v>6223</v>
      </c>
      <c r="N222">
        <v>760390013</v>
      </c>
      <c r="O222" t="s">
        <v>25</v>
      </c>
      <c r="P222" t="s">
        <v>14728</v>
      </c>
      <c r="Q222" t="s">
        <v>14723</v>
      </c>
      <c r="R222">
        <v>760390013</v>
      </c>
      <c r="S222" t="s">
        <v>4349</v>
      </c>
      <c r="T222" t="s">
        <v>14739</v>
      </c>
    </row>
    <row r="223" spans="1:25">
      <c r="A223" t="s">
        <v>14729</v>
      </c>
      <c r="B223" t="s">
        <v>14729</v>
      </c>
      <c r="C223" t="s">
        <v>14736</v>
      </c>
      <c r="D223" t="s">
        <v>14720</v>
      </c>
      <c r="E223" t="s">
        <v>14816</v>
      </c>
      <c r="G223" t="str">
        <f>Config!$B$5</f>
        <v>SCH/L_ANSI.SchLib</v>
      </c>
      <c r="H223" t="s">
        <v>14803</v>
      </c>
      <c r="I223" t="s">
        <v>6535</v>
      </c>
      <c r="J223" t="s">
        <v>14756</v>
      </c>
      <c r="L223" t="s">
        <v>14730</v>
      </c>
      <c r="M223" t="s">
        <v>6223</v>
      </c>
      <c r="N223">
        <v>760390015</v>
      </c>
      <c r="O223" t="s">
        <v>25</v>
      </c>
      <c r="P223" t="s">
        <v>14731</v>
      </c>
      <c r="Q223" t="s">
        <v>14723</v>
      </c>
      <c r="R223">
        <v>760390015</v>
      </c>
      <c r="S223" t="s">
        <v>4349</v>
      </c>
      <c r="T223" t="s">
        <v>14732</v>
      </c>
    </row>
    <row r="224" spans="1:25">
      <c r="A224" t="s">
        <v>14733</v>
      </c>
      <c r="B224" t="s">
        <v>14733</v>
      </c>
      <c r="C224" t="s">
        <v>14737</v>
      </c>
      <c r="D224" t="s">
        <v>14720</v>
      </c>
      <c r="E224" t="s">
        <v>14816</v>
      </c>
      <c r="G224" t="str">
        <f>Config!$B$5</f>
        <v>SCH/L_ANSI.SchLib</v>
      </c>
      <c r="H224" t="s">
        <v>14803</v>
      </c>
      <c r="I224" t="s">
        <v>6535</v>
      </c>
      <c r="J224" t="s">
        <v>14756</v>
      </c>
      <c r="L224" t="s">
        <v>14734</v>
      </c>
      <c r="M224" t="s">
        <v>6223</v>
      </c>
      <c r="N224">
        <v>750315225</v>
      </c>
      <c r="O224" t="s">
        <v>25</v>
      </c>
      <c r="P224" t="s">
        <v>14738</v>
      </c>
      <c r="Q224" t="s">
        <v>14723</v>
      </c>
      <c r="R224">
        <v>750315225</v>
      </c>
      <c r="S224" t="s">
        <v>4349</v>
      </c>
      <c r="T224" t="s">
        <v>14740</v>
      </c>
    </row>
    <row r="225" spans="1:25">
      <c r="A225" t="s">
        <v>14741</v>
      </c>
      <c r="B225" t="s">
        <v>14741</v>
      </c>
      <c r="C225" t="s">
        <v>14742</v>
      </c>
      <c r="D225" t="s">
        <v>14720</v>
      </c>
      <c r="E225" t="s">
        <v>14816</v>
      </c>
      <c r="G225" t="str">
        <f>Config!$B$5</f>
        <v>SCH/L_ANSI.SchLib</v>
      </c>
      <c r="H225" t="s">
        <v>14803</v>
      </c>
      <c r="I225" t="s">
        <v>6535</v>
      </c>
      <c r="J225" t="s">
        <v>14756</v>
      </c>
      <c r="L225" t="s">
        <v>14743</v>
      </c>
      <c r="M225" t="s">
        <v>6223</v>
      </c>
      <c r="N225">
        <v>750315227</v>
      </c>
      <c r="O225" t="s">
        <v>25</v>
      </c>
      <c r="P225" t="s">
        <v>14744</v>
      </c>
      <c r="Q225" t="s">
        <v>14723</v>
      </c>
      <c r="R225">
        <v>750315227</v>
      </c>
      <c r="S225" t="s">
        <v>4349</v>
      </c>
      <c r="T225" t="s">
        <v>14745</v>
      </c>
    </row>
    <row r="226" spans="1:25">
      <c r="A226" t="s">
        <v>14746</v>
      </c>
      <c r="B226" t="s">
        <v>14746</v>
      </c>
      <c r="C226" t="s">
        <v>14747</v>
      </c>
      <c r="D226" t="s">
        <v>14720</v>
      </c>
      <c r="E226" t="s">
        <v>14816</v>
      </c>
      <c r="G226" t="str">
        <f>Config!$B$5</f>
        <v>SCH/L_ANSI.SchLib</v>
      </c>
      <c r="H226" t="s">
        <v>14803</v>
      </c>
      <c r="I226" t="s">
        <v>6535</v>
      </c>
      <c r="J226" t="s">
        <v>14756</v>
      </c>
      <c r="L226" t="s">
        <v>14748</v>
      </c>
      <c r="M226" t="s">
        <v>6223</v>
      </c>
      <c r="N226">
        <v>750315226</v>
      </c>
      <c r="O226" t="s">
        <v>25</v>
      </c>
      <c r="P226" t="s">
        <v>14749</v>
      </c>
      <c r="Q226" t="s">
        <v>14723</v>
      </c>
      <c r="R226">
        <v>750315226</v>
      </c>
      <c r="S226" t="s">
        <v>4349</v>
      </c>
      <c r="T226" t="s">
        <v>14750</v>
      </c>
    </row>
    <row r="227" spans="1:25">
      <c r="A227" t="s">
        <v>14751</v>
      </c>
      <c r="B227" t="s">
        <v>14751</v>
      </c>
      <c r="C227" t="s">
        <v>14752</v>
      </c>
      <c r="D227" t="s">
        <v>14720</v>
      </c>
      <c r="E227" t="s">
        <v>14816</v>
      </c>
      <c r="G227" t="str">
        <f>Config!$B$5</f>
        <v>SCH/L_ANSI.SchLib</v>
      </c>
      <c r="H227" t="s">
        <v>14803</v>
      </c>
      <c r="I227" t="s">
        <v>6535</v>
      </c>
      <c r="J227" t="s">
        <v>14756</v>
      </c>
      <c r="L227" t="s">
        <v>14753</v>
      </c>
      <c r="M227" t="s">
        <v>6223</v>
      </c>
      <c r="N227">
        <v>750315228</v>
      </c>
      <c r="O227" t="s">
        <v>25</v>
      </c>
      <c r="P227" t="s">
        <v>14754</v>
      </c>
      <c r="Q227" t="s">
        <v>14723</v>
      </c>
      <c r="R227">
        <v>750315228</v>
      </c>
      <c r="S227" t="s">
        <v>4349</v>
      </c>
      <c r="T227" t="s">
        <v>14755</v>
      </c>
    </row>
    <row r="228" spans="1:25">
      <c r="A228" t="s">
        <v>14758</v>
      </c>
      <c r="B228" t="s">
        <v>14758</v>
      </c>
      <c r="C228" t="s">
        <v>14759</v>
      </c>
      <c r="D228" t="s">
        <v>14720</v>
      </c>
      <c r="E228" t="s">
        <v>14816</v>
      </c>
      <c r="G228" t="str">
        <f>Config!$B$5</f>
        <v>SCH/L_ANSI.SchLib</v>
      </c>
      <c r="H228" t="s">
        <v>14803</v>
      </c>
      <c r="I228" t="s">
        <v>6535</v>
      </c>
      <c r="J228" t="s">
        <v>14756</v>
      </c>
      <c r="L228" t="s">
        <v>14760</v>
      </c>
      <c r="M228" t="s">
        <v>6223</v>
      </c>
      <c r="N228">
        <v>760390012</v>
      </c>
      <c r="O228" t="s">
        <v>25</v>
      </c>
      <c r="P228" t="s">
        <v>14761</v>
      </c>
      <c r="Q228" t="s">
        <v>14723</v>
      </c>
      <c r="R228">
        <v>760390012</v>
      </c>
      <c r="S228" t="s">
        <v>4349</v>
      </c>
      <c r="T228" t="s">
        <v>14762</v>
      </c>
    </row>
    <row r="229" spans="1:25">
      <c r="A229" t="s">
        <v>14768</v>
      </c>
      <c r="B229" t="s">
        <v>14768</v>
      </c>
      <c r="C229" t="s">
        <v>14763</v>
      </c>
      <c r="D229" t="s">
        <v>14720</v>
      </c>
      <c r="E229" t="s">
        <v>14816</v>
      </c>
      <c r="G229" t="str">
        <f>Config!$B$5</f>
        <v>SCH/L_ANSI.SchLib</v>
      </c>
      <c r="H229" t="s">
        <v>14803</v>
      </c>
      <c r="I229" t="s">
        <v>6535</v>
      </c>
      <c r="J229" t="s">
        <v>14756</v>
      </c>
      <c r="L229" t="s">
        <v>14764</v>
      </c>
      <c r="M229" t="s">
        <v>6223</v>
      </c>
      <c r="N229">
        <v>760390014</v>
      </c>
      <c r="O229" t="s">
        <v>25</v>
      </c>
      <c r="P229" t="s">
        <v>14765</v>
      </c>
      <c r="Q229" t="s">
        <v>14723</v>
      </c>
      <c r="R229">
        <v>760390014</v>
      </c>
      <c r="S229" t="s">
        <v>4349</v>
      </c>
      <c r="T229" t="s">
        <v>14766</v>
      </c>
    </row>
    <row r="230" spans="1:25">
      <c r="A230" t="s">
        <v>14767</v>
      </c>
      <c r="B230" t="s">
        <v>14767</v>
      </c>
      <c r="C230" t="s">
        <v>14769</v>
      </c>
      <c r="D230" t="s">
        <v>14720</v>
      </c>
      <c r="E230" t="s">
        <v>14816</v>
      </c>
      <c r="G230" t="str">
        <f>Config!$B$5</f>
        <v>SCH/L_ANSI.SchLib</v>
      </c>
      <c r="H230" t="s">
        <v>14803</v>
      </c>
      <c r="I230" t="s">
        <v>6535</v>
      </c>
      <c r="J230" t="s">
        <v>14756</v>
      </c>
      <c r="L230" t="s">
        <v>14770</v>
      </c>
      <c r="M230" t="s">
        <v>6223</v>
      </c>
      <c r="N230">
        <v>750313710</v>
      </c>
      <c r="O230" t="s">
        <v>25</v>
      </c>
      <c r="P230" t="s">
        <v>14771</v>
      </c>
      <c r="Q230" t="s">
        <v>14723</v>
      </c>
      <c r="R230">
        <v>750313710</v>
      </c>
      <c r="S230" t="s">
        <v>4349</v>
      </c>
      <c r="T230" t="s">
        <v>14772</v>
      </c>
    </row>
    <row r="231" spans="1:25">
      <c r="A231" t="s">
        <v>14773</v>
      </c>
      <c r="B231" t="s">
        <v>14773</v>
      </c>
      <c r="C231" t="s">
        <v>14774</v>
      </c>
      <c r="D231" t="s">
        <v>14720</v>
      </c>
      <c r="E231" t="s">
        <v>14816</v>
      </c>
      <c r="G231" t="str">
        <f>Config!$B$5</f>
        <v>SCH/L_ANSI.SchLib</v>
      </c>
      <c r="H231" t="s">
        <v>14803</v>
      </c>
      <c r="I231" t="s">
        <v>6535</v>
      </c>
      <c r="J231" t="s">
        <v>14756</v>
      </c>
      <c r="L231" t="s">
        <v>14775</v>
      </c>
      <c r="M231" t="s">
        <v>6223</v>
      </c>
      <c r="N231">
        <v>750316769</v>
      </c>
      <c r="O231" t="s">
        <v>25</v>
      </c>
      <c r="P231" t="s">
        <v>14776</v>
      </c>
      <c r="Q231" t="s">
        <v>14723</v>
      </c>
      <c r="R231">
        <v>750316769</v>
      </c>
      <c r="S231" t="s">
        <v>4349</v>
      </c>
      <c r="T231" t="s">
        <v>14777</v>
      </c>
    </row>
    <row r="232" spans="1:25">
      <c r="A232" t="s">
        <v>14778</v>
      </c>
      <c r="B232" t="s">
        <v>14778</v>
      </c>
      <c r="C232" t="s">
        <v>14779</v>
      </c>
      <c r="D232" t="s">
        <v>14720</v>
      </c>
      <c r="E232" t="s">
        <v>14816</v>
      </c>
      <c r="G232" t="str">
        <f>Config!$B$5</f>
        <v>SCH/L_ANSI.SchLib</v>
      </c>
      <c r="H232" t="s">
        <v>14803</v>
      </c>
      <c r="I232" t="s">
        <v>6535</v>
      </c>
      <c r="J232" t="s">
        <v>14756</v>
      </c>
      <c r="L232" t="s">
        <v>14780</v>
      </c>
      <c r="M232" t="s">
        <v>6223</v>
      </c>
      <c r="N232">
        <v>750316770</v>
      </c>
      <c r="O232" t="s">
        <v>25</v>
      </c>
      <c r="P232" t="s">
        <v>14781</v>
      </c>
      <c r="Q232" t="s">
        <v>14723</v>
      </c>
      <c r="R232">
        <v>750316770</v>
      </c>
      <c r="S232" t="s">
        <v>4349</v>
      </c>
      <c r="T232" t="s">
        <v>14782</v>
      </c>
    </row>
    <row r="233" spans="1:25">
      <c r="A233" t="s">
        <v>14783</v>
      </c>
      <c r="B233" t="s">
        <v>14783</v>
      </c>
      <c r="C233" t="s">
        <v>14784</v>
      </c>
      <c r="D233" t="s">
        <v>14720</v>
      </c>
      <c r="E233" t="s">
        <v>14816</v>
      </c>
      <c r="G233" t="str">
        <f>Config!$B$5</f>
        <v>SCH/L_ANSI.SchLib</v>
      </c>
      <c r="H233" t="s">
        <v>14803</v>
      </c>
      <c r="I233" t="s">
        <v>6535</v>
      </c>
      <c r="J233" t="s">
        <v>14756</v>
      </c>
      <c r="L233" t="s">
        <v>14785</v>
      </c>
      <c r="M233" t="s">
        <v>6223</v>
      </c>
      <c r="N233">
        <v>750317722</v>
      </c>
      <c r="O233" t="s">
        <v>25</v>
      </c>
      <c r="P233" t="s">
        <v>14786</v>
      </c>
      <c r="Q233" t="s">
        <v>14723</v>
      </c>
      <c r="R233">
        <v>750317722</v>
      </c>
      <c r="S233" t="s">
        <v>4349</v>
      </c>
      <c r="T233" t="s">
        <v>14787</v>
      </c>
    </row>
    <row r="234" spans="1:25">
      <c r="A234" t="s">
        <v>14719</v>
      </c>
      <c r="B234" t="s">
        <v>14719</v>
      </c>
      <c r="C234" t="s">
        <v>14725</v>
      </c>
      <c r="D234" t="s">
        <v>14720</v>
      </c>
      <c r="E234" t="s">
        <v>14816</v>
      </c>
      <c r="G234" t="str">
        <f>Config!$B$5</f>
        <v>SCH/L_ANSI.SchLib</v>
      </c>
      <c r="H234" t="s">
        <v>14803</v>
      </c>
      <c r="I234" t="s">
        <v>6535</v>
      </c>
      <c r="J234" t="s">
        <v>14757</v>
      </c>
      <c r="L234" t="s">
        <v>14721</v>
      </c>
      <c r="M234" t="s">
        <v>6223</v>
      </c>
      <c r="N234">
        <v>750317829</v>
      </c>
      <c r="O234" t="s">
        <v>25</v>
      </c>
      <c r="P234" t="s">
        <v>14722</v>
      </c>
      <c r="Q234" t="s">
        <v>14723</v>
      </c>
      <c r="R234">
        <v>750317829</v>
      </c>
      <c r="S234" t="s">
        <v>4349</v>
      </c>
      <c r="T234" t="s">
        <v>14724</v>
      </c>
    </row>
    <row r="235" spans="1:25">
      <c r="A235" t="s">
        <v>14788</v>
      </c>
      <c r="B235" t="s">
        <v>14788</v>
      </c>
      <c r="C235" t="s">
        <v>14789</v>
      </c>
      <c r="D235" t="s">
        <v>14720</v>
      </c>
      <c r="E235" t="s">
        <v>14816</v>
      </c>
      <c r="G235" t="str">
        <f>Config!$B$5</f>
        <v>SCH/L_ANSI.SchLib</v>
      </c>
      <c r="H235" t="s">
        <v>14803</v>
      </c>
      <c r="I235" t="s">
        <v>6535</v>
      </c>
      <c r="J235" t="s">
        <v>14757</v>
      </c>
      <c r="L235" t="s">
        <v>14790</v>
      </c>
      <c r="M235" t="s">
        <v>6223</v>
      </c>
      <c r="N235">
        <v>750317830</v>
      </c>
      <c r="O235" t="s">
        <v>25</v>
      </c>
      <c r="P235" t="s">
        <v>14791</v>
      </c>
      <c r="Q235" t="s">
        <v>14723</v>
      </c>
      <c r="R235">
        <v>750317830</v>
      </c>
      <c r="S235" t="s">
        <v>4349</v>
      </c>
      <c r="T235" t="s">
        <v>14792</v>
      </c>
    </row>
    <row r="236" spans="1:25">
      <c r="A236" t="s">
        <v>14793</v>
      </c>
      <c r="B236" t="s">
        <v>14793</v>
      </c>
      <c r="C236" t="s">
        <v>14794</v>
      </c>
      <c r="D236" t="s">
        <v>14720</v>
      </c>
      <c r="E236" t="s">
        <v>14816</v>
      </c>
      <c r="G236" t="str">
        <f>Config!$B$5</f>
        <v>SCH/L_ANSI.SchLib</v>
      </c>
      <c r="H236" t="s">
        <v>14803</v>
      </c>
      <c r="I236" t="s">
        <v>6535</v>
      </c>
      <c r="J236" t="s">
        <v>14757</v>
      </c>
      <c r="L236" t="s">
        <v>14795</v>
      </c>
      <c r="M236" t="s">
        <v>6223</v>
      </c>
      <c r="N236">
        <v>750317331</v>
      </c>
      <c r="O236" t="s">
        <v>25</v>
      </c>
      <c r="P236" t="s">
        <v>14796</v>
      </c>
      <c r="Q236" t="s">
        <v>14723</v>
      </c>
      <c r="R236">
        <v>750317331</v>
      </c>
      <c r="S236" t="s">
        <v>4349</v>
      </c>
      <c r="T236" t="s">
        <v>14797</v>
      </c>
    </row>
    <row r="237" spans="1:25">
      <c r="A237" t="s">
        <v>14798</v>
      </c>
      <c r="B237" t="s">
        <v>14798</v>
      </c>
      <c r="C237" t="s">
        <v>14799</v>
      </c>
      <c r="D237" t="s">
        <v>14720</v>
      </c>
      <c r="E237" t="s">
        <v>14816</v>
      </c>
      <c r="G237" t="str">
        <f>Config!$B$5</f>
        <v>SCH/L_ANSI.SchLib</v>
      </c>
      <c r="H237" t="s">
        <v>14803</v>
      </c>
      <c r="I237" t="s">
        <v>6535</v>
      </c>
      <c r="J237" t="s">
        <v>14757</v>
      </c>
      <c r="L237" t="s">
        <v>14800</v>
      </c>
      <c r="M237" t="s">
        <v>6223</v>
      </c>
      <c r="N237">
        <v>750317828</v>
      </c>
      <c r="O237" t="s">
        <v>25</v>
      </c>
      <c r="P237" t="s">
        <v>14801</v>
      </c>
      <c r="Q237" t="s">
        <v>14723</v>
      </c>
      <c r="R237">
        <v>750317828</v>
      </c>
      <c r="S237" t="s">
        <v>4349</v>
      </c>
      <c r="T237" t="s">
        <v>14802</v>
      </c>
    </row>
    <row r="238" spans="1:25">
      <c r="A238" t="s">
        <v>16728</v>
      </c>
      <c r="B238" t="s">
        <v>16728</v>
      </c>
      <c r="C238" t="s">
        <v>16729</v>
      </c>
      <c r="D238" t="s">
        <v>14806</v>
      </c>
      <c r="E238" t="s">
        <v>14805</v>
      </c>
      <c r="G238" t="str">
        <f>Config!$B$5</f>
        <v>SCH/L_ANSI.SchLib</v>
      </c>
      <c r="H238" t="s">
        <v>14808</v>
      </c>
      <c r="I238" t="s">
        <v>6535</v>
      </c>
      <c r="J238" t="s">
        <v>14815</v>
      </c>
      <c r="L238" t="s">
        <v>14814</v>
      </c>
      <c r="U238" t="s">
        <v>14806</v>
      </c>
      <c r="V238" t="s">
        <v>14809</v>
      </c>
      <c r="W238" t="s">
        <v>4559</v>
      </c>
      <c r="X238" t="s">
        <v>14810</v>
      </c>
      <c r="Y238" t="s">
        <v>4727</v>
      </c>
    </row>
    <row r="239" spans="1:25">
      <c r="A239" t="s">
        <v>14804</v>
      </c>
      <c r="B239" t="s">
        <v>14804</v>
      </c>
      <c r="C239" t="s">
        <v>14807</v>
      </c>
      <c r="D239" t="s">
        <v>14806</v>
      </c>
      <c r="E239" t="s">
        <v>14805</v>
      </c>
      <c r="G239" t="str">
        <f>Config!$B$5</f>
        <v>SCH/L_ANSI.SchLib</v>
      </c>
      <c r="H239" t="s">
        <v>14808</v>
      </c>
      <c r="I239" t="s">
        <v>6535</v>
      </c>
      <c r="J239" t="s">
        <v>14815</v>
      </c>
      <c r="L239" t="s">
        <v>14813</v>
      </c>
      <c r="U239" t="s">
        <v>14806</v>
      </c>
      <c r="V239" t="s">
        <v>14811</v>
      </c>
      <c r="W239" t="s">
        <v>4559</v>
      </c>
      <c r="X239" t="s">
        <v>14812</v>
      </c>
      <c r="Y239" t="s">
        <v>4727</v>
      </c>
    </row>
    <row r="240" spans="1:25">
      <c r="A240" t="s">
        <v>18355</v>
      </c>
      <c r="B240" t="s">
        <v>18355</v>
      </c>
      <c r="C240" t="s">
        <v>18373</v>
      </c>
      <c r="D240" t="s">
        <v>13272</v>
      </c>
      <c r="E240">
        <v>2518</v>
      </c>
      <c r="F240" t="s">
        <v>18397</v>
      </c>
      <c r="G240" t="str">
        <f>Config!$B$5</f>
        <v>SCH/L_ANSI.SchLib</v>
      </c>
      <c r="H240" t="s">
        <v>424</v>
      </c>
      <c r="I240" t="s">
        <v>461</v>
      </c>
      <c r="J240" t="s">
        <v>18415</v>
      </c>
      <c r="K240" s="46">
        <v>1E-3</v>
      </c>
      <c r="L240" t="s">
        <v>18330</v>
      </c>
      <c r="M240" t="s">
        <v>13272</v>
      </c>
      <c r="N240" t="s">
        <v>18281</v>
      </c>
      <c r="O240" t="s">
        <v>25</v>
      </c>
      <c r="P240" t="s">
        <v>18305</v>
      </c>
    </row>
    <row r="241" spans="1:16">
      <c r="A241" t="s">
        <v>18356</v>
      </c>
      <c r="B241" t="s">
        <v>18356</v>
      </c>
      <c r="C241" t="s">
        <v>18374</v>
      </c>
      <c r="D241" t="s">
        <v>13272</v>
      </c>
      <c r="E241">
        <v>2518</v>
      </c>
      <c r="F241" t="s">
        <v>18398</v>
      </c>
      <c r="G241" t="str">
        <f>Config!$B$5</f>
        <v>SCH/L_ANSI.SchLib</v>
      </c>
      <c r="H241" t="s">
        <v>424</v>
      </c>
      <c r="I241" t="s">
        <v>461</v>
      </c>
      <c r="J241" t="s">
        <v>18415</v>
      </c>
      <c r="K241" s="46">
        <v>6.8000000000000005E-4</v>
      </c>
      <c r="L241" t="s">
        <v>18331</v>
      </c>
      <c r="M241" t="s">
        <v>13272</v>
      </c>
      <c r="N241" t="s">
        <v>18282</v>
      </c>
      <c r="O241" t="s">
        <v>25</v>
      </c>
      <c r="P241" t="s">
        <v>18306</v>
      </c>
    </row>
    <row r="242" spans="1:16">
      <c r="A242" t="s">
        <v>18356</v>
      </c>
      <c r="B242" t="s">
        <v>18356</v>
      </c>
      <c r="C242" t="s">
        <v>18375</v>
      </c>
      <c r="D242" t="s">
        <v>13272</v>
      </c>
      <c r="E242">
        <v>2518</v>
      </c>
      <c r="F242" t="s">
        <v>18398</v>
      </c>
      <c r="G242" t="str">
        <f>Config!$B$5</f>
        <v>SCH/L_ANSI.SchLib</v>
      </c>
      <c r="H242" t="s">
        <v>424</v>
      </c>
      <c r="I242" t="s">
        <v>461</v>
      </c>
      <c r="J242" t="s">
        <v>18415</v>
      </c>
      <c r="K242" s="46">
        <v>6.8000000000000005E-4</v>
      </c>
      <c r="L242" t="s">
        <v>18332</v>
      </c>
      <c r="M242" t="s">
        <v>13272</v>
      </c>
      <c r="N242" t="s">
        <v>18283</v>
      </c>
      <c r="O242" t="s">
        <v>25</v>
      </c>
      <c r="P242" t="s">
        <v>18307</v>
      </c>
    </row>
    <row r="243" spans="1:16">
      <c r="A243" t="s">
        <v>18357</v>
      </c>
      <c r="B243" t="s">
        <v>18357</v>
      </c>
      <c r="C243" t="s">
        <v>18376</v>
      </c>
      <c r="D243" t="s">
        <v>13272</v>
      </c>
      <c r="E243">
        <v>2518</v>
      </c>
      <c r="F243" t="s">
        <v>18399</v>
      </c>
      <c r="G243" t="str">
        <f>Config!$B$5</f>
        <v>SCH/L_ANSI.SchLib</v>
      </c>
      <c r="H243" t="s">
        <v>424</v>
      </c>
      <c r="I243" t="s">
        <v>461</v>
      </c>
      <c r="J243" t="s">
        <v>18415</v>
      </c>
      <c r="K243" s="46">
        <v>4.6999999999999999E-4</v>
      </c>
      <c r="L243" t="s">
        <v>18333</v>
      </c>
      <c r="M243" t="s">
        <v>13272</v>
      </c>
      <c r="N243" t="s">
        <v>18284</v>
      </c>
      <c r="O243" t="s">
        <v>25</v>
      </c>
      <c r="P243" t="s">
        <v>18308</v>
      </c>
    </row>
    <row r="244" spans="1:16">
      <c r="A244" t="s">
        <v>18358</v>
      </c>
      <c r="B244" t="s">
        <v>18358</v>
      </c>
      <c r="C244" t="s">
        <v>18377</v>
      </c>
      <c r="D244" t="s">
        <v>13272</v>
      </c>
      <c r="E244">
        <v>2518</v>
      </c>
      <c r="F244" t="s">
        <v>18400</v>
      </c>
      <c r="G244" t="str">
        <f>Config!$B$5</f>
        <v>SCH/L_ANSI.SchLib</v>
      </c>
      <c r="H244" t="s">
        <v>424</v>
      </c>
      <c r="I244" t="s">
        <v>461</v>
      </c>
      <c r="J244" t="s">
        <v>18415</v>
      </c>
      <c r="K244" s="46">
        <v>3.3E-4</v>
      </c>
      <c r="L244" t="s">
        <v>18334</v>
      </c>
      <c r="M244" t="s">
        <v>13272</v>
      </c>
      <c r="N244" t="s">
        <v>18285</v>
      </c>
      <c r="O244" t="s">
        <v>25</v>
      </c>
      <c r="P244" t="s">
        <v>18309</v>
      </c>
    </row>
    <row r="245" spans="1:16">
      <c r="A245" t="s">
        <v>18359</v>
      </c>
      <c r="B245" t="s">
        <v>18359</v>
      </c>
      <c r="C245" t="s">
        <v>18378</v>
      </c>
      <c r="D245" t="s">
        <v>13272</v>
      </c>
      <c r="E245">
        <v>2518</v>
      </c>
      <c r="F245" t="s">
        <v>18401</v>
      </c>
      <c r="G245" t="str">
        <f>Config!$B$5</f>
        <v>SCH/L_ANSI.SchLib</v>
      </c>
      <c r="H245" t="s">
        <v>424</v>
      </c>
      <c r="I245" t="s">
        <v>461</v>
      </c>
      <c r="J245" t="s">
        <v>18415</v>
      </c>
      <c r="K245" s="46">
        <v>2.2000000000000001E-4</v>
      </c>
      <c r="L245" t="s">
        <v>18335</v>
      </c>
      <c r="M245" t="s">
        <v>13272</v>
      </c>
      <c r="N245" t="s">
        <v>18286</v>
      </c>
      <c r="O245" t="s">
        <v>25</v>
      </c>
      <c r="P245" t="s">
        <v>18310</v>
      </c>
    </row>
    <row r="246" spans="1:16">
      <c r="A246" t="s">
        <v>18359</v>
      </c>
      <c r="B246" t="s">
        <v>18359</v>
      </c>
      <c r="C246" t="s">
        <v>18379</v>
      </c>
      <c r="D246" t="s">
        <v>13272</v>
      </c>
      <c r="E246">
        <v>2518</v>
      </c>
      <c r="F246" t="s">
        <v>18401</v>
      </c>
      <c r="G246" t="str">
        <f>Config!$B$5</f>
        <v>SCH/L_ANSI.SchLib</v>
      </c>
      <c r="H246" t="s">
        <v>424</v>
      </c>
      <c r="I246" t="s">
        <v>461</v>
      </c>
      <c r="J246" t="s">
        <v>18415</v>
      </c>
      <c r="K246" s="46">
        <v>2.2000000000000001E-4</v>
      </c>
      <c r="L246" t="s">
        <v>18336</v>
      </c>
      <c r="M246" t="s">
        <v>13272</v>
      </c>
      <c r="N246" t="s">
        <v>18287</v>
      </c>
      <c r="O246" t="s">
        <v>25</v>
      </c>
      <c r="P246" t="s">
        <v>18311</v>
      </c>
    </row>
    <row r="247" spans="1:16">
      <c r="A247" t="s">
        <v>18360</v>
      </c>
      <c r="B247" t="s">
        <v>18360</v>
      </c>
      <c r="C247" t="s">
        <v>18380</v>
      </c>
      <c r="D247" t="s">
        <v>13272</v>
      </c>
      <c r="E247">
        <v>2518</v>
      </c>
      <c r="F247" t="s">
        <v>18402</v>
      </c>
      <c r="G247" t="str">
        <f>Config!$B$5</f>
        <v>SCH/L_ANSI.SchLib</v>
      </c>
      <c r="H247" t="s">
        <v>424</v>
      </c>
      <c r="I247" t="s">
        <v>461</v>
      </c>
      <c r="J247" t="s">
        <v>18415</v>
      </c>
      <c r="K247" s="46">
        <v>1.4999999999999999E-4</v>
      </c>
      <c r="L247" t="s">
        <v>18337</v>
      </c>
      <c r="M247" t="s">
        <v>13272</v>
      </c>
      <c r="N247" t="s">
        <v>18288</v>
      </c>
      <c r="O247" t="s">
        <v>25</v>
      </c>
      <c r="P247" t="s">
        <v>18312</v>
      </c>
    </row>
    <row r="248" spans="1:16">
      <c r="A248" t="s">
        <v>18361</v>
      </c>
      <c r="B248" t="s">
        <v>18361</v>
      </c>
      <c r="C248" t="s">
        <v>18381</v>
      </c>
      <c r="D248" t="s">
        <v>13272</v>
      </c>
      <c r="E248">
        <v>2518</v>
      </c>
      <c r="F248" t="s">
        <v>18403</v>
      </c>
      <c r="G248" t="str">
        <f>Config!$B$5</f>
        <v>SCH/L_ANSI.SchLib</v>
      </c>
      <c r="H248" t="s">
        <v>424</v>
      </c>
      <c r="I248" t="s">
        <v>461</v>
      </c>
      <c r="J248" t="s">
        <v>18415</v>
      </c>
      <c r="K248" s="46">
        <v>1E-4</v>
      </c>
      <c r="L248" t="s">
        <v>18338</v>
      </c>
      <c r="M248" t="s">
        <v>13272</v>
      </c>
      <c r="N248" t="s">
        <v>18289</v>
      </c>
      <c r="O248" t="s">
        <v>25</v>
      </c>
      <c r="P248" t="s">
        <v>18313</v>
      </c>
    </row>
    <row r="249" spans="1:16">
      <c r="A249" t="s">
        <v>18362</v>
      </c>
      <c r="B249" t="s">
        <v>18362</v>
      </c>
      <c r="C249" t="s">
        <v>18382</v>
      </c>
      <c r="D249" t="s">
        <v>13272</v>
      </c>
      <c r="E249">
        <v>2518</v>
      </c>
      <c r="F249" t="s">
        <v>18404</v>
      </c>
      <c r="G249" t="str">
        <f>Config!$B$5</f>
        <v>SCH/L_ANSI.SchLib</v>
      </c>
      <c r="H249" t="s">
        <v>424</v>
      </c>
      <c r="I249" t="s">
        <v>461</v>
      </c>
      <c r="J249" t="s">
        <v>18415</v>
      </c>
      <c r="K249" s="46">
        <v>6.7999999999999999E-5</v>
      </c>
      <c r="L249" t="s">
        <v>18339</v>
      </c>
      <c r="M249" t="s">
        <v>13272</v>
      </c>
      <c r="N249" t="s">
        <v>18290</v>
      </c>
      <c r="O249" t="s">
        <v>25</v>
      </c>
      <c r="P249" t="s">
        <v>18314</v>
      </c>
    </row>
    <row r="250" spans="1:16">
      <c r="A250" t="s">
        <v>18363</v>
      </c>
      <c r="B250" t="s">
        <v>18363</v>
      </c>
      <c r="C250" t="s">
        <v>18383</v>
      </c>
      <c r="D250" t="s">
        <v>13272</v>
      </c>
      <c r="E250">
        <v>2518</v>
      </c>
      <c r="F250" t="s">
        <v>18405</v>
      </c>
      <c r="G250" t="str">
        <f>Config!$B$5</f>
        <v>SCH/L_ANSI.SchLib</v>
      </c>
      <c r="H250" t="s">
        <v>424</v>
      </c>
      <c r="I250" t="s">
        <v>461</v>
      </c>
      <c r="J250" t="s">
        <v>18415</v>
      </c>
      <c r="K250" s="46">
        <v>4.6999999999999997E-5</v>
      </c>
      <c r="L250" t="s">
        <v>18340</v>
      </c>
      <c r="M250" t="s">
        <v>13272</v>
      </c>
      <c r="N250" t="s">
        <v>18291</v>
      </c>
      <c r="O250" t="s">
        <v>25</v>
      </c>
      <c r="P250" t="s">
        <v>18315</v>
      </c>
    </row>
    <row r="251" spans="1:16">
      <c r="A251" t="s">
        <v>18364</v>
      </c>
      <c r="B251" t="s">
        <v>18364</v>
      </c>
      <c r="C251" t="s">
        <v>18384</v>
      </c>
      <c r="D251" t="s">
        <v>13272</v>
      </c>
      <c r="E251">
        <v>2518</v>
      </c>
      <c r="F251" t="s">
        <v>18406</v>
      </c>
      <c r="G251" t="str">
        <f>Config!$B$5</f>
        <v>SCH/L_ANSI.SchLib</v>
      </c>
      <c r="H251" t="s">
        <v>424</v>
      </c>
      <c r="I251" t="s">
        <v>461</v>
      </c>
      <c r="J251" t="s">
        <v>18415</v>
      </c>
      <c r="K251" s="46">
        <v>3.3000000000000003E-5</v>
      </c>
      <c r="L251" t="s">
        <v>18341</v>
      </c>
      <c r="M251" t="s">
        <v>13272</v>
      </c>
      <c r="N251" t="s">
        <v>18292</v>
      </c>
      <c r="O251" t="s">
        <v>25</v>
      </c>
      <c r="P251" t="s">
        <v>18316</v>
      </c>
    </row>
    <row r="252" spans="1:16">
      <c r="A252" t="s">
        <v>18364</v>
      </c>
      <c r="B252" t="s">
        <v>18364</v>
      </c>
      <c r="C252" t="s">
        <v>18385</v>
      </c>
      <c r="D252" t="s">
        <v>13272</v>
      </c>
      <c r="E252">
        <v>2518</v>
      </c>
      <c r="F252" t="s">
        <v>18406</v>
      </c>
      <c r="G252" t="str">
        <f>Config!$B$5</f>
        <v>SCH/L_ANSI.SchLib</v>
      </c>
      <c r="H252" t="s">
        <v>424</v>
      </c>
      <c r="I252" t="s">
        <v>461</v>
      </c>
      <c r="J252" t="s">
        <v>18415</v>
      </c>
      <c r="K252" s="46">
        <v>3.3000000000000003E-5</v>
      </c>
      <c r="L252" t="s">
        <v>18342</v>
      </c>
      <c r="M252" t="s">
        <v>13272</v>
      </c>
      <c r="N252" t="s">
        <v>18293</v>
      </c>
      <c r="O252" t="s">
        <v>25</v>
      </c>
      <c r="P252" t="s">
        <v>18317</v>
      </c>
    </row>
    <row r="253" spans="1:16">
      <c r="A253" t="s">
        <v>18364</v>
      </c>
      <c r="B253" t="s">
        <v>18364</v>
      </c>
      <c r="C253" t="s">
        <v>18384</v>
      </c>
      <c r="D253" t="s">
        <v>13272</v>
      </c>
      <c r="E253">
        <v>2518</v>
      </c>
      <c r="F253" t="s">
        <v>18406</v>
      </c>
      <c r="G253" t="str">
        <f>Config!$B$5</f>
        <v>SCH/L_ANSI.SchLib</v>
      </c>
      <c r="H253" t="s">
        <v>424</v>
      </c>
      <c r="I253" t="s">
        <v>461</v>
      </c>
      <c r="J253" t="s">
        <v>18415</v>
      </c>
      <c r="K253" s="46">
        <v>3.3000000000000003E-5</v>
      </c>
      <c r="L253" t="s">
        <v>18343</v>
      </c>
      <c r="M253" t="s">
        <v>13272</v>
      </c>
      <c r="N253" t="s">
        <v>18294</v>
      </c>
      <c r="O253" t="s">
        <v>25</v>
      </c>
      <c r="P253" t="s">
        <v>18318</v>
      </c>
    </row>
    <row r="254" spans="1:16">
      <c r="A254" t="s">
        <v>18365</v>
      </c>
      <c r="B254" t="s">
        <v>18365</v>
      </c>
      <c r="C254" t="s">
        <v>18386</v>
      </c>
      <c r="D254" t="s">
        <v>13272</v>
      </c>
      <c r="E254">
        <v>2518</v>
      </c>
      <c r="F254" t="s">
        <v>18407</v>
      </c>
      <c r="G254" t="str">
        <f>Config!$B$5</f>
        <v>SCH/L_ANSI.SchLib</v>
      </c>
      <c r="H254" t="s">
        <v>424</v>
      </c>
      <c r="I254" t="s">
        <v>461</v>
      </c>
      <c r="J254" t="s">
        <v>18415</v>
      </c>
      <c r="K254" s="46">
        <v>2.1999999999999999E-5</v>
      </c>
      <c r="L254" t="s">
        <v>18344</v>
      </c>
      <c r="M254" t="s">
        <v>13272</v>
      </c>
      <c r="N254" t="s">
        <v>18295</v>
      </c>
      <c r="O254" t="s">
        <v>25</v>
      </c>
      <c r="P254" t="s">
        <v>18319</v>
      </c>
    </row>
    <row r="255" spans="1:16">
      <c r="A255" t="s">
        <v>18365</v>
      </c>
      <c r="B255" t="s">
        <v>18365</v>
      </c>
      <c r="C255" t="s">
        <v>18387</v>
      </c>
      <c r="D255" t="s">
        <v>13272</v>
      </c>
      <c r="E255">
        <v>2518</v>
      </c>
      <c r="F255" t="s">
        <v>18407</v>
      </c>
      <c r="G255" t="str">
        <f>Config!$B$5</f>
        <v>SCH/L_ANSI.SchLib</v>
      </c>
      <c r="H255" t="s">
        <v>424</v>
      </c>
      <c r="I255" t="s">
        <v>461</v>
      </c>
      <c r="J255" t="s">
        <v>18415</v>
      </c>
      <c r="K255" s="46">
        <v>2.1999999999999999E-5</v>
      </c>
      <c r="L255" t="s">
        <v>18345</v>
      </c>
      <c r="M255" t="s">
        <v>13272</v>
      </c>
      <c r="N255" t="s">
        <v>18296</v>
      </c>
      <c r="O255" t="s">
        <v>25</v>
      </c>
      <c r="P255" t="s">
        <v>18320</v>
      </c>
    </row>
    <row r="256" spans="1:16">
      <c r="A256" t="s">
        <v>18366</v>
      </c>
      <c r="B256" t="s">
        <v>18366</v>
      </c>
      <c r="C256" t="s">
        <v>18388</v>
      </c>
      <c r="D256" t="s">
        <v>13272</v>
      </c>
      <c r="E256">
        <v>2518</v>
      </c>
      <c r="F256" t="s">
        <v>18408</v>
      </c>
      <c r="G256" t="str">
        <f>Config!$B$5</f>
        <v>SCH/L_ANSI.SchLib</v>
      </c>
      <c r="H256" t="s">
        <v>424</v>
      </c>
      <c r="I256" t="s">
        <v>461</v>
      </c>
      <c r="J256" t="s">
        <v>18415</v>
      </c>
      <c r="K256" s="46">
        <v>1.5E-5</v>
      </c>
      <c r="L256" t="s">
        <v>18346</v>
      </c>
      <c r="M256" t="s">
        <v>13272</v>
      </c>
      <c r="N256" t="s">
        <v>18297</v>
      </c>
      <c r="O256" t="s">
        <v>25</v>
      </c>
      <c r="P256" t="s">
        <v>18321</v>
      </c>
    </row>
    <row r="257" spans="1:25">
      <c r="A257" t="s">
        <v>18367</v>
      </c>
      <c r="B257" t="s">
        <v>18367</v>
      </c>
      <c r="C257" t="s">
        <v>18389</v>
      </c>
      <c r="D257" t="s">
        <v>13272</v>
      </c>
      <c r="E257">
        <v>2518</v>
      </c>
      <c r="F257" t="s">
        <v>18409</v>
      </c>
      <c r="G257" t="str">
        <f>Config!$B$5</f>
        <v>SCH/L_ANSI.SchLib</v>
      </c>
      <c r="H257" t="s">
        <v>424</v>
      </c>
      <c r="I257" t="s">
        <v>461</v>
      </c>
      <c r="J257" t="s">
        <v>18415</v>
      </c>
      <c r="K257" s="46">
        <v>1.0000000000000001E-5</v>
      </c>
      <c r="L257" t="s">
        <v>18347</v>
      </c>
      <c r="M257" t="s">
        <v>13272</v>
      </c>
      <c r="N257" t="s">
        <v>18298</v>
      </c>
      <c r="O257" t="s">
        <v>25</v>
      </c>
      <c r="P257" t="s">
        <v>18322</v>
      </c>
    </row>
    <row r="258" spans="1:25">
      <c r="A258" t="s">
        <v>18368</v>
      </c>
      <c r="B258" t="s">
        <v>18368</v>
      </c>
      <c r="C258" t="s">
        <v>18390</v>
      </c>
      <c r="D258" t="s">
        <v>13272</v>
      </c>
      <c r="E258">
        <v>2518</v>
      </c>
      <c r="F258" t="s">
        <v>18410</v>
      </c>
      <c r="G258" t="str">
        <f>Config!$B$5</f>
        <v>SCH/L_ANSI.SchLib</v>
      </c>
      <c r="H258" t="s">
        <v>424</v>
      </c>
      <c r="I258" t="s">
        <v>461</v>
      </c>
      <c r="J258" t="s">
        <v>18415</v>
      </c>
      <c r="K258" s="46">
        <v>6.8000000000000001E-6</v>
      </c>
      <c r="L258" t="s">
        <v>18348</v>
      </c>
      <c r="M258" t="s">
        <v>13272</v>
      </c>
      <c r="N258" t="s">
        <v>18299</v>
      </c>
      <c r="O258" t="s">
        <v>25</v>
      </c>
      <c r="P258" t="s">
        <v>18323</v>
      </c>
    </row>
    <row r="259" spans="1:25">
      <c r="A259" t="s">
        <v>18369</v>
      </c>
      <c r="B259" t="s">
        <v>18369</v>
      </c>
      <c r="C259" t="s">
        <v>18391</v>
      </c>
      <c r="D259" t="s">
        <v>13272</v>
      </c>
      <c r="E259">
        <v>2518</v>
      </c>
      <c r="F259" t="s">
        <v>18411</v>
      </c>
      <c r="G259" t="str">
        <f>Config!$B$5</f>
        <v>SCH/L_ANSI.SchLib</v>
      </c>
      <c r="H259" t="s">
        <v>424</v>
      </c>
      <c r="I259" t="s">
        <v>461</v>
      </c>
      <c r="J259" t="s">
        <v>18415</v>
      </c>
      <c r="K259" s="46">
        <v>4.6999999999999999E-6</v>
      </c>
      <c r="L259" t="s">
        <v>18349</v>
      </c>
      <c r="M259" t="s">
        <v>13272</v>
      </c>
      <c r="N259" t="s">
        <v>18300</v>
      </c>
      <c r="O259" t="s">
        <v>25</v>
      </c>
      <c r="P259" t="s">
        <v>18324</v>
      </c>
    </row>
    <row r="260" spans="1:25">
      <c r="A260" t="s">
        <v>18369</v>
      </c>
      <c r="B260" t="s">
        <v>18369</v>
      </c>
      <c r="C260" t="s">
        <v>18392</v>
      </c>
      <c r="D260" t="s">
        <v>13272</v>
      </c>
      <c r="E260">
        <v>2518</v>
      </c>
      <c r="F260" t="s">
        <v>18411</v>
      </c>
      <c r="G260" t="str">
        <f>Config!$B$5</f>
        <v>SCH/L_ANSI.SchLib</v>
      </c>
      <c r="H260" t="s">
        <v>424</v>
      </c>
      <c r="I260" t="s">
        <v>461</v>
      </c>
      <c r="J260" t="s">
        <v>18415</v>
      </c>
      <c r="K260" s="46">
        <v>4.6999999999999999E-6</v>
      </c>
      <c r="L260" t="s">
        <v>18350</v>
      </c>
      <c r="M260" t="s">
        <v>13272</v>
      </c>
      <c r="N260" t="s">
        <v>18301</v>
      </c>
      <c r="O260" t="s">
        <v>25</v>
      </c>
      <c r="P260" t="s">
        <v>18325</v>
      </c>
    </row>
    <row r="261" spans="1:25">
      <c r="A261" t="s">
        <v>18370</v>
      </c>
      <c r="B261" t="s">
        <v>18370</v>
      </c>
      <c r="C261" t="s">
        <v>18393</v>
      </c>
      <c r="D261" t="s">
        <v>13272</v>
      </c>
      <c r="E261">
        <v>2518</v>
      </c>
      <c r="F261" t="s">
        <v>18412</v>
      </c>
      <c r="G261" t="str">
        <f>Config!$B$5</f>
        <v>SCH/L_ANSI.SchLib</v>
      </c>
      <c r="H261" t="s">
        <v>424</v>
      </c>
      <c r="I261" t="s">
        <v>461</v>
      </c>
      <c r="J261" t="s">
        <v>18415</v>
      </c>
      <c r="K261" s="46">
        <v>3.3000000000000002E-6</v>
      </c>
      <c r="L261" t="s">
        <v>18351</v>
      </c>
      <c r="M261" t="s">
        <v>13272</v>
      </c>
      <c r="N261" t="s">
        <v>18302</v>
      </c>
      <c r="O261" t="s">
        <v>25</v>
      </c>
      <c r="P261" t="s">
        <v>18326</v>
      </c>
    </row>
    <row r="262" spans="1:25">
      <c r="A262" t="s">
        <v>18371</v>
      </c>
      <c r="B262" t="s">
        <v>18371</v>
      </c>
      <c r="C262" t="s">
        <v>18394</v>
      </c>
      <c r="D262" t="s">
        <v>13272</v>
      </c>
      <c r="E262">
        <v>2518</v>
      </c>
      <c r="F262" t="s">
        <v>18413</v>
      </c>
      <c r="G262" t="str">
        <f>Config!$B$5</f>
        <v>SCH/L_ANSI.SchLib</v>
      </c>
      <c r="H262" t="s">
        <v>424</v>
      </c>
      <c r="I262" t="s">
        <v>461</v>
      </c>
      <c r="J262" t="s">
        <v>18415</v>
      </c>
      <c r="K262" s="46">
        <v>2.2000000000000001E-6</v>
      </c>
      <c r="L262" t="s">
        <v>18352</v>
      </c>
      <c r="M262" t="s">
        <v>13272</v>
      </c>
      <c r="N262" t="s">
        <v>18303</v>
      </c>
      <c r="O262" t="s">
        <v>25</v>
      </c>
      <c r="P262" t="s">
        <v>18327</v>
      </c>
    </row>
    <row r="263" spans="1:25">
      <c r="A263" t="s">
        <v>18372</v>
      </c>
      <c r="B263" t="s">
        <v>18372</v>
      </c>
      <c r="C263" t="s">
        <v>18395</v>
      </c>
      <c r="D263" t="s">
        <v>13272</v>
      </c>
      <c r="E263">
        <v>2518</v>
      </c>
      <c r="F263" t="s">
        <v>18414</v>
      </c>
      <c r="G263" t="str">
        <f>Config!$B$5</f>
        <v>SCH/L_ANSI.SchLib</v>
      </c>
      <c r="H263" t="s">
        <v>424</v>
      </c>
      <c r="I263" t="s">
        <v>461</v>
      </c>
      <c r="J263" t="s">
        <v>18415</v>
      </c>
      <c r="K263" s="46">
        <v>9.9999999999999995E-7</v>
      </c>
      <c r="L263" t="s">
        <v>18353</v>
      </c>
      <c r="M263" t="s">
        <v>13272</v>
      </c>
      <c r="N263" t="s">
        <v>18304</v>
      </c>
      <c r="O263" t="s">
        <v>25</v>
      </c>
      <c r="P263" t="s">
        <v>18328</v>
      </c>
    </row>
    <row r="264" spans="1:25">
      <c r="A264" t="s">
        <v>18372</v>
      </c>
      <c r="B264" t="s">
        <v>18372</v>
      </c>
      <c r="C264" t="s">
        <v>18396</v>
      </c>
      <c r="D264" t="s">
        <v>13272</v>
      </c>
      <c r="E264">
        <v>2518</v>
      </c>
      <c r="F264" t="s">
        <v>18414</v>
      </c>
      <c r="G264" t="str">
        <f>Config!$B$5</f>
        <v>SCH/L_ANSI.SchLib</v>
      </c>
      <c r="H264" t="s">
        <v>424</v>
      </c>
      <c r="I264" t="s">
        <v>461</v>
      </c>
      <c r="J264" t="s">
        <v>18415</v>
      </c>
      <c r="K264" s="46">
        <v>9.9999999999999995E-7</v>
      </c>
      <c r="L264" t="s">
        <v>18345</v>
      </c>
      <c r="M264" t="s">
        <v>13272</v>
      </c>
      <c r="N264" t="s">
        <v>18354</v>
      </c>
      <c r="O264" t="s">
        <v>25</v>
      </c>
      <c r="P264" t="s">
        <v>18329</v>
      </c>
    </row>
    <row r="265" spans="1:25">
      <c r="A265" t="s">
        <v>18490</v>
      </c>
      <c r="B265" t="s">
        <v>18490</v>
      </c>
      <c r="C265" t="s">
        <v>18471</v>
      </c>
      <c r="D265" t="s">
        <v>13272</v>
      </c>
      <c r="E265">
        <v>805</v>
      </c>
      <c r="G265" t="str">
        <f>Config!$B$5</f>
        <v>SCH/L_ANSI.SchLib</v>
      </c>
      <c r="H265" t="s">
        <v>424</v>
      </c>
      <c r="I265" t="s">
        <v>461</v>
      </c>
      <c r="J265" t="s">
        <v>18489</v>
      </c>
      <c r="K265" s="46">
        <v>1.0000000000000001E-5</v>
      </c>
      <c r="L265" t="s">
        <v>18416</v>
      </c>
      <c r="M265" t="s">
        <v>13272</v>
      </c>
      <c r="N265" t="s">
        <v>18433</v>
      </c>
      <c r="O265" t="s">
        <v>25</v>
      </c>
      <c r="P265" t="s">
        <v>18452</v>
      </c>
    </row>
    <row r="266" spans="1:25">
      <c r="A266" t="s">
        <v>18491</v>
      </c>
      <c r="B266" t="s">
        <v>18491</v>
      </c>
      <c r="C266" t="s">
        <v>18472</v>
      </c>
      <c r="D266" t="s">
        <v>13272</v>
      </c>
      <c r="E266">
        <v>805</v>
      </c>
      <c r="G266" t="str">
        <f>Config!$B$5</f>
        <v>SCH/L_ANSI.SchLib</v>
      </c>
      <c r="H266" t="s">
        <v>424</v>
      </c>
      <c r="I266" t="s">
        <v>461</v>
      </c>
      <c r="J266" t="s">
        <v>18489</v>
      </c>
      <c r="K266" s="46">
        <v>4.6999999999999997E-5</v>
      </c>
      <c r="L266" t="s">
        <v>18417</v>
      </c>
      <c r="M266" t="s">
        <v>13272</v>
      </c>
      <c r="N266" t="s">
        <v>18434</v>
      </c>
      <c r="O266" t="s">
        <v>25</v>
      </c>
      <c r="P266" t="s">
        <v>18453</v>
      </c>
    </row>
    <row r="267" spans="1:25">
      <c r="A267" t="s">
        <v>18490</v>
      </c>
      <c r="B267" t="s">
        <v>18490</v>
      </c>
      <c r="C267" t="s">
        <v>18471</v>
      </c>
      <c r="D267" t="s">
        <v>13272</v>
      </c>
      <c r="E267">
        <v>805</v>
      </c>
      <c r="G267" t="str">
        <f>Config!$B$5</f>
        <v>SCH/L_ANSI.SchLib</v>
      </c>
      <c r="H267" t="s">
        <v>424</v>
      </c>
      <c r="I267" t="s">
        <v>461</v>
      </c>
      <c r="J267" t="s">
        <v>18489</v>
      </c>
      <c r="K267" s="46">
        <v>1.0000000000000001E-5</v>
      </c>
      <c r="L267" t="s">
        <v>18418</v>
      </c>
      <c r="M267" t="s">
        <v>13272</v>
      </c>
      <c r="N267" t="s">
        <v>18435</v>
      </c>
      <c r="O267" t="s">
        <v>25</v>
      </c>
      <c r="P267" t="s">
        <v>18454</v>
      </c>
    </row>
    <row r="268" spans="1:25">
      <c r="A268" t="s">
        <v>18492</v>
      </c>
      <c r="B268" t="s">
        <v>18492</v>
      </c>
      <c r="C268" t="s">
        <v>18473</v>
      </c>
      <c r="D268" t="s">
        <v>13272</v>
      </c>
      <c r="E268">
        <v>805</v>
      </c>
      <c r="G268" t="str">
        <f>Config!$B$5</f>
        <v>SCH/L_ANSI.SchLib</v>
      </c>
      <c r="H268" t="s">
        <v>424</v>
      </c>
      <c r="I268" t="s">
        <v>461</v>
      </c>
      <c r="J268" t="s">
        <v>18489</v>
      </c>
      <c r="K268" s="46">
        <v>4.6999999999999999E-6</v>
      </c>
      <c r="L268" t="s">
        <v>18419</v>
      </c>
      <c r="M268" t="s">
        <v>13272</v>
      </c>
      <c r="N268" t="s">
        <v>18436</v>
      </c>
      <c r="O268" t="s">
        <v>25</v>
      </c>
      <c r="P268" t="s">
        <v>18455</v>
      </c>
    </row>
    <row r="269" spans="1:25">
      <c r="A269" t="s">
        <v>18493</v>
      </c>
      <c r="B269" t="s">
        <v>18493</v>
      </c>
      <c r="C269" t="s">
        <v>18474</v>
      </c>
      <c r="D269" t="s">
        <v>13272</v>
      </c>
      <c r="E269">
        <v>805</v>
      </c>
      <c r="G269" t="str">
        <f>Config!$B$5</f>
        <v>SCH/L_ANSI.SchLib</v>
      </c>
      <c r="H269" t="s">
        <v>424</v>
      </c>
      <c r="I269" t="s">
        <v>461</v>
      </c>
      <c r="J269" t="s">
        <v>18489</v>
      </c>
      <c r="K269" s="46">
        <v>2.1999999999999999E-5</v>
      </c>
      <c r="L269" t="s">
        <v>18420</v>
      </c>
      <c r="M269" t="s">
        <v>13272</v>
      </c>
      <c r="N269" t="s">
        <v>18437</v>
      </c>
      <c r="O269" t="s">
        <v>25</v>
      </c>
      <c r="P269" t="s">
        <v>18456</v>
      </c>
    </row>
    <row r="270" spans="1:25">
      <c r="A270" t="s">
        <v>18494</v>
      </c>
      <c r="B270" t="s">
        <v>18494</v>
      </c>
      <c r="C270" t="s">
        <v>18475</v>
      </c>
      <c r="D270" t="s">
        <v>13272</v>
      </c>
      <c r="E270">
        <v>805</v>
      </c>
      <c r="G270" t="str">
        <f>Config!$B$5</f>
        <v>SCH/L_ANSI.SchLib</v>
      </c>
      <c r="H270" t="s">
        <v>424</v>
      </c>
      <c r="I270" t="s">
        <v>461</v>
      </c>
      <c r="J270" t="s">
        <v>18489</v>
      </c>
      <c r="K270" s="46">
        <v>6.8000000000000001E-6</v>
      </c>
      <c r="L270" t="s">
        <v>18421</v>
      </c>
      <c r="M270" t="s">
        <v>13272</v>
      </c>
      <c r="N270" t="s">
        <v>18438</v>
      </c>
      <c r="O270" t="s">
        <v>25</v>
      </c>
      <c r="P270" t="s">
        <v>18457</v>
      </c>
    </row>
    <row r="271" spans="1:25">
      <c r="A271" t="s">
        <v>18495</v>
      </c>
      <c r="B271" t="s">
        <v>18495</v>
      </c>
      <c r="C271" t="s">
        <v>18476</v>
      </c>
      <c r="D271" t="s">
        <v>13272</v>
      </c>
      <c r="E271">
        <v>805</v>
      </c>
      <c r="G271" t="str">
        <f>Config!$B$5</f>
        <v>SCH/L_ANSI.SchLib</v>
      </c>
      <c r="H271" t="s">
        <v>424</v>
      </c>
      <c r="I271" t="s">
        <v>461</v>
      </c>
      <c r="J271" t="s">
        <v>18489</v>
      </c>
      <c r="K271" s="46">
        <v>1.5E-5</v>
      </c>
      <c r="L271" t="s">
        <v>18422</v>
      </c>
      <c r="M271" t="s">
        <v>13272</v>
      </c>
      <c r="N271" t="s">
        <v>18439</v>
      </c>
      <c r="O271" t="s">
        <v>25</v>
      </c>
      <c r="P271" t="s">
        <v>18458</v>
      </c>
    </row>
    <row r="272" spans="1:25">
      <c r="A272" t="s">
        <v>18496</v>
      </c>
      <c r="B272" t="s">
        <v>18496</v>
      </c>
      <c r="C272" t="s">
        <v>18477</v>
      </c>
      <c r="D272" t="s">
        <v>13272</v>
      </c>
      <c r="E272">
        <v>805</v>
      </c>
      <c r="G272" t="str">
        <f>Config!$B$5</f>
        <v>SCH/L_ANSI.SchLib</v>
      </c>
      <c r="H272" t="s">
        <v>424</v>
      </c>
      <c r="I272" t="s">
        <v>461</v>
      </c>
      <c r="J272" t="s">
        <v>18489</v>
      </c>
      <c r="K272" s="46">
        <v>1E-4</v>
      </c>
      <c r="L272" t="s">
        <v>18423</v>
      </c>
      <c r="M272" t="s">
        <v>13272</v>
      </c>
      <c r="N272" t="s">
        <v>18440</v>
      </c>
      <c r="O272" t="s">
        <v>25</v>
      </c>
      <c r="P272" t="s">
        <v>18459</v>
      </c>
      <c r="U272" t="s">
        <v>4479</v>
      </c>
      <c r="V272" t="s">
        <v>18516</v>
      </c>
      <c r="W272" t="s">
        <v>4559</v>
      </c>
      <c r="X272" t="s">
        <v>18515</v>
      </c>
      <c r="Y272" t="s">
        <v>4727</v>
      </c>
    </row>
    <row r="273" spans="1:16">
      <c r="A273" t="s">
        <v>18490</v>
      </c>
      <c r="B273" t="s">
        <v>18490</v>
      </c>
      <c r="C273" t="s">
        <v>18478</v>
      </c>
      <c r="D273" t="s">
        <v>13272</v>
      </c>
      <c r="E273">
        <v>805</v>
      </c>
      <c r="G273" t="str">
        <f>Config!$B$5</f>
        <v>SCH/L_ANSI.SchLib</v>
      </c>
      <c r="H273" t="s">
        <v>424</v>
      </c>
      <c r="I273" t="s">
        <v>461</v>
      </c>
      <c r="J273" t="s">
        <v>18489</v>
      </c>
      <c r="K273" s="46">
        <v>1.0000000000000001E-5</v>
      </c>
      <c r="L273" t="s">
        <v>18424</v>
      </c>
      <c r="M273" t="s">
        <v>13272</v>
      </c>
      <c r="N273" t="s">
        <v>18441</v>
      </c>
      <c r="O273" t="s">
        <v>25</v>
      </c>
      <c r="P273" t="s">
        <v>18460</v>
      </c>
    </row>
    <row r="274" spans="1:16">
      <c r="A274" t="s">
        <v>18497</v>
      </c>
      <c r="B274" t="s">
        <v>18497</v>
      </c>
      <c r="C274" t="s">
        <v>18479</v>
      </c>
      <c r="D274" t="s">
        <v>13272</v>
      </c>
      <c r="E274">
        <v>805</v>
      </c>
      <c r="G274" t="str">
        <f>Config!$B$5</f>
        <v>SCH/L_ANSI.SchLib</v>
      </c>
      <c r="H274" t="s">
        <v>424</v>
      </c>
      <c r="I274" t="s">
        <v>461</v>
      </c>
      <c r="J274" t="s">
        <v>18489</v>
      </c>
      <c r="K274" s="46">
        <v>6.7999999999999999E-5</v>
      </c>
      <c r="L274" t="s">
        <v>18425</v>
      </c>
      <c r="M274" t="s">
        <v>13272</v>
      </c>
      <c r="N274" t="s">
        <v>18442</v>
      </c>
      <c r="O274" t="s">
        <v>25</v>
      </c>
      <c r="P274" t="s">
        <v>18461</v>
      </c>
    </row>
    <row r="275" spans="1:16">
      <c r="A275" t="s">
        <v>18491</v>
      </c>
      <c r="B275" t="s">
        <v>18491</v>
      </c>
      <c r="C275" t="s">
        <v>18480</v>
      </c>
      <c r="D275" t="s">
        <v>13272</v>
      </c>
      <c r="E275">
        <v>805</v>
      </c>
      <c r="G275" t="str">
        <f>Config!$B$5</f>
        <v>SCH/L_ANSI.SchLib</v>
      </c>
      <c r="H275" t="s">
        <v>424</v>
      </c>
      <c r="I275" t="s">
        <v>461</v>
      </c>
      <c r="J275" t="s">
        <v>18489</v>
      </c>
      <c r="K275" s="46">
        <v>4.6999999999999997E-5</v>
      </c>
      <c r="L275" t="s">
        <v>18426</v>
      </c>
      <c r="M275" t="s">
        <v>13272</v>
      </c>
      <c r="N275" t="s">
        <v>18443</v>
      </c>
      <c r="O275" t="s">
        <v>25</v>
      </c>
      <c r="P275" t="s">
        <v>18462</v>
      </c>
    </row>
    <row r="276" spans="1:16">
      <c r="A276" t="s">
        <v>18498</v>
      </c>
      <c r="B276" t="s">
        <v>18498</v>
      </c>
      <c r="C276" t="s">
        <v>18481</v>
      </c>
      <c r="D276" t="s">
        <v>13272</v>
      </c>
      <c r="E276">
        <v>805</v>
      </c>
      <c r="G276" t="str">
        <f>Config!$B$5</f>
        <v>SCH/L_ANSI.SchLib</v>
      </c>
      <c r="H276" t="s">
        <v>424</v>
      </c>
      <c r="I276" t="s">
        <v>461</v>
      </c>
      <c r="J276" t="s">
        <v>18489</v>
      </c>
      <c r="K276" s="46">
        <v>3.3000000000000002E-6</v>
      </c>
      <c r="L276" t="s">
        <v>18427</v>
      </c>
      <c r="M276" t="s">
        <v>13272</v>
      </c>
      <c r="N276" t="s">
        <v>18444</v>
      </c>
      <c r="O276" t="s">
        <v>25</v>
      </c>
      <c r="P276" t="s">
        <v>18463</v>
      </c>
    </row>
    <row r="277" spans="1:16">
      <c r="A277" t="s">
        <v>18499</v>
      </c>
      <c r="B277" t="s">
        <v>18499</v>
      </c>
      <c r="C277" t="s">
        <v>18482</v>
      </c>
      <c r="D277" t="s">
        <v>13272</v>
      </c>
      <c r="E277">
        <v>805</v>
      </c>
      <c r="G277" t="str">
        <f>Config!$B$5</f>
        <v>SCH/L_ANSI.SchLib</v>
      </c>
      <c r="H277" t="s">
        <v>424</v>
      </c>
      <c r="I277" t="s">
        <v>461</v>
      </c>
      <c r="J277" t="s">
        <v>18489</v>
      </c>
      <c r="K277" s="46">
        <v>9.9999999999999995E-7</v>
      </c>
      <c r="L277" t="s">
        <v>18428</v>
      </c>
      <c r="M277" t="s">
        <v>13272</v>
      </c>
      <c r="N277" t="s">
        <v>18445</v>
      </c>
      <c r="O277" t="s">
        <v>25</v>
      </c>
      <c r="P277" t="s">
        <v>18464</v>
      </c>
    </row>
    <row r="278" spans="1:16">
      <c r="A278" t="s">
        <v>18498</v>
      </c>
      <c r="B278" t="s">
        <v>18498</v>
      </c>
      <c r="C278" t="s">
        <v>18483</v>
      </c>
      <c r="D278" t="s">
        <v>13272</v>
      </c>
      <c r="E278">
        <v>805</v>
      </c>
      <c r="G278" t="str">
        <f>Config!$B$5</f>
        <v>SCH/L_ANSI.SchLib</v>
      </c>
      <c r="H278" t="s">
        <v>424</v>
      </c>
      <c r="I278" t="s">
        <v>461</v>
      </c>
      <c r="J278" t="s">
        <v>18489</v>
      </c>
      <c r="K278" s="46">
        <v>3.3000000000000002E-6</v>
      </c>
      <c r="L278" t="s">
        <v>18429</v>
      </c>
      <c r="M278" t="s">
        <v>13272</v>
      </c>
      <c r="N278" t="s">
        <v>18446</v>
      </c>
      <c r="O278" t="s">
        <v>25</v>
      </c>
      <c r="P278" t="s">
        <v>18465</v>
      </c>
    </row>
    <row r="279" spans="1:16">
      <c r="A279" t="s">
        <v>18500</v>
      </c>
      <c r="B279" t="s">
        <v>18500</v>
      </c>
      <c r="C279" t="s">
        <v>18484</v>
      </c>
      <c r="D279" t="s">
        <v>13272</v>
      </c>
      <c r="E279">
        <v>805</v>
      </c>
      <c r="G279" t="str">
        <f>Config!$B$5</f>
        <v>SCH/L_ANSI.SchLib</v>
      </c>
      <c r="H279" t="s">
        <v>424</v>
      </c>
      <c r="I279" t="s">
        <v>461</v>
      </c>
      <c r="J279" t="s">
        <v>18489</v>
      </c>
      <c r="K279" s="46">
        <v>2.2000000000000001E-6</v>
      </c>
      <c r="L279" t="s">
        <v>18430</v>
      </c>
      <c r="M279" t="s">
        <v>13272</v>
      </c>
      <c r="N279" t="s">
        <v>18447</v>
      </c>
      <c r="O279" t="s">
        <v>25</v>
      </c>
      <c r="P279" t="s">
        <v>18466</v>
      </c>
    </row>
    <row r="280" spans="1:16">
      <c r="A280" t="s">
        <v>18499</v>
      </c>
      <c r="B280" t="s">
        <v>18499</v>
      </c>
      <c r="C280" t="s">
        <v>18485</v>
      </c>
      <c r="D280" t="s">
        <v>13272</v>
      </c>
      <c r="E280">
        <v>805</v>
      </c>
      <c r="G280" t="str">
        <f>Config!$B$5</f>
        <v>SCH/L_ANSI.SchLib</v>
      </c>
      <c r="H280" t="s">
        <v>424</v>
      </c>
      <c r="I280" t="s">
        <v>461</v>
      </c>
      <c r="J280" t="s">
        <v>18489</v>
      </c>
      <c r="K280" s="46">
        <v>9.9999999999999995E-7</v>
      </c>
      <c r="L280" t="s">
        <v>18345</v>
      </c>
      <c r="M280" t="s">
        <v>13272</v>
      </c>
      <c r="N280" t="s">
        <v>18448</v>
      </c>
      <c r="O280" t="s">
        <v>25</v>
      </c>
      <c r="P280" t="s">
        <v>18467</v>
      </c>
    </row>
    <row r="281" spans="1:16">
      <c r="A281" t="s">
        <v>18499</v>
      </c>
      <c r="B281" t="s">
        <v>18499</v>
      </c>
      <c r="C281" t="s">
        <v>18486</v>
      </c>
      <c r="D281" t="s">
        <v>13272</v>
      </c>
      <c r="E281">
        <v>805</v>
      </c>
      <c r="G281" t="str">
        <f>Config!$B$5</f>
        <v>SCH/L_ANSI.SchLib</v>
      </c>
      <c r="H281" t="s">
        <v>424</v>
      </c>
      <c r="I281" t="s">
        <v>461</v>
      </c>
      <c r="J281" t="s">
        <v>18489</v>
      </c>
      <c r="K281" s="46">
        <v>9.9999999999999995E-7</v>
      </c>
      <c r="L281" t="s">
        <v>18431</v>
      </c>
      <c r="M281" t="s">
        <v>13272</v>
      </c>
      <c r="N281" t="s">
        <v>18449</v>
      </c>
      <c r="O281" t="s">
        <v>25</v>
      </c>
      <c r="P281" t="s">
        <v>18468</v>
      </c>
    </row>
    <row r="282" spans="1:16">
      <c r="A282" t="s">
        <v>18492</v>
      </c>
      <c r="B282" t="s">
        <v>18492</v>
      </c>
      <c r="C282" t="s">
        <v>18487</v>
      </c>
      <c r="D282" t="s">
        <v>13272</v>
      </c>
      <c r="E282">
        <v>805</v>
      </c>
      <c r="G282" t="str">
        <f>Config!$B$5</f>
        <v>SCH/L_ANSI.SchLib</v>
      </c>
      <c r="H282" t="s">
        <v>424</v>
      </c>
      <c r="I282" t="s">
        <v>461</v>
      </c>
      <c r="J282" t="s">
        <v>18489</v>
      </c>
      <c r="K282" s="46">
        <v>4.6999999999999999E-6</v>
      </c>
      <c r="L282" t="s">
        <v>18345</v>
      </c>
      <c r="M282" t="s">
        <v>13272</v>
      </c>
      <c r="N282" t="s">
        <v>18450</v>
      </c>
      <c r="O282" t="s">
        <v>25</v>
      </c>
      <c r="P282" t="s">
        <v>18469</v>
      </c>
    </row>
    <row r="283" spans="1:16">
      <c r="A283" t="s">
        <v>18490</v>
      </c>
      <c r="B283" t="s">
        <v>18490</v>
      </c>
      <c r="C283" t="s">
        <v>18488</v>
      </c>
      <c r="D283" t="s">
        <v>13272</v>
      </c>
      <c r="E283">
        <v>805</v>
      </c>
      <c r="G283" t="str">
        <f>Config!$B$5</f>
        <v>SCH/L_ANSI.SchLib</v>
      </c>
      <c r="H283" t="s">
        <v>424</v>
      </c>
      <c r="I283" t="s">
        <v>461</v>
      </c>
      <c r="J283" t="s">
        <v>18489</v>
      </c>
      <c r="K283" s="46">
        <v>1.0000000000000001E-5</v>
      </c>
      <c r="L283" t="s">
        <v>18432</v>
      </c>
      <c r="M283" t="s">
        <v>13272</v>
      </c>
      <c r="N283" t="s">
        <v>18451</v>
      </c>
      <c r="O283" t="s">
        <v>25</v>
      </c>
      <c r="P283" t="s">
        <v>18470</v>
      </c>
    </row>
  </sheetData>
  <phoneticPr fontId="2" type="noConversion"/>
  <conditionalFormatting sqref="G2:G1048576">
    <cfRule type="expression" dxfId="4" priority="1">
      <formula>AND(NOT(ISBLANK(G2)),NOT(_xlfn.ISFORMULA(G2)))</formula>
    </cfRule>
  </conditionalFormatting>
  <hyperlinks>
    <hyperlink ref="L31" r:id="rId1" xr:uid="{79BC9568-7CDE-4CD8-B755-06C088A221F9}"/>
    <hyperlink ref="L22" r:id="rId2" xr:uid="{92415E9E-368A-47A6-A461-EC19CF05514F}"/>
    <hyperlink ref="L36:L50" r:id="rId3" display="https://www.bourns.com/docs/product-datasheets/srp1245c.pdf" xr:uid="{CF6763FA-BDE0-443B-8CA3-D038483D4195}"/>
    <hyperlink ref="L51" r:id="rId4" xr:uid="{6ACEC3C4-F847-4B84-AAA2-BC4638EF0C97}"/>
    <hyperlink ref="L24" r:id="rId5" xr:uid="{C69630A2-D6EF-4372-8528-777A65AD0CF6}"/>
    <hyperlink ref="L163" r:id="rId6" xr:uid="{E5A44C2F-CB1C-4F6E-A91D-48C2AC360EFA}"/>
  </hyperlinks>
  <pageMargins left="0.7" right="0.7" top="0.78740157499999996" bottom="0.78740157499999996" header="0.3" footer="0.3"/>
  <pageSetup paperSize="9" orientation="portrait" r:id="rId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96218-16F3-44AE-9E9B-CCA683897864}">
  <dimension ref="A1:Y654"/>
  <sheetViews>
    <sheetView workbookViewId="0">
      <pane xSplit="2" ySplit="1" topLeftCell="C628" activePane="bottomRight" state="frozen"/>
      <selection pane="topRight" activeCell="C1" sqref="C1"/>
      <selection pane="bottomLeft" activeCell="A2" sqref="A2"/>
      <selection pane="bottomRight" activeCell="R654" sqref="R654"/>
    </sheetView>
  </sheetViews>
  <sheetFormatPr defaultColWidth="11.5703125" defaultRowHeight="15"/>
  <cols>
    <col min="3" max="3" width="33.42578125" bestFit="1" customWidth="1"/>
    <col min="5" max="5" width="16.5703125" bestFit="1" customWidth="1"/>
    <col min="9" max="9" width="15.5703125" bestFit="1" customWidth="1"/>
    <col min="10" max="10" width="13.42578125" bestFit="1" customWidth="1"/>
    <col min="16" max="16" width="23.28515625" bestFit="1" customWidth="1"/>
  </cols>
  <sheetData>
    <row r="1" spans="1:25">
      <c r="A1" s="49" t="s">
        <v>0</v>
      </c>
      <c r="B1" s="49" t="s">
        <v>1</v>
      </c>
      <c r="C1" s="49" t="s">
        <v>2</v>
      </c>
      <c r="D1" s="49" t="s">
        <v>3</v>
      </c>
      <c r="E1" s="49" t="s">
        <v>4</v>
      </c>
      <c r="F1" s="49" t="s">
        <v>5</v>
      </c>
      <c r="G1" s="49" t="s">
        <v>6</v>
      </c>
      <c r="H1" s="49" t="s">
        <v>7</v>
      </c>
      <c r="I1" s="49" t="s">
        <v>8</v>
      </c>
      <c r="J1" s="49" t="s">
        <v>9</v>
      </c>
      <c r="K1" s="49" t="s">
        <v>10</v>
      </c>
      <c r="L1" s="49" t="s">
        <v>11</v>
      </c>
      <c r="M1" s="49" t="s">
        <v>12</v>
      </c>
      <c r="N1" s="49" t="s">
        <v>13</v>
      </c>
      <c r="O1" s="49" t="s">
        <v>14</v>
      </c>
      <c r="P1" s="49" t="s">
        <v>15</v>
      </c>
      <c r="Q1" s="49" t="s">
        <v>16</v>
      </c>
      <c r="R1" s="49" t="s">
        <v>17</v>
      </c>
      <c r="S1" s="49" t="s">
        <v>18</v>
      </c>
      <c r="T1" s="49" t="s">
        <v>19</v>
      </c>
      <c r="U1" s="49" t="s">
        <v>4593</v>
      </c>
      <c r="V1" s="49" t="s">
        <v>4594</v>
      </c>
      <c r="W1" s="49" t="s">
        <v>4595</v>
      </c>
      <c r="X1" s="49" t="s">
        <v>4596</v>
      </c>
      <c r="Y1" s="49" t="s">
        <v>4726</v>
      </c>
    </row>
    <row r="2" spans="1:25">
      <c r="A2" s="17" t="s">
        <v>2667</v>
      </c>
      <c r="B2" s="17" t="s">
        <v>2667</v>
      </c>
      <c r="C2" s="17" t="s">
        <v>2668</v>
      </c>
      <c r="D2" s="17" t="s">
        <v>2669</v>
      </c>
      <c r="E2" s="17" t="s">
        <v>2670</v>
      </c>
      <c r="F2" s="17" t="s">
        <v>2667</v>
      </c>
      <c r="G2" s="17" t="s">
        <v>2671</v>
      </c>
      <c r="H2" s="17" t="s">
        <v>4312</v>
      </c>
      <c r="I2" s="17" t="s">
        <v>2672</v>
      </c>
      <c r="J2" s="17" t="s">
        <v>2673</v>
      </c>
      <c r="K2" s="17" t="s">
        <v>2674</v>
      </c>
      <c r="L2" s="17" t="s">
        <v>2675</v>
      </c>
      <c r="M2" s="17" t="s">
        <v>2669</v>
      </c>
      <c r="N2" s="17" t="s">
        <v>2676</v>
      </c>
      <c r="O2" s="17" t="s">
        <v>7635</v>
      </c>
      <c r="P2" s="17" t="s">
        <v>2677</v>
      </c>
      <c r="Q2" s="17" t="s">
        <v>2669</v>
      </c>
      <c r="R2" s="17" t="s">
        <v>2667</v>
      </c>
      <c r="S2" s="17" t="s">
        <v>7635</v>
      </c>
      <c r="T2" s="17" t="s">
        <v>2678</v>
      </c>
      <c r="U2" s="17" t="s">
        <v>4597</v>
      </c>
      <c r="V2" s="17" t="s">
        <v>2667</v>
      </c>
      <c r="W2" s="17" t="s">
        <v>4559</v>
      </c>
      <c r="X2" s="17" t="s">
        <v>4598</v>
      </c>
      <c r="Y2" s="17" t="s">
        <v>4727</v>
      </c>
    </row>
    <row r="3" spans="1:25">
      <c r="A3" s="17" t="s">
        <v>2679</v>
      </c>
      <c r="B3" s="17" t="s">
        <v>2679</v>
      </c>
      <c r="C3" s="17" t="s">
        <v>2680</v>
      </c>
      <c r="D3" s="17" t="s">
        <v>2669</v>
      </c>
      <c r="E3" s="17" t="s">
        <v>2670</v>
      </c>
      <c r="F3" s="17" t="s">
        <v>2679</v>
      </c>
      <c r="G3" s="17" t="s">
        <v>2671</v>
      </c>
      <c r="H3" s="17" t="s">
        <v>6835</v>
      </c>
      <c r="I3" s="17" t="s">
        <v>2672</v>
      </c>
      <c r="J3" s="17" t="s">
        <v>2673</v>
      </c>
      <c r="K3" s="17" t="s">
        <v>2674</v>
      </c>
      <c r="L3" s="17" t="s">
        <v>2675</v>
      </c>
      <c r="M3" s="17" t="s">
        <v>2669</v>
      </c>
      <c r="N3" s="17" t="s">
        <v>2679</v>
      </c>
      <c r="O3" s="17" t="s">
        <v>7635</v>
      </c>
      <c r="P3" s="17" t="s">
        <v>2681</v>
      </c>
      <c r="Q3" s="17"/>
      <c r="R3" s="17"/>
      <c r="S3" s="17"/>
      <c r="T3" s="17"/>
      <c r="U3" s="17"/>
      <c r="V3" s="17"/>
      <c r="W3" s="17"/>
      <c r="X3" s="17"/>
      <c r="Y3" s="17"/>
    </row>
    <row r="4" spans="1:25">
      <c r="A4" s="17" t="s">
        <v>2682</v>
      </c>
      <c r="B4" s="17" t="s">
        <v>2682</v>
      </c>
      <c r="C4" s="17" t="s">
        <v>2683</v>
      </c>
      <c r="D4" s="17" t="s">
        <v>2669</v>
      </c>
      <c r="E4" s="17" t="s">
        <v>2670</v>
      </c>
      <c r="F4" s="17" t="s">
        <v>2682</v>
      </c>
      <c r="G4" s="17" t="s">
        <v>2671</v>
      </c>
      <c r="H4" s="17" t="s">
        <v>4312</v>
      </c>
      <c r="I4" s="17" t="s">
        <v>2672</v>
      </c>
      <c r="J4" s="17" t="s">
        <v>2673</v>
      </c>
      <c r="K4" s="17" t="s">
        <v>2684</v>
      </c>
      <c r="L4" s="17" t="s">
        <v>2675</v>
      </c>
      <c r="M4" s="17" t="s">
        <v>2669</v>
      </c>
      <c r="N4" s="17" t="s">
        <v>2685</v>
      </c>
      <c r="O4" s="17" t="s">
        <v>7635</v>
      </c>
      <c r="P4" s="17" t="s">
        <v>2686</v>
      </c>
      <c r="Q4" s="17" t="s">
        <v>2669</v>
      </c>
      <c r="R4" s="17" t="s">
        <v>2682</v>
      </c>
      <c r="S4" s="17" t="s">
        <v>7635</v>
      </c>
      <c r="T4" s="17" t="s">
        <v>2687</v>
      </c>
      <c r="U4" s="17"/>
      <c r="V4" s="17"/>
      <c r="W4" s="17"/>
      <c r="X4" s="17"/>
      <c r="Y4" s="17"/>
    </row>
    <row r="5" spans="1:25">
      <c r="A5" s="17" t="s">
        <v>2688</v>
      </c>
      <c r="B5" s="17" t="s">
        <v>2688</v>
      </c>
      <c r="C5" s="17" t="s">
        <v>2689</v>
      </c>
      <c r="D5" s="17" t="s">
        <v>2669</v>
      </c>
      <c r="E5" s="17" t="s">
        <v>2670</v>
      </c>
      <c r="F5" s="17" t="s">
        <v>2688</v>
      </c>
      <c r="G5" s="17" t="s">
        <v>2671</v>
      </c>
      <c r="H5" s="17" t="s">
        <v>6835</v>
      </c>
      <c r="I5" s="17" t="s">
        <v>2672</v>
      </c>
      <c r="J5" s="17" t="s">
        <v>2673</v>
      </c>
      <c r="K5" s="17" t="s">
        <v>2684</v>
      </c>
      <c r="L5" s="17" t="s">
        <v>2675</v>
      </c>
      <c r="M5" s="17" t="s">
        <v>2669</v>
      </c>
      <c r="N5" s="17" t="s">
        <v>2688</v>
      </c>
      <c r="O5" s="17" t="s">
        <v>7635</v>
      </c>
      <c r="P5" s="17" t="s">
        <v>2690</v>
      </c>
      <c r="Q5" s="17"/>
      <c r="R5" s="17"/>
      <c r="S5" s="17"/>
      <c r="T5" s="17"/>
      <c r="U5" s="17"/>
      <c r="V5" s="17"/>
      <c r="W5" s="17"/>
      <c r="X5" s="17"/>
      <c r="Y5" s="17"/>
    </row>
    <row r="6" spans="1:25">
      <c r="A6" s="17" t="s">
        <v>2691</v>
      </c>
      <c r="B6" s="17" t="s">
        <v>2691</v>
      </c>
      <c r="C6" s="17" t="s">
        <v>2692</v>
      </c>
      <c r="D6" s="17" t="s">
        <v>2669</v>
      </c>
      <c r="E6" s="17" t="s">
        <v>2670</v>
      </c>
      <c r="F6" s="17" t="s">
        <v>2691</v>
      </c>
      <c r="G6" s="17" t="s">
        <v>2671</v>
      </c>
      <c r="H6" s="17" t="s">
        <v>4312</v>
      </c>
      <c r="I6" s="17" t="s">
        <v>2672</v>
      </c>
      <c r="J6" s="17" t="s">
        <v>2673</v>
      </c>
      <c r="K6" s="17" t="s">
        <v>2693</v>
      </c>
      <c r="L6" s="17" t="s">
        <v>2675</v>
      </c>
      <c r="M6" s="17" t="s">
        <v>2669</v>
      </c>
      <c r="N6" s="17" t="s">
        <v>2694</v>
      </c>
      <c r="O6" s="17" t="s">
        <v>7635</v>
      </c>
      <c r="P6" s="17" t="s">
        <v>2695</v>
      </c>
      <c r="Q6" s="17" t="s">
        <v>2669</v>
      </c>
      <c r="R6" s="17" t="s">
        <v>2691</v>
      </c>
      <c r="S6" s="17" t="s">
        <v>7635</v>
      </c>
      <c r="T6" s="17" t="s">
        <v>2696</v>
      </c>
      <c r="U6" s="17"/>
      <c r="V6" s="17"/>
      <c r="W6" s="17"/>
      <c r="X6" s="17"/>
      <c r="Y6" s="17"/>
    </row>
    <row r="7" spans="1:25">
      <c r="A7" s="17" t="s">
        <v>2697</v>
      </c>
      <c r="B7" s="17" t="s">
        <v>2697</v>
      </c>
      <c r="C7" s="17" t="s">
        <v>2698</v>
      </c>
      <c r="D7" s="17" t="s">
        <v>2669</v>
      </c>
      <c r="E7" s="17" t="s">
        <v>2670</v>
      </c>
      <c r="F7" s="17" t="s">
        <v>2697</v>
      </c>
      <c r="G7" s="17" t="s">
        <v>2671</v>
      </c>
      <c r="H7" s="17" t="s">
        <v>4312</v>
      </c>
      <c r="I7" s="17" t="s">
        <v>2672</v>
      </c>
      <c r="J7" s="17" t="s">
        <v>2673</v>
      </c>
      <c r="K7" s="17" t="s">
        <v>2699</v>
      </c>
      <c r="L7" s="17" t="s">
        <v>2675</v>
      </c>
      <c r="M7" s="17" t="s">
        <v>2669</v>
      </c>
      <c r="N7" s="17" t="s">
        <v>2697</v>
      </c>
      <c r="O7" s="17" t="s">
        <v>7635</v>
      </c>
      <c r="P7" s="17" t="s">
        <v>2700</v>
      </c>
      <c r="Q7" s="17"/>
      <c r="R7" s="17"/>
      <c r="S7" s="17"/>
      <c r="T7" s="17"/>
      <c r="U7" s="17"/>
      <c r="V7" s="17"/>
      <c r="W7" s="17"/>
      <c r="X7" s="17"/>
      <c r="Y7" s="17"/>
    </row>
    <row r="8" spans="1:25">
      <c r="A8" s="17" t="s">
        <v>2701</v>
      </c>
      <c r="B8" s="17" t="s">
        <v>2701</v>
      </c>
      <c r="C8" s="17" t="s">
        <v>2702</v>
      </c>
      <c r="D8" s="17" t="s">
        <v>2669</v>
      </c>
      <c r="E8" s="17" t="s">
        <v>2670</v>
      </c>
      <c r="F8" s="17" t="s">
        <v>2701</v>
      </c>
      <c r="G8" s="17" t="s">
        <v>2671</v>
      </c>
      <c r="H8" s="17" t="s">
        <v>4312</v>
      </c>
      <c r="I8" s="17" t="s">
        <v>2672</v>
      </c>
      <c r="J8" s="17" t="s">
        <v>2673</v>
      </c>
      <c r="K8" s="17" t="s">
        <v>2703</v>
      </c>
      <c r="L8" s="17" t="s">
        <v>2675</v>
      </c>
      <c r="M8" s="17" t="s">
        <v>2669</v>
      </c>
      <c r="N8" s="17" t="s">
        <v>2701</v>
      </c>
      <c r="O8" s="17" t="s">
        <v>7635</v>
      </c>
      <c r="P8" s="17" t="s">
        <v>2704</v>
      </c>
      <c r="Q8" s="17"/>
      <c r="R8" s="17"/>
      <c r="S8" s="17"/>
      <c r="T8" s="17"/>
      <c r="U8" s="17"/>
      <c r="V8" s="17"/>
      <c r="W8" s="17"/>
      <c r="X8" s="17"/>
      <c r="Y8" s="17"/>
    </row>
    <row r="9" spans="1:25">
      <c r="A9" s="17" t="s">
        <v>2705</v>
      </c>
      <c r="B9" s="17" t="s">
        <v>2705</v>
      </c>
      <c r="C9" s="17" t="s">
        <v>2706</v>
      </c>
      <c r="D9" s="17" t="s">
        <v>2669</v>
      </c>
      <c r="E9" s="17" t="s">
        <v>2670</v>
      </c>
      <c r="F9" s="17" t="s">
        <v>2705</v>
      </c>
      <c r="G9" s="17" t="s">
        <v>2671</v>
      </c>
      <c r="H9" s="17" t="s">
        <v>4312</v>
      </c>
      <c r="I9" s="17" t="s">
        <v>2672</v>
      </c>
      <c r="J9" s="17" t="s">
        <v>2673</v>
      </c>
      <c r="K9" s="17" t="s">
        <v>2707</v>
      </c>
      <c r="L9" s="17" t="s">
        <v>2675</v>
      </c>
      <c r="M9" s="17" t="s">
        <v>2669</v>
      </c>
      <c r="N9" s="17" t="s">
        <v>2705</v>
      </c>
      <c r="O9" s="17" t="s">
        <v>7635</v>
      </c>
      <c r="P9" s="17" t="s">
        <v>2708</v>
      </c>
      <c r="Q9" s="17" t="s">
        <v>2669</v>
      </c>
      <c r="R9" s="17" t="s">
        <v>2709</v>
      </c>
      <c r="S9" s="17" t="s">
        <v>7635</v>
      </c>
      <c r="T9" s="17" t="s">
        <v>2710</v>
      </c>
      <c r="U9" s="17"/>
      <c r="V9" s="17"/>
      <c r="W9" s="17"/>
      <c r="X9" s="17"/>
      <c r="Y9" s="17"/>
    </row>
    <row r="10" spans="1:25">
      <c r="A10" s="17" t="s">
        <v>2711</v>
      </c>
      <c r="B10" s="17" t="s">
        <v>2711</v>
      </c>
      <c r="C10" s="17" t="s">
        <v>2712</v>
      </c>
      <c r="D10" s="17" t="s">
        <v>2669</v>
      </c>
      <c r="E10" s="17" t="s">
        <v>2670</v>
      </c>
      <c r="F10" s="17" t="s">
        <v>2711</v>
      </c>
      <c r="G10" s="17" t="s">
        <v>2671</v>
      </c>
      <c r="H10" s="17" t="s">
        <v>4312</v>
      </c>
      <c r="I10" s="17" t="s">
        <v>2672</v>
      </c>
      <c r="J10" s="17" t="s">
        <v>2673</v>
      </c>
      <c r="K10" s="17" t="s">
        <v>2713</v>
      </c>
      <c r="L10" s="17" t="s">
        <v>2675</v>
      </c>
      <c r="M10" s="17" t="s">
        <v>2669</v>
      </c>
      <c r="N10" s="17" t="s">
        <v>2711</v>
      </c>
      <c r="O10" s="17" t="s">
        <v>7635</v>
      </c>
      <c r="P10" s="17" t="s">
        <v>2714</v>
      </c>
      <c r="Q10" s="17"/>
      <c r="R10" s="17"/>
      <c r="S10" s="17"/>
      <c r="T10" s="17"/>
      <c r="U10" s="17"/>
      <c r="V10" s="17"/>
      <c r="W10" s="17"/>
      <c r="X10" s="17"/>
      <c r="Y10" s="17"/>
    </row>
    <row r="11" spans="1:25">
      <c r="A11" s="17" t="s">
        <v>2715</v>
      </c>
      <c r="B11" s="17" t="s">
        <v>2715</v>
      </c>
      <c r="C11" s="17" t="s">
        <v>2716</v>
      </c>
      <c r="D11" s="17" t="s">
        <v>2669</v>
      </c>
      <c r="E11" s="17" t="s">
        <v>2670</v>
      </c>
      <c r="F11" s="17" t="s">
        <v>2715</v>
      </c>
      <c r="G11" s="17" t="s">
        <v>2671</v>
      </c>
      <c r="H11" s="17" t="s">
        <v>6835</v>
      </c>
      <c r="I11" s="17" t="s">
        <v>2672</v>
      </c>
      <c r="J11" s="17" t="s">
        <v>2673</v>
      </c>
      <c r="K11" s="17" t="s">
        <v>2713</v>
      </c>
      <c r="L11" s="17" t="s">
        <v>2675</v>
      </c>
      <c r="M11" s="17" t="s">
        <v>2669</v>
      </c>
      <c r="N11" s="17" t="s">
        <v>2715</v>
      </c>
      <c r="O11" s="17" t="s">
        <v>7635</v>
      </c>
      <c r="P11" s="17" t="s">
        <v>2717</v>
      </c>
      <c r="Q11" s="17"/>
      <c r="R11" s="17"/>
      <c r="S11" s="17"/>
      <c r="T11" s="17"/>
      <c r="U11" s="17"/>
      <c r="V11" s="17"/>
      <c r="W11" s="17"/>
      <c r="X11" s="17"/>
      <c r="Y11" s="17"/>
    </row>
    <row r="12" spans="1:25">
      <c r="A12" s="17" t="s">
        <v>2718</v>
      </c>
      <c r="B12" s="17" t="s">
        <v>2718</v>
      </c>
      <c r="C12" s="17" t="s">
        <v>2719</v>
      </c>
      <c r="D12" s="17" t="s">
        <v>2669</v>
      </c>
      <c r="E12" s="17" t="s">
        <v>2670</v>
      </c>
      <c r="F12" s="17" t="s">
        <v>2718</v>
      </c>
      <c r="G12" s="17" t="s">
        <v>2671</v>
      </c>
      <c r="H12" s="17" t="s">
        <v>4312</v>
      </c>
      <c r="I12" s="17" t="s">
        <v>2672</v>
      </c>
      <c r="J12" s="17" t="s">
        <v>2673</v>
      </c>
      <c r="K12" s="17" t="s">
        <v>2720</v>
      </c>
      <c r="L12" s="17" t="s">
        <v>2675</v>
      </c>
      <c r="M12" s="17" t="s">
        <v>2669</v>
      </c>
      <c r="N12" s="17" t="s">
        <v>2721</v>
      </c>
      <c r="O12" s="17" t="s">
        <v>7635</v>
      </c>
      <c r="P12" s="17" t="s">
        <v>2722</v>
      </c>
      <c r="Q12" s="17" t="s">
        <v>2669</v>
      </c>
      <c r="R12" s="17" t="s">
        <v>2718</v>
      </c>
      <c r="S12" s="17" t="s">
        <v>7635</v>
      </c>
      <c r="T12" s="17" t="s">
        <v>2723</v>
      </c>
      <c r="U12" s="17"/>
      <c r="V12" s="17"/>
      <c r="W12" s="17"/>
      <c r="X12" s="17"/>
      <c r="Y12" s="17"/>
    </row>
    <row r="13" spans="1:25">
      <c r="A13" s="17" t="s">
        <v>2724</v>
      </c>
      <c r="B13" s="17" t="s">
        <v>2724</v>
      </c>
      <c r="C13" s="17" t="s">
        <v>2725</v>
      </c>
      <c r="D13" s="17" t="s">
        <v>2669</v>
      </c>
      <c r="E13" s="17" t="s">
        <v>2670</v>
      </c>
      <c r="F13" s="17" t="s">
        <v>2724</v>
      </c>
      <c r="G13" s="17" t="s">
        <v>2671</v>
      </c>
      <c r="H13" s="17" t="s">
        <v>6835</v>
      </c>
      <c r="I13" s="17" t="s">
        <v>2672</v>
      </c>
      <c r="J13" s="17" t="s">
        <v>2673</v>
      </c>
      <c r="K13" s="17" t="s">
        <v>2720</v>
      </c>
      <c r="L13" s="17" t="s">
        <v>2675</v>
      </c>
      <c r="M13" s="17" t="s">
        <v>2669</v>
      </c>
      <c r="N13" s="17" t="s">
        <v>2724</v>
      </c>
      <c r="O13" s="17" t="s">
        <v>7635</v>
      </c>
      <c r="P13" s="17" t="s">
        <v>2726</v>
      </c>
      <c r="Q13" s="17"/>
      <c r="R13" s="17"/>
      <c r="S13" s="17"/>
      <c r="T13" s="17"/>
      <c r="U13" s="17"/>
      <c r="V13" s="17"/>
      <c r="W13" s="17"/>
      <c r="X13" s="17"/>
      <c r="Y13" s="17"/>
    </row>
    <row r="14" spans="1:25">
      <c r="A14" s="17" t="s">
        <v>2727</v>
      </c>
      <c r="B14" s="17" t="s">
        <v>2727</v>
      </c>
      <c r="C14" s="17" t="s">
        <v>2728</v>
      </c>
      <c r="D14" s="17" t="s">
        <v>2669</v>
      </c>
      <c r="E14" s="17" t="s">
        <v>2670</v>
      </c>
      <c r="F14" s="17" t="s">
        <v>2727</v>
      </c>
      <c r="G14" s="17" t="s">
        <v>2671</v>
      </c>
      <c r="H14" s="17" t="s">
        <v>4312</v>
      </c>
      <c r="I14" s="17" t="s">
        <v>2672</v>
      </c>
      <c r="J14" s="17" t="s">
        <v>2673</v>
      </c>
      <c r="K14" s="17" t="s">
        <v>2729</v>
      </c>
      <c r="L14" s="17" t="s">
        <v>2675</v>
      </c>
      <c r="M14" s="17" t="s">
        <v>2669</v>
      </c>
      <c r="N14" s="17" t="s">
        <v>2730</v>
      </c>
      <c r="O14" s="17" t="s">
        <v>7635</v>
      </c>
      <c r="P14" s="17" t="s">
        <v>2731</v>
      </c>
      <c r="Q14" s="17" t="s">
        <v>2669</v>
      </c>
      <c r="R14" s="17" t="s">
        <v>2727</v>
      </c>
      <c r="S14" s="17" t="s">
        <v>7635</v>
      </c>
      <c r="T14" s="17" t="s">
        <v>2732</v>
      </c>
      <c r="U14" s="17"/>
      <c r="V14" s="17"/>
      <c r="W14" s="17"/>
      <c r="X14" s="17"/>
      <c r="Y14" s="17"/>
    </row>
    <row r="15" spans="1:25">
      <c r="A15" s="17" t="s">
        <v>2733</v>
      </c>
      <c r="B15" s="17" t="s">
        <v>2733</v>
      </c>
      <c r="C15" s="17" t="s">
        <v>2734</v>
      </c>
      <c r="D15" s="17" t="s">
        <v>2669</v>
      </c>
      <c r="E15" s="17" t="s">
        <v>2670</v>
      </c>
      <c r="F15" s="17" t="s">
        <v>2733</v>
      </c>
      <c r="G15" s="17" t="s">
        <v>2671</v>
      </c>
      <c r="H15" s="17" t="s">
        <v>6835</v>
      </c>
      <c r="I15" s="17" t="s">
        <v>2672</v>
      </c>
      <c r="J15" s="17" t="s">
        <v>2673</v>
      </c>
      <c r="K15" s="17" t="s">
        <v>2729</v>
      </c>
      <c r="L15" s="17" t="s">
        <v>2675</v>
      </c>
      <c r="M15" s="17" t="s">
        <v>2669</v>
      </c>
      <c r="N15" s="17" t="s">
        <v>2733</v>
      </c>
      <c r="O15" s="17" t="s">
        <v>7635</v>
      </c>
      <c r="P15" s="17" t="s">
        <v>2735</v>
      </c>
      <c r="Q15" s="17"/>
      <c r="R15" s="17"/>
      <c r="S15" s="17"/>
      <c r="T15" s="17"/>
      <c r="U15" s="17"/>
      <c r="V15" s="17"/>
      <c r="W15" s="17"/>
      <c r="X15" s="17"/>
      <c r="Y15" s="17"/>
    </row>
    <row r="16" spans="1:25">
      <c r="A16" s="17" t="s">
        <v>2736</v>
      </c>
      <c r="B16" s="17" t="s">
        <v>2736</v>
      </c>
      <c r="C16" s="17" t="s">
        <v>2737</v>
      </c>
      <c r="D16" s="17" t="s">
        <v>2669</v>
      </c>
      <c r="E16" s="17" t="s">
        <v>2670</v>
      </c>
      <c r="F16" s="17" t="s">
        <v>2736</v>
      </c>
      <c r="G16" s="17" t="s">
        <v>2671</v>
      </c>
      <c r="H16" s="17" t="s">
        <v>4312</v>
      </c>
      <c r="I16" s="17" t="s">
        <v>2672</v>
      </c>
      <c r="J16" s="17" t="s">
        <v>2673</v>
      </c>
      <c r="K16" s="17" t="s">
        <v>2738</v>
      </c>
      <c r="L16" s="17" t="s">
        <v>2675</v>
      </c>
      <c r="M16" s="17" t="s">
        <v>2669</v>
      </c>
      <c r="N16" s="17" t="s">
        <v>2736</v>
      </c>
      <c r="O16" s="17" t="s">
        <v>7635</v>
      </c>
      <c r="P16" s="17" t="s">
        <v>2739</v>
      </c>
      <c r="Q16" s="17"/>
      <c r="R16" s="17"/>
      <c r="S16" s="17"/>
      <c r="T16" s="17"/>
      <c r="U16" s="17"/>
      <c r="V16" s="17"/>
      <c r="W16" s="17"/>
      <c r="X16" s="17"/>
      <c r="Y16" s="17"/>
    </row>
    <row r="17" spans="1:25">
      <c r="A17" s="17" t="s">
        <v>2740</v>
      </c>
      <c r="B17" s="17" t="s">
        <v>2740</v>
      </c>
      <c r="C17" s="17" t="s">
        <v>2741</v>
      </c>
      <c r="D17" s="17" t="s">
        <v>2669</v>
      </c>
      <c r="E17" s="17" t="s">
        <v>2670</v>
      </c>
      <c r="F17" s="17" t="s">
        <v>2740</v>
      </c>
      <c r="G17" s="17" t="s">
        <v>2671</v>
      </c>
      <c r="H17" s="17" t="s">
        <v>4312</v>
      </c>
      <c r="I17" s="17" t="s">
        <v>2672</v>
      </c>
      <c r="J17" s="17" t="s">
        <v>2673</v>
      </c>
      <c r="K17" s="17" t="s">
        <v>2742</v>
      </c>
      <c r="L17" s="17" t="s">
        <v>2675</v>
      </c>
      <c r="M17" s="17" t="s">
        <v>2669</v>
      </c>
      <c r="N17" s="17" t="s">
        <v>2743</v>
      </c>
      <c r="O17" s="17" t="s">
        <v>7635</v>
      </c>
      <c r="P17" s="17" t="s">
        <v>2744</v>
      </c>
      <c r="Q17" s="17" t="s">
        <v>2669</v>
      </c>
      <c r="R17" s="17" t="s">
        <v>2740</v>
      </c>
      <c r="S17" s="17" t="s">
        <v>7635</v>
      </c>
      <c r="T17" s="17" t="s">
        <v>2745</v>
      </c>
      <c r="U17" s="17"/>
      <c r="V17" s="17"/>
      <c r="W17" s="17"/>
      <c r="X17" s="17"/>
      <c r="Y17" s="17"/>
    </row>
    <row r="18" spans="1:25">
      <c r="A18" s="17" t="s">
        <v>2746</v>
      </c>
      <c r="B18" s="17" t="s">
        <v>2746</v>
      </c>
      <c r="C18" s="17" t="s">
        <v>2747</v>
      </c>
      <c r="D18" s="17" t="s">
        <v>2669</v>
      </c>
      <c r="E18" s="17" t="s">
        <v>2670</v>
      </c>
      <c r="F18" s="17" t="s">
        <v>2746</v>
      </c>
      <c r="G18" s="17" t="s">
        <v>2671</v>
      </c>
      <c r="H18" s="17" t="s">
        <v>6835</v>
      </c>
      <c r="I18" s="17" t="s">
        <v>2672</v>
      </c>
      <c r="J18" s="17" t="s">
        <v>2673</v>
      </c>
      <c r="K18" s="17" t="s">
        <v>2742</v>
      </c>
      <c r="L18" s="17" t="s">
        <v>2675</v>
      </c>
      <c r="M18" s="17" t="s">
        <v>2669</v>
      </c>
      <c r="N18" s="17" t="s">
        <v>2746</v>
      </c>
      <c r="O18" s="17" t="s">
        <v>7635</v>
      </c>
      <c r="P18" s="17" t="s">
        <v>2748</v>
      </c>
      <c r="Q18" s="17"/>
      <c r="R18" s="17"/>
      <c r="S18" s="17"/>
      <c r="T18" s="17"/>
      <c r="U18" s="17"/>
      <c r="V18" s="17"/>
      <c r="W18" s="17"/>
      <c r="X18" s="17"/>
      <c r="Y18" s="17"/>
    </row>
    <row r="19" spans="1:25">
      <c r="A19" s="17" t="s">
        <v>2749</v>
      </c>
      <c r="B19" s="17" t="s">
        <v>2749</v>
      </c>
      <c r="C19" s="17" t="s">
        <v>2750</v>
      </c>
      <c r="D19" s="17" t="s">
        <v>2669</v>
      </c>
      <c r="E19" s="17" t="s">
        <v>2670</v>
      </c>
      <c r="F19" s="17" t="s">
        <v>2749</v>
      </c>
      <c r="G19" s="17" t="s">
        <v>2671</v>
      </c>
      <c r="H19" s="17" t="s">
        <v>4312</v>
      </c>
      <c r="I19" s="17" t="s">
        <v>2672</v>
      </c>
      <c r="J19" s="17" t="s">
        <v>2673</v>
      </c>
      <c r="K19" s="17" t="s">
        <v>2751</v>
      </c>
      <c r="L19" s="17" t="s">
        <v>2675</v>
      </c>
      <c r="M19" s="17" t="s">
        <v>2669</v>
      </c>
      <c r="N19" s="17" t="s">
        <v>2752</v>
      </c>
      <c r="O19" s="17" t="s">
        <v>7635</v>
      </c>
      <c r="P19" s="17" t="s">
        <v>2753</v>
      </c>
      <c r="Q19" s="17" t="s">
        <v>2669</v>
      </c>
      <c r="R19" s="17" t="s">
        <v>2749</v>
      </c>
      <c r="S19" s="17" t="s">
        <v>7635</v>
      </c>
      <c r="T19" s="17" t="s">
        <v>2754</v>
      </c>
      <c r="U19" s="17"/>
      <c r="V19" s="17"/>
      <c r="W19" s="17"/>
      <c r="X19" s="17"/>
      <c r="Y19" s="17"/>
    </row>
    <row r="20" spans="1:25">
      <c r="A20" s="17" t="s">
        <v>2755</v>
      </c>
      <c r="B20" s="17" t="s">
        <v>2755</v>
      </c>
      <c r="C20" s="17" t="s">
        <v>2756</v>
      </c>
      <c r="D20" s="17" t="s">
        <v>2669</v>
      </c>
      <c r="E20" s="17" t="s">
        <v>2670</v>
      </c>
      <c r="F20" s="17" t="s">
        <v>2755</v>
      </c>
      <c r="G20" s="17" t="s">
        <v>2671</v>
      </c>
      <c r="H20" s="17" t="s">
        <v>6835</v>
      </c>
      <c r="I20" s="17" t="s">
        <v>2672</v>
      </c>
      <c r="J20" s="17" t="s">
        <v>2673</v>
      </c>
      <c r="K20" s="17" t="s">
        <v>2751</v>
      </c>
      <c r="L20" s="17" t="s">
        <v>2675</v>
      </c>
      <c r="M20" s="17" t="s">
        <v>2669</v>
      </c>
      <c r="N20" s="17" t="s">
        <v>2755</v>
      </c>
      <c r="O20" s="17" t="s">
        <v>7635</v>
      </c>
      <c r="P20" s="17" t="s">
        <v>2757</v>
      </c>
      <c r="Q20" s="17"/>
      <c r="R20" s="17"/>
      <c r="S20" s="17"/>
      <c r="T20" s="17"/>
      <c r="U20" s="17"/>
      <c r="V20" s="17"/>
      <c r="W20" s="17"/>
      <c r="X20" s="17"/>
      <c r="Y20" s="17"/>
    </row>
    <row r="21" spans="1:25">
      <c r="A21" s="17" t="s">
        <v>2758</v>
      </c>
      <c r="B21" s="17" t="s">
        <v>2758</v>
      </c>
      <c r="C21" s="17" t="s">
        <v>2759</v>
      </c>
      <c r="D21" s="17" t="s">
        <v>2669</v>
      </c>
      <c r="E21" s="17" t="s">
        <v>2670</v>
      </c>
      <c r="F21" s="17" t="s">
        <v>2758</v>
      </c>
      <c r="G21" s="17" t="s">
        <v>2671</v>
      </c>
      <c r="H21" s="17" t="s">
        <v>4312</v>
      </c>
      <c r="I21" s="17" t="s">
        <v>2672</v>
      </c>
      <c r="J21" s="17" t="s">
        <v>2673</v>
      </c>
      <c r="K21" s="17" t="s">
        <v>2760</v>
      </c>
      <c r="L21" s="17" t="s">
        <v>2675</v>
      </c>
      <c r="M21" s="17" t="s">
        <v>2669</v>
      </c>
      <c r="N21" s="17" t="s">
        <v>2761</v>
      </c>
      <c r="O21" s="17" t="s">
        <v>7635</v>
      </c>
      <c r="P21" s="17" t="s">
        <v>2762</v>
      </c>
      <c r="Q21" s="17" t="s">
        <v>2669</v>
      </c>
      <c r="R21" s="17" t="s">
        <v>2758</v>
      </c>
      <c r="S21" s="17" t="s">
        <v>7635</v>
      </c>
      <c r="T21" s="17" t="s">
        <v>2763</v>
      </c>
      <c r="U21" s="17"/>
      <c r="V21" s="17"/>
      <c r="W21" s="17"/>
      <c r="X21" s="17"/>
      <c r="Y21" s="17"/>
    </row>
    <row r="22" spans="1:25">
      <c r="A22" s="17" t="s">
        <v>2764</v>
      </c>
      <c r="B22" s="17" t="s">
        <v>2764</v>
      </c>
      <c r="C22" s="17" t="s">
        <v>2765</v>
      </c>
      <c r="D22" s="17" t="s">
        <v>2669</v>
      </c>
      <c r="E22" s="17" t="s">
        <v>2670</v>
      </c>
      <c r="F22" s="17" t="s">
        <v>2764</v>
      </c>
      <c r="G22" s="17" t="s">
        <v>2671</v>
      </c>
      <c r="H22" s="17" t="s">
        <v>6835</v>
      </c>
      <c r="I22" s="17" t="s">
        <v>2672</v>
      </c>
      <c r="J22" s="17" t="s">
        <v>2673</v>
      </c>
      <c r="K22" s="17" t="s">
        <v>2760</v>
      </c>
      <c r="L22" s="17" t="s">
        <v>2675</v>
      </c>
      <c r="M22" s="17" t="s">
        <v>2669</v>
      </c>
      <c r="N22" s="17" t="s">
        <v>2764</v>
      </c>
      <c r="O22" s="17" t="s">
        <v>7635</v>
      </c>
      <c r="P22" s="17" t="s">
        <v>2766</v>
      </c>
      <c r="Q22" s="17"/>
      <c r="R22" s="17"/>
      <c r="S22" s="17"/>
      <c r="T22" s="17"/>
      <c r="U22" s="17"/>
      <c r="V22" s="17"/>
      <c r="W22" s="17"/>
      <c r="X22" s="17"/>
      <c r="Y22" s="17"/>
    </row>
    <row r="23" spans="1:25">
      <c r="A23" s="17" t="s">
        <v>2767</v>
      </c>
      <c r="B23" s="17" t="s">
        <v>2767</v>
      </c>
      <c r="C23" s="17" t="s">
        <v>2768</v>
      </c>
      <c r="D23" s="17" t="s">
        <v>2669</v>
      </c>
      <c r="E23" s="17" t="s">
        <v>2670</v>
      </c>
      <c r="F23" s="17" t="s">
        <v>2767</v>
      </c>
      <c r="G23" s="17" t="s">
        <v>2671</v>
      </c>
      <c r="H23" s="17" t="s">
        <v>4312</v>
      </c>
      <c r="I23" s="17" t="s">
        <v>2672</v>
      </c>
      <c r="J23" s="17" t="s">
        <v>2673</v>
      </c>
      <c r="K23" s="17" t="s">
        <v>2769</v>
      </c>
      <c r="L23" s="17" t="s">
        <v>2675</v>
      </c>
      <c r="M23" s="17" t="s">
        <v>2669</v>
      </c>
      <c r="N23" s="17" t="s">
        <v>2770</v>
      </c>
      <c r="O23" s="17" t="s">
        <v>7635</v>
      </c>
      <c r="P23" s="17" t="s">
        <v>2771</v>
      </c>
      <c r="Q23" s="17" t="s">
        <v>2669</v>
      </c>
      <c r="R23" s="17" t="s">
        <v>2767</v>
      </c>
      <c r="S23" s="17" t="s">
        <v>7635</v>
      </c>
      <c r="T23" s="17" t="s">
        <v>2772</v>
      </c>
      <c r="U23" s="17"/>
      <c r="V23" s="17"/>
      <c r="W23" s="17"/>
      <c r="X23" s="17"/>
      <c r="Y23" s="17"/>
    </row>
    <row r="24" spans="1:25">
      <c r="A24" s="17" t="s">
        <v>2773</v>
      </c>
      <c r="B24" s="17" t="s">
        <v>2773</v>
      </c>
      <c r="C24" s="17" t="s">
        <v>2774</v>
      </c>
      <c r="D24" s="17" t="s">
        <v>2669</v>
      </c>
      <c r="E24" s="17" t="s">
        <v>2670</v>
      </c>
      <c r="F24" s="17" t="s">
        <v>2773</v>
      </c>
      <c r="G24" s="17" t="s">
        <v>2671</v>
      </c>
      <c r="H24" s="17" t="s">
        <v>6835</v>
      </c>
      <c r="I24" s="17" t="s">
        <v>2672</v>
      </c>
      <c r="J24" s="17" t="s">
        <v>2673</v>
      </c>
      <c r="K24" s="17" t="s">
        <v>2769</v>
      </c>
      <c r="L24" s="17" t="s">
        <v>2675</v>
      </c>
      <c r="M24" s="17" t="s">
        <v>2669</v>
      </c>
      <c r="N24" s="17" t="s">
        <v>2773</v>
      </c>
      <c r="O24" s="17" t="s">
        <v>7635</v>
      </c>
      <c r="P24" s="17" t="s">
        <v>2775</v>
      </c>
      <c r="Q24" s="17"/>
      <c r="R24" s="17"/>
      <c r="S24" s="17"/>
      <c r="T24" s="17"/>
      <c r="U24" s="17"/>
      <c r="V24" s="17"/>
      <c r="W24" s="17"/>
      <c r="X24" s="17"/>
      <c r="Y24" s="17"/>
    </row>
    <row r="25" spans="1:25">
      <c r="A25" s="17" t="s">
        <v>2776</v>
      </c>
      <c r="B25" s="17" t="s">
        <v>2776</v>
      </c>
      <c r="C25" s="17" t="s">
        <v>2777</v>
      </c>
      <c r="D25" s="17" t="s">
        <v>2669</v>
      </c>
      <c r="E25" s="17" t="s">
        <v>2670</v>
      </c>
      <c r="F25" s="17" t="s">
        <v>2776</v>
      </c>
      <c r="G25" s="17" t="s">
        <v>2671</v>
      </c>
      <c r="H25" s="17" t="s">
        <v>4312</v>
      </c>
      <c r="I25" s="17" t="s">
        <v>2672</v>
      </c>
      <c r="J25" s="17" t="s">
        <v>2673</v>
      </c>
      <c r="K25" s="17" t="s">
        <v>2778</v>
      </c>
      <c r="L25" s="17" t="s">
        <v>2675</v>
      </c>
      <c r="M25" s="17" t="s">
        <v>2669</v>
      </c>
      <c r="N25" s="17" t="s">
        <v>2779</v>
      </c>
      <c r="O25" s="17" t="s">
        <v>7635</v>
      </c>
      <c r="P25" s="17" t="s">
        <v>2780</v>
      </c>
      <c r="Q25" s="17" t="s">
        <v>2669</v>
      </c>
      <c r="R25" s="17" t="s">
        <v>2776</v>
      </c>
      <c r="S25" s="17" t="s">
        <v>7635</v>
      </c>
      <c r="T25" s="17" t="s">
        <v>2781</v>
      </c>
      <c r="U25" s="17"/>
      <c r="V25" s="17"/>
      <c r="W25" s="17"/>
      <c r="X25" s="17"/>
      <c r="Y25" s="17"/>
    </row>
    <row r="26" spans="1:25">
      <c r="A26" s="17" t="s">
        <v>2782</v>
      </c>
      <c r="B26" s="17" t="s">
        <v>2782</v>
      </c>
      <c r="C26" s="17" t="s">
        <v>2783</v>
      </c>
      <c r="D26" s="17" t="s">
        <v>2669</v>
      </c>
      <c r="E26" s="17" t="s">
        <v>2670</v>
      </c>
      <c r="F26" s="17" t="s">
        <v>2782</v>
      </c>
      <c r="G26" s="17" t="s">
        <v>2671</v>
      </c>
      <c r="H26" s="17" t="s">
        <v>6835</v>
      </c>
      <c r="I26" s="17" t="s">
        <v>2672</v>
      </c>
      <c r="J26" s="17" t="s">
        <v>2673</v>
      </c>
      <c r="K26" s="17" t="s">
        <v>2778</v>
      </c>
      <c r="L26" s="17" t="s">
        <v>2675</v>
      </c>
      <c r="M26" s="17" t="s">
        <v>2669</v>
      </c>
      <c r="N26" s="17" t="s">
        <v>2782</v>
      </c>
      <c r="O26" s="17" t="s">
        <v>7635</v>
      </c>
      <c r="P26" s="17" t="s">
        <v>2784</v>
      </c>
      <c r="Q26" s="17"/>
      <c r="R26" s="17"/>
      <c r="S26" s="17"/>
      <c r="T26" s="17"/>
      <c r="U26" s="17"/>
      <c r="V26" s="17"/>
      <c r="W26" s="17"/>
      <c r="X26" s="17"/>
      <c r="Y26" s="17"/>
    </row>
    <row r="27" spans="1:25">
      <c r="A27" s="17" t="s">
        <v>2785</v>
      </c>
      <c r="B27" s="17" t="s">
        <v>2785</v>
      </c>
      <c r="C27" s="17" t="s">
        <v>2786</v>
      </c>
      <c r="D27" s="17" t="s">
        <v>2669</v>
      </c>
      <c r="E27" s="17" t="s">
        <v>2670</v>
      </c>
      <c r="F27" s="17" t="s">
        <v>2785</v>
      </c>
      <c r="G27" s="17" t="s">
        <v>2671</v>
      </c>
      <c r="H27" s="17" t="s">
        <v>4312</v>
      </c>
      <c r="I27" s="17" t="s">
        <v>2672</v>
      </c>
      <c r="J27" s="17" t="s">
        <v>2673</v>
      </c>
      <c r="K27" s="17" t="s">
        <v>2787</v>
      </c>
      <c r="L27" s="17" t="s">
        <v>2675</v>
      </c>
      <c r="M27" s="17" t="s">
        <v>2669</v>
      </c>
      <c r="N27" s="17" t="s">
        <v>2785</v>
      </c>
      <c r="O27" s="17" t="s">
        <v>7635</v>
      </c>
      <c r="P27" s="17" t="s">
        <v>2788</v>
      </c>
      <c r="Q27" s="17"/>
      <c r="R27" s="17"/>
      <c r="S27" s="17"/>
      <c r="T27" s="17"/>
      <c r="U27" s="17"/>
      <c r="V27" s="17"/>
      <c r="W27" s="17"/>
      <c r="X27" s="17"/>
      <c r="Y27" s="17"/>
    </row>
    <row r="28" spans="1:25">
      <c r="A28" s="17" t="s">
        <v>2789</v>
      </c>
      <c r="B28" s="17" t="s">
        <v>2789</v>
      </c>
      <c r="C28" s="17" t="s">
        <v>2790</v>
      </c>
      <c r="D28" s="17" t="s">
        <v>2669</v>
      </c>
      <c r="E28" s="17" t="s">
        <v>2670</v>
      </c>
      <c r="F28" s="17" t="s">
        <v>2789</v>
      </c>
      <c r="G28" s="17" t="s">
        <v>2671</v>
      </c>
      <c r="H28" s="17" t="s">
        <v>4312</v>
      </c>
      <c r="I28" s="17" t="s">
        <v>2672</v>
      </c>
      <c r="J28" s="17" t="s">
        <v>2673</v>
      </c>
      <c r="K28" s="17" t="s">
        <v>2791</v>
      </c>
      <c r="L28" s="17" t="s">
        <v>2675</v>
      </c>
      <c r="M28" s="17" t="s">
        <v>2669</v>
      </c>
      <c r="N28" s="17" t="s">
        <v>2792</v>
      </c>
      <c r="O28" s="17" t="s">
        <v>7635</v>
      </c>
      <c r="P28" s="17" t="s">
        <v>2793</v>
      </c>
      <c r="Q28" s="17" t="s">
        <v>2669</v>
      </c>
      <c r="R28" s="17" t="s">
        <v>2789</v>
      </c>
      <c r="S28" s="17" t="s">
        <v>7635</v>
      </c>
      <c r="T28" s="17" t="s">
        <v>2794</v>
      </c>
      <c r="U28" s="17"/>
      <c r="V28" s="17"/>
      <c r="W28" s="17"/>
      <c r="X28" s="17"/>
      <c r="Y28" s="17"/>
    </row>
    <row r="29" spans="1:25">
      <c r="A29" s="17" t="s">
        <v>2795</v>
      </c>
      <c r="B29" s="17" t="s">
        <v>2795</v>
      </c>
      <c r="C29" s="17" t="s">
        <v>2796</v>
      </c>
      <c r="D29" s="17" t="s">
        <v>2669</v>
      </c>
      <c r="E29" s="17" t="s">
        <v>2670</v>
      </c>
      <c r="F29" s="17" t="s">
        <v>2795</v>
      </c>
      <c r="G29" s="17" t="s">
        <v>2671</v>
      </c>
      <c r="H29" s="17" t="s">
        <v>6835</v>
      </c>
      <c r="I29" s="17" t="s">
        <v>2672</v>
      </c>
      <c r="J29" s="17" t="s">
        <v>2673</v>
      </c>
      <c r="K29" s="17" t="s">
        <v>2791</v>
      </c>
      <c r="L29" s="17" t="s">
        <v>2675</v>
      </c>
      <c r="M29" s="17" t="s">
        <v>2669</v>
      </c>
      <c r="N29" s="17" t="s">
        <v>2795</v>
      </c>
      <c r="O29" s="17" t="s">
        <v>7635</v>
      </c>
      <c r="P29" s="17" t="s">
        <v>2797</v>
      </c>
      <c r="Q29" s="17"/>
      <c r="R29" s="17"/>
      <c r="S29" s="17"/>
      <c r="T29" s="17"/>
      <c r="U29" s="17"/>
      <c r="V29" s="17"/>
      <c r="W29" s="17"/>
      <c r="X29" s="17"/>
      <c r="Y29" s="17"/>
    </row>
    <row r="30" spans="1:25">
      <c r="A30" s="17" t="s">
        <v>2798</v>
      </c>
      <c r="B30" s="17" t="s">
        <v>2798</v>
      </c>
      <c r="C30" s="17" t="s">
        <v>2799</v>
      </c>
      <c r="D30" s="17" t="s">
        <v>2669</v>
      </c>
      <c r="E30" s="17" t="s">
        <v>2670</v>
      </c>
      <c r="F30" s="17" t="s">
        <v>2798</v>
      </c>
      <c r="G30" s="17" t="s">
        <v>2671</v>
      </c>
      <c r="H30" s="17" t="s">
        <v>4312</v>
      </c>
      <c r="I30" s="17" t="s">
        <v>2672</v>
      </c>
      <c r="J30" s="17" t="s">
        <v>2673</v>
      </c>
      <c r="K30" s="17" t="s">
        <v>2800</v>
      </c>
      <c r="L30" s="17" t="s">
        <v>2675</v>
      </c>
      <c r="M30" s="17" t="s">
        <v>2669</v>
      </c>
      <c r="N30" s="17" t="s">
        <v>2801</v>
      </c>
      <c r="O30" s="17" t="s">
        <v>7635</v>
      </c>
      <c r="P30" s="17" t="s">
        <v>2802</v>
      </c>
      <c r="Q30" s="17" t="s">
        <v>2669</v>
      </c>
      <c r="R30" s="17" t="s">
        <v>2798</v>
      </c>
      <c r="S30" s="17" t="s">
        <v>7635</v>
      </c>
      <c r="T30" s="17" t="s">
        <v>2803</v>
      </c>
      <c r="U30" s="17"/>
      <c r="V30" s="17"/>
      <c r="W30" s="17"/>
      <c r="X30" s="17"/>
      <c r="Y30" s="17"/>
    </row>
    <row r="31" spans="1:25">
      <c r="A31" s="17" t="s">
        <v>2804</v>
      </c>
      <c r="B31" s="17" t="s">
        <v>2804</v>
      </c>
      <c r="C31" s="17" t="s">
        <v>2805</v>
      </c>
      <c r="D31" s="17" t="s">
        <v>2669</v>
      </c>
      <c r="E31" s="17" t="s">
        <v>2670</v>
      </c>
      <c r="F31" s="17" t="s">
        <v>2804</v>
      </c>
      <c r="G31" s="17" t="s">
        <v>2671</v>
      </c>
      <c r="H31" s="17" t="s">
        <v>6835</v>
      </c>
      <c r="I31" s="17" t="s">
        <v>2672</v>
      </c>
      <c r="J31" s="17" t="s">
        <v>2673</v>
      </c>
      <c r="K31" s="17" t="s">
        <v>2800</v>
      </c>
      <c r="L31" s="17" t="s">
        <v>2675</v>
      </c>
      <c r="M31" s="17" t="s">
        <v>2669</v>
      </c>
      <c r="N31" s="17" t="s">
        <v>2804</v>
      </c>
      <c r="O31" s="17" t="s">
        <v>7635</v>
      </c>
      <c r="P31" s="17" t="s">
        <v>2806</v>
      </c>
      <c r="Q31" s="17"/>
      <c r="R31" s="17"/>
      <c r="S31" s="17"/>
      <c r="T31" s="17"/>
      <c r="U31" s="17"/>
      <c r="V31" s="17"/>
      <c r="W31" s="17"/>
      <c r="X31" s="17"/>
      <c r="Y31" s="17"/>
    </row>
    <row r="32" spans="1:25">
      <c r="A32" s="17" t="s">
        <v>2807</v>
      </c>
      <c r="B32" s="17" t="s">
        <v>2807</v>
      </c>
      <c r="C32" s="17" t="s">
        <v>2808</v>
      </c>
      <c r="D32" s="17" t="s">
        <v>2669</v>
      </c>
      <c r="E32" s="17" t="s">
        <v>2670</v>
      </c>
      <c r="F32" s="17" t="s">
        <v>2807</v>
      </c>
      <c r="G32" s="17" t="s">
        <v>2671</v>
      </c>
      <c r="H32" s="17" t="s">
        <v>4312</v>
      </c>
      <c r="I32" s="17" t="s">
        <v>2672</v>
      </c>
      <c r="J32" s="17" t="s">
        <v>2673</v>
      </c>
      <c r="K32" s="17" t="s">
        <v>2809</v>
      </c>
      <c r="L32" s="17" t="s">
        <v>2675</v>
      </c>
      <c r="M32" s="17" t="s">
        <v>2669</v>
      </c>
      <c r="N32" s="17" t="s">
        <v>2807</v>
      </c>
      <c r="O32" s="17" t="s">
        <v>7635</v>
      </c>
      <c r="P32" s="17" t="s">
        <v>2810</v>
      </c>
      <c r="Q32" s="17" t="s">
        <v>2669</v>
      </c>
      <c r="R32" s="17" t="s">
        <v>2811</v>
      </c>
      <c r="S32" s="17" t="s">
        <v>7635</v>
      </c>
      <c r="T32" s="17" t="s">
        <v>2812</v>
      </c>
      <c r="U32" s="17"/>
      <c r="V32" s="17"/>
      <c r="W32" s="17"/>
      <c r="X32" s="17"/>
      <c r="Y32" s="17"/>
    </row>
    <row r="33" spans="1:25">
      <c r="A33" s="17" t="s">
        <v>2813</v>
      </c>
      <c r="B33" s="17" t="s">
        <v>2813</v>
      </c>
      <c r="C33" s="17" t="s">
        <v>2814</v>
      </c>
      <c r="D33" s="17" t="s">
        <v>2669</v>
      </c>
      <c r="E33" s="17" t="s">
        <v>2670</v>
      </c>
      <c r="F33" s="17" t="s">
        <v>2813</v>
      </c>
      <c r="G33" s="17" t="s">
        <v>2671</v>
      </c>
      <c r="H33" s="17" t="s">
        <v>6835</v>
      </c>
      <c r="I33" s="17" t="s">
        <v>2672</v>
      </c>
      <c r="J33" s="17" t="s">
        <v>2673</v>
      </c>
      <c r="K33" s="17" t="s">
        <v>2809</v>
      </c>
      <c r="L33" s="17" t="s">
        <v>2675</v>
      </c>
      <c r="M33" s="17" t="s">
        <v>2669</v>
      </c>
      <c r="N33" s="17" t="s">
        <v>2813</v>
      </c>
      <c r="O33" s="17" t="s">
        <v>7635</v>
      </c>
      <c r="P33" s="17" t="s">
        <v>2815</v>
      </c>
      <c r="Q33" s="17"/>
      <c r="R33" s="17"/>
      <c r="S33" s="17"/>
      <c r="T33" s="17"/>
      <c r="U33" s="17"/>
      <c r="V33" s="17"/>
      <c r="W33" s="17"/>
      <c r="X33" s="17"/>
      <c r="Y33" s="17"/>
    </row>
    <row r="34" spans="1:25">
      <c r="A34" s="17" t="s">
        <v>2816</v>
      </c>
      <c r="B34" s="17" t="s">
        <v>2816</v>
      </c>
      <c r="C34" s="17" t="s">
        <v>2817</v>
      </c>
      <c r="D34" s="17" t="s">
        <v>2669</v>
      </c>
      <c r="E34" s="17" t="s">
        <v>2670</v>
      </c>
      <c r="F34" s="17" t="s">
        <v>2816</v>
      </c>
      <c r="G34" s="17" t="s">
        <v>2671</v>
      </c>
      <c r="H34" s="17" t="s">
        <v>4312</v>
      </c>
      <c r="I34" s="17" t="s">
        <v>2672</v>
      </c>
      <c r="J34" s="17" t="s">
        <v>2673</v>
      </c>
      <c r="K34" s="17" t="s">
        <v>2818</v>
      </c>
      <c r="L34" s="17" t="s">
        <v>2675</v>
      </c>
      <c r="M34" s="17" t="s">
        <v>2669</v>
      </c>
      <c r="N34" s="17" t="s">
        <v>2819</v>
      </c>
      <c r="O34" s="17" t="s">
        <v>7635</v>
      </c>
      <c r="P34" s="17" t="s">
        <v>2820</v>
      </c>
      <c r="Q34" s="17" t="s">
        <v>2669</v>
      </c>
      <c r="R34" s="17" t="s">
        <v>2816</v>
      </c>
      <c r="S34" s="17" t="s">
        <v>7635</v>
      </c>
      <c r="T34" s="17" t="s">
        <v>2821</v>
      </c>
      <c r="U34" s="17"/>
      <c r="V34" s="17"/>
      <c r="W34" s="17"/>
      <c r="X34" s="17"/>
      <c r="Y34" s="17"/>
    </row>
    <row r="35" spans="1:25">
      <c r="A35" s="17" t="s">
        <v>2822</v>
      </c>
      <c r="B35" s="17" t="s">
        <v>2822</v>
      </c>
      <c r="C35" s="17" t="s">
        <v>2823</v>
      </c>
      <c r="D35" s="17" t="s">
        <v>2669</v>
      </c>
      <c r="E35" s="17" t="s">
        <v>2670</v>
      </c>
      <c r="F35" s="17" t="s">
        <v>2822</v>
      </c>
      <c r="G35" s="17" t="s">
        <v>2671</v>
      </c>
      <c r="H35" s="17" t="s">
        <v>6835</v>
      </c>
      <c r="I35" s="17" t="s">
        <v>2672</v>
      </c>
      <c r="J35" s="17" t="s">
        <v>2673</v>
      </c>
      <c r="K35" s="17" t="s">
        <v>2818</v>
      </c>
      <c r="L35" s="17" t="s">
        <v>2675</v>
      </c>
      <c r="M35" s="17" t="s">
        <v>2669</v>
      </c>
      <c r="N35" s="17" t="s">
        <v>2822</v>
      </c>
      <c r="O35" s="17" t="s">
        <v>7635</v>
      </c>
      <c r="P35" s="17" t="s">
        <v>2824</v>
      </c>
      <c r="Q35" s="17"/>
      <c r="R35" s="17"/>
      <c r="S35" s="17"/>
      <c r="T35" s="17"/>
      <c r="U35" s="17"/>
      <c r="V35" s="17"/>
      <c r="W35" s="17"/>
      <c r="X35" s="17"/>
      <c r="Y35" s="17"/>
    </row>
    <row r="36" spans="1:25">
      <c r="A36" s="17" t="s">
        <v>2825</v>
      </c>
      <c r="B36" s="17" t="s">
        <v>2825</v>
      </c>
      <c r="C36" s="17" t="s">
        <v>2826</v>
      </c>
      <c r="D36" s="17" t="s">
        <v>2669</v>
      </c>
      <c r="E36" s="17" t="s">
        <v>2670</v>
      </c>
      <c r="F36" s="17" t="s">
        <v>2825</v>
      </c>
      <c r="G36" s="17" t="s">
        <v>2671</v>
      </c>
      <c r="H36" s="17" t="s">
        <v>4312</v>
      </c>
      <c r="I36" s="17" t="s">
        <v>2672</v>
      </c>
      <c r="J36" s="17" t="s">
        <v>2673</v>
      </c>
      <c r="K36" s="17" t="s">
        <v>2827</v>
      </c>
      <c r="L36" s="17" t="s">
        <v>2675</v>
      </c>
      <c r="M36" s="17" t="s">
        <v>2669</v>
      </c>
      <c r="N36" s="17" t="s">
        <v>2828</v>
      </c>
      <c r="O36" s="17" t="s">
        <v>7635</v>
      </c>
      <c r="P36" s="17" t="s">
        <v>2829</v>
      </c>
      <c r="Q36" s="17" t="s">
        <v>2669</v>
      </c>
      <c r="R36" s="17" t="s">
        <v>2825</v>
      </c>
      <c r="S36" s="17" t="s">
        <v>7635</v>
      </c>
      <c r="T36" s="17" t="s">
        <v>2830</v>
      </c>
      <c r="U36" s="17"/>
      <c r="V36" s="17"/>
      <c r="W36" s="17"/>
      <c r="X36" s="17"/>
      <c r="Y36" s="17"/>
    </row>
    <row r="37" spans="1:25">
      <c r="A37" s="17" t="s">
        <v>2831</v>
      </c>
      <c r="B37" s="17" t="s">
        <v>2831</v>
      </c>
      <c r="C37" s="17" t="s">
        <v>2832</v>
      </c>
      <c r="D37" s="17" t="s">
        <v>2669</v>
      </c>
      <c r="E37" s="17" t="s">
        <v>2670</v>
      </c>
      <c r="F37" s="17" t="s">
        <v>2831</v>
      </c>
      <c r="G37" s="17" t="s">
        <v>2671</v>
      </c>
      <c r="H37" s="17" t="s">
        <v>6835</v>
      </c>
      <c r="I37" s="17" t="s">
        <v>2672</v>
      </c>
      <c r="J37" s="17" t="s">
        <v>2673</v>
      </c>
      <c r="K37" s="17" t="s">
        <v>2827</v>
      </c>
      <c r="L37" s="17" t="s">
        <v>2675</v>
      </c>
      <c r="M37" s="17" t="s">
        <v>2669</v>
      </c>
      <c r="N37" s="17" t="s">
        <v>2831</v>
      </c>
      <c r="O37" s="17" t="s">
        <v>7635</v>
      </c>
      <c r="P37" s="17" t="s">
        <v>2833</v>
      </c>
      <c r="Q37" s="17"/>
      <c r="R37" s="17"/>
      <c r="S37" s="17"/>
      <c r="T37" s="17"/>
      <c r="U37" s="17"/>
      <c r="V37" s="17"/>
      <c r="W37" s="17"/>
      <c r="X37" s="17"/>
      <c r="Y37" s="17"/>
    </row>
    <row r="38" spans="1:25">
      <c r="A38" s="17" t="s">
        <v>2834</v>
      </c>
      <c r="B38" s="17" t="s">
        <v>2834</v>
      </c>
      <c r="C38" s="17" t="s">
        <v>2835</v>
      </c>
      <c r="D38" s="17" t="s">
        <v>2669</v>
      </c>
      <c r="E38" s="17" t="s">
        <v>2670</v>
      </c>
      <c r="F38" s="17" t="s">
        <v>2834</v>
      </c>
      <c r="G38" s="17" t="s">
        <v>2671</v>
      </c>
      <c r="H38" s="17" t="s">
        <v>4312</v>
      </c>
      <c r="I38" s="17" t="s">
        <v>2672</v>
      </c>
      <c r="J38" s="17" t="s">
        <v>2673</v>
      </c>
      <c r="K38" s="17" t="s">
        <v>2836</v>
      </c>
      <c r="L38" s="17" t="s">
        <v>2675</v>
      </c>
      <c r="M38" s="17" t="s">
        <v>2669</v>
      </c>
      <c r="N38" s="17" t="s">
        <v>2837</v>
      </c>
      <c r="O38" s="17" t="s">
        <v>7635</v>
      </c>
      <c r="P38" s="17" t="s">
        <v>2838</v>
      </c>
      <c r="Q38" s="17" t="s">
        <v>2669</v>
      </c>
      <c r="R38" s="17" t="s">
        <v>2834</v>
      </c>
      <c r="S38" s="17" t="s">
        <v>7635</v>
      </c>
      <c r="T38" s="17" t="s">
        <v>2839</v>
      </c>
      <c r="U38" s="17"/>
      <c r="V38" s="17"/>
      <c r="W38" s="17"/>
      <c r="X38" s="17"/>
      <c r="Y38" s="17"/>
    </row>
    <row r="39" spans="1:25">
      <c r="A39" s="17" t="s">
        <v>2840</v>
      </c>
      <c r="B39" s="17" t="s">
        <v>2840</v>
      </c>
      <c r="C39" s="17" t="s">
        <v>2841</v>
      </c>
      <c r="D39" s="17" t="s">
        <v>2669</v>
      </c>
      <c r="E39" s="17" t="s">
        <v>2670</v>
      </c>
      <c r="F39" s="17" t="s">
        <v>2840</v>
      </c>
      <c r="G39" s="17" t="s">
        <v>2671</v>
      </c>
      <c r="H39" s="17" t="s">
        <v>6835</v>
      </c>
      <c r="I39" s="17" t="s">
        <v>2672</v>
      </c>
      <c r="J39" s="17" t="s">
        <v>2673</v>
      </c>
      <c r="K39" s="17" t="s">
        <v>2836</v>
      </c>
      <c r="L39" s="17" t="s">
        <v>2675</v>
      </c>
      <c r="M39" s="17" t="s">
        <v>2669</v>
      </c>
      <c r="N39" s="17" t="s">
        <v>2840</v>
      </c>
      <c r="O39" s="17" t="s">
        <v>7635</v>
      </c>
      <c r="P39" s="17" t="s">
        <v>2842</v>
      </c>
      <c r="Q39" s="17"/>
      <c r="R39" s="17"/>
      <c r="S39" s="17"/>
      <c r="T39" s="17"/>
      <c r="U39" s="17"/>
      <c r="V39" s="17"/>
      <c r="W39" s="17"/>
      <c r="X39" s="17"/>
      <c r="Y39" s="17"/>
    </row>
    <row r="40" spans="1:25">
      <c r="A40" s="17" t="s">
        <v>2843</v>
      </c>
      <c r="B40" s="17" t="s">
        <v>2843</v>
      </c>
      <c r="C40" s="17" t="s">
        <v>2844</v>
      </c>
      <c r="D40" s="17" t="s">
        <v>2669</v>
      </c>
      <c r="E40" s="17" t="s">
        <v>2670</v>
      </c>
      <c r="F40" s="17" t="s">
        <v>2843</v>
      </c>
      <c r="G40" s="17" t="s">
        <v>2671</v>
      </c>
      <c r="H40" s="17" t="s">
        <v>4312</v>
      </c>
      <c r="I40" s="17" t="s">
        <v>2672</v>
      </c>
      <c r="J40" s="17" t="s">
        <v>2673</v>
      </c>
      <c r="K40" s="17" t="s">
        <v>2845</v>
      </c>
      <c r="L40" s="17" t="s">
        <v>2675</v>
      </c>
      <c r="M40" s="17" t="s">
        <v>2669</v>
      </c>
      <c r="N40" s="17" t="s">
        <v>2846</v>
      </c>
      <c r="O40" s="17" t="s">
        <v>7635</v>
      </c>
      <c r="P40" s="17" t="s">
        <v>2847</v>
      </c>
      <c r="Q40" s="17" t="s">
        <v>2669</v>
      </c>
      <c r="R40" s="17" t="s">
        <v>2843</v>
      </c>
      <c r="S40" s="17" t="s">
        <v>7635</v>
      </c>
      <c r="T40" s="17" t="s">
        <v>2848</v>
      </c>
      <c r="U40" s="17"/>
      <c r="V40" s="17"/>
      <c r="W40" s="17"/>
      <c r="X40" s="17"/>
      <c r="Y40" s="17"/>
    </row>
    <row r="41" spans="1:25">
      <c r="A41" s="17" t="s">
        <v>2849</v>
      </c>
      <c r="B41" s="17" t="s">
        <v>2849</v>
      </c>
      <c r="C41" s="17" t="s">
        <v>2850</v>
      </c>
      <c r="D41" s="17" t="s">
        <v>2669</v>
      </c>
      <c r="E41" s="17" t="s">
        <v>2670</v>
      </c>
      <c r="F41" s="17" t="s">
        <v>2849</v>
      </c>
      <c r="G41" s="17" t="s">
        <v>2671</v>
      </c>
      <c r="H41" s="17" t="s">
        <v>6835</v>
      </c>
      <c r="I41" s="17" t="s">
        <v>2672</v>
      </c>
      <c r="J41" s="17" t="s">
        <v>2673</v>
      </c>
      <c r="K41" s="17" t="s">
        <v>2845</v>
      </c>
      <c r="L41" s="17" t="s">
        <v>2675</v>
      </c>
      <c r="M41" s="17" t="s">
        <v>2669</v>
      </c>
      <c r="N41" s="17" t="s">
        <v>2849</v>
      </c>
      <c r="O41" s="17" t="s">
        <v>7635</v>
      </c>
      <c r="P41" s="17" t="s">
        <v>2851</v>
      </c>
      <c r="Q41" s="17"/>
      <c r="R41" s="17"/>
      <c r="S41" s="17"/>
      <c r="T41" s="17"/>
      <c r="U41" s="17"/>
      <c r="V41" s="17"/>
      <c r="W41" s="17"/>
      <c r="X41" s="17"/>
      <c r="Y41" s="17"/>
    </row>
    <row r="42" spans="1:25">
      <c r="A42" s="17" t="s">
        <v>2852</v>
      </c>
      <c r="B42" s="17" t="s">
        <v>2852</v>
      </c>
      <c r="C42" s="17" t="s">
        <v>2853</v>
      </c>
      <c r="D42" s="17" t="s">
        <v>2669</v>
      </c>
      <c r="E42" s="17" t="s">
        <v>2670</v>
      </c>
      <c r="F42" s="17" t="s">
        <v>2852</v>
      </c>
      <c r="G42" s="17" t="s">
        <v>2671</v>
      </c>
      <c r="H42" s="17" t="s">
        <v>4312</v>
      </c>
      <c r="I42" s="17" t="s">
        <v>2672</v>
      </c>
      <c r="J42" s="17" t="s">
        <v>2673</v>
      </c>
      <c r="K42" s="17" t="s">
        <v>2854</v>
      </c>
      <c r="L42" s="17" t="s">
        <v>2675</v>
      </c>
      <c r="M42" s="17" t="s">
        <v>2669</v>
      </c>
      <c r="N42" s="17" t="s">
        <v>2855</v>
      </c>
      <c r="O42" s="17" t="s">
        <v>7635</v>
      </c>
      <c r="P42" s="17" t="s">
        <v>2856</v>
      </c>
      <c r="Q42" s="17" t="s">
        <v>2669</v>
      </c>
      <c r="R42" s="17" t="s">
        <v>2852</v>
      </c>
      <c r="S42" s="17" t="s">
        <v>7635</v>
      </c>
      <c r="T42" s="17" t="s">
        <v>2857</v>
      </c>
      <c r="U42" s="17"/>
      <c r="V42" s="17"/>
      <c r="W42" s="17"/>
      <c r="X42" s="17"/>
      <c r="Y42" s="17"/>
    </row>
    <row r="43" spans="1:25">
      <c r="A43" s="17" t="s">
        <v>2858</v>
      </c>
      <c r="B43" s="17" t="s">
        <v>2858</v>
      </c>
      <c r="C43" s="17" t="s">
        <v>2859</v>
      </c>
      <c r="D43" s="17" t="s">
        <v>2669</v>
      </c>
      <c r="E43" s="17" t="s">
        <v>2670</v>
      </c>
      <c r="F43" s="17" t="s">
        <v>2858</v>
      </c>
      <c r="G43" s="17" t="s">
        <v>2671</v>
      </c>
      <c r="H43" s="17" t="s">
        <v>6835</v>
      </c>
      <c r="I43" s="17" t="s">
        <v>2672</v>
      </c>
      <c r="J43" s="17" t="s">
        <v>2673</v>
      </c>
      <c r="K43" s="17" t="s">
        <v>2854</v>
      </c>
      <c r="L43" s="17" t="s">
        <v>2675</v>
      </c>
      <c r="M43" s="17" t="s">
        <v>2669</v>
      </c>
      <c r="N43" s="17" t="s">
        <v>2858</v>
      </c>
      <c r="O43" s="17" t="s">
        <v>7635</v>
      </c>
      <c r="P43" s="17" t="s">
        <v>2860</v>
      </c>
      <c r="Q43" s="17"/>
      <c r="R43" s="17"/>
      <c r="S43" s="17"/>
      <c r="T43" s="17"/>
      <c r="U43" s="17"/>
      <c r="V43" s="17"/>
      <c r="W43" s="17"/>
      <c r="X43" s="17"/>
      <c r="Y43" s="17"/>
    </row>
    <row r="44" spans="1:25">
      <c r="A44" s="17" t="s">
        <v>2861</v>
      </c>
      <c r="B44" s="17" t="s">
        <v>2861</v>
      </c>
      <c r="C44" s="17" t="s">
        <v>2862</v>
      </c>
      <c r="D44" s="17" t="s">
        <v>2669</v>
      </c>
      <c r="E44" s="17" t="s">
        <v>2863</v>
      </c>
      <c r="F44" s="17" t="s">
        <v>2861</v>
      </c>
      <c r="G44" s="17" t="s">
        <v>2671</v>
      </c>
      <c r="H44" s="17" t="s">
        <v>4312</v>
      </c>
      <c r="I44" s="17" t="s">
        <v>2672</v>
      </c>
      <c r="J44" s="17" t="s">
        <v>2673</v>
      </c>
      <c r="K44" s="17" t="s">
        <v>2864</v>
      </c>
      <c r="L44" s="17" t="s">
        <v>2675</v>
      </c>
      <c r="M44" s="17" t="s">
        <v>2669</v>
      </c>
      <c r="N44" s="17" t="s">
        <v>2861</v>
      </c>
      <c r="O44" s="17" t="s">
        <v>7635</v>
      </c>
      <c r="P44" s="17" t="s">
        <v>2865</v>
      </c>
      <c r="Q44" s="17" t="s">
        <v>2669</v>
      </c>
      <c r="R44" s="17" t="s">
        <v>2866</v>
      </c>
      <c r="S44" s="17" t="s">
        <v>7635</v>
      </c>
      <c r="T44" s="17" t="s">
        <v>2867</v>
      </c>
      <c r="U44" s="17"/>
      <c r="V44" s="17"/>
      <c r="W44" s="17"/>
      <c r="X44" s="17"/>
      <c r="Y44" s="17"/>
    </row>
    <row r="45" spans="1:25">
      <c r="A45" s="17" t="s">
        <v>2868</v>
      </c>
      <c r="B45" s="17" t="s">
        <v>2868</v>
      </c>
      <c r="C45" s="17" t="s">
        <v>2869</v>
      </c>
      <c r="D45" s="17" t="s">
        <v>2669</v>
      </c>
      <c r="E45" s="17" t="s">
        <v>2670</v>
      </c>
      <c r="F45" s="17" t="s">
        <v>2868</v>
      </c>
      <c r="G45" s="17" t="s">
        <v>2671</v>
      </c>
      <c r="H45" s="17" t="s">
        <v>6835</v>
      </c>
      <c r="I45" s="17" t="s">
        <v>2672</v>
      </c>
      <c r="J45" s="17" t="s">
        <v>2673</v>
      </c>
      <c r="K45" s="17" t="s">
        <v>2864</v>
      </c>
      <c r="L45" s="17" t="s">
        <v>2675</v>
      </c>
      <c r="M45" s="17" t="s">
        <v>2669</v>
      </c>
      <c r="N45" s="17" t="s">
        <v>2868</v>
      </c>
      <c r="O45" s="17" t="s">
        <v>7635</v>
      </c>
      <c r="P45" s="17" t="s">
        <v>2870</v>
      </c>
      <c r="Q45" s="17"/>
      <c r="R45" s="17"/>
      <c r="S45" s="17"/>
      <c r="T45" s="17"/>
      <c r="U45" s="17"/>
      <c r="V45" s="17"/>
      <c r="W45" s="17"/>
      <c r="X45" s="17"/>
      <c r="Y45" s="17"/>
    </row>
    <row r="46" spans="1:25">
      <c r="A46" s="17" t="s">
        <v>2871</v>
      </c>
      <c r="B46" s="17" t="s">
        <v>2871</v>
      </c>
      <c r="C46" s="17" t="s">
        <v>2872</v>
      </c>
      <c r="D46" s="17" t="s">
        <v>2669</v>
      </c>
      <c r="E46" s="17" t="s">
        <v>2670</v>
      </c>
      <c r="F46" s="17" t="s">
        <v>2871</v>
      </c>
      <c r="G46" s="17" t="s">
        <v>2671</v>
      </c>
      <c r="H46" s="17" t="s">
        <v>4312</v>
      </c>
      <c r="I46" s="17" t="s">
        <v>2672</v>
      </c>
      <c r="J46" s="17" t="s">
        <v>2673</v>
      </c>
      <c r="K46" s="17" t="s">
        <v>2873</v>
      </c>
      <c r="L46" s="17" t="s">
        <v>2675</v>
      </c>
      <c r="M46" s="17" t="s">
        <v>2669</v>
      </c>
      <c r="N46" s="17" t="s">
        <v>2874</v>
      </c>
      <c r="O46" s="17" t="s">
        <v>7635</v>
      </c>
      <c r="P46" s="17" t="s">
        <v>2875</v>
      </c>
      <c r="Q46" s="17" t="s">
        <v>2669</v>
      </c>
      <c r="R46" s="17" t="s">
        <v>2871</v>
      </c>
      <c r="S46" s="17" t="s">
        <v>7635</v>
      </c>
      <c r="T46" s="17" t="s">
        <v>2876</v>
      </c>
      <c r="U46" s="17"/>
      <c r="V46" s="17"/>
      <c r="W46" s="17"/>
      <c r="X46" s="17"/>
      <c r="Y46" s="17"/>
    </row>
    <row r="47" spans="1:25">
      <c r="A47" s="17" t="s">
        <v>2877</v>
      </c>
      <c r="B47" s="17" t="s">
        <v>2877</v>
      </c>
      <c r="C47" s="17" t="s">
        <v>2878</v>
      </c>
      <c r="D47" s="17" t="s">
        <v>2669</v>
      </c>
      <c r="E47" s="17" t="s">
        <v>2670</v>
      </c>
      <c r="F47" s="17" t="s">
        <v>2877</v>
      </c>
      <c r="G47" s="17" t="s">
        <v>2671</v>
      </c>
      <c r="H47" s="17" t="s">
        <v>6835</v>
      </c>
      <c r="I47" s="17" t="s">
        <v>2672</v>
      </c>
      <c r="J47" s="17" t="s">
        <v>2673</v>
      </c>
      <c r="K47" s="17" t="s">
        <v>2873</v>
      </c>
      <c r="L47" s="17" t="s">
        <v>2675</v>
      </c>
      <c r="M47" s="17" t="s">
        <v>2669</v>
      </c>
      <c r="N47" s="17" t="s">
        <v>2877</v>
      </c>
      <c r="O47" s="17" t="s">
        <v>7635</v>
      </c>
      <c r="P47" s="17" t="s">
        <v>2879</v>
      </c>
      <c r="Q47" s="17"/>
      <c r="R47" s="17"/>
      <c r="S47" s="17"/>
      <c r="T47" s="17"/>
      <c r="U47" s="17"/>
      <c r="V47" s="17"/>
      <c r="W47" s="17"/>
      <c r="X47" s="17"/>
      <c r="Y47" s="17"/>
    </row>
    <row r="48" spans="1:25">
      <c r="A48" s="17" t="s">
        <v>2880</v>
      </c>
      <c r="B48" s="17" t="s">
        <v>2880</v>
      </c>
      <c r="C48" s="17" t="s">
        <v>2881</v>
      </c>
      <c r="D48" s="17" t="s">
        <v>2669</v>
      </c>
      <c r="E48" s="17" t="s">
        <v>2670</v>
      </c>
      <c r="F48" s="17" t="s">
        <v>2880</v>
      </c>
      <c r="G48" s="17" t="s">
        <v>2671</v>
      </c>
      <c r="H48" s="17" t="s">
        <v>4312</v>
      </c>
      <c r="I48" s="17" t="s">
        <v>2672</v>
      </c>
      <c r="J48" s="17" t="s">
        <v>2673</v>
      </c>
      <c r="K48" s="17" t="s">
        <v>2882</v>
      </c>
      <c r="L48" s="17" t="s">
        <v>2675</v>
      </c>
      <c r="M48" s="17" t="s">
        <v>2669</v>
      </c>
      <c r="N48" s="17" t="s">
        <v>2880</v>
      </c>
      <c r="O48" s="17" t="s">
        <v>7635</v>
      </c>
      <c r="P48" s="17" t="s">
        <v>2883</v>
      </c>
      <c r="Q48" s="17"/>
      <c r="R48" s="17"/>
      <c r="S48" s="17"/>
      <c r="T48" s="17"/>
      <c r="U48" s="17"/>
      <c r="V48" s="17"/>
      <c r="W48" s="17"/>
      <c r="X48" s="17"/>
      <c r="Y48" s="17"/>
    </row>
    <row r="49" spans="1:25">
      <c r="A49" s="17" t="s">
        <v>2884</v>
      </c>
      <c r="B49" s="17" t="s">
        <v>2884</v>
      </c>
      <c r="C49" s="17" t="s">
        <v>2885</v>
      </c>
      <c r="D49" s="17" t="s">
        <v>2669</v>
      </c>
      <c r="E49" s="17" t="s">
        <v>2670</v>
      </c>
      <c r="F49" s="17" t="s">
        <v>2884</v>
      </c>
      <c r="G49" s="17" t="s">
        <v>2671</v>
      </c>
      <c r="H49" s="17" t="s">
        <v>6835</v>
      </c>
      <c r="I49" s="17" t="s">
        <v>2672</v>
      </c>
      <c r="J49" s="17" t="s">
        <v>2673</v>
      </c>
      <c r="K49" s="17" t="s">
        <v>2882</v>
      </c>
      <c r="L49" s="17" t="s">
        <v>2675</v>
      </c>
      <c r="M49" s="17" t="s">
        <v>2669</v>
      </c>
      <c r="N49" s="17" t="s">
        <v>2884</v>
      </c>
      <c r="O49" s="17" t="s">
        <v>7635</v>
      </c>
      <c r="P49" s="17" t="s">
        <v>2886</v>
      </c>
      <c r="Q49" s="17"/>
      <c r="R49" s="17"/>
      <c r="S49" s="17"/>
      <c r="T49" s="17"/>
      <c r="U49" s="17"/>
      <c r="V49" s="17"/>
      <c r="W49" s="17"/>
      <c r="X49" s="17"/>
      <c r="Y49" s="17"/>
    </row>
    <row r="50" spans="1:25">
      <c r="A50" s="17" t="s">
        <v>2887</v>
      </c>
      <c r="B50" s="17" t="s">
        <v>2887</v>
      </c>
      <c r="C50" s="17" t="s">
        <v>2888</v>
      </c>
      <c r="D50" s="17" t="s">
        <v>2669</v>
      </c>
      <c r="E50" s="17" t="s">
        <v>2670</v>
      </c>
      <c r="F50" s="17" t="s">
        <v>2887</v>
      </c>
      <c r="G50" s="17" t="s">
        <v>2671</v>
      </c>
      <c r="H50" s="17" t="s">
        <v>4312</v>
      </c>
      <c r="I50" s="17" t="s">
        <v>2672</v>
      </c>
      <c r="J50" s="17" t="s">
        <v>2673</v>
      </c>
      <c r="K50" s="17" t="s">
        <v>2889</v>
      </c>
      <c r="L50" s="17" t="s">
        <v>2675</v>
      </c>
      <c r="M50" s="17" t="s">
        <v>2669</v>
      </c>
      <c r="N50" s="17" t="s">
        <v>2887</v>
      </c>
      <c r="O50" s="17" t="s">
        <v>7635</v>
      </c>
      <c r="P50" s="17" t="s">
        <v>2890</v>
      </c>
      <c r="Q50" s="17"/>
      <c r="R50" s="17"/>
      <c r="S50" s="17"/>
      <c r="T50" s="17"/>
      <c r="U50" s="17"/>
      <c r="V50" s="17"/>
      <c r="W50" s="17"/>
      <c r="X50" s="17"/>
      <c r="Y50" s="17"/>
    </row>
    <row r="51" spans="1:25">
      <c r="A51" s="17" t="s">
        <v>2891</v>
      </c>
      <c r="B51" s="17" t="s">
        <v>2891</v>
      </c>
      <c r="C51" s="17" t="s">
        <v>2892</v>
      </c>
      <c r="D51" s="17" t="s">
        <v>2669</v>
      </c>
      <c r="E51" s="17" t="s">
        <v>2670</v>
      </c>
      <c r="F51" s="17" t="s">
        <v>2891</v>
      </c>
      <c r="G51" s="17" t="s">
        <v>2671</v>
      </c>
      <c r="H51" s="17" t="s">
        <v>4312</v>
      </c>
      <c r="I51" s="17" t="s">
        <v>2672</v>
      </c>
      <c r="J51" s="17" t="s">
        <v>2673</v>
      </c>
      <c r="K51" s="17" t="s">
        <v>2893</v>
      </c>
      <c r="L51" s="17" t="s">
        <v>2675</v>
      </c>
      <c r="M51" s="17" t="s">
        <v>2669</v>
      </c>
      <c r="N51" s="17" t="s">
        <v>2894</v>
      </c>
      <c r="O51" s="17" t="s">
        <v>7635</v>
      </c>
      <c r="P51" s="17" t="s">
        <v>2895</v>
      </c>
      <c r="Q51" s="17" t="s">
        <v>2669</v>
      </c>
      <c r="R51" s="17" t="s">
        <v>2891</v>
      </c>
      <c r="S51" s="17" t="s">
        <v>7635</v>
      </c>
      <c r="T51" s="17" t="s">
        <v>2896</v>
      </c>
      <c r="U51" s="17"/>
      <c r="V51" s="17"/>
      <c r="W51" s="17"/>
      <c r="X51" s="17"/>
      <c r="Y51" s="17"/>
    </row>
    <row r="52" spans="1:25">
      <c r="A52" s="17" t="s">
        <v>2897</v>
      </c>
      <c r="B52" s="17" t="s">
        <v>2897</v>
      </c>
      <c r="C52" s="17" t="s">
        <v>2898</v>
      </c>
      <c r="D52" s="17" t="s">
        <v>2669</v>
      </c>
      <c r="E52" s="17" t="s">
        <v>2670</v>
      </c>
      <c r="F52" s="17" t="s">
        <v>2897</v>
      </c>
      <c r="G52" s="17" t="s">
        <v>2671</v>
      </c>
      <c r="H52" s="17" t="s">
        <v>6835</v>
      </c>
      <c r="I52" s="17" t="s">
        <v>2672</v>
      </c>
      <c r="J52" s="17" t="s">
        <v>2673</v>
      </c>
      <c r="K52" s="17" t="s">
        <v>2893</v>
      </c>
      <c r="L52" s="17" t="s">
        <v>2675</v>
      </c>
      <c r="M52" s="17" t="s">
        <v>2669</v>
      </c>
      <c r="N52" s="17" t="s">
        <v>2897</v>
      </c>
      <c r="O52" s="17" t="s">
        <v>7635</v>
      </c>
      <c r="P52" s="17" t="s">
        <v>2899</v>
      </c>
      <c r="Q52" s="17"/>
      <c r="R52" s="17"/>
      <c r="S52" s="17"/>
      <c r="T52" s="17"/>
      <c r="U52" s="17"/>
      <c r="V52" s="17"/>
      <c r="W52" s="17"/>
      <c r="X52" s="17"/>
      <c r="Y52" s="17"/>
    </row>
    <row r="53" spans="1:25">
      <c r="A53" s="17" t="s">
        <v>2900</v>
      </c>
      <c r="B53" s="17" t="s">
        <v>2900</v>
      </c>
      <c r="C53" s="17" t="s">
        <v>2901</v>
      </c>
      <c r="D53" s="17" t="s">
        <v>2669</v>
      </c>
      <c r="E53" s="17" t="s">
        <v>2670</v>
      </c>
      <c r="F53" s="17" t="s">
        <v>2900</v>
      </c>
      <c r="G53" s="17" t="s">
        <v>2671</v>
      </c>
      <c r="H53" s="17" t="s">
        <v>4312</v>
      </c>
      <c r="I53" s="17" t="s">
        <v>2672</v>
      </c>
      <c r="J53" s="17" t="s">
        <v>2673</v>
      </c>
      <c r="K53" s="17" t="s">
        <v>2902</v>
      </c>
      <c r="L53" s="17" t="s">
        <v>2675</v>
      </c>
      <c r="M53" s="17" t="s">
        <v>2669</v>
      </c>
      <c r="N53" s="17" t="s">
        <v>2900</v>
      </c>
      <c r="O53" s="17" t="s">
        <v>7635</v>
      </c>
      <c r="P53" s="17" t="s">
        <v>2903</v>
      </c>
      <c r="Q53" s="17"/>
      <c r="R53" s="17"/>
      <c r="S53" s="17"/>
      <c r="T53" s="17"/>
      <c r="U53" s="17"/>
      <c r="V53" s="17"/>
      <c r="W53" s="17"/>
      <c r="X53" s="17"/>
      <c r="Y53" s="17"/>
    </row>
    <row r="54" spans="1:25">
      <c r="A54" s="17" t="s">
        <v>2904</v>
      </c>
      <c r="B54" s="17" t="s">
        <v>2904</v>
      </c>
      <c r="C54" s="17" t="s">
        <v>2905</v>
      </c>
      <c r="D54" s="17" t="s">
        <v>2669</v>
      </c>
      <c r="E54" s="17" t="s">
        <v>2670</v>
      </c>
      <c r="F54" s="17" t="s">
        <v>2904</v>
      </c>
      <c r="G54" s="17" t="s">
        <v>2671</v>
      </c>
      <c r="H54" s="17" t="s">
        <v>6835</v>
      </c>
      <c r="I54" s="17" t="s">
        <v>2672</v>
      </c>
      <c r="J54" s="17" t="s">
        <v>2673</v>
      </c>
      <c r="K54" s="17" t="s">
        <v>2902</v>
      </c>
      <c r="L54" s="17" t="s">
        <v>2675</v>
      </c>
      <c r="M54" s="17" t="s">
        <v>2669</v>
      </c>
      <c r="N54" s="17" t="s">
        <v>2904</v>
      </c>
      <c r="O54" s="17" t="s">
        <v>7635</v>
      </c>
      <c r="P54" s="17" t="s">
        <v>2906</v>
      </c>
      <c r="Q54" s="17"/>
      <c r="R54" s="17"/>
      <c r="S54" s="17"/>
      <c r="T54" s="17"/>
      <c r="U54" s="17"/>
      <c r="V54" s="17"/>
      <c r="W54" s="17"/>
      <c r="X54" s="17"/>
      <c r="Y54" s="17"/>
    </row>
    <row r="55" spans="1:25">
      <c r="A55" s="17" t="s">
        <v>2907</v>
      </c>
      <c r="B55" s="17" t="s">
        <v>2907</v>
      </c>
      <c r="C55" s="17" t="s">
        <v>2908</v>
      </c>
      <c r="D55" s="17" t="s">
        <v>2669</v>
      </c>
      <c r="E55" s="17" t="s">
        <v>2670</v>
      </c>
      <c r="F55" s="17" t="s">
        <v>2907</v>
      </c>
      <c r="G55" s="17" t="s">
        <v>2671</v>
      </c>
      <c r="H55" s="17" t="s">
        <v>4312</v>
      </c>
      <c r="I55" s="17" t="s">
        <v>2672</v>
      </c>
      <c r="J55" s="17" t="s">
        <v>2673</v>
      </c>
      <c r="K55" s="17" t="s">
        <v>2909</v>
      </c>
      <c r="L55" s="17" t="s">
        <v>2675</v>
      </c>
      <c r="M55" s="17" t="s">
        <v>2669</v>
      </c>
      <c r="N55" s="17" t="s">
        <v>2907</v>
      </c>
      <c r="O55" s="17" t="s">
        <v>7635</v>
      </c>
      <c r="P55" s="17" t="s">
        <v>2910</v>
      </c>
      <c r="Q55" s="17"/>
      <c r="R55" s="17"/>
      <c r="S55" s="17"/>
      <c r="T55" s="17"/>
      <c r="U55" s="17"/>
      <c r="V55" s="17"/>
      <c r="W55" s="17"/>
      <c r="X55" s="17"/>
      <c r="Y55" s="17"/>
    </row>
    <row r="56" spans="1:25">
      <c r="A56" s="17" t="s">
        <v>2911</v>
      </c>
      <c r="B56" s="17" t="s">
        <v>2911</v>
      </c>
      <c r="C56" s="17" t="s">
        <v>2912</v>
      </c>
      <c r="D56" s="17" t="s">
        <v>2669</v>
      </c>
      <c r="E56" s="17" t="s">
        <v>2670</v>
      </c>
      <c r="F56" s="17" t="s">
        <v>2911</v>
      </c>
      <c r="G56" s="17" t="s">
        <v>2671</v>
      </c>
      <c r="H56" s="17" t="s">
        <v>6835</v>
      </c>
      <c r="I56" s="17" t="s">
        <v>2672</v>
      </c>
      <c r="J56" s="17" t="s">
        <v>2673</v>
      </c>
      <c r="K56" s="17" t="s">
        <v>2909</v>
      </c>
      <c r="L56" s="17" t="s">
        <v>2675</v>
      </c>
      <c r="M56" s="17" t="s">
        <v>2669</v>
      </c>
      <c r="N56" s="17" t="s">
        <v>2911</v>
      </c>
      <c r="O56" s="17" t="s">
        <v>7635</v>
      </c>
      <c r="P56" s="17" t="s">
        <v>2913</v>
      </c>
      <c r="Q56" s="17"/>
      <c r="R56" s="17"/>
      <c r="S56" s="17"/>
      <c r="T56" s="17"/>
      <c r="U56" s="17"/>
      <c r="V56" s="17"/>
      <c r="W56" s="17"/>
      <c r="X56" s="17"/>
      <c r="Y56" s="17"/>
    </row>
    <row r="57" spans="1:25">
      <c r="A57" s="17" t="s">
        <v>2914</v>
      </c>
      <c r="B57" s="17" t="s">
        <v>2914</v>
      </c>
      <c r="C57" s="17" t="s">
        <v>2915</v>
      </c>
      <c r="D57" s="17" t="s">
        <v>2669</v>
      </c>
      <c r="E57" s="17" t="s">
        <v>2670</v>
      </c>
      <c r="F57" s="17" t="s">
        <v>2914</v>
      </c>
      <c r="G57" s="17" t="s">
        <v>2671</v>
      </c>
      <c r="H57" s="17" t="s">
        <v>4312</v>
      </c>
      <c r="I57" s="17" t="s">
        <v>2672</v>
      </c>
      <c r="J57" s="17" t="s">
        <v>2673</v>
      </c>
      <c r="K57" s="17" t="s">
        <v>2916</v>
      </c>
      <c r="L57" s="17" t="s">
        <v>2675</v>
      </c>
      <c r="M57" s="17" t="s">
        <v>2669</v>
      </c>
      <c r="N57" s="17" t="s">
        <v>2914</v>
      </c>
      <c r="O57" s="17" t="s">
        <v>7635</v>
      </c>
      <c r="P57" s="17" t="s">
        <v>2917</v>
      </c>
      <c r="Q57" s="17"/>
      <c r="R57" s="17"/>
      <c r="S57" s="17"/>
      <c r="T57" s="17"/>
      <c r="U57" s="17"/>
      <c r="V57" s="17"/>
      <c r="W57" s="17"/>
      <c r="X57" s="17"/>
      <c r="Y57" s="17"/>
    </row>
    <row r="58" spans="1:25">
      <c r="A58" s="17" t="s">
        <v>2918</v>
      </c>
      <c r="B58" s="17" t="s">
        <v>2918</v>
      </c>
      <c r="C58" s="17" t="s">
        <v>2919</v>
      </c>
      <c r="D58" s="17" t="s">
        <v>2669</v>
      </c>
      <c r="E58" s="17" t="s">
        <v>2670</v>
      </c>
      <c r="F58" s="17" t="s">
        <v>2918</v>
      </c>
      <c r="G58" s="17" t="s">
        <v>2671</v>
      </c>
      <c r="H58" s="17" t="s">
        <v>6835</v>
      </c>
      <c r="I58" s="17" t="s">
        <v>2672</v>
      </c>
      <c r="J58" s="17" t="s">
        <v>2673</v>
      </c>
      <c r="K58" s="17" t="s">
        <v>2916</v>
      </c>
      <c r="L58" s="17" t="s">
        <v>2675</v>
      </c>
      <c r="M58" s="17" t="s">
        <v>2669</v>
      </c>
      <c r="N58" s="17" t="s">
        <v>2918</v>
      </c>
      <c r="O58" s="17" t="s">
        <v>7635</v>
      </c>
      <c r="P58" s="17" t="s">
        <v>2920</v>
      </c>
      <c r="Q58" s="17"/>
      <c r="R58" s="17"/>
      <c r="S58" s="17"/>
      <c r="T58" s="17"/>
      <c r="U58" s="17"/>
      <c r="V58" s="17"/>
      <c r="W58" s="17"/>
      <c r="X58" s="17"/>
      <c r="Y58" s="17"/>
    </row>
    <row r="59" spans="1:25">
      <c r="A59" s="17" t="s">
        <v>2921</v>
      </c>
      <c r="B59" s="17" t="s">
        <v>2921</v>
      </c>
      <c r="C59" s="17" t="s">
        <v>2922</v>
      </c>
      <c r="D59" s="17" t="s">
        <v>2669</v>
      </c>
      <c r="E59" s="17" t="s">
        <v>2670</v>
      </c>
      <c r="F59" s="17" t="s">
        <v>2921</v>
      </c>
      <c r="G59" s="17" t="s">
        <v>2671</v>
      </c>
      <c r="H59" s="17" t="s">
        <v>4312</v>
      </c>
      <c r="I59" s="17" t="s">
        <v>2672</v>
      </c>
      <c r="J59" s="17" t="s">
        <v>2673</v>
      </c>
      <c r="K59" s="17" t="s">
        <v>2923</v>
      </c>
      <c r="L59" s="17" t="s">
        <v>2675</v>
      </c>
      <c r="M59" s="17" t="s">
        <v>2669</v>
      </c>
      <c r="N59" s="17" t="s">
        <v>2921</v>
      </c>
      <c r="O59" s="17" t="s">
        <v>7635</v>
      </c>
      <c r="P59" s="17" t="s">
        <v>2924</v>
      </c>
      <c r="Q59" s="17"/>
      <c r="R59" s="17"/>
      <c r="S59" s="17"/>
      <c r="T59" s="17"/>
      <c r="U59" s="17"/>
      <c r="V59" s="17"/>
      <c r="W59" s="17"/>
      <c r="X59" s="17"/>
      <c r="Y59" s="17"/>
    </row>
    <row r="60" spans="1:25">
      <c r="A60" s="17" t="s">
        <v>2925</v>
      </c>
      <c r="B60" s="17" t="s">
        <v>2925</v>
      </c>
      <c r="C60" s="17" t="s">
        <v>2926</v>
      </c>
      <c r="D60" s="17" t="s">
        <v>2669</v>
      </c>
      <c r="E60" s="17" t="s">
        <v>2670</v>
      </c>
      <c r="F60" s="17" t="s">
        <v>2925</v>
      </c>
      <c r="G60" s="17" t="s">
        <v>2671</v>
      </c>
      <c r="H60" s="17" t="s">
        <v>6835</v>
      </c>
      <c r="I60" s="17" t="s">
        <v>2672</v>
      </c>
      <c r="J60" s="17" t="s">
        <v>2673</v>
      </c>
      <c r="K60" s="17" t="s">
        <v>2923</v>
      </c>
      <c r="L60" s="17" t="s">
        <v>2675</v>
      </c>
      <c r="M60" s="17" t="s">
        <v>2669</v>
      </c>
      <c r="N60" s="17" t="s">
        <v>2925</v>
      </c>
      <c r="O60" s="17" t="s">
        <v>7635</v>
      </c>
      <c r="P60" s="17" t="s">
        <v>2927</v>
      </c>
      <c r="Q60" s="17"/>
      <c r="R60" s="17"/>
      <c r="S60" s="17"/>
      <c r="T60" s="17"/>
      <c r="U60" s="17"/>
      <c r="V60" s="17"/>
      <c r="W60" s="17"/>
      <c r="X60" s="17"/>
      <c r="Y60" s="17"/>
    </row>
    <row r="61" spans="1:25">
      <c r="A61" s="17" t="s">
        <v>2928</v>
      </c>
      <c r="B61" s="17" t="s">
        <v>2928</v>
      </c>
      <c r="C61" s="17" t="s">
        <v>2929</v>
      </c>
      <c r="D61" s="17" t="s">
        <v>2669</v>
      </c>
      <c r="E61" s="17" t="s">
        <v>2670</v>
      </c>
      <c r="F61" s="17" t="s">
        <v>2928</v>
      </c>
      <c r="G61" s="17" t="s">
        <v>2671</v>
      </c>
      <c r="H61" s="17" t="s">
        <v>4312</v>
      </c>
      <c r="I61" s="17" t="s">
        <v>2672</v>
      </c>
      <c r="J61" s="17" t="s">
        <v>2673</v>
      </c>
      <c r="K61" s="17" t="s">
        <v>2930</v>
      </c>
      <c r="L61" s="17" t="s">
        <v>2675</v>
      </c>
      <c r="M61" s="17" t="s">
        <v>2669</v>
      </c>
      <c r="N61" s="17" t="s">
        <v>2928</v>
      </c>
      <c r="O61" s="17" t="s">
        <v>7635</v>
      </c>
      <c r="P61" s="17" t="s">
        <v>2931</v>
      </c>
      <c r="Q61" s="17"/>
      <c r="R61" s="17"/>
      <c r="S61" s="17"/>
      <c r="T61" s="17"/>
      <c r="U61" s="17"/>
      <c r="V61" s="17"/>
      <c r="W61" s="17"/>
      <c r="X61" s="17"/>
      <c r="Y61" s="17"/>
    </row>
    <row r="62" spans="1:25">
      <c r="A62" s="17" t="s">
        <v>2932</v>
      </c>
      <c r="B62" s="17" t="s">
        <v>2932</v>
      </c>
      <c r="C62" s="17" t="s">
        <v>2933</v>
      </c>
      <c r="D62" s="17" t="s">
        <v>2669</v>
      </c>
      <c r="E62" s="17" t="s">
        <v>2670</v>
      </c>
      <c r="F62" s="17" t="s">
        <v>2932</v>
      </c>
      <c r="G62" s="17" t="s">
        <v>2671</v>
      </c>
      <c r="H62" s="17" t="s">
        <v>4312</v>
      </c>
      <c r="I62" s="17" t="s">
        <v>2672</v>
      </c>
      <c r="J62" s="17" t="s">
        <v>2673</v>
      </c>
      <c r="K62" s="17" t="s">
        <v>2934</v>
      </c>
      <c r="L62" s="17" t="s">
        <v>2675</v>
      </c>
      <c r="M62" s="17" t="s">
        <v>2669</v>
      </c>
      <c r="N62" s="17" t="s">
        <v>2932</v>
      </c>
      <c r="O62" s="17" t="s">
        <v>7635</v>
      </c>
      <c r="P62" s="17" t="s">
        <v>2935</v>
      </c>
      <c r="Q62" s="17"/>
      <c r="R62" s="17"/>
      <c r="S62" s="17"/>
      <c r="T62" s="17"/>
      <c r="U62" s="17"/>
      <c r="V62" s="17"/>
      <c r="W62" s="17"/>
      <c r="X62" s="17"/>
      <c r="Y62" s="17"/>
    </row>
    <row r="63" spans="1:25">
      <c r="A63" s="17" t="s">
        <v>2936</v>
      </c>
      <c r="B63" s="17" t="s">
        <v>2936</v>
      </c>
      <c r="C63" s="17" t="s">
        <v>2937</v>
      </c>
      <c r="D63" s="17" t="s">
        <v>2669</v>
      </c>
      <c r="E63" s="17" t="s">
        <v>2670</v>
      </c>
      <c r="F63" s="17" t="s">
        <v>2936</v>
      </c>
      <c r="G63" s="17" t="s">
        <v>2671</v>
      </c>
      <c r="H63" s="17" t="s">
        <v>4312</v>
      </c>
      <c r="I63" s="17" t="s">
        <v>2672</v>
      </c>
      <c r="J63" s="17" t="s">
        <v>2673</v>
      </c>
      <c r="K63" s="17" t="s">
        <v>2938</v>
      </c>
      <c r="L63" s="17" t="s">
        <v>2675</v>
      </c>
      <c r="M63" s="17" t="s">
        <v>2669</v>
      </c>
      <c r="N63" s="17" t="s">
        <v>2936</v>
      </c>
      <c r="O63" s="17" t="s">
        <v>7635</v>
      </c>
      <c r="P63" s="17" t="s">
        <v>2939</v>
      </c>
      <c r="Q63" s="17"/>
      <c r="R63" s="17"/>
      <c r="S63" s="17"/>
      <c r="T63" s="17"/>
      <c r="U63" s="17"/>
      <c r="V63" s="17"/>
      <c r="W63" s="17"/>
      <c r="X63" s="17"/>
      <c r="Y63" s="17"/>
    </row>
    <row r="64" spans="1:25">
      <c r="A64" s="17" t="s">
        <v>2940</v>
      </c>
      <c r="B64" s="17" t="s">
        <v>2940</v>
      </c>
      <c r="C64" s="17" t="s">
        <v>2941</v>
      </c>
      <c r="D64" s="17" t="s">
        <v>2669</v>
      </c>
      <c r="E64" s="17" t="s">
        <v>2670</v>
      </c>
      <c r="F64" s="17" t="s">
        <v>2940</v>
      </c>
      <c r="G64" s="17" t="s">
        <v>2671</v>
      </c>
      <c r="H64" s="17" t="s">
        <v>6835</v>
      </c>
      <c r="I64" s="17" t="s">
        <v>2672</v>
      </c>
      <c r="J64" s="17" t="s">
        <v>2673</v>
      </c>
      <c r="K64" s="17" t="s">
        <v>2938</v>
      </c>
      <c r="L64" s="17" t="s">
        <v>2675</v>
      </c>
      <c r="M64" s="17" t="s">
        <v>2669</v>
      </c>
      <c r="N64" s="17" t="s">
        <v>2940</v>
      </c>
      <c r="O64" s="17" t="s">
        <v>7635</v>
      </c>
      <c r="P64" s="17" t="s">
        <v>2942</v>
      </c>
      <c r="Q64" s="17"/>
      <c r="R64" s="17"/>
      <c r="S64" s="17"/>
      <c r="T64" s="17"/>
      <c r="U64" s="17"/>
      <c r="V64" s="17"/>
      <c r="W64" s="17"/>
      <c r="X64" s="17"/>
      <c r="Y64" s="17"/>
    </row>
    <row r="65" spans="1:25">
      <c r="A65" s="17" t="s">
        <v>2943</v>
      </c>
      <c r="B65" s="17" t="s">
        <v>2943</v>
      </c>
      <c r="C65" s="17" t="s">
        <v>2944</v>
      </c>
      <c r="D65" s="17" t="s">
        <v>2669</v>
      </c>
      <c r="E65" s="17" t="s">
        <v>2670</v>
      </c>
      <c r="F65" s="17" t="s">
        <v>2943</v>
      </c>
      <c r="G65" s="17" t="s">
        <v>2671</v>
      </c>
      <c r="H65" s="17" t="s">
        <v>4312</v>
      </c>
      <c r="I65" s="17" t="s">
        <v>2672</v>
      </c>
      <c r="J65" s="17" t="s">
        <v>2673</v>
      </c>
      <c r="K65" s="17" t="s">
        <v>2945</v>
      </c>
      <c r="L65" s="17" t="s">
        <v>2675</v>
      </c>
      <c r="M65" s="17" t="s">
        <v>2669</v>
      </c>
      <c r="N65" s="17" t="s">
        <v>2943</v>
      </c>
      <c r="O65" s="17" t="s">
        <v>7635</v>
      </c>
      <c r="P65" s="17" t="s">
        <v>2946</v>
      </c>
      <c r="Q65" s="17"/>
      <c r="R65" s="17"/>
      <c r="S65" s="17"/>
      <c r="T65" s="17"/>
      <c r="U65" s="17"/>
      <c r="V65" s="17"/>
      <c r="W65" s="17"/>
      <c r="X65" s="17"/>
      <c r="Y65" s="17"/>
    </row>
    <row r="66" spans="1:25">
      <c r="A66" s="17" t="s">
        <v>2947</v>
      </c>
      <c r="B66" s="17" t="s">
        <v>2947</v>
      </c>
      <c r="C66" s="17" t="s">
        <v>2948</v>
      </c>
      <c r="D66" s="17" t="s">
        <v>2669</v>
      </c>
      <c r="E66" s="17" t="s">
        <v>2670</v>
      </c>
      <c r="F66" s="17" t="s">
        <v>2947</v>
      </c>
      <c r="G66" s="17" t="s">
        <v>2671</v>
      </c>
      <c r="H66" s="17" t="s">
        <v>6835</v>
      </c>
      <c r="I66" s="17" t="s">
        <v>2672</v>
      </c>
      <c r="J66" s="17" t="s">
        <v>2673</v>
      </c>
      <c r="K66" s="17" t="s">
        <v>2945</v>
      </c>
      <c r="L66" s="17" t="s">
        <v>2675</v>
      </c>
      <c r="M66" s="17" t="s">
        <v>2669</v>
      </c>
      <c r="N66" s="17" t="s">
        <v>2947</v>
      </c>
      <c r="O66" s="17" t="s">
        <v>7635</v>
      </c>
      <c r="P66" s="17" t="s">
        <v>2949</v>
      </c>
      <c r="Q66" s="17"/>
      <c r="R66" s="17"/>
      <c r="S66" s="17"/>
      <c r="T66" s="17"/>
      <c r="U66" s="17"/>
      <c r="V66" s="17"/>
      <c r="W66" s="17"/>
      <c r="X66" s="17"/>
      <c r="Y66" s="17"/>
    </row>
    <row r="67" spans="1:25">
      <c r="A67" s="17" t="s">
        <v>2950</v>
      </c>
      <c r="B67" s="17" t="s">
        <v>2950</v>
      </c>
      <c r="C67" s="17" t="s">
        <v>2951</v>
      </c>
      <c r="D67" s="17" t="s">
        <v>2669</v>
      </c>
      <c r="E67" s="17" t="s">
        <v>2670</v>
      </c>
      <c r="F67" s="17" t="s">
        <v>2950</v>
      </c>
      <c r="G67" s="17" t="s">
        <v>2671</v>
      </c>
      <c r="H67" s="17" t="s">
        <v>4312</v>
      </c>
      <c r="I67" s="17" t="s">
        <v>2672</v>
      </c>
      <c r="J67" s="17" t="s">
        <v>2673</v>
      </c>
      <c r="K67" s="17" t="s">
        <v>2952</v>
      </c>
      <c r="L67" s="17" t="s">
        <v>2675</v>
      </c>
      <c r="M67" s="17" t="s">
        <v>2669</v>
      </c>
      <c r="N67" s="17" t="s">
        <v>2950</v>
      </c>
      <c r="O67" s="17" t="s">
        <v>7635</v>
      </c>
      <c r="P67" s="17" t="s">
        <v>2953</v>
      </c>
      <c r="Q67" s="17"/>
      <c r="R67" s="17"/>
      <c r="S67" s="17"/>
      <c r="T67" s="17"/>
      <c r="U67" s="17"/>
      <c r="V67" s="17"/>
      <c r="W67" s="17"/>
      <c r="X67" s="17"/>
      <c r="Y67" s="17"/>
    </row>
    <row r="68" spans="1:25">
      <c r="A68" s="17" t="s">
        <v>2954</v>
      </c>
      <c r="B68" s="17" t="s">
        <v>2954</v>
      </c>
      <c r="C68" s="17" t="s">
        <v>2955</v>
      </c>
      <c r="D68" s="17" t="s">
        <v>2669</v>
      </c>
      <c r="E68" s="17" t="s">
        <v>2670</v>
      </c>
      <c r="F68" s="17" t="s">
        <v>2954</v>
      </c>
      <c r="G68" s="17" t="s">
        <v>2671</v>
      </c>
      <c r="H68" s="17" t="s">
        <v>4312</v>
      </c>
      <c r="I68" s="17" t="s">
        <v>2672</v>
      </c>
      <c r="J68" s="17" t="s">
        <v>2673</v>
      </c>
      <c r="K68" s="17" t="s">
        <v>2956</v>
      </c>
      <c r="L68" s="17" t="s">
        <v>2675</v>
      </c>
      <c r="M68" s="17" t="s">
        <v>2669</v>
      </c>
      <c r="N68" s="17" t="s">
        <v>2954</v>
      </c>
      <c r="O68" s="17" t="s">
        <v>7635</v>
      </c>
      <c r="P68" s="17" t="s">
        <v>2957</v>
      </c>
      <c r="Q68" s="17"/>
      <c r="R68" s="17"/>
      <c r="S68" s="17"/>
      <c r="T68" s="17"/>
      <c r="U68" s="17"/>
      <c r="V68" s="17"/>
      <c r="W68" s="17"/>
      <c r="X68" s="17"/>
      <c r="Y68" s="17"/>
    </row>
    <row r="69" spans="1:25">
      <c r="A69" s="17" t="s">
        <v>2958</v>
      </c>
      <c r="B69" s="17" t="s">
        <v>2958</v>
      </c>
      <c r="C69" s="17" t="s">
        <v>2959</v>
      </c>
      <c r="D69" s="17" t="s">
        <v>2669</v>
      </c>
      <c r="E69" s="17" t="s">
        <v>2670</v>
      </c>
      <c r="F69" s="17" t="s">
        <v>2958</v>
      </c>
      <c r="G69" s="17" t="s">
        <v>2671</v>
      </c>
      <c r="H69" s="17" t="s">
        <v>4312</v>
      </c>
      <c r="I69" s="17" t="s">
        <v>2672</v>
      </c>
      <c r="J69" s="17" t="s">
        <v>2673</v>
      </c>
      <c r="K69" s="17" t="s">
        <v>2960</v>
      </c>
      <c r="L69" s="17" t="s">
        <v>2675</v>
      </c>
      <c r="M69" s="17" t="s">
        <v>2669</v>
      </c>
      <c r="N69" s="17" t="s">
        <v>2958</v>
      </c>
      <c r="O69" s="17" t="s">
        <v>7635</v>
      </c>
      <c r="P69" s="17" t="s">
        <v>2961</v>
      </c>
      <c r="Q69" s="17"/>
      <c r="R69" s="17"/>
      <c r="S69" s="17"/>
      <c r="T69" s="17"/>
      <c r="U69" s="17"/>
      <c r="V69" s="17"/>
      <c r="W69" s="17"/>
      <c r="X69" s="17"/>
      <c r="Y69" s="17"/>
    </row>
    <row r="70" spans="1:25">
      <c r="A70" s="17" t="s">
        <v>2962</v>
      </c>
      <c r="B70" s="17" t="s">
        <v>2962</v>
      </c>
      <c r="C70" s="17" t="s">
        <v>2963</v>
      </c>
      <c r="D70" s="17" t="s">
        <v>2669</v>
      </c>
      <c r="E70" s="17" t="s">
        <v>2670</v>
      </c>
      <c r="F70" s="17" t="s">
        <v>2962</v>
      </c>
      <c r="G70" s="17" t="s">
        <v>2671</v>
      </c>
      <c r="H70" s="17" t="s">
        <v>4312</v>
      </c>
      <c r="I70" s="17" t="s">
        <v>2672</v>
      </c>
      <c r="J70" s="17" t="s">
        <v>2673</v>
      </c>
      <c r="K70" s="17" t="s">
        <v>2964</v>
      </c>
      <c r="L70" s="17" t="s">
        <v>2675</v>
      </c>
      <c r="M70" s="17" t="s">
        <v>2669</v>
      </c>
      <c r="N70" s="17" t="s">
        <v>2962</v>
      </c>
      <c r="O70" s="17" t="s">
        <v>7635</v>
      </c>
      <c r="P70" s="17" t="s">
        <v>2965</v>
      </c>
      <c r="Q70" s="17"/>
      <c r="R70" s="17"/>
      <c r="S70" s="17"/>
      <c r="T70" s="17"/>
      <c r="U70" s="17"/>
      <c r="V70" s="17"/>
      <c r="W70" s="17"/>
      <c r="X70" s="17"/>
      <c r="Y70" s="17"/>
    </row>
    <row r="71" spans="1:25">
      <c r="A71" s="17" t="s">
        <v>2966</v>
      </c>
      <c r="B71" s="17" t="s">
        <v>2966</v>
      </c>
      <c r="C71" s="17" t="s">
        <v>2967</v>
      </c>
      <c r="D71" s="17" t="s">
        <v>2669</v>
      </c>
      <c r="E71" s="17" t="s">
        <v>2968</v>
      </c>
      <c r="F71" s="17" t="s">
        <v>2966</v>
      </c>
      <c r="G71" s="17" t="s">
        <v>2671</v>
      </c>
      <c r="H71" s="17" t="s">
        <v>4312</v>
      </c>
      <c r="I71" s="17" t="s">
        <v>4237</v>
      </c>
      <c r="J71" s="17" t="s">
        <v>2969</v>
      </c>
      <c r="K71" s="17" t="s">
        <v>2674</v>
      </c>
      <c r="L71" s="17" t="s">
        <v>2970</v>
      </c>
      <c r="M71" s="17" t="s">
        <v>2669</v>
      </c>
      <c r="N71" s="17" t="s">
        <v>2966</v>
      </c>
      <c r="O71" s="17" t="s">
        <v>7635</v>
      </c>
      <c r="P71" s="17" t="s">
        <v>2971</v>
      </c>
      <c r="Q71" s="17"/>
      <c r="R71" s="17"/>
      <c r="S71" s="17"/>
      <c r="T71" s="17"/>
      <c r="U71" s="17"/>
      <c r="V71" s="17"/>
      <c r="W71" s="17"/>
      <c r="X71" s="17"/>
      <c r="Y71" s="17"/>
    </row>
    <row r="72" spans="1:25">
      <c r="A72" s="17" t="s">
        <v>2972</v>
      </c>
      <c r="B72" s="17" t="s">
        <v>2972</v>
      </c>
      <c r="C72" s="17" t="s">
        <v>2967</v>
      </c>
      <c r="D72" s="17" t="s">
        <v>2669</v>
      </c>
      <c r="E72" s="17" t="s">
        <v>2968</v>
      </c>
      <c r="F72" s="17" t="s">
        <v>2972</v>
      </c>
      <c r="G72" s="17" t="s">
        <v>2671</v>
      </c>
      <c r="H72" s="17" t="s">
        <v>6835</v>
      </c>
      <c r="I72" s="17" t="s">
        <v>4237</v>
      </c>
      <c r="J72" s="17" t="s">
        <v>2969</v>
      </c>
      <c r="K72" s="17" t="s">
        <v>2674</v>
      </c>
      <c r="L72" s="17" t="s">
        <v>2970</v>
      </c>
      <c r="M72" s="17" t="s">
        <v>2669</v>
      </c>
      <c r="N72" s="17" t="s">
        <v>2972</v>
      </c>
      <c r="O72" s="17" t="s">
        <v>7635</v>
      </c>
      <c r="P72" s="17" t="s">
        <v>2973</v>
      </c>
      <c r="Q72" s="17"/>
      <c r="R72" s="17"/>
      <c r="S72" s="17"/>
      <c r="T72" s="17"/>
      <c r="U72" s="17"/>
      <c r="V72" s="17"/>
      <c r="W72" s="17"/>
      <c r="X72" s="17"/>
      <c r="Y72" s="17"/>
    </row>
    <row r="73" spans="1:25">
      <c r="A73" s="17" t="s">
        <v>2974</v>
      </c>
      <c r="B73" s="17" t="s">
        <v>2974</v>
      </c>
      <c r="C73" s="17" t="s">
        <v>2975</v>
      </c>
      <c r="D73" s="17" t="s">
        <v>2669</v>
      </c>
      <c r="E73" s="17" t="s">
        <v>2968</v>
      </c>
      <c r="F73" s="17" t="s">
        <v>2974</v>
      </c>
      <c r="G73" s="17" t="s">
        <v>2671</v>
      </c>
      <c r="H73" s="17" t="s">
        <v>4312</v>
      </c>
      <c r="I73" s="17" t="s">
        <v>4237</v>
      </c>
      <c r="J73" s="17" t="s">
        <v>2969</v>
      </c>
      <c r="K73" s="17" t="s">
        <v>2684</v>
      </c>
      <c r="L73" s="17" t="s">
        <v>2970</v>
      </c>
      <c r="M73" s="17" t="s">
        <v>2669</v>
      </c>
      <c r="N73" s="17" t="s">
        <v>2974</v>
      </c>
      <c r="O73" s="17" t="s">
        <v>7635</v>
      </c>
      <c r="P73" s="17" t="s">
        <v>2976</v>
      </c>
      <c r="Q73" s="17"/>
      <c r="R73" s="17"/>
      <c r="S73" s="17"/>
      <c r="T73" s="17"/>
      <c r="U73" s="17"/>
      <c r="V73" s="17"/>
      <c r="W73" s="17"/>
      <c r="X73" s="17"/>
      <c r="Y73" s="17"/>
    </row>
    <row r="74" spans="1:25">
      <c r="A74" s="17" t="s">
        <v>2977</v>
      </c>
      <c r="B74" s="17" t="s">
        <v>2977</v>
      </c>
      <c r="C74" s="17" t="s">
        <v>2975</v>
      </c>
      <c r="D74" s="17" t="s">
        <v>2669</v>
      </c>
      <c r="E74" s="17" t="s">
        <v>2968</v>
      </c>
      <c r="F74" s="17" t="s">
        <v>2977</v>
      </c>
      <c r="G74" s="17" t="s">
        <v>2671</v>
      </c>
      <c r="H74" s="17" t="s">
        <v>6835</v>
      </c>
      <c r="I74" s="17" t="s">
        <v>4237</v>
      </c>
      <c r="J74" s="17" t="s">
        <v>2969</v>
      </c>
      <c r="K74" s="17" t="s">
        <v>2684</v>
      </c>
      <c r="L74" s="17" t="s">
        <v>2970</v>
      </c>
      <c r="M74" s="17" t="s">
        <v>2669</v>
      </c>
      <c r="N74" s="17" t="s">
        <v>2977</v>
      </c>
      <c r="O74" s="17" t="s">
        <v>7635</v>
      </c>
      <c r="P74" s="17" t="s">
        <v>2978</v>
      </c>
      <c r="Q74" s="17"/>
      <c r="R74" s="17"/>
      <c r="S74" s="17"/>
      <c r="T74" s="17"/>
      <c r="U74" s="17"/>
      <c r="V74" s="17"/>
      <c r="W74" s="17"/>
      <c r="X74" s="17"/>
      <c r="Y74" s="17"/>
    </row>
    <row r="75" spans="1:25">
      <c r="A75" s="17" t="s">
        <v>2979</v>
      </c>
      <c r="B75" s="17" t="s">
        <v>2979</v>
      </c>
      <c r="C75" s="17" t="s">
        <v>2980</v>
      </c>
      <c r="D75" s="17" t="s">
        <v>2669</v>
      </c>
      <c r="E75" s="17" t="s">
        <v>2968</v>
      </c>
      <c r="F75" s="17" t="s">
        <v>2979</v>
      </c>
      <c r="G75" s="17" t="s">
        <v>2671</v>
      </c>
      <c r="H75" s="17" t="s">
        <v>4312</v>
      </c>
      <c r="I75" s="17" t="s">
        <v>4237</v>
      </c>
      <c r="J75" s="17" t="s">
        <v>2969</v>
      </c>
      <c r="K75" s="17" t="s">
        <v>2693</v>
      </c>
      <c r="L75" s="17" t="s">
        <v>2970</v>
      </c>
      <c r="M75" s="17" t="s">
        <v>2669</v>
      </c>
      <c r="N75" s="17" t="s">
        <v>2979</v>
      </c>
      <c r="O75" s="17" t="s">
        <v>7635</v>
      </c>
      <c r="P75" s="17" t="s">
        <v>2981</v>
      </c>
      <c r="Q75" s="17"/>
      <c r="R75" s="17"/>
      <c r="S75" s="17"/>
      <c r="T75" s="17"/>
      <c r="U75" s="17"/>
      <c r="V75" s="17"/>
      <c r="W75" s="17"/>
      <c r="X75" s="17"/>
      <c r="Y75" s="17"/>
    </row>
    <row r="76" spans="1:25">
      <c r="A76" s="17" t="s">
        <v>2982</v>
      </c>
      <c r="B76" s="17" t="s">
        <v>2982</v>
      </c>
      <c r="C76" s="17" t="s">
        <v>2980</v>
      </c>
      <c r="D76" s="17" t="s">
        <v>2669</v>
      </c>
      <c r="E76" s="17" t="s">
        <v>2968</v>
      </c>
      <c r="F76" s="17" t="s">
        <v>2982</v>
      </c>
      <c r="G76" s="17" t="s">
        <v>2671</v>
      </c>
      <c r="H76" s="17" t="s">
        <v>6835</v>
      </c>
      <c r="I76" s="17" t="s">
        <v>4237</v>
      </c>
      <c r="J76" s="17" t="s">
        <v>2969</v>
      </c>
      <c r="K76" s="17" t="s">
        <v>2693</v>
      </c>
      <c r="L76" s="17" t="s">
        <v>2970</v>
      </c>
      <c r="M76" s="17" t="s">
        <v>2669</v>
      </c>
      <c r="N76" s="17" t="s">
        <v>2982</v>
      </c>
      <c r="O76" s="17" t="s">
        <v>7635</v>
      </c>
      <c r="P76" s="17" t="s">
        <v>2983</v>
      </c>
      <c r="Q76" s="17"/>
      <c r="R76" s="17"/>
      <c r="S76" s="17"/>
      <c r="T76" s="17"/>
      <c r="U76" s="17"/>
      <c r="V76" s="17"/>
      <c r="W76" s="17"/>
      <c r="X76" s="17"/>
      <c r="Y76" s="17"/>
    </row>
    <row r="77" spans="1:25">
      <c r="A77" s="17" t="s">
        <v>2984</v>
      </c>
      <c r="B77" s="17" t="s">
        <v>2984</v>
      </c>
      <c r="C77" s="17" t="s">
        <v>2985</v>
      </c>
      <c r="D77" s="17" t="s">
        <v>2669</v>
      </c>
      <c r="E77" s="17" t="s">
        <v>2968</v>
      </c>
      <c r="F77" s="17" t="s">
        <v>2984</v>
      </c>
      <c r="G77" s="17" t="s">
        <v>2671</v>
      </c>
      <c r="H77" s="17" t="s">
        <v>4312</v>
      </c>
      <c r="I77" s="17" t="s">
        <v>4237</v>
      </c>
      <c r="J77" s="17" t="s">
        <v>2969</v>
      </c>
      <c r="K77" s="17" t="s">
        <v>2699</v>
      </c>
      <c r="L77" s="17" t="s">
        <v>2970</v>
      </c>
      <c r="M77" s="17" t="s">
        <v>2669</v>
      </c>
      <c r="N77" s="17" t="s">
        <v>2984</v>
      </c>
      <c r="O77" s="17" t="s">
        <v>7635</v>
      </c>
      <c r="P77" s="17" t="s">
        <v>2986</v>
      </c>
      <c r="Q77" s="17"/>
      <c r="R77" s="17"/>
      <c r="S77" s="17"/>
      <c r="T77" s="17"/>
      <c r="U77" s="17"/>
      <c r="V77" s="17"/>
      <c r="W77" s="17"/>
      <c r="X77" s="17"/>
      <c r="Y77" s="17"/>
    </row>
    <row r="78" spans="1:25">
      <c r="A78" s="17" t="s">
        <v>2987</v>
      </c>
      <c r="B78" s="17" t="s">
        <v>2987</v>
      </c>
      <c r="C78" s="17" t="s">
        <v>2985</v>
      </c>
      <c r="D78" s="17" t="s">
        <v>2669</v>
      </c>
      <c r="E78" s="17" t="s">
        <v>2968</v>
      </c>
      <c r="F78" s="17" t="s">
        <v>2987</v>
      </c>
      <c r="G78" s="17" t="s">
        <v>2671</v>
      </c>
      <c r="H78" s="17" t="s">
        <v>6835</v>
      </c>
      <c r="I78" s="17" t="s">
        <v>4237</v>
      </c>
      <c r="J78" s="17" t="s">
        <v>2969</v>
      </c>
      <c r="K78" s="17" t="s">
        <v>2699</v>
      </c>
      <c r="L78" s="17" t="s">
        <v>2970</v>
      </c>
      <c r="M78" s="17" t="s">
        <v>2669</v>
      </c>
      <c r="N78" s="17" t="s">
        <v>2987</v>
      </c>
      <c r="O78" s="17" t="s">
        <v>7635</v>
      </c>
      <c r="P78" s="17" t="s">
        <v>2988</v>
      </c>
      <c r="Q78" s="17"/>
      <c r="R78" s="17"/>
      <c r="S78" s="17"/>
      <c r="T78" s="17"/>
      <c r="U78" s="17"/>
      <c r="V78" s="17"/>
      <c r="W78" s="17"/>
      <c r="X78" s="17"/>
      <c r="Y78" s="17"/>
    </row>
    <row r="79" spans="1:25">
      <c r="A79" s="17" t="s">
        <v>2989</v>
      </c>
      <c r="B79" s="17" t="s">
        <v>2989</v>
      </c>
      <c r="C79" s="17" t="s">
        <v>2990</v>
      </c>
      <c r="D79" s="17" t="s">
        <v>2669</v>
      </c>
      <c r="E79" s="17" t="s">
        <v>2968</v>
      </c>
      <c r="F79" s="17" t="s">
        <v>2989</v>
      </c>
      <c r="G79" s="17" t="s">
        <v>2671</v>
      </c>
      <c r="H79" s="17" t="s">
        <v>4312</v>
      </c>
      <c r="I79" s="17" t="s">
        <v>4237</v>
      </c>
      <c r="J79" s="17" t="s">
        <v>2969</v>
      </c>
      <c r="K79" s="17" t="s">
        <v>2703</v>
      </c>
      <c r="L79" s="17" t="s">
        <v>2970</v>
      </c>
      <c r="M79" s="17" t="s">
        <v>2669</v>
      </c>
      <c r="N79" s="17" t="s">
        <v>2989</v>
      </c>
      <c r="O79" s="17" t="s">
        <v>7635</v>
      </c>
      <c r="P79" s="17" t="s">
        <v>2991</v>
      </c>
      <c r="Q79" s="17"/>
      <c r="R79" s="17"/>
      <c r="S79" s="17"/>
      <c r="T79" s="17"/>
      <c r="U79" s="17"/>
      <c r="V79" s="17"/>
      <c r="W79" s="17"/>
      <c r="X79" s="17"/>
      <c r="Y79" s="17"/>
    </row>
    <row r="80" spans="1:25">
      <c r="A80" s="17" t="s">
        <v>2992</v>
      </c>
      <c r="B80" s="17" t="s">
        <v>2992</v>
      </c>
      <c r="C80" s="17" t="s">
        <v>2990</v>
      </c>
      <c r="D80" s="17" t="s">
        <v>2669</v>
      </c>
      <c r="E80" s="17" t="s">
        <v>2968</v>
      </c>
      <c r="F80" s="17" t="s">
        <v>2992</v>
      </c>
      <c r="G80" s="17" t="s">
        <v>2671</v>
      </c>
      <c r="H80" s="17" t="s">
        <v>6835</v>
      </c>
      <c r="I80" s="17" t="s">
        <v>4237</v>
      </c>
      <c r="J80" s="17" t="s">
        <v>2969</v>
      </c>
      <c r="K80" s="17" t="s">
        <v>2703</v>
      </c>
      <c r="L80" s="17" t="s">
        <v>2970</v>
      </c>
      <c r="M80" s="17" t="s">
        <v>2669</v>
      </c>
      <c r="N80" s="17" t="s">
        <v>2992</v>
      </c>
      <c r="O80" s="17" t="s">
        <v>7635</v>
      </c>
      <c r="P80" s="17" t="s">
        <v>2993</v>
      </c>
      <c r="Q80" s="17"/>
      <c r="R80" s="17"/>
      <c r="S80" s="17"/>
      <c r="T80" s="17"/>
      <c r="U80" s="17"/>
      <c r="V80" s="17"/>
      <c r="W80" s="17"/>
      <c r="X80" s="17"/>
      <c r="Y80" s="17"/>
    </row>
    <row r="81" spans="1:25">
      <c r="A81" s="17" t="s">
        <v>2994</v>
      </c>
      <c r="B81" s="17" t="s">
        <v>2994</v>
      </c>
      <c r="C81" s="17" t="s">
        <v>2995</v>
      </c>
      <c r="D81" s="17" t="s">
        <v>2669</v>
      </c>
      <c r="E81" s="17" t="s">
        <v>2968</v>
      </c>
      <c r="F81" s="17" t="s">
        <v>2994</v>
      </c>
      <c r="G81" s="17" t="s">
        <v>2671</v>
      </c>
      <c r="H81" s="17" t="s">
        <v>4312</v>
      </c>
      <c r="I81" s="17" t="s">
        <v>4237</v>
      </c>
      <c r="J81" s="17" t="s">
        <v>2969</v>
      </c>
      <c r="K81" s="17" t="s">
        <v>2707</v>
      </c>
      <c r="L81" s="17" t="s">
        <v>2970</v>
      </c>
      <c r="M81" s="17" t="s">
        <v>2669</v>
      </c>
      <c r="N81" s="17" t="s">
        <v>2994</v>
      </c>
      <c r="O81" s="17" t="s">
        <v>7635</v>
      </c>
      <c r="P81" s="17" t="s">
        <v>2996</v>
      </c>
      <c r="Q81" s="17"/>
      <c r="R81" s="17"/>
      <c r="S81" s="17"/>
      <c r="T81" s="17"/>
      <c r="U81" s="17"/>
      <c r="V81" s="17"/>
      <c r="W81" s="17"/>
      <c r="X81" s="17"/>
      <c r="Y81" s="17"/>
    </row>
    <row r="82" spans="1:25">
      <c r="A82" s="17" t="s">
        <v>2997</v>
      </c>
      <c r="B82" s="17" t="s">
        <v>2997</v>
      </c>
      <c r="C82" s="17" t="s">
        <v>2995</v>
      </c>
      <c r="D82" s="17" t="s">
        <v>2669</v>
      </c>
      <c r="E82" s="17" t="s">
        <v>2968</v>
      </c>
      <c r="F82" s="17" t="s">
        <v>2997</v>
      </c>
      <c r="G82" s="17" t="s">
        <v>2671</v>
      </c>
      <c r="H82" s="17" t="s">
        <v>6835</v>
      </c>
      <c r="I82" s="17" t="s">
        <v>4237</v>
      </c>
      <c r="J82" s="17" t="s">
        <v>2969</v>
      </c>
      <c r="K82" s="17" t="s">
        <v>2707</v>
      </c>
      <c r="L82" s="17" t="s">
        <v>2970</v>
      </c>
      <c r="M82" s="17" t="s">
        <v>2669</v>
      </c>
      <c r="N82" s="17" t="s">
        <v>2997</v>
      </c>
      <c r="O82" s="17" t="s">
        <v>7635</v>
      </c>
      <c r="P82" s="17" t="s">
        <v>2998</v>
      </c>
      <c r="Q82" s="17"/>
      <c r="R82" s="17"/>
      <c r="S82" s="17"/>
      <c r="T82" s="17"/>
      <c r="U82" s="17"/>
      <c r="V82" s="17"/>
      <c r="W82" s="17"/>
      <c r="X82" s="17"/>
      <c r="Y82" s="17"/>
    </row>
    <row r="83" spans="1:25">
      <c r="A83" s="17" t="s">
        <v>2999</v>
      </c>
      <c r="B83" s="17" t="s">
        <v>2999</v>
      </c>
      <c r="C83" s="17" t="s">
        <v>3000</v>
      </c>
      <c r="D83" s="17" t="s">
        <v>2669</v>
      </c>
      <c r="E83" s="17" t="s">
        <v>2968</v>
      </c>
      <c r="F83" s="17" t="s">
        <v>2999</v>
      </c>
      <c r="G83" s="17" t="s">
        <v>2671</v>
      </c>
      <c r="H83" s="17" t="s">
        <v>4312</v>
      </c>
      <c r="I83" s="17" t="s">
        <v>4237</v>
      </c>
      <c r="J83" s="17" t="s">
        <v>2969</v>
      </c>
      <c r="K83" s="17" t="s">
        <v>2713</v>
      </c>
      <c r="L83" s="17" t="s">
        <v>2970</v>
      </c>
      <c r="M83" s="17" t="s">
        <v>2669</v>
      </c>
      <c r="N83" s="17" t="s">
        <v>2999</v>
      </c>
      <c r="O83" s="17" t="s">
        <v>7635</v>
      </c>
      <c r="P83" s="17" t="s">
        <v>3001</v>
      </c>
      <c r="Q83" s="17"/>
      <c r="R83" s="17"/>
      <c r="S83" s="17"/>
      <c r="T83" s="17"/>
      <c r="U83" s="17"/>
      <c r="V83" s="17"/>
      <c r="W83" s="17"/>
      <c r="X83" s="17"/>
      <c r="Y83" s="17"/>
    </row>
    <row r="84" spans="1:25">
      <c r="A84" s="17" t="s">
        <v>3002</v>
      </c>
      <c r="B84" s="17" t="s">
        <v>3002</v>
      </c>
      <c r="C84" s="17" t="s">
        <v>3000</v>
      </c>
      <c r="D84" s="17" t="s">
        <v>2669</v>
      </c>
      <c r="E84" s="17" t="s">
        <v>2968</v>
      </c>
      <c r="F84" s="17" t="s">
        <v>3002</v>
      </c>
      <c r="G84" s="17" t="s">
        <v>2671</v>
      </c>
      <c r="H84" s="17" t="s">
        <v>6835</v>
      </c>
      <c r="I84" s="17" t="s">
        <v>4237</v>
      </c>
      <c r="J84" s="17" t="s">
        <v>2969</v>
      </c>
      <c r="K84" s="17" t="s">
        <v>2713</v>
      </c>
      <c r="L84" s="17" t="s">
        <v>2970</v>
      </c>
      <c r="M84" s="17" t="s">
        <v>2669</v>
      </c>
      <c r="N84" s="17" t="s">
        <v>3002</v>
      </c>
      <c r="O84" s="17" t="s">
        <v>7635</v>
      </c>
      <c r="P84" s="17" t="s">
        <v>3003</v>
      </c>
      <c r="Q84" s="17"/>
      <c r="R84" s="17"/>
      <c r="S84" s="17"/>
      <c r="T84" s="17"/>
      <c r="U84" s="17"/>
      <c r="V84" s="17"/>
      <c r="W84" s="17"/>
      <c r="X84" s="17"/>
      <c r="Y84" s="17"/>
    </row>
    <row r="85" spans="1:25">
      <c r="A85" s="17" t="s">
        <v>3004</v>
      </c>
      <c r="B85" s="17" t="s">
        <v>3004</v>
      </c>
      <c r="C85" s="17" t="s">
        <v>3005</v>
      </c>
      <c r="D85" s="17" t="s">
        <v>2669</v>
      </c>
      <c r="E85" s="17" t="s">
        <v>2968</v>
      </c>
      <c r="F85" s="17" t="s">
        <v>3004</v>
      </c>
      <c r="G85" s="17" t="s">
        <v>2671</v>
      </c>
      <c r="H85" s="17" t="s">
        <v>4312</v>
      </c>
      <c r="I85" s="17" t="s">
        <v>4237</v>
      </c>
      <c r="J85" s="17" t="s">
        <v>2969</v>
      </c>
      <c r="K85" s="17" t="s">
        <v>2720</v>
      </c>
      <c r="L85" s="17" t="s">
        <v>2970</v>
      </c>
      <c r="M85" s="17" t="s">
        <v>2669</v>
      </c>
      <c r="N85" s="17" t="s">
        <v>3004</v>
      </c>
      <c r="O85" s="17" t="s">
        <v>7635</v>
      </c>
      <c r="P85" s="17" t="s">
        <v>3006</v>
      </c>
      <c r="Q85" s="17"/>
      <c r="R85" s="17"/>
      <c r="S85" s="17"/>
      <c r="T85" s="17"/>
      <c r="U85" s="17"/>
      <c r="V85" s="17"/>
      <c r="W85" s="17"/>
      <c r="X85" s="17"/>
      <c r="Y85" s="17"/>
    </row>
    <row r="86" spans="1:25">
      <c r="A86" s="17" t="s">
        <v>3007</v>
      </c>
      <c r="B86" s="17" t="s">
        <v>3007</v>
      </c>
      <c r="C86" s="17" t="s">
        <v>3005</v>
      </c>
      <c r="D86" s="17" t="s">
        <v>2669</v>
      </c>
      <c r="E86" s="17" t="s">
        <v>2968</v>
      </c>
      <c r="F86" s="17" t="s">
        <v>3007</v>
      </c>
      <c r="G86" s="17" t="s">
        <v>2671</v>
      </c>
      <c r="H86" s="17" t="s">
        <v>6835</v>
      </c>
      <c r="I86" s="17" t="s">
        <v>4237</v>
      </c>
      <c r="J86" s="17" t="s">
        <v>2969</v>
      </c>
      <c r="K86" s="17" t="s">
        <v>2720</v>
      </c>
      <c r="L86" s="17" t="s">
        <v>2970</v>
      </c>
      <c r="M86" s="17" t="s">
        <v>2669</v>
      </c>
      <c r="N86" s="17" t="s">
        <v>3007</v>
      </c>
      <c r="O86" s="17" t="s">
        <v>7635</v>
      </c>
      <c r="P86" s="17" t="s">
        <v>3008</v>
      </c>
      <c r="Q86" s="17"/>
      <c r="R86" s="17"/>
      <c r="S86" s="17"/>
      <c r="T86" s="17"/>
      <c r="U86" s="17"/>
      <c r="V86" s="17"/>
      <c r="W86" s="17"/>
      <c r="X86" s="17"/>
      <c r="Y86" s="17"/>
    </row>
    <row r="87" spans="1:25">
      <c r="A87" s="17" t="s">
        <v>3009</v>
      </c>
      <c r="B87" s="17" t="s">
        <v>3009</v>
      </c>
      <c r="C87" s="17" t="s">
        <v>3010</v>
      </c>
      <c r="D87" s="17" t="s">
        <v>2669</v>
      </c>
      <c r="E87" s="17" t="s">
        <v>2968</v>
      </c>
      <c r="F87" s="17" t="s">
        <v>3009</v>
      </c>
      <c r="G87" s="17" t="s">
        <v>2671</v>
      </c>
      <c r="H87" s="17" t="s">
        <v>4312</v>
      </c>
      <c r="I87" s="17" t="s">
        <v>4237</v>
      </c>
      <c r="J87" s="17" t="s">
        <v>2969</v>
      </c>
      <c r="K87" s="17" t="s">
        <v>2729</v>
      </c>
      <c r="L87" s="17" t="s">
        <v>2970</v>
      </c>
      <c r="M87" s="17" t="s">
        <v>2669</v>
      </c>
      <c r="N87" s="17" t="s">
        <v>3009</v>
      </c>
      <c r="O87" s="17" t="s">
        <v>7635</v>
      </c>
      <c r="P87" s="17" t="s">
        <v>3011</v>
      </c>
      <c r="Q87" s="17"/>
      <c r="R87" s="17"/>
      <c r="S87" s="17"/>
      <c r="T87" s="17"/>
      <c r="U87" s="17"/>
      <c r="V87" s="17"/>
      <c r="W87" s="17"/>
      <c r="X87" s="17"/>
      <c r="Y87" s="17"/>
    </row>
    <row r="88" spans="1:25">
      <c r="A88" s="17" t="s">
        <v>3012</v>
      </c>
      <c r="B88" s="17" t="s">
        <v>3012</v>
      </c>
      <c r="C88" s="17" t="s">
        <v>3010</v>
      </c>
      <c r="D88" s="17" t="s">
        <v>2669</v>
      </c>
      <c r="E88" s="17" t="s">
        <v>2968</v>
      </c>
      <c r="F88" s="17" t="s">
        <v>3012</v>
      </c>
      <c r="G88" s="17" t="s">
        <v>2671</v>
      </c>
      <c r="H88" s="17" t="s">
        <v>6835</v>
      </c>
      <c r="I88" s="17" t="s">
        <v>4237</v>
      </c>
      <c r="J88" s="17" t="s">
        <v>2969</v>
      </c>
      <c r="K88" s="17" t="s">
        <v>2729</v>
      </c>
      <c r="L88" s="17" t="s">
        <v>2970</v>
      </c>
      <c r="M88" s="17" t="s">
        <v>2669</v>
      </c>
      <c r="N88" s="17" t="s">
        <v>3012</v>
      </c>
      <c r="O88" s="17" t="s">
        <v>7635</v>
      </c>
      <c r="P88" s="17" t="s">
        <v>3013</v>
      </c>
      <c r="Q88" s="17"/>
      <c r="R88" s="17"/>
      <c r="S88" s="17"/>
      <c r="T88" s="17"/>
      <c r="U88" s="17"/>
      <c r="V88" s="17"/>
      <c r="W88" s="17"/>
      <c r="X88" s="17"/>
      <c r="Y88" s="17"/>
    </row>
    <row r="89" spans="1:25">
      <c r="A89" s="17" t="s">
        <v>3014</v>
      </c>
      <c r="B89" s="17" t="s">
        <v>3014</v>
      </c>
      <c r="C89" s="17" t="s">
        <v>3015</v>
      </c>
      <c r="D89" s="17" t="s">
        <v>2669</v>
      </c>
      <c r="E89" s="17" t="s">
        <v>2968</v>
      </c>
      <c r="F89" s="17" t="s">
        <v>3014</v>
      </c>
      <c r="G89" s="17" t="s">
        <v>2671</v>
      </c>
      <c r="H89" s="17" t="s">
        <v>4312</v>
      </c>
      <c r="I89" s="17" t="s">
        <v>4237</v>
      </c>
      <c r="J89" s="17" t="s">
        <v>2969</v>
      </c>
      <c r="K89" s="17" t="s">
        <v>2738</v>
      </c>
      <c r="L89" s="17" t="s">
        <v>2970</v>
      </c>
      <c r="M89" s="17" t="s">
        <v>2669</v>
      </c>
      <c r="N89" s="17" t="s">
        <v>3014</v>
      </c>
      <c r="O89" s="17" t="s">
        <v>7635</v>
      </c>
      <c r="P89" s="17" t="s">
        <v>3016</v>
      </c>
      <c r="Q89" s="17"/>
      <c r="R89" s="17"/>
      <c r="S89" s="17"/>
      <c r="T89" s="17"/>
      <c r="U89" s="17"/>
      <c r="V89" s="17"/>
      <c r="W89" s="17"/>
      <c r="X89" s="17"/>
      <c r="Y89" s="17"/>
    </row>
    <row r="90" spans="1:25">
      <c r="A90" s="17" t="s">
        <v>3017</v>
      </c>
      <c r="B90" s="17" t="s">
        <v>3017</v>
      </c>
      <c r="C90" s="17" t="s">
        <v>3015</v>
      </c>
      <c r="D90" s="17" t="s">
        <v>2669</v>
      </c>
      <c r="E90" s="17" t="s">
        <v>2968</v>
      </c>
      <c r="F90" s="17" t="s">
        <v>3017</v>
      </c>
      <c r="G90" s="17" t="s">
        <v>2671</v>
      </c>
      <c r="H90" s="17" t="s">
        <v>6835</v>
      </c>
      <c r="I90" s="17" t="s">
        <v>4237</v>
      </c>
      <c r="J90" s="17" t="s">
        <v>2969</v>
      </c>
      <c r="K90" s="17" t="s">
        <v>2738</v>
      </c>
      <c r="L90" s="17" t="s">
        <v>2970</v>
      </c>
      <c r="M90" s="17" t="s">
        <v>2669</v>
      </c>
      <c r="N90" s="17" t="s">
        <v>3017</v>
      </c>
      <c r="O90" s="17" t="s">
        <v>7635</v>
      </c>
      <c r="P90" s="17" t="s">
        <v>3018</v>
      </c>
      <c r="Q90" s="17"/>
      <c r="R90" s="17"/>
      <c r="S90" s="17"/>
      <c r="T90" s="17"/>
      <c r="U90" s="17"/>
      <c r="V90" s="17"/>
      <c r="W90" s="17"/>
      <c r="X90" s="17"/>
      <c r="Y90" s="17"/>
    </row>
    <row r="91" spans="1:25">
      <c r="A91" s="17" t="s">
        <v>3019</v>
      </c>
      <c r="B91" s="17" t="s">
        <v>3019</v>
      </c>
      <c r="C91" s="17" t="s">
        <v>3020</v>
      </c>
      <c r="D91" s="17" t="s">
        <v>2669</v>
      </c>
      <c r="E91" s="17" t="s">
        <v>2968</v>
      </c>
      <c r="F91" s="17" t="s">
        <v>3019</v>
      </c>
      <c r="G91" s="17" t="s">
        <v>2671</v>
      </c>
      <c r="H91" s="17" t="s">
        <v>4312</v>
      </c>
      <c r="I91" s="17" t="s">
        <v>4237</v>
      </c>
      <c r="J91" s="17" t="s">
        <v>2969</v>
      </c>
      <c r="K91" s="17" t="s">
        <v>2742</v>
      </c>
      <c r="L91" s="17" t="s">
        <v>2970</v>
      </c>
      <c r="M91" s="17" t="s">
        <v>2669</v>
      </c>
      <c r="N91" s="17" t="s">
        <v>3019</v>
      </c>
      <c r="O91" s="17" t="s">
        <v>7635</v>
      </c>
      <c r="P91" s="17" t="s">
        <v>3021</v>
      </c>
      <c r="Q91" s="17"/>
      <c r="R91" s="17"/>
      <c r="S91" s="17"/>
      <c r="T91" s="17"/>
      <c r="U91" s="17"/>
      <c r="V91" s="17"/>
      <c r="W91" s="17"/>
      <c r="X91" s="17"/>
      <c r="Y91" s="17"/>
    </row>
    <row r="92" spans="1:25">
      <c r="A92" s="17" t="s">
        <v>3022</v>
      </c>
      <c r="B92" s="17" t="s">
        <v>3022</v>
      </c>
      <c r="C92" s="17" t="s">
        <v>3020</v>
      </c>
      <c r="D92" s="17" t="s">
        <v>2669</v>
      </c>
      <c r="E92" s="17" t="s">
        <v>2968</v>
      </c>
      <c r="F92" s="17" t="s">
        <v>3022</v>
      </c>
      <c r="G92" s="17" t="s">
        <v>2671</v>
      </c>
      <c r="H92" s="17" t="s">
        <v>6835</v>
      </c>
      <c r="I92" s="17" t="s">
        <v>4237</v>
      </c>
      <c r="J92" s="17" t="s">
        <v>2969</v>
      </c>
      <c r="K92" s="17" t="s">
        <v>2742</v>
      </c>
      <c r="L92" s="17" t="s">
        <v>2970</v>
      </c>
      <c r="M92" s="17" t="s">
        <v>2669</v>
      </c>
      <c r="N92" s="17" t="s">
        <v>3022</v>
      </c>
      <c r="O92" s="17" t="s">
        <v>7635</v>
      </c>
      <c r="P92" s="17" t="s">
        <v>3023</v>
      </c>
      <c r="Q92" s="17"/>
      <c r="R92" s="17"/>
      <c r="S92" s="17"/>
      <c r="T92" s="17"/>
      <c r="U92" s="17"/>
      <c r="V92" s="17"/>
      <c r="W92" s="17"/>
      <c r="X92" s="17"/>
      <c r="Y92" s="17"/>
    </row>
    <row r="93" spans="1:25">
      <c r="A93" s="17" t="s">
        <v>3024</v>
      </c>
      <c r="B93" s="17" t="s">
        <v>3024</v>
      </c>
      <c r="C93" s="17" t="s">
        <v>3025</v>
      </c>
      <c r="D93" s="17" t="s">
        <v>2669</v>
      </c>
      <c r="E93" s="17" t="s">
        <v>2968</v>
      </c>
      <c r="F93" s="17" t="s">
        <v>3024</v>
      </c>
      <c r="G93" s="17" t="s">
        <v>2671</v>
      </c>
      <c r="H93" s="17" t="s">
        <v>4312</v>
      </c>
      <c r="I93" s="17" t="s">
        <v>4237</v>
      </c>
      <c r="J93" s="17" t="s">
        <v>2969</v>
      </c>
      <c r="K93" s="17" t="s">
        <v>2751</v>
      </c>
      <c r="L93" s="17" t="s">
        <v>2970</v>
      </c>
      <c r="M93" s="17" t="s">
        <v>2669</v>
      </c>
      <c r="N93" s="17" t="s">
        <v>3024</v>
      </c>
      <c r="O93" s="17" t="s">
        <v>7635</v>
      </c>
      <c r="P93" s="17" t="s">
        <v>3026</v>
      </c>
      <c r="Q93" s="17"/>
      <c r="R93" s="17"/>
      <c r="S93" s="17"/>
      <c r="T93" s="17"/>
      <c r="U93" s="17"/>
      <c r="V93" s="17"/>
      <c r="W93" s="17"/>
      <c r="X93" s="17"/>
      <c r="Y93" s="17"/>
    </row>
    <row r="94" spans="1:25">
      <c r="A94" s="17" t="s">
        <v>3027</v>
      </c>
      <c r="B94" s="17" t="s">
        <v>3027</v>
      </c>
      <c r="C94" s="17" t="s">
        <v>3025</v>
      </c>
      <c r="D94" s="17" t="s">
        <v>2669</v>
      </c>
      <c r="E94" s="17" t="s">
        <v>2968</v>
      </c>
      <c r="F94" s="17" t="s">
        <v>3027</v>
      </c>
      <c r="G94" s="17" t="s">
        <v>2671</v>
      </c>
      <c r="H94" s="17" t="s">
        <v>6835</v>
      </c>
      <c r="I94" s="17" t="s">
        <v>4237</v>
      </c>
      <c r="J94" s="17" t="s">
        <v>2969</v>
      </c>
      <c r="K94" s="17" t="s">
        <v>2751</v>
      </c>
      <c r="L94" s="17" t="s">
        <v>2970</v>
      </c>
      <c r="M94" s="17" t="s">
        <v>2669</v>
      </c>
      <c r="N94" s="17" t="s">
        <v>3027</v>
      </c>
      <c r="O94" s="17" t="s">
        <v>7635</v>
      </c>
      <c r="P94" s="17" t="s">
        <v>3028</v>
      </c>
      <c r="Q94" s="17"/>
      <c r="R94" s="17"/>
      <c r="S94" s="17"/>
      <c r="T94" s="17"/>
      <c r="U94" s="17"/>
      <c r="V94" s="17"/>
      <c r="W94" s="17"/>
      <c r="X94" s="17"/>
      <c r="Y94" s="17"/>
    </row>
    <row r="95" spans="1:25">
      <c r="A95" s="17" t="s">
        <v>3029</v>
      </c>
      <c r="B95" s="17" t="s">
        <v>3029</v>
      </c>
      <c r="C95" s="17" t="s">
        <v>3030</v>
      </c>
      <c r="D95" s="17" t="s">
        <v>2669</v>
      </c>
      <c r="E95" s="17" t="s">
        <v>2968</v>
      </c>
      <c r="F95" s="17" t="s">
        <v>3029</v>
      </c>
      <c r="G95" s="17" t="s">
        <v>2671</v>
      </c>
      <c r="H95" s="17" t="s">
        <v>4312</v>
      </c>
      <c r="I95" s="17" t="s">
        <v>4237</v>
      </c>
      <c r="J95" s="17" t="s">
        <v>2969</v>
      </c>
      <c r="K95" s="17" t="s">
        <v>2760</v>
      </c>
      <c r="L95" s="17" t="s">
        <v>2970</v>
      </c>
      <c r="M95" s="17" t="s">
        <v>2669</v>
      </c>
      <c r="N95" s="17" t="s">
        <v>3029</v>
      </c>
      <c r="O95" s="17" t="s">
        <v>7635</v>
      </c>
      <c r="P95" s="17" t="s">
        <v>3031</v>
      </c>
      <c r="Q95" s="17"/>
      <c r="R95" s="17"/>
      <c r="S95" s="17"/>
      <c r="T95" s="17"/>
      <c r="U95" s="17"/>
      <c r="V95" s="17"/>
      <c r="W95" s="17"/>
      <c r="X95" s="17"/>
      <c r="Y95" s="17"/>
    </row>
    <row r="96" spans="1:25">
      <c r="A96" s="17" t="s">
        <v>3032</v>
      </c>
      <c r="B96" s="17" t="s">
        <v>3032</v>
      </c>
      <c r="C96" s="17" t="s">
        <v>3030</v>
      </c>
      <c r="D96" s="17" t="s">
        <v>2669</v>
      </c>
      <c r="E96" s="17" t="s">
        <v>2968</v>
      </c>
      <c r="F96" s="17" t="s">
        <v>3032</v>
      </c>
      <c r="G96" s="17" t="s">
        <v>2671</v>
      </c>
      <c r="H96" s="17" t="s">
        <v>6835</v>
      </c>
      <c r="I96" s="17" t="s">
        <v>4237</v>
      </c>
      <c r="J96" s="17" t="s">
        <v>2969</v>
      </c>
      <c r="K96" s="17" t="s">
        <v>2760</v>
      </c>
      <c r="L96" s="17" t="s">
        <v>2970</v>
      </c>
      <c r="M96" s="17" t="s">
        <v>2669</v>
      </c>
      <c r="N96" s="17" t="s">
        <v>3032</v>
      </c>
      <c r="O96" s="17" t="s">
        <v>7635</v>
      </c>
      <c r="P96" s="17" t="s">
        <v>3033</v>
      </c>
      <c r="Q96" s="17"/>
      <c r="R96" s="17"/>
      <c r="S96" s="17"/>
      <c r="T96" s="17"/>
      <c r="U96" s="17"/>
      <c r="V96" s="17"/>
      <c r="W96" s="17"/>
      <c r="X96" s="17"/>
      <c r="Y96" s="17"/>
    </row>
    <row r="97" spans="1:25">
      <c r="A97" s="17" t="s">
        <v>3034</v>
      </c>
      <c r="B97" s="17" t="s">
        <v>3034</v>
      </c>
      <c r="C97" s="17" t="s">
        <v>3035</v>
      </c>
      <c r="D97" s="17" t="s">
        <v>2669</v>
      </c>
      <c r="E97" s="17" t="s">
        <v>2968</v>
      </c>
      <c r="F97" s="17" t="s">
        <v>3034</v>
      </c>
      <c r="G97" s="17" t="s">
        <v>2671</v>
      </c>
      <c r="H97" s="17" t="s">
        <v>4312</v>
      </c>
      <c r="I97" s="17" t="s">
        <v>4237</v>
      </c>
      <c r="J97" s="17" t="s">
        <v>2969</v>
      </c>
      <c r="K97" s="17" t="s">
        <v>2769</v>
      </c>
      <c r="L97" s="17" t="s">
        <v>2970</v>
      </c>
      <c r="M97" s="17" t="s">
        <v>2669</v>
      </c>
      <c r="N97" s="17" t="s">
        <v>3034</v>
      </c>
      <c r="O97" s="17" t="s">
        <v>7635</v>
      </c>
      <c r="P97" s="17" t="s">
        <v>3036</v>
      </c>
      <c r="Q97" s="17"/>
      <c r="R97" s="17"/>
      <c r="S97" s="17"/>
      <c r="T97" s="17"/>
      <c r="U97" s="17"/>
      <c r="V97" s="17"/>
      <c r="W97" s="17"/>
      <c r="X97" s="17"/>
      <c r="Y97" s="17"/>
    </row>
    <row r="98" spans="1:25">
      <c r="A98" s="17" t="s">
        <v>3037</v>
      </c>
      <c r="B98" s="17" t="s">
        <v>3037</v>
      </c>
      <c r="C98" s="17" t="s">
        <v>3035</v>
      </c>
      <c r="D98" s="17" t="s">
        <v>2669</v>
      </c>
      <c r="E98" s="17" t="s">
        <v>2968</v>
      </c>
      <c r="F98" s="17" t="s">
        <v>3037</v>
      </c>
      <c r="G98" s="17" t="s">
        <v>2671</v>
      </c>
      <c r="H98" s="17" t="s">
        <v>6835</v>
      </c>
      <c r="I98" s="17" t="s">
        <v>4237</v>
      </c>
      <c r="J98" s="17" t="s">
        <v>2969</v>
      </c>
      <c r="K98" s="17" t="s">
        <v>2769</v>
      </c>
      <c r="L98" s="17" t="s">
        <v>2970</v>
      </c>
      <c r="M98" s="17" t="s">
        <v>2669</v>
      </c>
      <c r="N98" s="17" t="s">
        <v>3037</v>
      </c>
      <c r="O98" s="17" t="s">
        <v>7635</v>
      </c>
      <c r="P98" s="17" t="s">
        <v>3038</v>
      </c>
      <c r="Q98" s="17"/>
      <c r="R98" s="17"/>
      <c r="S98" s="17"/>
      <c r="T98" s="17"/>
      <c r="U98" s="17"/>
      <c r="V98" s="17"/>
      <c r="W98" s="17"/>
      <c r="X98" s="17"/>
      <c r="Y98" s="17"/>
    </row>
    <row r="99" spans="1:25">
      <c r="A99" s="17" t="s">
        <v>3039</v>
      </c>
      <c r="B99" s="17" t="s">
        <v>3039</v>
      </c>
      <c r="C99" s="17" t="s">
        <v>3040</v>
      </c>
      <c r="D99" s="17" t="s">
        <v>2669</v>
      </c>
      <c r="E99" s="17" t="s">
        <v>2968</v>
      </c>
      <c r="F99" s="17" t="s">
        <v>3039</v>
      </c>
      <c r="G99" s="17" t="s">
        <v>2671</v>
      </c>
      <c r="H99" s="17" t="s">
        <v>4312</v>
      </c>
      <c r="I99" s="17" t="s">
        <v>4237</v>
      </c>
      <c r="J99" s="17" t="s">
        <v>2969</v>
      </c>
      <c r="K99" s="17" t="s">
        <v>2778</v>
      </c>
      <c r="L99" s="17" t="s">
        <v>2970</v>
      </c>
      <c r="M99" s="17" t="s">
        <v>2669</v>
      </c>
      <c r="N99" s="17" t="s">
        <v>3039</v>
      </c>
      <c r="O99" s="17" t="s">
        <v>7635</v>
      </c>
      <c r="P99" s="17" t="s">
        <v>3041</v>
      </c>
      <c r="Q99" s="17"/>
      <c r="R99" s="17"/>
      <c r="S99" s="17"/>
      <c r="T99" s="17"/>
      <c r="U99" s="17"/>
      <c r="V99" s="17"/>
      <c r="W99" s="17"/>
      <c r="X99" s="17"/>
      <c r="Y99" s="17"/>
    </row>
    <row r="100" spans="1:25">
      <c r="A100" s="17" t="s">
        <v>3042</v>
      </c>
      <c r="B100" s="17" t="s">
        <v>3042</v>
      </c>
      <c r="C100" s="17" t="s">
        <v>3040</v>
      </c>
      <c r="D100" s="17" t="s">
        <v>2669</v>
      </c>
      <c r="E100" s="17" t="s">
        <v>2968</v>
      </c>
      <c r="F100" s="17" t="s">
        <v>3042</v>
      </c>
      <c r="G100" s="17" t="s">
        <v>2671</v>
      </c>
      <c r="H100" s="17" t="s">
        <v>6835</v>
      </c>
      <c r="I100" s="17" t="s">
        <v>4237</v>
      </c>
      <c r="J100" s="17" t="s">
        <v>2969</v>
      </c>
      <c r="K100" s="17" t="s">
        <v>2778</v>
      </c>
      <c r="L100" s="17" t="s">
        <v>2970</v>
      </c>
      <c r="M100" s="17" t="s">
        <v>2669</v>
      </c>
      <c r="N100" s="17" t="s">
        <v>3042</v>
      </c>
      <c r="O100" s="17" t="s">
        <v>7635</v>
      </c>
      <c r="P100" s="17" t="s">
        <v>3043</v>
      </c>
      <c r="Q100" s="17"/>
      <c r="R100" s="17"/>
      <c r="S100" s="17"/>
      <c r="T100" s="17"/>
      <c r="U100" s="17"/>
      <c r="V100" s="17"/>
      <c r="W100" s="17"/>
      <c r="X100" s="17"/>
      <c r="Y100" s="17"/>
    </row>
    <row r="101" spans="1:25">
      <c r="A101" s="17" t="s">
        <v>3044</v>
      </c>
      <c r="B101" s="17" t="s">
        <v>3044</v>
      </c>
      <c r="C101" s="17" t="s">
        <v>3045</v>
      </c>
      <c r="D101" s="17" t="s">
        <v>2669</v>
      </c>
      <c r="E101" s="17" t="s">
        <v>2968</v>
      </c>
      <c r="F101" s="17" t="s">
        <v>3044</v>
      </c>
      <c r="G101" s="17" t="s">
        <v>2671</v>
      </c>
      <c r="H101" s="17" t="s">
        <v>4312</v>
      </c>
      <c r="I101" s="17" t="s">
        <v>4237</v>
      </c>
      <c r="J101" s="17" t="s">
        <v>2969</v>
      </c>
      <c r="K101" s="17" t="s">
        <v>2787</v>
      </c>
      <c r="L101" s="17" t="s">
        <v>2970</v>
      </c>
      <c r="M101" s="17" t="s">
        <v>2669</v>
      </c>
      <c r="N101" s="17" t="s">
        <v>3044</v>
      </c>
      <c r="O101" s="17" t="s">
        <v>7635</v>
      </c>
      <c r="P101" s="17" t="s">
        <v>3046</v>
      </c>
      <c r="Q101" s="17"/>
      <c r="R101" s="17"/>
      <c r="S101" s="17"/>
      <c r="T101" s="17"/>
      <c r="U101" s="17"/>
      <c r="V101" s="17"/>
      <c r="W101" s="17"/>
      <c r="X101" s="17"/>
      <c r="Y101" s="17"/>
    </row>
    <row r="102" spans="1:25">
      <c r="A102" s="17" t="s">
        <v>3047</v>
      </c>
      <c r="B102" s="17" t="s">
        <v>3047</v>
      </c>
      <c r="C102" s="17" t="s">
        <v>3045</v>
      </c>
      <c r="D102" s="17" t="s">
        <v>2669</v>
      </c>
      <c r="E102" s="17" t="s">
        <v>2968</v>
      </c>
      <c r="F102" s="17" t="s">
        <v>3047</v>
      </c>
      <c r="G102" s="17" t="s">
        <v>2671</v>
      </c>
      <c r="H102" s="17" t="s">
        <v>6835</v>
      </c>
      <c r="I102" s="17" t="s">
        <v>4237</v>
      </c>
      <c r="J102" s="17" t="s">
        <v>2969</v>
      </c>
      <c r="K102" s="17" t="s">
        <v>2787</v>
      </c>
      <c r="L102" s="17" t="s">
        <v>2970</v>
      </c>
      <c r="M102" s="17" t="s">
        <v>2669</v>
      </c>
      <c r="N102" s="17" t="s">
        <v>3047</v>
      </c>
      <c r="O102" s="17" t="s">
        <v>7635</v>
      </c>
      <c r="P102" s="17" t="s">
        <v>3048</v>
      </c>
      <c r="Q102" s="17"/>
      <c r="R102" s="17"/>
      <c r="S102" s="17"/>
      <c r="T102" s="17"/>
      <c r="U102" s="17"/>
      <c r="V102" s="17"/>
      <c r="W102" s="17"/>
      <c r="X102" s="17"/>
      <c r="Y102" s="17"/>
    </row>
    <row r="103" spans="1:25">
      <c r="A103" s="17" t="s">
        <v>3049</v>
      </c>
      <c r="B103" s="17" t="s">
        <v>3049</v>
      </c>
      <c r="C103" s="17" t="s">
        <v>3050</v>
      </c>
      <c r="D103" s="17" t="s">
        <v>2669</v>
      </c>
      <c r="E103" s="17" t="s">
        <v>2968</v>
      </c>
      <c r="F103" s="17" t="s">
        <v>3049</v>
      </c>
      <c r="G103" s="17" t="s">
        <v>2671</v>
      </c>
      <c r="H103" s="17" t="s">
        <v>4312</v>
      </c>
      <c r="I103" s="17" t="s">
        <v>4237</v>
      </c>
      <c r="J103" s="17" t="s">
        <v>2969</v>
      </c>
      <c r="K103" s="17" t="s">
        <v>2791</v>
      </c>
      <c r="L103" s="17" t="s">
        <v>2970</v>
      </c>
      <c r="M103" s="17" t="s">
        <v>2669</v>
      </c>
      <c r="N103" s="17" t="s">
        <v>3049</v>
      </c>
      <c r="O103" s="17" t="s">
        <v>7635</v>
      </c>
      <c r="P103" s="17" t="s">
        <v>3051</v>
      </c>
      <c r="Q103" s="17"/>
      <c r="R103" s="17"/>
      <c r="S103" s="17"/>
      <c r="T103" s="17"/>
      <c r="U103" s="17"/>
      <c r="V103" s="17"/>
      <c r="W103" s="17"/>
      <c r="X103" s="17"/>
      <c r="Y103" s="17"/>
    </row>
    <row r="104" spans="1:25">
      <c r="A104" s="17" t="s">
        <v>3052</v>
      </c>
      <c r="B104" s="17" t="s">
        <v>3052</v>
      </c>
      <c r="C104" s="17" t="s">
        <v>3050</v>
      </c>
      <c r="D104" s="17" t="s">
        <v>2669</v>
      </c>
      <c r="E104" s="17" t="s">
        <v>2968</v>
      </c>
      <c r="F104" s="17" t="s">
        <v>3052</v>
      </c>
      <c r="G104" s="17" t="s">
        <v>2671</v>
      </c>
      <c r="H104" s="17" t="s">
        <v>6835</v>
      </c>
      <c r="I104" s="17" t="s">
        <v>4237</v>
      </c>
      <c r="J104" s="17" t="s">
        <v>2969</v>
      </c>
      <c r="K104" s="17" t="s">
        <v>2791</v>
      </c>
      <c r="L104" s="17" t="s">
        <v>2970</v>
      </c>
      <c r="M104" s="17" t="s">
        <v>2669</v>
      </c>
      <c r="N104" s="17" t="s">
        <v>3052</v>
      </c>
      <c r="O104" s="17" t="s">
        <v>7635</v>
      </c>
      <c r="P104" s="17" t="s">
        <v>3053</v>
      </c>
      <c r="Q104" s="17"/>
      <c r="R104" s="17"/>
      <c r="S104" s="17"/>
      <c r="T104" s="17"/>
      <c r="U104" s="17"/>
      <c r="V104" s="17"/>
      <c r="W104" s="17"/>
      <c r="X104" s="17"/>
      <c r="Y104" s="17"/>
    </row>
    <row r="105" spans="1:25">
      <c r="A105" s="17" t="s">
        <v>3054</v>
      </c>
      <c r="B105" s="17" t="s">
        <v>3054</v>
      </c>
      <c r="C105" s="17" t="s">
        <v>3055</v>
      </c>
      <c r="D105" s="17" t="s">
        <v>2669</v>
      </c>
      <c r="E105" s="17" t="s">
        <v>2968</v>
      </c>
      <c r="F105" s="17" t="s">
        <v>3054</v>
      </c>
      <c r="G105" s="17" t="s">
        <v>2671</v>
      </c>
      <c r="H105" s="17" t="s">
        <v>4312</v>
      </c>
      <c r="I105" s="17" t="s">
        <v>4237</v>
      </c>
      <c r="J105" s="17" t="s">
        <v>2969</v>
      </c>
      <c r="K105" s="17" t="s">
        <v>2800</v>
      </c>
      <c r="L105" s="17" t="s">
        <v>2970</v>
      </c>
      <c r="M105" s="17" t="s">
        <v>2669</v>
      </c>
      <c r="N105" s="17" t="s">
        <v>3054</v>
      </c>
      <c r="O105" s="17" t="s">
        <v>7635</v>
      </c>
      <c r="P105" s="17" t="s">
        <v>3056</v>
      </c>
      <c r="Q105" s="17"/>
      <c r="R105" s="17"/>
      <c r="S105" s="17"/>
      <c r="T105" s="17"/>
      <c r="U105" s="17"/>
      <c r="V105" s="17"/>
      <c r="W105" s="17"/>
      <c r="X105" s="17"/>
      <c r="Y105" s="17"/>
    </row>
    <row r="106" spans="1:25">
      <c r="A106" s="17" t="s">
        <v>3057</v>
      </c>
      <c r="B106" s="17" t="s">
        <v>3057</v>
      </c>
      <c r="C106" s="17" t="s">
        <v>3055</v>
      </c>
      <c r="D106" s="17" t="s">
        <v>2669</v>
      </c>
      <c r="E106" s="17" t="s">
        <v>2968</v>
      </c>
      <c r="F106" s="17" t="s">
        <v>3057</v>
      </c>
      <c r="G106" s="17" t="s">
        <v>2671</v>
      </c>
      <c r="H106" s="17" t="s">
        <v>6835</v>
      </c>
      <c r="I106" s="17" t="s">
        <v>4237</v>
      </c>
      <c r="J106" s="17" t="s">
        <v>2969</v>
      </c>
      <c r="K106" s="17" t="s">
        <v>2800</v>
      </c>
      <c r="L106" s="17" t="s">
        <v>2970</v>
      </c>
      <c r="M106" s="17" t="s">
        <v>2669</v>
      </c>
      <c r="N106" s="17" t="s">
        <v>3057</v>
      </c>
      <c r="O106" s="17" t="s">
        <v>7635</v>
      </c>
      <c r="P106" s="17" t="s">
        <v>3058</v>
      </c>
      <c r="Q106" s="17"/>
      <c r="R106" s="17"/>
      <c r="S106" s="17"/>
      <c r="T106" s="17"/>
      <c r="U106" s="17"/>
      <c r="V106" s="17"/>
      <c r="W106" s="17"/>
      <c r="X106" s="17"/>
      <c r="Y106" s="17"/>
    </row>
    <row r="107" spans="1:25">
      <c r="A107" s="17" t="s">
        <v>3059</v>
      </c>
      <c r="B107" s="17" t="s">
        <v>3059</v>
      </c>
      <c r="C107" s="17" t="s">
        <v>3060</v>
      </c>
      <c r="D107" s="17" t="s">
        <v>2669</v>
      </c>
      <c r="E107" s="17" t="s">
        <v>2968</v>
      </c>
      <c r="F107" s="17" t="s">
        <v>3059</v>
      </c>
      <c r="G107" s="17" t="s">
        <v>2671</v>
      </c>
      <c r="H107" s="17" t="s">
        <v>4312</v>
      </c>
      <c r="I107" s="17" t="s">
        <v>4237</v>
      </c>
      <c r="J107" s="17" t="s">
        <v>2969</v>
      </c>
      <c r="K107" s="17" t="s">
        <v>2809</v>
      </c>
      <c r="L107" s="17" t="s">
        <v>2970</v>
      </c>
      <c r="M107" s="17" t="s">
        <v>2669</v>
      </c>
      <c r="N107" s="17" t="s">
        <v>3059</v>
      </c>
      <c r="O107" s="17" t="s">
        <v>7635</v>
      </c>
      <c r="P107" s="17" t="s">
        <v>3061</v>
      </c>
      <c r="Q107" s="17"/>
      <c r="R107" s="17"/>
      <c r="S107" s="17"/>
      <c r="T107" s="17"/>
      <c r="U107" s="17"/>
      <c r="V107" s="17"/>
      <c r="W107" s="17"/>
      <c r="X107" s="17"/>
      <c r="Y107" s="17"/>
    </row>
    <row r="108" spans="1:25">
      <c r="A108" s="17" t="s">
        <v>3062</v>
      </c>
      <c r="B108" s="17" t="s">
        <v>3062</v>
      </c>
      <c r="C108" s="17" t="s">
        <v>3060</v>
      </c>
      <c r="D108" s="17" t="s">
        <v>2669</v>
      </c>
      <c r="E108" s="17" t="s">
        <v>2968</v>
      </c>
      <c r="F108" s="17" t="s">
        <v>3062</v>
      </c>
      <c r="G108" s="17" t="s">
        <v>2671</v>
      </c>
      <c r="H108" s="17" t="s">
        <v>6835</v>
      </c>
      <c r="I108" s="17" t="s">
        <v>4237</v>
      </c>
      <c r="J108" s="17" t="s">
        <v>2969</v>
      </c>
      <c r="K108" s="17" t="s">
        <v>2809</v>
      </c>
      <c r="L108" s="17" t="s">
        <v>2970</v>
      </c>
      <c r="M108" s="17" t="s">
        <v>2669</v>
      </c>
      <c r="N108" s="17" t="s">
        <v>3062</v>
      </c>
      <c r="O108" s="17" t="s">
        <v>7635</v>
      </c>
      <c r="P108" s="17" t="s">
        <v>3063</v>
      </c>
      <c r="Q108" s="17"/>
      <c r="R108" s="17"/>
      <c r="S108" s="17"/>
      <c r="T108" s="17"/>
      <c r="U108" s="17"/>
      <c r="V108" s="17"/>
      <c r="W108" s="17"/>
      <c r="X108" s="17"/>
      <c r="Y108" s="17"/>
    </row>
    <row r="109" spans="1:25">
      <c r="A109" s="17" t="s">
        <v>3064</v>
      </c>
      <c r="B109" s="17" t="s">
        <v>3064</v>
      </c>
      <c r="C109" s="17" t="s">
        <v>3065</v>
      </c>
      <c r="D109" s="17" t="s">
        <v>2669</v>
      </c>
      <c r="E109" s="17" t="s">
        <v>2968</v>
      </c>
      <c r="F109" s="17" t="s">
        <v>3064</v>
      </c>
      <c r="G109" s="17" t="s">
        <v>2671</v>
      </c>
      <c r="H109" s="17" t="s">
        <v>4312</v>
      </c>
      <c r="I109" s="17" t="s">
        <v>4237</v>
      </c>
      <c r="J109" s="17" t="s">
        <v>2969</v>
      </c>
      <c r="K109" s="17" t="s">
        <v>2818</v>
      </c>
      <c r="L109" s="17" t="s">
        <v>2970</v>
      </c>
      <c r="M109" s="17" t="s">
        <v>2669</v>
      </c>
      <c r="N109" s="17" t="s">
        <v>3064</v>
      </c>
      <c r="O109" s="17" t="s">
        <v>7635</v>
      </c>
      <c r="P109" s="17" t="s">
        <v>3066</v>
      </c>
      <c r="Q109" s="17"/>
      <c r="R109" s="17"/>
      <c r="S109" s="17"/>
      <c r="T109" s="17"/>
      <c r="U109" s="17"/>
      <c r="V109" s="17"/>
      <c r="W109" s="17"/>
      <c r="X109" s="17"/>
      <c r="Y109" s="17"/>
    </row>
    <row r="110" spans="1:25">
      <c r="A110" s="17" t="s">
        <v>3067</v>
      </c>
      <c r="B110" s="17" t="s">
        <v>3067</v>
      </c>
      <c r="C110" s="17" t="s">
        <v>3065</v>
      </c>
      <c r="D110" s="17" t="s">
        <v>2669</v>
      </c>
      <c r="E110" s="17" t="s">
        <v>2968</v>
      </c>
      <c r="F110" s="17" t="s">
        <v>3067</v>
      </c>
      <c r="G110" s="17" t="s">
        <v>2671</v>
      </c>
      <c r="H110" s="17" t="s">
        <v>6835</v>
      </c>
      <c r="I110" s="17" t="s">
        <v>4237</v>
      </c>
      <c r="J110" s="17" t="s">
        <v>2969</v>
      </c>
      <c r="K110" s="17" t="s">
        <v>2818</v>
      </c>
      <c r="L110" s="17" t="s">
        <v>2970</v>
      </c>
      <c r="M110" s="17" t="s">
        <v>2669</v>
      </c>
      <c r="N110" s="17" t="s">
        <v>3067</v>
      </c>
      <c r="O110" s="17" t="s">
        <v>7635</v>
      </c>
      <c r="P110" s="17" t="s">
        <v>3068</v>
      </c>
      <c r="Q110" s="17"/>
      <c r="R110" s="17"/>
      <c r="S110" s="17"/>
      <c r="T110" s="17"/>
      <c r="U110" s="17"/>
      <c r="V110" s="17"/>
      <c r="W110" s="17"/>
      <c r="X110" s="17"/>
      <c r="Y110" s="17"/>
    </row>
    <row r="111" spans="1:25">
      <c r="A111" s="17" t="s">
        <v>3069</v>
      </c>
      <c r="B111" s="17" t="s">
        <v>3069</v>
      </c>
      <c r="C111" s="17" t="s">
        <v>3070</v>
      </c>
      <c r="D111" s="17" t="s">
        <v>2669</v>
      </c>
      <c r="E111" s="17" t="s">
        <v>2968</v>
      </c>
      <c r="F111" s="17" t="s">
        <v>3069</v>
      </c>
      <c r="G111" s="17" t="s">
        <v>2671</v>
      </c>
      <c r="H111" s="17" t="s">
        <v>4312</v>
      </c>
      <c r="I111" s="17" t="s">
        <v>4237</v>
      </c>
      <c r="J111" s="17" t="s">
        <v>2969</v>
      </c>
      <c r="K111" s="17" t="s">
        <v>2827</v>
      </c>
      <c r="L111" s="17" t="s">
        <v>2970</v>
      </c>
      <c r="M111" s="17" t="s">
        <v>2669</v>
      </c>
      <c r="N111" s="17" t="s">
        <v>3069</v>
      </c>
      <c r="O111" s="17" t="s">
        <v>7635</v>
      </c>
      <c r="P111" s="17" t="s">
        <v>3071</v>
      </c>
      <c r="Q111" s="17"/>
      <c r="R111" s="17"/>
      <c r="S111" s="17"/>
      <c r="T111" s="17"/>
      <c r="U111" s="17"/>
      <c r="V111" s="17"/>
      <c r="W111" s="17"/>
      <c r="X111" s="17"/>
      <c r="Y111" s="17"/>
    </row>
    <row r="112" spans="1:25">
      <c r="A112" s="17" t="s">
        <v>3072</v>
      </c>
      <c r="B112" s="17" t="s">
        <v>3072</v>
      </c>
      <c r="C112" s="17" t="s">
        <v>3070</v>
      </c>
      <c r="D112" s="17" t="s">
        <v>2669</v>
      </c>
      <c r="E112" s="17" t="s">
        <v>2968</v>
      </c>
      <c r="F112" s="17" t="s">
        <v>3072</v>
      </c>
      <c r="G112" s="17" t="s">
        <v>2671</v>
      </c>
      <c r="H112" s="17" t="s">
        <v>6835</v>
      </c>
      <c r="I112" s="17" t="s">
        <v>4237</v>
      </c>
      <c r="J112" s="17" t="s">
        <v>2969</v>
      </c>
      <c r="K112" s="17" t="s">
        <v>2827</v>
      </c>
      <c r="L112" s="17" t="s">
        <v>2970</v>
      </c>
      <c r="M112" s="17" t="s">
        <v>2669</v>
      </c>
      <c r="N112" s="17" t="s">
        <v>3072</v>
      </c>
      <c r="O112" s="17" t="s">
        <v>7635</v>
      </c>
      <c r="P112" s="17" t="s">
        <v>3073</v>
      </c>
      <c r="Q112" s="17"/>
      <c r="R112" s="17"/>
      <c r="S112" s="17"/>
      <c r="T112" s="17"/>
      <c r="U112" s="17"/>
      <c r="V112" s="17"/>
      <c r="W112" s="17"/>
      <c r="X112" s="17"/>
      <c r="Y112" s="17"/>
    </row>
    <row r="113" spans="1:25">
      <c r="A113" s="17" t="s">
        <v>3074</v>
      </c>
      <c r="B113" s="17" t="s">
        <v>3074</v>
      </c>
      <c r="C113" s="17" t="s">
        <v>3075</v>
      </c>
      <c r="D113" s="17" t="s">
        <v>2669</v>
      </c>
      <c r="E113" s="17" t="s">
        <v>2968</v>
      </c>
      <c r="F113" s="17" t="s">
        <v>3074</v>
      </c>
      <c r="G113" s="17" t="s">
        <v>2671</v>
      </c>
      <c r="H113" s="17" t="s">
        <v>4312</v>
      </c>
      <c r="I113" s="17" t="s">
        <v>4237</v>
      </c>
      <c r="J113" s="17" t="s">
        <v>2969</v>
      </c>
      <c r="K113" s="17" t="s">
        <v>2836</v>
      </c>
      <c r="L113" s="17" t="s">
        <v>2970</v>
      </c>
      <c r="M113" s="17" t="s">
        <v>2669</v>
      </c>
      <c r="N113" s="17" t="s">
        <v>3074</v>
      </c>
      <c r="O113" s="17" t="s">
        <v>7635</v>
      </c>
      <c r="P113" s="17" t="s">
        <v>3076</v>
      </c>
      <c r="Q113" s="17"/>
      <c r="R113" s="17"/>
      <c r="S113" s="17"/>
      <c r="T113" s="17"/>
      <c r="U113" s="17"/>
      <c r="V113" s="17"/>
      <c r="W113" s="17"/>
      <c r="X113" s="17"/>
      <c r="Y113" s="17"/>
    </row>
    <row r="114" spans="1:25">
      <c r="A114" s="17" t="s">
        <v>3077</v>
      </c>
      <c r="B114" s="17" t="s">
        <v>3077</v>
      </c>
      <c r="C114" s="17" t="s">
        <v>3075</v>
      </c>
      <c r="D114" s="17" t="s">
        <v>2669</v>
      </c>
      <c r="E114" s="17" t="s">
        <v>2968</v>
      </c>
      <c r="F114" s="17" t="s">
        <v>3077</v>
      </c>
      <c r="G114" s="17" t="s">
        <v>2671</v>
      </c>
      <c r="H114" s="17" t="s">
        <v>6835</v>
      </c>
      <c r="I114" s="17" t="s">
        <v>4237</v>
      </c>
      <c r="J114" s="17" t="s">
        <v>2969</v>
      </c>
      <c r="K114" s="17" t="s">
        <v>2836</v>
      </c>
      <c r="L114" s="17" t="s">
        <v>2970</v>
      </c>
      <c r="M114" s="17" t="s">
        <v>2669</v>
      </c>
      <c r="N114" s="17" t="s">
        <v>3077</v>
      </c>
      <c r="O114" s="17" t="s">
        <v>7635</v>
      </c>
      <c r="P114" s="17" t="s">
        <v>3078</v>
      </c>
      <c r="Q114" s="17"/>
      <c r="R114" s="17"/>
      <c r="S114" s="17"/>
      <c r="T114" s="17"/>
      <c r="U114" s="17"/>
      <c r="V114" s="17"/>
      <c r="W114" s="17"/>
      <c r="X114" s="17"/>
      <c r="Y114" s="17"/>
    </row>
    <row r="115" spans="1:25">
      <c r="A115" s="17" t="s">
        <v>3079</v>
      </c>
      <c r="B115" s="17" t="s">
        <v>3079</v>
      </c>
      <c r="C115" s="17" t="s">
        <v>3080</v>
      </c>
      <c r="D115" s="17" t="s">
        <v>2669</v>
      </c>
      <c r="E115" s="17" t="s">
        <v>2968</v>
      </c>
      <c r="F115" s="17" t="s">
        <v>3079</v>
      </c>
      <c r="G115" s="17" t="s">
        <v>2671</v>
      </c>
      <c r="H115" s="17" t="s">
        <v>4312</v>
      </c>
      <c r="I115" s="17" t="s">
        <v>4237</v>
      </c>
      <c r="J115" s="17" t="s">
        <v>2969</v>
      </c>
      <c r="K115" s="17" t="s">
        <v>2845</v>
      </c>
      <c r="L115" s="17" t="s">
        <v>2970</v>
      </c>
      <c r="M115" s="17" t="s">
        <v>2669</v>
      </c>
      <c r="N115" s="17" t="s">
        <v>3079</v>
      </c>
      <c r="O115" s="17" t="s">
        <v>7635</v>
      </c>
      <c r="P115" s="17" t="s">
        <v>3081</v>
      </c>
      <c r="Q115" s="17"/>
      <c r="R115" s="17"/>
      <c r="S115" s="17"/>
      <c r="T115" s="17"/>
      <c r="U115" s="17"/>
      <c r="V115" s="17"/>
      <c r="W115" s="17"/>
      <c r="X115" s="17"/>
      <c r="Y115" s="17"/>
    </row>
    <row r="116" spans="1:25">
      <c r="A116" s="17" t="s">
        <v>3082</v>
      </c>
      <c r="B116" s="17" t="s">
        <v>3082</v>
      </c>
      <c r="C116" s="17" t="s">
        <v>3080</v>
      </c>
      <c r="D116" s="17" t="s">
        <v>2669</v>
      </c>
      <c r="E116" s="17" t="s">
        <v>2968</v>
      </c>
      <c r="F116" s="17" t="s">
        <v>3082</v>
      </c>
      <c r="G116" s="17" t="s">
        <v>2671</v>
      </c>
      <c r="H116" s="17" t="s">
        <v>6835</v>
      </c>
      <c r="I116" s="17" t="s">
        <v>4237</v>
      </c>
      <c r="J116" s="17" t="s">
        <v>2969</v>
      </c>
      <c r="K116" s="17" t="s">
        <v>2845</v>
      </c>
      <c r="L116" s="17" t="s">
        <v>2970</v>
      </c>
      <c r="M116" s="17" t="s">
        <v>2669</v>
      </c>
      <c r="N116" s="17" t="s">
        <v>3082</v>
      </c>
      <c r="O116" s="17" t="s">
        <v>7635</v>
      </c>
      <c r="P116" s="17" t="s">
        <v>3083</v>
      </c>
      <c r="Q116" s="17"/>
      <c r="R116" s="17"/>
      <c r="S116" s="17"/>
      <c r="T116" s="17"/>
      <c r="U116" s="17"/>
      <c r="V116" s="17"/>
      <c r="W116" s="17"/>
      <c r="X116" s="17"/>
      <c r="Y116" s="17"/>
    </row>
    <row r="117" spans="1:25">
      <c r="A117" s="17" t="s">
        <v>3084</v>
      </c>
      <c r="B117" s="17" t="s">
        <v>3084</v>
      </c>
      <c r="C117" s="17" t="s">
        <v>3085</v>
      </c>
      <c r="D117" s="17" t="s">
        <v>2669</v>
      </c>
      <c r="E117" s="17" t="s">
        <v>2968</v>
      </c>
      <c r="F117" s="17" t="s">
        <v>3084</v>
      </c>
      <c r="G117" s="17" t="s">
        <v>2671</v>
      </c>
      <c r="H117" s="17" t="s">
        <v>4312</v>
      </c>
      <c r="I117" s="17" t="s">
        <v>4237</v>
      </c>
      <c r="J117" s="17" t="s">
        <v>2969</v>
      </c>
      <c r="K117" s="17" t="s">
        <v>2854</v>
      </c>
      <c r="L117" s="17" t="s">
        <v>2970</v>
      </c>
      <c r="M117" s="17" t="s">
        <v>2669</v>
      </c>
      <c r="N117" s="17" t="s">
        <v>3084</v>
      </c>
      <c r="O117" s="17" t="s">
        <v>7635</v>
      </c>
      <c r="P117" s="17" t="s">
        <v>3086</v>
      </c>
      <c r="Q117" s="17"/>
      <c r="R117" s="17"/>
      <c r="S117" s="17"/>
      <c r="T117" s="17"/>
      <c r="U117" s="17"/>
      <c r="V117" s="17"/>
      <c r="W117" s="17"/>
      <c r="X117" s="17"/>
      <c r="Y117" s="17"/>
    </row>
    <row r="118" spans="1:25">
      <c r="A118" s="17" t="s">
        <v>3087</v>
      </c>
      <c r="B118" s="17" t="s">
        <v>3087</v>
      </c>
      <c r="C118" s="17" t="s">
        <v>3085</v>
      </c>
      <c r="D118" s="17" t="s">
        <v>2669</v>
      </c>
      <c r="E118" s="17" t="s">
        <v>2968</v>
      </c>
      <c r="F118" s="17" t="s">
        <v>3087</v>
      </c>
      <c r="G118" s="17" t="s">
        <v>2671</v>
      </c>
      <c r="H118" s="17" t="s">
        <v>6835</v>
      </c>
      <c r="I118" s="17" t="s">
        <v>4237</v>
      </c>
      <c r="J118" s="17" t="s">
        <v>2969</v>
      </c>
      <c r="K118" s="17" t="s">
        <v>2854</v>
      </c>
      <c r="L118" s="17" t="s">
        <v>2970</v>
      </c>
      <c r="M118" s="17" t="s">
        <v>2669</v>
      </c>
      <c r="N118" s="17" t="s">
        <v>3087</v>
      </c>
      <c r="O118" s="17" t="s">
        <v>7635</v>
      </c>
      <c r="P118" s="17" t="s">
        <v>3088</v>
      </c>
      <c r="Q118" s="17"/>
      <c r="R118" s="17"/>
      <c r="S118" s="17"/>
      <c r="T118" s="17"/>
      <c r="U118" s="17"/>
      <c r="V118" s="17"/>
      <c r="W118" s="17"/>
      <c r="X118" s="17"/>
      <c r="Y118" s="17"/>
    </row>
    <row r="119" spans="1:25">
      <c r="A119" s="17" t="s">
        <v>3089</v>
      </c>
      <c r="B119" s="17" t="s">
        <v>3089</v>
      </c>
      <c r="C119" s="17" t="s">
        <v>3090</v>
      </c>
      <c r="D119" s="17" t="s">
        <v>2669</v>
      </c>
      <c r="E119" s="17" t="s">
        <v>2968</v>
      </c>
      <c r="F119" s="17" t="s">
        <v>3089</v>
      </c>
      <c r="G119" s="17" t="s">
        <v>2671</v>
      </c>
      <c r="H119" s="17" t="s">
        <v>4312</v>
      </c>
      <c r="I119" s="17" t="s">
        <v>4237</v>
      </c>
      <c r="J119" s="17" t="s">
        <v>2969</v>
      </c>
      <c r="K119" s="17" t="s">
        <v>2864</v>
      </c>
      <c r="L119" s="17" t="s">
        <v>2970</v>
      </c>
      <c r="M119" s="17" t="s">
        <v>2669</v>
      </c>
      <c r="N119" s="17" t="s">
        <v>3089</v>
      </c>
      <c r="O119" s="17" t="s">
        <v>7635</v>
      </c>
      <c r="P119" s="17" t="s">
        <v>3091</v>
      </c>
      <c r="Q119" s="17"/>
      <c r="R119" s="17"/>
      <c r="S119" s="17"/>
      <c r="T119" s="17"/>
      <c r="U119" s="17"/>
      <c r="V119" s="17"/>
      <c r="W119" s="17"/>
      <c r="X119" s="17"/>
      <c r="Y119" s="17"/>
    </row>
    <row r="120" spans="1:25">
      <c r="A120" s="17" t="s">
        <v>3092</v>
      </c>
      <c r="B120" s="17" t="s">
        <v>3092</v>
      </c>
      <c r="C120" s="17" t="s">
        <v>3090</v>
      </c>
      <c r="D120" s="17" t="s">
        <v>2669</v>
      </c>
      <c r="E120" s="17" t="s">
        <v>2968</v>
      </c>
      <c r="F120" s="17" t="s">
        <v>3092</v>
      </c>
      <c r="G120" s="17" t="s">
        <v>2671</v>
      </c>
      <c r="H120" s="17" t="s">
        <v>6835</v>
      </c>
      <c r="I120" s="17" t="s">
        <v>4237</v>
      </c>
      <c r="J120" s="17" t="s">
        <v>2969</v>
      </c>
      <c r="K120" s="17" t="s">
        <v>2864</v>
      </c>
      <c r="L120" s="17" t="s">
        <v>2970</v>
      </c>
      <c r="M120" s="17" t="s">
        <v>2669</v>
      </c>
      <c r="N120" s="17" t="s">
        <v>3092</v>
      </c>
      <c r="O120" s="17" t="s">
        <v>7635</v>
      </c>
      <c r="P120" s="17" t="s">
        <v>3093</v>
      </c>
      <c r="Q120" s="17"/>
      <c r="R120" s="17"/>
      <c r="S120" s="17"/>
      <c r="T120" s="17"/>
      <c r="U120" s="17"/>
      <c r="V120" s="17"/>
      <c r="W120" s="17"/>
      <c r="X120" s="17"/>
      <c r="Y120" s="17"/>
    </row>
    <row r="121" spans="1:25">
      <c r="A121" s="17" t="s">
        <v>3094</v>
      </c>
      <c r="B121" s="17" t="s">
        <v>3094</v>
      </c>
      <c r="C121" s="17" t="s">
        <v>3095</v>
      </c>
      <c r="D121" s="17" t="s">
        <v>2669</v>
      </c>
      <c r="E121" s="17" t="s">
        <v>2968</v>
      </c>
      <c r="F121" s="17" t="s">
        <v>3094</v>
      </c>
      <c r="G121" s="17" t="s">
        <v>2671</v>
      </c>
      <c r="H121" s="17" t="s">
        <v>4312</v>
      </c>
      <c r="I121" s="17" t="s">
        <v>4237</v>
      </c>
      <c r="J121" s="17" t="s">
        <v>2969</v>
      </c>
      <c r="K121" s="17" t="s">
        <v>2873</v>
      </c>
      <c r="L121" s="17" t="s">
        <v>2970</v>
      </c>
      <c r="M121" s="17" t="s">
        <v>2669</v>
      </c>
      <c r="N121" s="17" t="s">
        <v>3094</v>
      </c>
      <c r="O121" s="17" t="s">
        <v>7635</v>
      </c>
      <c r="P121" s="17" t="s">
        <v>3096</v>
      </c>
      <c r="Q121" s="17"/>
      <c r="R121" s="17"/>
      <c r="S121" s="17"/>
      <c r="T121" s="17"/>
      <c r="U121" s="17"/>
      <c r="V121" s="17"/>
      <c r="W121" s="17"/>
      <c r="X121" s="17"/>
      <c r="Y121" s="17"/>
    </row>
    <row r="122" spans="1:25">
      <c r="A122" s="17" t="s">
        <v>3097</v>
      </c>
      <c r="B122" s="17" t="s">
        <v>3097</v>
      </c>
      <c r="C122" s="17" t="s">
        <v>3095</v>
      </c>
      <c r="D122" s="17" t="s">
        <v>2669</v>
      </c>
      <c r="E122" s="17" t="s">
        <v>2968</v>
      </c>
      <c r="F122" s="17" t="s">
        <v>3097</v>
      </c>
      <c r="G122" s="17" t="s">
        <v>2671</v>
      </c>
      <c r="H122" s="17" t="s">
        <v>6835</v>
      </c>
      <c r="I122" s="17" t="s">
        <v>4237</v>
      </c>
      <c r="J122" s="17" t="s">
        <v>2969</v>
      </c>
      <c r="K122" s="17" t="s">
        <v>2873</v>
      </c>
      <c r="L122" s="17" t="s">
        <v>2970</v>
      </c>
      <c r="M122" s="17" t="s">
        <v>2669</v>
      </c>
      <c r="N122" s="17" t="s">
        <v>3097</v>
      </c>
      <c r="O122" s="17" t="s">
        <v>7635</v>
      </c>
      <c r="P122" s="17" t="s">
        <v>3098</v>
      </c>
      <c r="Q122" s="17"/>
      <c r="R122" s="17"/>
      <c r="S122" s="17"/>
      <c r="T122" s="17"/>
      <c r="U122" s="17"/>
      <c r="V122" s="17"/>
      <c r="W122" s="17"/>
      <c r="X122" s="17"/>
      <c r="Y122" s="17"/>
    </row>
    <row r="123" spans="1:25">
      <c r="A123" s="17" t="s">
        <v>3099</v>
      </c>
      <c r="B123" s="17" t="s">
        <v>3099</v>
      </c>
      <c r="C123" s="17" t="s">
        <v>3100</v>
      </c>
      <c r="D123" s="17" t="s">
        <v>2669</v>
      </c>
      <c r="E123" s="17" t="s">
        <v>2968</v>
      </c>
      <c r="F123" s="17" t="s">
        <v>3099</v>
      </c>
      <c r="G123" s="17" t="s">
        <v>2671</v>
      </c>
      <c r="H123" s="17" t="s">
        <v>4312</v>
      </c>
      <c r="I123" s="17" t="s">
        <v>4237</v>
      </c>
      <c r="J123" s="17" t="s">
        <v>2969</v>
      </c>
      <c r="K123" s="17" t="s">
        <v>2882</v>
      </c>
      <c r="L123" s="17" t="s">
        <v>2970</v>
      </c>
      <c r="M123" s="17" t="s">
        <v>2669</v>
      </c>
      <c r="N123" s="17" t="s">
        <v>3099</v>
      </c>
      <c r="O123" s="17" t="s">
        <v>7635</v>
      </c>
      <c r="P123" s="17" t="s">
        <v>3101</v>
      </c>
      <c r="Q123" s="17"/>
      <c r="R123" s="17"/>
      <c r="S123" s="17"/>
      <c r="T123" s="17"/>
      <c r="U123" s="17"/>
      <c r="V123" s="17"/>
      <c r="W123" s="17"/>
      <c r="X123" s="17"/>
      <c r="Y123" s="17"/>
    </row>
    <row r="124" spans="1:25">
      <c r="A124" s="17" t="s">
        <v>3102</v>
      </c>
      <c r="B124" s="17" t="s">
        <v>3102</v>
      </c>
      <c r="C124" s="17" t="s">
        <v>3100</v>
      </c>
      <c r="D124" s="17" t="s">
        <v>2669</v>
      </c>
      <c r="E124" s="17" t="s">
        <v>2968</v>
      </c>
      <c r="F124" s="17" t="s">
        <v>3102</v>
      </c>
      <c r="G124" s="17" t="s">
        <v>2671</v>
      </c>
      <c r="H124" s="17" t="s">
        <v>6835</v>
      </c>
      <c r="I124" s="17" t="s">
        <v>4237</v>
      </c>
      <c r="J124" s="17" t="s">
        <v>2969</v>
      </c>
      <c r="K124" s="17" t="s">
        <v>2882</v>
      </c>
      <c r="L124" s="17" t="s">
        <v>2970</v>
      </c>
      <c r="M124" s="17" t="s">
        <v>2669</v>
      </c>
      <c r="N124" s="17" t="s">
        <v>3102</v>
      </c>
      <c r="O124" s="17" t="s">
        <v>7635</v>
      </c>
      <c r="P124" s="17" t="s">
        <v>3103</v>
      </c>
      <c r="Q124" s="17"/>
      <c r="R124" s="17"/>
      <c r="S124" s="17"/>
      <c r="T124" s="17"/>
      <c r="U124" s="17"/>
      <c r="V124" s="17"/>
      <c r="W124" s="17"/>
      <c r="X124" s="17"/>
      <c r="Y124" s="17"/>
    </row>
    <row r="125" spans="1:25">
      <c r="A125" s="17" t="s">
        <v>3104</v>
      </c>
      <c r="B125" s="17" t="s">
        <v>3104</v>
      </c>
      <c r="C125" s="17" t="s">
        <v>3105</v>
      </c>
      <c r="D125" s="17" t="s">
        <v>2669</v>
      </c>
      <c r="E125" s="17" t="s">
        <v>2968</v>
      </c>
      <c r="F125" s="17" t="s">
        <v>3104</v>
      </c>
      <c r="G125" s="17" t="s">
        <v>2671</v>
      </c>
      <c r="H125" s="17" t="s">
        <v>4312</v>
      </c>
      <c r="I125" s="17" t="s">
        <v>4237</v>
      </c>
      <c r="J125" s="17" t="s">
        <v>2969</v>
      </c>
      <c r="K125" s="17" t="s">
        <v>2889</v>
      </c>
      <c r="L125" s="17" t="s">
        <v>2970</v>
      </c>
      <c r="M125" s="17" t="s">
        <v>2669</v>
      </c>
      <c r="N125" s="17" t="s">
        <v>3104</v>
      </c>
      <c r="O125" s="17" t="s">
        <v>7635</v>
      </c>
      <c r="P125" s="17" t="s">
        <v>3106</v>
      </c>
      <c r="Q125" s="17"/>
      <c r="R125" s="17"/>
      <c r="S125" s="17"/>
      <c r="T125" s="17"/>
      <c r="U125" s="17"/>
      <c r="V125" s="17"/>
      <c r="W125" s="17"/>
      <c r="X125" s="17"/>
      <c r="Y125" s="17"/>
    </row>
    <row r="126" spans="1:25">
      <c r="A126" s="17" t="s">
        <v>3107</v>
      </c>
      <c r="B126" s="17" t="s">
        <v>3107</v>
      </c>
      <c r="C126" s="17" t="s">
        <v>3105</v>
      </c>
      <c r="D126" s="17" t="s">
        <v>2669</v>
      </c>
      <c r="E126" s="17" t="s">
        <v>2968</v>
      </c>
      <c r="F126" s="17" t="s">
        <v>3107</v>
      </c>
      <c r="G126" s="17" t="s">
        <v>2671</v>
      </c>
      <c r="H126" s="17" t="s">
        <v>6835</v>
      </c>
      <c r="I126" s="17" t="s">
        <v>4237</v>
      </c>
      <c r="J126" s="17" t="s">
        <v>2969</v>
      </c>
      <c r="K126" s="17" t="s">
        <v>2889</v>
      </c>
      <c r="L126" s="17" t="s">
        <v>2970</v>
      </c>
      <c r="M126" s="17" t="s">
        <v>2669</v>
      </c>
      <c r="N126" s="17" t="s">
        <v>3107</v>
      </c>
      <c r="O126" s="17" t="s">
        <v>7635</v>
      </c>
      <c r="P126" s="17" t="s">
        <v>3108</v>
      </c>
      <c r="Q126" s="17"/>
      <c r="R126" s="17"/>
      <c r="S126" s="17"/>
      <c r="T126" s="17"/>
      <c r="U126" s="17"/>
      <c r="V126" s="17"/>
      <c r="W126" s="17"/>
      <c r="X126" s="17"/>
      <c r="Y126" s="17"/>
    </row>
    <row r="127" spans="1:25">
      <c r="A127" s="17" t="s">
        <v>3109</v>
      </c>
      <c r="B127" s="17" t="s">
        <v>3109</v>
      </c>
      <c r="C127" s="17" t="s">
        <v>3110</v>
      </c>
      <c r="D127" s="17" t="s">
        <v>2669</v>
      </c>
      <c r="E127" s="17" t="s">
        <v>2968</v>
      </c>
      <c r="F127" s="17" t="s">
        <v>3109</v>
      </c>
      <c r="G127" s="17" t="s">
        <v>2671</v>
      </c>
      <c r="H127" s="17" t="s">
        <v>4312</v>
      </c>
      <c r="I127" s="17" t="s">
        <v>4237</v>
      </c>
      <c r="J127" s="17" t="s">
        <v>2969</v>
      </c>
      <c r="K127" s="17" t="s">
        <v>2893</v>
      </c>
      <c r="L127" s="17" t="s">
        <v>2970</v>
      </c>
      <c r="M127" s="17" t="s">
        <v>2669</v>
      </c>
      <c r="N127" s="17" t="s">
        <v>3109</v>
      </c>
      <c r="O127" s="17" t="s">
        <v>7635</v>
      </c>
      <c r="P127" s="17" t="s">
        <v>3111</v>
      </c>
      <c r="Q127" s="17"/>
      <c r="R127" s="17"/>
      <c r="S127" s="17"/>
      <c r="T127" s="17"/>
      <c r="U127" s="17"/>
      <c r="V127" s="17"/>
      <c r="W127" s="17"/>
      <c r="X127" s="17"/>
      <c r="Y127" s="17"/>
    </row>
    <row r="128" spans="1:25">
      <c r="A128" s="17" t="s">
        <v>3112</v>
      </c>
      <c r="B128" s="17" t="s">
        <v>3112</v>
      </c>
      <c r="C128" s="17" t="s">
        <v>3110</v>
      </c>
      <c r="D128" s="17" t="s">
        <v>2669</v>
      </c>
      <c r="E128" s="17" t="s">
        <v>2968</v>
      </c>
      <c r="F128" s="17" t="s">
        <v>3112</v>
      </c>
      <c r="G128" s="17" t="s">
        <v>2671</v>
      </c>
      <c r="H128" s="17" t="s">
        <v>6835</v>
      </c>
      <c r="I128" s="17" t="s">
        <v>4237</v>
      </c>
      <c r="J128" s="17" t="s">
        <v>2969</v>
      </c>
      <c r="K128" s="17" t="s">
        <v>2893</v>
      </c>
      <c r="L128" s="17" t="s">
        <v>2970</v>
      </c>
      <c r="M128" s="17" t="s">
        <v>2669</v>
      </c>
      <c r="N128" s="17" t="s">
        <v>3112</v>
      </c>
      <c r="O128" s="17" t="s">
        <v>7635</v>
      </c>
      <c r="P128" s="17" t="s">
        <v>3113</v>
      </c>
      <c r="Q128" s="17"/>
      <c r="R128" s="17"/>
      <c r="S128" s="17"/>
      <c r="T128" s="17"/>
      <c r="U128" s="17"/>
      <c r="V128" s="17"/>
      <c r="W128" s="17"/>
      <c r="X128" s="17"/>
      <c r="Y128" s="17"/>
    </row>
    <row r="129" spans="1:25">
      <c r="A129" s="17" t="s">
        <v>3114</v>
      </c>
      <c r="B129" s="17" t="s">
        <v>3114</v>
      </c>
      <c r="C129" s="17" t="s">
        <v>3115</v>
      </c>
      <c r="D129" s="17" t="s">
        <v>2669</v>
      </c>
      <c r="E129" s="17" t="s">
        <v>2968</v>
      </c>
      <c r="F129" s="17" t="s">
        <v>3114</v>
      </c>
      <c r="G129" s="17" t="s">
        <v>2671</v>
      </c>
      <c r="H129" s="17" t="s">
        <v>4312</v>
      </c>
      <c r="I129" s="17" t="s">
        <v>4237</v>
      </c>
      <c r="J129" s="17" t="s">
        <v>2969</v>
      </c>
      <c r="K129" s="17" t="s">
        <v>2902</v>
      </c>
      <c r="L129" s="17" t="s">
        <v>2970</v>
      </c>
      <c r="M129" s="17" t="s">
        <v>2669</v>
      </c>
      <c r="N129" s="17" t="s">
        <v>3114</v>
      </c>
      <c r="O129" s="17" t="s">
        <v>7635</v>
      </c>
      <c r="P129" s="17" t="s">
        <v>3116</v>
      </c>
      <c r="Q129" s="17"/>
      <c r="R129" s="17"/>
      <c r="S129" s="17"/>
      <c r="T129" s="17"/>
      <c r="U129" s="17"/>
      <c r="V129" s="17"/>
      <c r="W129" s="17"/>
      <c r="X129" s="17"/>
      <c r="Y129" s="17"/>
    </row>
    <row r="130" spans="1:25">
      <c r="A130" s="17" t="s">
        <v>3117</v>
      </c>
      <c r="B130" s="17" t="s">
        <v>3117</v>
      </c>
      <c r="C130" s="17" t="s">
        <v>3115</v>
      </c>
      <c r="D130" s="17" t="s">
        <v>2669</v>
      </c>
      <c r="E130" s="17" t="s">
        <v>2968</v>
      </c>
      <c r="F130" s="17" t="s">
        <v>3117</v>
      </c>
      <c r="G130" s="17" t="s">
        <v>2671</v>
      </c>
      <c r="H130" s="17" t="s">
        <v>6835</v>
      </c>
      <c r="I130" s="17" t="s">
        <v>4237</v>
      </c>
      <c r="J130" s="17" t="s">
        <v>2969</v>
      </c>
      <c r="K130" s="17" t="s">
        <v>2902</v>
      </c>
      <c r="L130" s="17" t="s">
        <v>2970</v>
      </c>
      <c r="M130" s="17" t="s">
        <v>2669</v>
      </c>
      <c r="N130" s="17" t="s">
        <v>3117</v>
      </c>
      <c r="O130" s="17" t="s">
        <v>7635</v>
      </c>
      <c r="P130" s="17" t="s">
        <v>3118</v>
      </c>
      <c r="Q130" s="17"/>
      <c r="R130" s="17"/>
      <c r="S130" s="17"/>
      <c r="T130" s="17"/>
      <c r="U130" s="17"/>
      <c r="V130" s="17"/>
      <c r="W130" s="17"/>
      <c r="X130" s="17"/>
      <c r="Y130" s="17"/>
    </row>
    <row r="131" spans="1:25">
      <c r="A131" s="17" t="s">
        <v>3119</v>
      </c>
      <c r="B131" s="17" t="s">
        <v>3119</v>
      </c>
      <c r="C131" s="17" t="s">
        <v>3120</v>
      </c>
      <c r="D131" s="17" t="s">
        <v>2669</v>
      </c>
      <c r="E131" s="17" t="s">
        <v>2968</v>
      </c>
      <c r="F131" s="17" t="s">
        <v>3119</v>
      </c>
      <c r="G131" s="17" t="s">
        <v>2671</v>
      </c>
      <c r="H131" s="17" t="s">
        <v>4312</v>
      </c>
      <c r="I131" s="17" t="s">
        <v>4237</v>
      </c>
      <c r="J131" s="17" t="s">
        <v>2969</v>
      </c>
      <c r="K131" s="17" t="s">
        <v>2909</v>
      </c>
      <c r="L131" s="17" t="s">
        <v>2970</v>
      </c>
      <c r="M131" s="17" t="s">
        <v>2669</v>
      </c>
      <c r="N131" s="17" t="s">
        <v>3119</v>
      </c>
      <c r="O131" s="17" t="s">
        <v>7635</v>
      </c>
      <c r="P131" s="17" t="s">
        <v>3121</v>
      </c>
      <c r="Q131" s="17"/>
      <c r="R131" s="17"/>
      <c r="S131" s="17"/>
      <c r="T131" s="17"/>
      <c r="U131" s="17"/>
      <c r="V131" s="17"/>
      <c r="W131" s="17"/>
      <c r="X131" s="17"/>
      <c r="Y131" s="17"/>
    </row>
    <row r="132" spans="1:25">
      <c r="A132" s="17" t="s">
        <v>3122</v>
      </c>
      <c r="B132" s="17" t="s">
        <v>3122</v>
      </c>
      <c r="C132" s="17" t="s">
        <v>3120</v>
      </c>
      <c r="D132" s="17" t="s">
        <v>2669</v>
      </c>
      <c r="E132" s="17" t="s">
        <v>2968</v>
      </c>
      <c r="F132" s="17" t="s">
        <v>3122</v>
      </c>
      <c r="G132" s="17" t="s">
        <v>2671</v>
      </c>
      <c r="H132" s="17" t="s">
        <v>6835</v>
      </c>
      <c r="I132" s="17" t="s">
        <v>4237</v>
      </c>
      <c r="J132" s="17" t="s">
        <v>2969</v>
      </c>
      <c r="K132" s="17" t="s">
        <v>2909</v>
      </c>
      <c r="L132" s="17" t="s">
        <v>2970</v>
      </c>
      <c r="M132" s="17" t="s">
        <v>2669</v>
      </c>
      <c r="N132" s="17" t="s">
        <v>3122</v>
      </c>
      <c r="O132" s="17" t="s">
        <v>7635</v>
      </c>
      <c r="P132" s="17" t="s">
        <v>3123</v>
      </c>
      <c r="Q132" s="17"/>
      <c r="R132" s="17"/>
      <c r="S132" s="17"/>
      <c r="T132" s="17"/>
      <c r="U132" s="17"/>
      <c r="V132" s="17"/>
      <c r="W132" s="17"/>
      <c r="X132" s="17"/>
      <c r="Y132" s="17"/>
    </row>
    <row r="133" spans="1:25">
      <c r="A133" s="17" t="s">
        <v>3124</v>
      </c>
      <c r="B133" s="17" t="s">
        <v>3124</v>
      </c>
      <c r="C133" s="17" t="s">
        <v>3125</v>
      </c>
      <c r="D133" s="17" t="s">
        <v>2669</v>
      </c>
      <c r="E133" s="17" t="s">
        <v>2968</v>
      </c>
      <c r="F133" s="17" t="s">
        <v>3124</v>
      </c>
      <c r="G133" s="17" t="s">
        <v>2671</v>
      </c>
      <c r="H133" s="17" t="s">
        <v>4312</v>
      </c>
      <c r="I133" s="17" t="s">
        <v>4237</v>
      </c>
      <c r="J133" s="17" t="s">
        <v>2969</v>
      </c>
      <c r="K133" s="17" t="s">
        <v>2916</v>
      </c>
      <c r="L133" s="17" t="s">
        <v>2970</v>
      </c>
      <c r="M133" s="17" t="s">
        <v>2669</v>
      </c>
      <c r="N133" s="17" t="s">
        <v>3124</v>
      </c>
      <c r="O133" s="17" t="s">
        <v>7635</v>
      </c>
      <c r="P133" s="17" t="s">
        <v>3126</v>
      </c>
      <c r="Q133" s="17"/>
      <c r="R133" s="17"/>
      <c r="S133" s="17"/>
      <c r="T133" s="17"/>
      <c r="U133" s="17"/>
      <c r="V133" s="17"/>
      <c r="W133" s="17"/>
      <c r="X133" s="17"/>
      <c r="Y133" s="17"/>
    </row>
    <row r="134" spans="1:25">
      <c r="A134" s="17" t="s">
        <v>3127</v>
      </c>
      <c r="B134" s="17" t="s">
        <v>3127</v>
      </c>
      <c r="C134" s="17" t="s">
        <v>3125</v>
      </c>
      <c r="D134" s="17" t="s">
        <v>2669</v>
      </c>
      <c r="E134" s="17" t="s">
        <v>2968</v>
      </c>
      <c r="F134" s="17" t="s">
        <v>3127</v>
      </c>
      <c r="G134" s="17" t="s">
        <v>2671</v>
      </c>
      <c r="H134" s="17" t="s">
        <v>6835</v>
      </c>
      <c r="I134" s="17" t="s">
        <v>4237</v>
      </c>
      <c r="J134" s="17" t="s">
        <v>2969</v>
      </c>
      <c r="K134" s="17" t="s">
        <v>2916</v>
      </c>
      <c r="L134" s="17" t="s">
        <v>2970</v>
      </c>
      <c r="M134" s="17" t="s">
        <v>2669</v>
      </c>
      <c r="N134" s="17" t="s">
        <v>3127</v>
      </c>
      <c r="O134" s="17" t="s">
        <v>7635</v>
      </c>
      <c r="P134" s="17" t="s">
        <v>3128</v>
      </c>
      <c r="Q134" s="17"/>
      <c r="R134" s="17"/>
      <c r="S134" s="17"/>
      <c r="T134" s="17"/>
      <c r="U134" s="17"/>
      <c r="V134" s="17"/>
      <c r="W134" s="17"/>
      <c r="X134" s="17"/>
      <c r="Y134" s="17"/>
    </row>
    <row r="135" spans="1:25">
      <c r="A135" s="17" t="s">
        <v>3129</v>
      </c>
      <c r="B135" s="17" t="s">
        <v>3129</v>
      </c>
      <c r="C135" s="17" t="s">
        <v>3130</v>
      </c>
      <c r="D135" s="17" t="s">
        <v>2669</v>
      </c>
      <c r="E135" s="17" t="s">
        <v>2968</v>
      </c>
      <c r="F135" s="17" t="s">
        <v>3129</v>
      </c>
      <c r="G135" s="17" t="s">
        <v>2671</v>
      </c>
      <c r="H135" s="17" t="s">
        <v>4312</v>
      </c>
      <c r="I135" s="17" t="s">
        <v>4237</v>
      </c>
      <c r="J135" s="17" t="s">
        <v>2969</v>
      </c>
      <c r="K135" s="17" t="s">
        <v>2923</v>
      </c>
      <c r="L135" s="17" t="s">
        <v>2970</v>
      </c>
      <c r="M135" s="17" t="s">
        <v>2669</v>
      </c>
      <c r="N135" s="17" t="s">
        <v>3129</v>
      </c>
      <c r="O135" s="17" t="s">
        <v>7635</v>
      </c>
      <c r="P135" s="17" t="s">
        <v>3131</v>
      </c>
      <c r="Q135" s="17" t="s">
        <v>6602</v>
      </c>
      <c r="R135" s="17" t="s">
        <v>3129</v>
      </c>
      <c r="S135" s="17"/>
      <c r="T135" s="17"/>
      <c r="U135" s="17"/>
      <c r="V135" s="17"/>
      <c r="W135" s="17" t="s">
        <v>4559</v>
      </c>
      <c r="X135" s="17" t="s">
        <v>6603</v>
      </c>
      <c r="Y135" s="17"/>
    </row>
    <row r="136" spans="1:25">
      <c r="A136" s="17" t="s">
        <v>3132</v>
      </c>
      <c r="B136" s="17" t="s">
        <v>3132</v>
      </c>
      <c r="C136" s="17" t="s">
        <v>3130</v>
      </c>
      <c r="D136" s="17" t="s">
        <v>2669</v>
      </c>
      <c r="E136" s="17" t="s">
        <v>2968</v>
      </c>
      <c r="F136" s="17" t="s">
        <v>3132</v>
      </c>
      <c r="G136" s="17" t="s">
        <v>2671</v>
      </c>
      <c r="H136" s="17" t="s">
        <v>6835</v>
      </c>
      <c r="I136" s="17" t="s">
        <v>4237</v>
      </c>
      <c r="J136" s="17" t="s">
        <v>2969</v>
      </c>
      <c r="K136" s="17" t="s">
        <v>2923</v>
      </c>
      <c r="L136" s="17" t="s">
        <v>2970</v>
      </c>
      <c r="M136" s="17" t="s">
        <v>2669</v>
      </c>
      <c r="N136" s="17" t="s">
        <v>3132</v>
      </c>
      <c r="O136" s="17" t="s">
        <v>7635</v>
      </c>
      <c r="P136" s="17" t="s">
        <v>3133</v>
      </c>
      <c r="Q136" s="17"/>
      <c r="R136" s="17"/>
      <c r="S136" s="17"/>
      <c r="T136" s="17"/>
      <c r="U136" s="17"/>
      <c r="V136" s="17"/>
      <c r="W136" s="17"/>
      <c r="X136" s="17"/>
      <c r="Y136" s="17"/>
    </row>
    <row r="137" spans="1:25">
      <c r="A137" s="17" t="s">
        <v>3134</v>
      </c>
      <c r="B137" s="17" t="s">
        <v>3134</v>
      </c>
      <c r="C137" s="17" t="s">
        <v>3135</v>
      </c>
      <c r="D137" s="17" t="s">
        <v>2669</v>
      </c>
      <c r="E137" s="17" t="s">
        <v>2968</v>
      </c>
      <c r="F137" s="17" t="s">
        <v>3134</v>
      </c>
      <c r="G137" s="17" t="s">
        <v>2671</v>
      </c>
      <c r="H137" s="17" t="s">
        <v>4312</v>
      </c>
      <c r="I137" s="17" t="s">
        <v>4237</v>
      </c>
      <c r="J137" s="17" t="s">
        <v>2969</v>
      </c>
      <c r="K137" s="17" t="s">
        <v>2930</v>
      </c>
      <c r="L137" s="17" t="s">
        <v>2970</v>
      </c>
      <c r="M137" s="17" t="s">
        <v>2669</v>
      </c>
      <c r="N137" s="17" t="s">
        <v>3134</v>
      </c>
      <c r="O137" s="17" t="s">
        <v>7635</v>
      </c>
      <c r="P137" s="17" t="s">
        <v>3136</v>
      </c>
      <c r="Q137" s="17"/>
      <c r="R137" s="17"/>
      <c r="S137" s="17"/>
      <c r="T137" s="17"/>
      <c r="U137" s="17"/>
      <c r="V137" s="17"/>
      <c r="W137" s="17"/>
      <c r="X137" s="17"/>
      <c r="Y137" s="17"/>
    </row>
    <row r="138" spans="1:25">
      <c r="A138" s="17" t="s">
        <v>3137</v>
      </c>
      <c r="B138" s="17" t="s">
        <v>3137</v>
      </c>
      <c r="C138" s="17" t="s">
        <v>3135</v>
      </c>
      <c r="D138" s="17" t="s">
        <v>2669</v>
      </c>
      <c r="E138" s="17" t="s">
        <v>2968</v>
      </c>
      <c r="F138" s="17" t="s">
        <v>3137</v>
      </c>
      <c r="G138" s="17" t="s">
        <v>2671</v>
      </c>
      <c r="H138" s="17" t="s">
        <v>6835</v>
      </c>
      <c r="I138" s="17" t="s">
        <v>4237</v>
      </c>
      <c r="J138" s="17" t="s">
        <v>2969</v>
      </c>
      <c r="K138" s="17" t="s">
        <v>2930</v>
      </c>
      <c r="L138" s="17" t="s">
        <v>2970</v>
      </c>
      <c r="M138" s="17" t="s">
        <v>2669</v>
      </c>
      <c r="N138" s="17" t="s">
        <v>3137</v>
      </c>
      <c r="O138" s="17" t="s">
        <v>7635</v>
      </c>
      <c r="P138" s="17" t="s">
        <v>3138</v>
      </c>
      <c r="Q138" s="17"/>
      <c r="R138" s="17"/>
      <c r="S138" s="17"/>
      <c r="T138" s="17"/>
      <c r="U138" s="17"/>
      <c r="V138" s="17"/>
      <c r="W138" s="17"/>
      <c r="X138" s="17"/>
      <c r="Y138" s="17"/>
    </row>
    <row r="139" spans="1:25">
      <c r="A139" s="17" t="s">
        <v>3139</v>
      </c>
      <c r="B139" s="17" t="s">
        <v>3139</v>
      </c>
      <c r="C139" s="17" t="s">
        <v>3140</v>
      </c>
      <c r="D139" s="17" t="s">
        <v>2669</v>
      </c>
      <c r="E139" s="17" t="s">
        <v>2968</v>
      </c>
      <c r="F139" s="17" t="s">
        <v>3139</v>
      </c>
      <c r="G139" s="17" t="s">
        <v>2671</v>
      </c>
      <c r="H139" s="17" t="s">
        <v>4312</v>
      </c>
      <c r="I139" s="17" t="s">
        <v>4237</v>
      </c>
      <c r="J139" s="17" t="s">
        <v>2969</v>
      </c>
      <c r="K139" s="17" t="s">
        <v>2934</v>
      </c>
      <c r="L139" s="17" t="s">
        <v>2970</v>
      </c>
      <c r="M139" s="17" t="s">
        <v>2669</v>
      </c>
      <c r="N139" s="17" t="s">
        <v>3139</v>
      </c>
      <c r="O139" s="17" t="s">
        <v>7635</v>
      </c>
      <c r="P139" s="17" t="s">
        <v>3141</v>
      </c>
      <c r="Q139" s="17"/>
      <c r="R139" s="17"/>
      <c r="S139" s="17"/>
      <c r="T139" s="17"/>
      <c r="U139" s="17"/>
      <c r="V139" s="17"/>
      <c r="W139" s="17"/>
      <c r="X139" s="17"/>
      <c r="Y139" s="17"/>
    </row>
    <row r="140" spans="1:25">
      <c r="A140" s="17" t="s">
        <v>3142</v>
      </c>
      <c r="B140" s="17" t="s">
        <v>3142</v>
      </c>
      <c r="C140" s="17" t="s">
        <v>3140</v>
      </c>
      <c r="D140" s="17" t="s">
        <v>2669</v>
      </c>
      <c r="E140" s="17" t="s">
        <v>2968</v>
      </c>
      <c r="F140" s="17" t="s">
        <v>3142</v>
      </c>
      <c r="G140" s="17" t="s">
        <v>2671</v>
      </c>
      <c r="H140" s="17" t="s">
        <v>6835</v>
      </c>
      <c r="I140" s="17" t="s">
        <v>4237</v>
      </c>
      <c r="J140" s="17" t="s">
        <v>2969</v>
      </c>
      <c r="K140" s="17" t="s">
        <v>2934</v>
      </c>
      <c r="L140" s="17" t="s">
        <v>2970</v>
      </c>
      <c r="M140" s="17" t="s">
        <v>2669</v>
      </c>
      <c r="N140" s="17" t="s">
        <v>3142</v>
      </c>
      <c r="O140" s="17" t="s">
        <v>7635</v>
      </c>
      <c r="P140" s="17" t="s">
        <v>3143</v>
      </c>
      <c r="Q140" s="17"/>
      <c r="R140" s="17"/>
      <c r="S140" s="17"/>
      <c r="T140" s="17"/>
      <c r="U140" s="17"/>
      <c r="V140" s="17"/>
      <c r="W140" s="17"/>
      <c r="X140" s="17"/>
      <c r="Y140" s="17"/>
    </row>
    <row r="141" spans="1:25">
      <c r="A141" s="17" t="s">
        <v>3144</v>
      </c>
      <c r="B141" s="17" t="s">
        <v>3144</v>
      </c>
      <c r="C141" s="17" t="s">
        <v>3145</v>
      </c>
      <c r="D141" s="17" t="s">
        <v>2669</v>
      </c>
      <c r="E141" s="17" t="s">
        <v>2968</v>
      </c>
      <c r="F141" s="17" t="s">
        <v>3144</v>
      </c>
      <c r="G141" s="17" t="s">
        <v>2671</v>
      </c>
      <c r="H141" s="17" t="s">
        <v>4312</v>
      </c>
      <c r="I141" s="17" t="s">
        <v>4237</v>
      </c>
      <c r="J141" s="17" t="s">
        <v>2969</v>
      </c>
      <c r="K141" s="17" t="s">
        <v>2938</v>
      </c>
      <c r="L141" s="17" t="s">
        <v>2970</v>
      </c>
      <c r="M141" s="17" t="s">
        <v>2669</v>
      </c>
      <c r="N141" s="17" t="s">
        <v>3144</v>
      </c>
      <c r="O141" s="17" t="s">
        <v>7635</v>
      </c>
      <c r="P141" s="17" t="s">
        <v>3146</v>
      </c>
      <c r="Q141" s="17"/>
      <c r="R141" s="17"/>
      <c r="S141" s="17"/>
      <c r="T141" s="17"/>
      <c r="U141" s="17"/>
      <c r="V141" s="17"/>
      <c r="W141" s="17"/>
      <c r="X141" s="17"/>
      <c r="Y141" s="17"/>
    </row>
    <row r="142" spans="1:25">
      <c r="A142" s="17" t="s">
        <v>3147</v>
      </c>
      <c r="B142" s="17" t="s">
        <v>3147</v>
      </c>
      <c r="C142" s="17" t="s">
        <v>3145</v>
      </c>
      <c r="D142" s="17" t="s">
        <v>2669</v>
      </c>
      <c r="E142" s="17" t="s">
        <v>2968</v>
      </c>
      <c r="F142" s="17" t="s">
        <v>3147</v>
      </c>
      <c r="G142" s="17" t="s">
        <v>2671</v>
      </c>
      <c r="H142" s="17" t="s">
        <v>6835</v>
      </c>
      <c r="I142" s="17" t="s">
        <v>4237</v>
      </c>
      <c r="J142" s="17" t="s">
        <v>2969</v>
      </c>
      <c r="K142" s="17" t="s">
        <v>2938</v>
      </c>
      <c r="L142" s="17" t="s">
        <v>2970</v>
      </c>
      <c r="M142" s="17" t="s">
        <v>2669</v>
      </c>
      <c r="N142" s="17" t="s">
        <v>3147</v>
      </c>
      <c r="O142" s="17" t="s">
        <v>7635</v>
      </c>
      <c r="P142" s="17" t="s">
        <v>3148</v>
      </c>
      <c r="Q142" s="17"/>
      <c r="R142" s="17"/>
      <c r="S142" s="17"/>
      <c r="T142" s="17"/>
      <c r="U142" s="17"/>
      <c r="V142" s="17"/>
      <c r="W142" s="17"/>
      <c r="X142" s="17"/>
      <c r="Y142" s="17"/>
    </row>
    <row r="143" spans="1:25">
      <c r="A143" s="17" t="s">
        <v>3149</v>
      </c>
      <c r="B143" s="17" t="s">
        <v>3149</v>
      </c>
      <c r="C143" s="17" t="s">
        <v>3150</v>
      </c>
      <c r="D143" s="17" t="s">
        <v>2669</v>
      </c>
      <c r="E143" s="17" t="s">
        <v>2968</v>
      </c>
      <c r="F143" s="17" t="s">
        <v>3149</v>
      </c>
      <c r="G143" s="17" t="s">
        <v>2671</v>
      </c>
      <c r="H143" s="17" t="s">
        <v>4312</v>
      </c>
      <c r="I143" s="17" t="s">
        <v>4237</v>
      </c>
      <c r="J143" s="17" t="s">
        <v>2969</v>
      </c>
      <c r="K143" s="17" t="s">
        <v>3151</v>
      </c>
      <c r="L143" s="17" t="s">
        <v>2970</v>
      </c>
      <c r="M143" s="17" t="s">
        <v>2669</v>
      </c>
      <c r="N143" s="17" t="s">
        <v>3149</v>
      </c>
      <c r="O143" s="17" t="s">
        <v>7635</v>
      </c>
      <c r="P143" s="17" t="s">
        <v>3152</v>
      </c>
      <c r="Q143" s="17"/>
      <c r="R143" s="17"/>
      <c r="S143" s="17"/>
      <c r="T143" s="17"/>
      <c r="U143" s="17"/>
      <c r="V143" s="17"/>
      <c r="W143" s="17"/>
      <c r="X143" s="17"/>
      <c r="Y143" s="17"/>
    </row>
    <row r="144" spans="1:25">
      <c r="A144" s="17" t="s">
        <v>3153</v>
      </c>
      <c r="B144" s="17" t="s">
        <v>3153</v>
      </c>
      <c r="C144" s="17" t="s">
        <v>3150</v>
      </c>
      <c r="D144" s="17" t="s">
        <v>2669</v>
      </c>
      <c r="E144" s="17" t="s">
        <v>2968</v>
      </c>
      <c r="F144" s="17" t="s">
        <v>3153</v>
      </c>
      <c r="G144" s="17" t="s">
        <v>2671</v>
      </c>
      <c r="H144" s="17" t="s">
        <v>6835</v>
      </c>
      <c r="I144" s="17" t="s">
        <v>4237</v>
      </c>
      <c r="J144" s="17" t="s">
        <v>2969</v>
      </c>
      <c r="K144" s="17" t="s">
        <v>3151</v>
      </c>
      <c r="L144" s="17" t="s">
        <v>2970</v>
      </c>
      <c r="M144" s="17" t="s">
        <v>2669</v>
      </c>
      <c r="N144" s="17" t="s">
        <v>3153</v>
      </c>
      <c r="O144" s="17" t="s">
        <v>7635</v>
      </c>
      <c r="P144" s="17" t="s">
        <v>3154</v>
      </c>
      <c r="Q144" s="17"/>
      <c r="R144" s="17"/>
      <c r="S144" s="17"/>
      <c r="T144" s="17"/>
      <c r="U144" s="17"/>
      <c r="V144" s="17"/>
      <c r="W144" s="17"/>
      <c r="X144" s="17"/>
      <c r="Y144" s="17"/>
    </row>
    <row r="145" spans="1:25">
      <c r="A145" s="17" t="s">
        <v>3155</v>
      </c>
      <c r="B145" s="17" t="s">
        <v>3155</v>
      </c>
      <c r="C145" s="17" t="s">
        <v>3156</v>
      </c>
      <c r="D145" s="17" t="s">
        <v>2669</v>
      </c>
      <c r="E145" s="17" t="s">
        <v>2968</v>
      </c>
      <c r="F145" s="17" t="s">
        <v>3155</v>
      </c>
      <c r="G145" s="17" t="s">
        <v>2671</v>
      </c>
      <c r="H145" s="17" t="s">
        <v>4312</v>
      </c>
      <c r="I145" s="17" t="s">
        <v>4237</v>
      </c>
      <c r="J145" s="17" t="s">
        <v>2969</v>
      </c>
      <c r="K145" s="17" t="s">
        <v>2945</v>
      </c>
      <c r="L145" s="17" t="s">
        <v>2970</v>
      </c>
      <c r="M145" s="17" t="s">
        <v>2669</v>
      </c>
      <c r="N145" s="17" t="s">
        <v>3155</v>
      </c>
      <c r="O145" s="17" t="s">
        <v>7635</v>
      </c>
      <c r="P145" s="17" t="s">
        <v>3157</v>
      </c>
      <c r="Q145" s="17"/>
      <c r="R145" s="17"/>
      <c r="S145" s="17"/>
      <c r="T145" s="17"/>
      <c r="U145" s="17"/>
      <c r="V145" s="17"/>
      <c r="W145" s="17"/>
      <c r="X145" s="17"/>
      <c r="Y145" s="17"/>
    </row>
    <row r="146" spans="1:25">
      <c r="A146" s="17" t="s">
        <v>3158</v>
      </c>
      <c r="B146" s="17" t="s">
        <v>3158</v>
      </c>
      <c r="C146" s="17" t="s">
        <v>3156</v>
      </c>
      <c r="D146" s="17" t="s">
        <v>2669</v>
      </c>
      <c r="E146" s="17" t="s">
        <v>2968</v>
      </c>
      <c r="F146" s="17" t="s">
        <v>3158</v>
      </c>
      <c r="G146" s="17" t="s">
        <v>2671</v>
      </c>
      <c r="H146" s="17" t="s">
        <v>6835</v>
      </c>
      <c r="I146" s="17" t="s">
        <v>4237</v>
      </c>
      <c r="J146" s="17" t="s">
        <v>2969</v>
      </c>
      <c r="K146" s="17" t="s">
        <v>2945</v>
      </c>
      <c r="L146" s="17" t="s">
        <v>2970</v>
      </c>
      <c r="M146" s="17" t="s">
        <v>2669</v>
      </c>
      <c r="N146" s="17" t="s">
        <v>3158</v>
      </c>
      <c r="O146" s="17" t="s">
        <v>7635</v>
      </c>
      <c r="P146" s="17" t="s">
        <v>3159</v>
      </c>
      <c r="Q146" s="17"/>
      <c r="R146" s="17"/>
      <c r="S146" s="17"/>
      <c r="T146" s="17"/>
      <c r="U146" s="17"/>
      <c r="V146" s="17"/>
      <c r="W146" s="17"/>
      <c r="X146" s="17"/>
      <c r="Y146" s="17"/>
    </row>
    <row r="147" spans="1:25">
      <c r="A147" s="17" t="s">
        <v>3160</v>
      </c>
      <c r="B147" s="17" t="s">
        <v>3160</v>
      </c>
      <c r="C147" s="17" t="s">
        <v>3161</v>
      </c>
      <c r="D147" s="17" t="s">
        <v>2669</v>
      </c>
      <c r="E147" s="17" t="s">
        <v>2968</v>
      </c>
      <c r="F147" s="17" t="s">
        <v>3160</v>
      </c>
      <c r="G147" s="17" t="s">
        <v>2671</v>
      </c>
      <c r="H147" s="17" t="s">
        <v>4312</v>
      </c>
      <c r="I147" s="17" t="s">
        <v>4237</v>
      </c>
      <c r="J147" s="17" t="s">
        <v>2969</v>
      </c>
      <c r="K147" s="17" t="s">
        <v>3162</v>
      </c>
      <c r="L147" s="17" t="s">
        <v>2970</v>
      </c>
      <c r="M147" s="17" t="s">
        <v>2669</v>
      </c>
      <c r="N147" s="17" t="s">
        <v>3160</v>
      </c>
      <c r="O147" s="17" t="s">
        <v>7635</v>
      </c>
      <c r="P147" s="17" t="s">
        <v>3163</v>
      </c>
      <c r="Q147" s="17"/>
      <c r="R147" s="17"/>
      <c r="S147" s="17"/>
      <c r="T147" s="17"/>
      <c r="U147" s="17"/>
      <c r="V147" s="17"/>
      <c r="W147" s="17"/>
      <c r="X147" s="17"/>
      <c r="Y147" s="17"/>
    </row>
    <row r="148" spans="1:25">
      <c r="A148" s="17" t="s">
        <v>3164</v>
      </c>
      <c r="B148" s="17" t="s">
        <v>3164</v>
      </c>
      <c r="C148" s="17" t="s">
        <v>3161</v>
      </c>
      <c r="D148" s="17" t="s">
        <v>2669</v>
      </c>
      <c r="E148" s="17" t="s">
        <v>2968</v>
      </c>
      <c r="F148" s="17" t="s">
        <v>3164</v>
      </c>
      <c r="G148" s="17" t="s">
        <v>2671</v>
      </c>
      <c r="H148" s="17" t="s">
        <v>6835</v>
      </c>
      <c r="I148" s="17" t="s">
        <v>4237</v>
      </c>
      <c r="J148" s="17" t="s">
        <v>2969</v>
      </c>
      <c r="K148" s="17" t="s">
        <v>3162</v>
      </c>
      <c r="L148" s="17" t="s">
        <v>2970</v>
      </c>
      <c r="M148" s="17" t="s">
        <v>2669</v>
      </c>
      <c r="N148" s="17" t="s">
        <v>3164</v>
      </c>
      <c r="O148" s="17" t="s">
        <v>7635</v>
      </c>
      <c r="P148" s="17" t="s">
        <v>3165</v>
      </c>
      <c r="Q148" s="17"/>
      <c r="R148" s="17"/>
      <c r="S148" s="17"/>
      <c r="T148" s="17"/>
      <c r="U148" s="17"/>
      <c r="V148" s="17"/>
      <c r="W148" s="17"/>
      <c r="X148" s="17"/>
      <c r="Y148" s="17"/>
    </row>
    <row r="149" spans="1:25">
      <c r="A149" s="17" t="s">
        <v>3166</v>
      </c>
      <c r="B149" s="17" t="s">
        <v>3166</v>
      </c>
      <c r="C149" s="17" t="s">
        <v>3167</v>
      </c>
      <c r="D149" s="17" t="s">
        <v>2669</v>
      </c>
      <c r="E149" s="17" t="s">
        <v>2968</v>
      </c>
      <c r="F149" s="17" t="s">
        <v>3166</v>
      </c>
      <c r="G149" s="17" t="s">
        <v>2671</v>
      </c>
      <c r="H149" s="17" t="s">
        <v>4312</v>
      </c>
      <c r="I149" s="17" t="s">
        <v>4237</v>
      </c>
      <c r="J149" s="17" t="s">
        <v>2969</v>
      </c>
      <c r="K149" s="17" t="s">
        <v>3168</v>
      </c>
      <c r="L149" s="17" t="s">
        <v>2970</v>
      </c>
      <c r="M149" s="17" t="s">
        <v>2669</v>
      </c>
      <c r="N149" s="17" t="s">
        <v>3166</v>
      </c>
      <c r="O149" s="17" t="s">
        <v>7635</v>
      </c>
      <c r="P149" s="17" t="s">
        <v>3169</v>
      </c>
      <c r="Q149" s="17"/>
      <c r="R149" s="17"/>
      <c r="S149" s="17"/>
      <c r="T149" s="17"/>
      <c r="U149" s="17"/>
      <c r="V149" s="17"/>
      <c r="W149" s="17"/>
      <c r="X149" s="17"/>
      <c r="Y149" s="17"/>
    </row>
    <row r="150" spans="1:25">
      <c r="A150" s="17" t="s">
        <v>3170</v>
      </c>
      <c r="B150" s="17" t="s">
        <v>3170</v>
      </c>
      <c r="C150" s="17" t="s">
        <v>3167</v>
      </c>
      <c r="D150" s="17" t="s">
        <v>2669</v>
      </c>
      <c r="E150" s="17" t="s">
        <v>2968</v>
      </c>
      <c r="F150" s="17" t="s">
        <v>3170</v>
      </c>
      <c r="G150" s="17" t="s">
        <v>2671</v>
      </c>
      <c r="H150" s="17" t="s">
        <v>6835</v>
      </c>
      <c r="I150" s="17" t="s">
        <v>4237</v>
      </c>
      <c r="J150" s="17" t="s">
        <v>2969</v>
      </c>
      <c r="K150" s="17" t="s">
        <v>3168</v>
      </c>
      <c r="L150" s="17" t="s">
        <v>2970</v>
      </c>
      <c r="M150" s="17" t="s">
        <v>2669</v>
      </c>
      <c r="N150" s="17" t="s">
        <v>3170</v>
      </c>
      <c r="O150" s="17" t="s">
        <v>7635</v>
      </c>
      <c r="P150" s="17" t="s">
        <v>3171</v>
      </c>
      <c r="Q150" s="17"/>
      <c r="R150" s="17"/>
      <c r="S150" s="17"/>
      <c r="T150" s="17"/>
      <c r="U150" s="17"/>
      <c r="V150" s="17"/>
      <c r="W150" s="17"/>
      <c r="X150" s="17"/>
      <c r="Y150" s="17"/>
    </row>
    <row r="151" spans="1:25">
      <c r="A151" s="17" t="s">
        <v>3172</v>
      </c>
      <c r="B151" s="17" t="s">
        <v>3172</v>
      </c>
      <c r="C151" s="17" t="s">
        <v>3173</v>
      </c>
      <c r="D151" s="17" t="s">
        <v>2669</v>
      </c>
      <c r="E151" s="17" t="s">
        <v>2968</v>
      </c>
      <c r="F151" s="17" t="s">
        <v>3172</v>
      </c>
      <c r="G151" s="17" t="s">
        <v>2671</v>
      </c>
      <c r="H151" s="17" t="s">
        <v>4312</v>
      </c>
      <c r="I151" s="17" t="s">
        <v>4237</v>
      </c>
      <c r="J151" s="17" t="s">
        <v>2969</v>
      </c>
      <c r="K151" s="17" t="s">
        <v>3174</v>
      </c>
      <c r="L151" s="17" t="s">
        <v>2970</v>
      </c>
      <c r="M151" s="17" t="s">
        <v>2669</v>
      </c>
      <c r="N151" s="17" t="s">
        <v>3172</v>
      </c>
      <c r="O151" s="17" t="s">
        <v>7635</v>
      </c>
      <c r="P151" s="17" t="s">
        <v>3175</v>
      </c>
      <c r="Q151" s="17"/>
      <c r="R151" s="17"/>
      <c r="S151" s="17"/>
      <c r="T151" s="17"/>
      <c r="U151" s="17"/>
      <c r="V151" s="17"/>
      <c r="W151" s="17"/>
      <c r="X151" s="17"/>
      <c r="Y151" s="17"/>
    </row>
    <row r="152" spans="1:25">
      <c r="A152" s="17" t="s">
        <v>3176</v>
      </c>
      <c r="B152" s="17" t="s">
        <v>3176</v>
      </c>
      <c r="C152" s="17" t="s">
        <v>3173</v>
      </c>
      <c r="D152" s="17" t="s">
        <v>2669</v>
      </c>
      <c r="E152" s="17" t="s">
        <v>2968</v>
      </c>
      <c r="F152" s="17" t="s">
        <v>3176</v>
      </c>
      <c r="G152" s="17" t="s">
        <v>2671</v>
      </c>
      <c r="H152" s="17" t="s">
        <v>6835</v>
      </c>
      <c r="I152" s="17" t="s">
        <v>4237</v>
      </c>
      <c r="J152" s="17" t="s">
        <v>2969</v>
      </c>
      <c r="K152" s="17" t="s">
        <v>3174</v>
      </c>
      <c r="L152" s="17" t="s">
        <v>2970</v>
      </c>
      <c r="M152" s="17" t="s">
        <v>2669</v>
      </c>
      <c r="N152" s="17" t="s">
        <v>3176</v>
      </c>
      <c r="O152" s="17" t="s">
        <v>7635</v>
      </c>
      <c r="P152" s="17" t="s">
        <v>3177</v>
      </c>
      <c r="Q152" s="17"/>
      <c r="R152" s="17"/>
      <c r="S152" s="17"/>
      <c r="T152" s="17"/>
      <c r="U152" s="17"/>
      <c r="V152" s="17"/>
      <c r="W152" s="17"/>
      <c r="X152" s="17"/>
      <c r="Y152" s="17"/>
    </row>
    <row r="153" spans="1:25">
      <c r="A153" s="17" t="s">
        <v>3178</v>
      </c>
      <c r="B153" s="17" t="s">
        <v>3178</v>
      </c>
      <c r="C153" s="17" t="s">
        <v>3179</v>
      </c>
      <c r="D153" s="17" t="s">
        <v>2669</v>
      </c>
      <c r="E153" s="17" t="s">
        <v>2968</v>
      </c>
      <c r="F153" s="17" t="s">
        <v>3178</v>
      </c>
      <c r="G153" s="17" t="s">
        <v>2671</v>
      </c>
      <c r="H153" s="17" t="s">
        <v>4312</v>
      </c>
      <c r="I153" s="17" t="s">
        <v>4237</v>
      </c>
      <c r="J153" s="17" t="s">
        <v>2969</v>
      </c>
      <c r="K153" s="17" t="s">
        <v>3180</v>
      </c>
      <c r="L153" s="17" t="s">
        <v>2970</v>
      </c>
      <c r="M153" s="17" t="s">
        <v>2669</v>
      </c>
      <c r="N153" s="17" t="s">
        <v>3178</v>
      </c>
      <c r="O153" s="17" t="s">
        <v>7635</v>
      </c>
      <c r="P153" s="17" t="s">
        <v>3181</v>
      </c>
      <c r="Q153" s="17"/>
      <c r="R153" s="17"/>
      <c r="S153" s="17"/>
      <c r="T153" s="17"/>
      <c r="U153" s="17"/>
      <c r="V153" s="17"/>
      <c r="W153" s="17"/>
      <c r="X153" s="17"/>
      <c r="Y153" s="17"/>
    </row>
    <row r="154" spans="1:25">
      <c r="A154" s="17" t="s">
        <v>3182</v>
      </c>
      <c r="B154" s="17" t="s">
        <v>3182</v>
      </c>
      <c r="C154" s="17" t="s">
        <v>3179</v>
      </c>
      <c r="D154" s="17" t="s">
        <v>2669</v>
      </c>
      <c r="E154" s="17" t="s">
        <v>2968</v>
      </c>
      <c r="F154" s="17" t="s">
        <v>3182</v>
      </c>
      <c r="G154" s="17" t="s">
        <v>2671</v>
      </c>
      <c r="H154" s="17" t="s">
        <v>6835</v>
      </c>
      <c r="I154" s="17" t="s">
        <v>4237</v>
      </c>
      <c r="J154" s="17" t="s">
        <v>2969</v>
      </c>
      <c r="K154" s="17" t="s">
        <v>3180</v>
      </c>
      <c r="L154" s="17" t="s">
        <v>2970</v>
      </c>
      <c r="M154" s="17" t="s">
        <v>2669</v>
      </c>
      <c r="N154" s="17" t="s">
        <v>3182</v>
      </c>
      <c r="O154" s="17" t="s">
        <v>7635</v>
      </c>
      <c r="P154" s="17" t="s">
        <v>3183</v>
      </c>
      <c r="Q154" s="17"/>
      <c r="R154" s="17"/>
      <c r="S154" s="17"/>
      <c r="T154" s="17"/>
      <c r="U154" s="17"/>
      <c r="V154" s="17"/>
      <c r="W154" s="17"/>
      <c r="X154" s="17"/>
      <c r="Y154" s="17"/>
    </row>
    <row r="155" spans="1:25">
      <c r="A155" s="17" t="s">
        <v>3184</v>
      </c>
      <c r="B155" s="17" t="s">
        <v>3184</v>
      </c>
      <c r="C155" s="17" t="s">
        <v>3185</v>
      </c>
      <c r="D155" s="17" t="s">
        <v>2669</v>
      </c>
      <c r="E155" s="17" t="s">
        <v>2968</v>
      </c>
      <c r="F155" s="17" t="s">
        <v>3184</v>
      </c>
      <c r="G155" s="17" t="s">
        <v>2671</v>
      </c>
      <c r="H155" s="17" t="s">
        <v>4312</v>
      </c>
      <c r="I155" s="17" t="s">
        <v>4237</v>
      </c>
      <c r="J155" s="17" t="s">
        <v>2969</v>
      </c>
      <c r="K155" s="17" t="s">
        <v>3186</v>
      </c>
      <c r="L155" s="17" t="s">
        <v>2970</v>
      </c>
      <c r="M155" s="17" t="s">
        <v>2669</v>
      </c>
      <c r="N155" s="17" t="s">
        <v>3184</v>
      </c>
      <c r="O155" s="17" t="s">
        <v>7635</v>
      </c>
      <c r="P155" s="17" t="s">
        <v>3187</v>
      </c>
      <c r="Q155" s="17"/>
      <c r="R155" s="17"/>
      <c r="S155" s="17"/>
      <c r="T155" s="17"/>
      <c r="U155" s="17"/>
      <c r="V155" s="17"/>
      <c r="W155" s="17"/>
      <c r="X155" s="17"/>
      <c r="Y155" s="17"/>
    </row>
    <row r="156" spans="1:25">
      <c r="A156" s="17" t="s">
        <v>3188</v>
      </c>
      <c r="B156" s="17" t="s">
        <v>3188</v>
      </c>
      <c r="C156" s="17" t="s">
        <v>3185</v>
      </c>
      <c r="D156" s="17" t="s">
        <v>2669</v>
      </c>
      <c r="E156" s="17" t="s">
        <v>2968</v>
      </c>
      <c r="F156" s="17" t="s">
        <v>3188</v>
      </c>
      <c r="G156" s="17" t="s">
        <v>2671</v>
      </c>
      <c r="H156" s="17" t="s">
        <v>6835</v>
      </c>
      <c r="I156" s="17" t="s">
        <v>4237</v>
      </c>
      <c r="J156" s="17" t="s">
        <v>2969</v>
      </c>
      <c r="K156" s="17" t="s">
        <v>3186</v>
      </c>
      <c r="L156" s="17" t="s">
        <v>2970</v>
      </c>
      <c r="M156" s="17" t="s">
        <v>2669</v>
      </c>
      <c r="N156" s="17" t="s">
        <v>3188</v>
      </c>
      <c r="O156" s="17" t="s">
        <v>7635</v>
      </c>
      <c r="P156" s="17" t="s">
        <v>3189</v>
      </c>
      <c r="Q156" s="17"/>
      <c r="R156" s="17"/>
      <c r="S156" s="17"/>
      <c r="T156" s="17"/>
      <c r="U156" s="17"/>
      <c r="V156" s="17"/>
      <c r="W156" s="17"/>
      <c r="X156" s="17"/>
      <c r="Y156" s="17"/>
    </row>
    <row r="157" spans="1:25">
      <c r="A157" s="17" t="s">
        <v>3190</v>
      </c>
      <c r="B157" s="17" t="s">
        <v>3190</v>
      </c>
      <c r="C157" s="17" t="s">
        <v>3191</v>
      </c>
      <c r="D157" s="17" t="s">
        <v>2669</v>
      </c>
      <c r="E157" s="17" t="s">
        <v>2968</v>
      </c>
      <c r="F157" s="17" t="s">
        <v>3190</v>
      </c>
      <c r="G157" s="17" t="s">
        <v>2671</v>
      </c>
      <c r="H157" s="17" t="s">
        <v>4312</v>
      </c>
      <c r="I157" s="17" t="s">
        <v>4237</v>
      </c>
      <c r="J157" s="17" t="s">
        <v>2969</v>
      </c>
      <c r="K157" s="17" t="s">
        <v>2952</v>
      </c>
      <c r="L157" s="17" t="s">
        <v>2970</v>
      </c>
      <c r="M157" s="17" t="s">
        <v>2669</v>
      </c>
      <c r="N157" s="17" t="s">
        <v>3190</v>
      </c>
      <c r="O157" s="17" t="s">
        <v>7635</v>
      </c>
      <c r="P157" s="17" t="s">
        <v>3192</v>
      </c>
      <c r="Q157" s="17"/>
      <c r="R157" s="17"/>
      <c r="S157" s="17"/>
      <c r="T157" s="17"/>
      <c r="U157" s="17"/>
      <c r="V157" s="17"/>
      <c r="W157" s="17"/>
      <c r="X157" s="17"/>
      <c r="Y157" s="17"/>
    </row>
    <row r="158" spans="1:25">
      <c r="A158" s="17" t="s">
        <v>3193</v>
      </c>
      <c r="B158" s="17" t="s">
        <v>3193</v>
      </c>
      <c r="C158" s="17" t="s">
        <v>3191</v>
      </c>
      <c r="D158" s="17" t="s">
        <v>2669</v>
      </c>
      <c r="E158" s="17" t="s">
        <v>2968</v>
      </c>
      <c r="F158" s="17" t="s">
        <v>3193</v>
      </c>
      <c r="G158" s="17" t="s">
        <v>2671</v>
      </c>
      <c r="H158" s="17" t="s">
        <v>6835</v>
      </c>
      <c r="I158" s="17" t="s">
        <v>4237</v>
      </c>
      <c r="J158" s="17" t="s">
        <v>2969</v>
      </c>
      <c r="K158" s="17" t="s">
        <v>2952</v>
      </c>
      <c r="L158" s="17" t="s">
        <v>2970</v>
      </c>
      <c r="M158" s="17" t="s">
        <v>2669</v>
      </c>
      <c r="N158" s="17" t="s">
        <v>3193</v>
      </c>
      <c r="O158" s="17" t="s">
        <v>7635</v>
      </c>
      <c r="P158" s="17" t="s">
        <v>3194</v>
      </c>
      <c r="Q158" s="17"/>
      <c r="R158" s="17"/>
      <c r="S158" s="17"/>
      <c r="T158" s="17"/>
      <c r="U158" s="17"/>
      <c r="V158" s="17"/>
      <c r="W158" s="17"/>
      <c r="X158" s="17"/>
      <c r="Y158" s="17"/>
    </row>
    <row r="159" spans="1:25">
      <c r="A159" s="17" t="s">
        <v>3195</v>
      </c>
      <c r="B159" s="17" t="s">
        <v>3195</v>
      </c>
      <c r="C159" s="17" t="s">
        <v>3196</v>
      </c>
      <c r="D159" s="17" t="s">
        <v>2669</v>
      </c>
      <c r="E159" s="17" t="s">
        <v>2968</v>
      </c>
      <c r="F159" s="17" t="s">
        <v>3195</v>
      </c>
      <c r="G159" s="17" t="s">
        <v>2671</v>
      </c>
      <c r="H159" s="17" t="s">
        <v>4312</v>
      </c>
      <c r="I159" s="17" t="s">
        <v>4237</v>
      </c>
      <c r="J159" s="17" t="s">
        <v>2969</v>
      </c>
      <c r="K159" s="17" t="s">
        <v>3197</v>
      </c>
      <c r="L159" s="17" t="s">
        <v>2970</v>
      </c>
      <c r="M159" s="17" t="s">
        <v>2669</v>
      </c>
      <c r="N159" s="17" t="s">
        <v>3195</v>
      </c>
      <c r="O159" s="17" t="s">
        <v>7635</v>
      </c>
      <c r="P159" s="17" t="s">
        <v>3198</v>
      </c>
      <c r="Q159" s="17"/>
      <c r="R159" s="17"/>
      <c r="S159" s="17"/>
      <c r="T159" s="17"/>
      <c r="U159" s="17"/>
      <c r="V159" s="17"/>
      <c r="W159" s="17"/>
      <c r="X159" s="17"/>
      <c r="Y159" s="17"/>
    </row>
    <row r="160" spans="1:25">
      <c r="A160" s="17" t="s">
        <v>3199</v>
      </c>
      <c r="B160" s="17" t="s">
        <v>3199</v>
      </c>
      <c r="C160" s="17" t="s">
        <v>3196</v>
      </c>
      <c r="D160" s="17" t="s">
        <v>2669</v>
      </c>
      <c r="E160" s="17" t="s">
        <v>2968</v>
      </c>
      <c r="F160" s="17" t="s">
        <v>3199</v>
      </c>
      <c r="G160" s="17" t="s">
        <v>2671</v>
      </c>
      <c r="H160" s="17" t="s">
        <v>6835</v>
      </c>
      <c r="I160" s="17" t="s">
        <v>4237</v>
      </c>
      <c r="J160" s="17" t="s">
        <v>2969</v>
      </c>
      <c r="K160" s="17" t="s">
        <v>3197</v>
      </c>
      <c r="L160" s="17" t="s">
        <v>2970</v>
      </c>
      <c r="M160" s="17" t="s">
        <v>2669</v>
      </c>
      <c r="N160" s="17" t="s">
        <v>3199</v>
      </c>
      <c r="O160" s="17" t="s">
        <v>7635</v>
      </c>
      <c r="P160" s="17" t="s">
        <v>3200</v>
      </c>
      <c r="Q160" s="17"/>
      <c r="R160" s="17"/>
      <c r="S160" s="17"/>
      <c r="T160" s="17"/>
      <c r="U160" s="17"/>
      <c r="V160" s="17"/>
      <c r="W160" s="17"/>
      <c r="X160" s="17"/>
      <c r="Y160" s="17"/>
    </row>
    <row r="161" spans="1:25">
      <c r="A161" s="17" t="s">
        <v>3201</v>
      </c>
      <c r="B161" s="17" t="s">
        <v>3201</v>
      </c>
      <c r="C161" s="17" t="s">
        <v>3202</v>
      </c>
      <c r="D161" s="17" t="s">
        <v>2669</v>
      </c>
      <c r="E161" s="17" t="s">
        <v>2968</v>
      </c>
      <c r="F161" s="17" t="s">
        <v>3201</v>
      </c>
      <c r="G161" s="17" t="s">
        <v>2671</v>
      </c>
      <c r="H161" s="17" t="s">
        <v>4312</v>
      </c>
      <c r="I161" s="17" t="s">
        <v>4237</v>
      </c>
      <c r="J161" s="17" t="s">
        <v>2969</v>
      </c>
      <c r="K161" s="17" t="s">
        <v>3203</v>
      </c>
      <c r="L161" s="17" t="s">
        <v>2970</v>
      </c>
      <c r="M161" s="17" t="s">
        <v>2669</v>
      </c>
      <c r="N161" s="17" t="s">
        <v>3201</v>
      </c>
      <c r="O161" s="17" t="s">
        <v>7635</v>
      </c>
      <c r="P161" s="17" t="s">
        <v>3204</v>
      </c>
      <c r="Q161" s="17"/>
      <c r="R161" s="17"/>
      <c r="S161" s="17"/>
      <c r="T161" s="17"/>
      <c r="U161" s="17"/>
      <c r="V161" s="17"/>
      <c r="W161" s="17"/>
      <c r="X161" s="17"/>
      <c r="Y161" s="17"/>
    </row>
    <row r="162" spans="1:25">
      <c r="A162" s="17" t="s">
        <v>3205</v>
      </c>
      <c r="B162" s="17" t="s">
        <v>3205</v>
      </c>
      <c r="C162" s="17" t="s">
        <v>3202</v>
      </c>
      <c r="D162" s="17" t="s">
        <v>2669</v>
      </c>
      <c r="E162" s="17" t="s">
        <v>2968</v>
      </c>
      <c r="F162" s="17" t="s">
        <v>3205</v>
      </c>
      <c r="G162" s="17" t="s">
        <v>2671</v>
      </c>
      <c r="H162" s="17" t="s">
        <v>6835</v>
      </c>
      <c r="I162" s="17" t="s">
        <v>4237</v>
      </c>
      <c r="J162" s="17" t="s">
        <v>2969</v>
      </c>
      <c r="K162" s="17" t="s">
        <v>3203</v>
      </c>
      <c r="L162" s="17" t="s">
        <v>2970</v>
      </c>
      <c r="M162" s="17" t="s">
        <v>2669</v>
      </c>
      <c r="N162" s="17" t="s">
        <v>3205</v>
      </c>
      <c r="O162" s="17" t="s">
        <v>7635</v>
      </c>
      <c r="P162" s="17" t="s">
        <v>3206</v>
      </c>
      <c r="Q162" s="17"/>
      <c r="R162" s="17"/>
      <c r="S162" s="17"/>
      <c r="T162" s="17"/>
      <c r="U162" s="17"/>
      <c r="V162" s="17"/>
      <c r="W162" s="17"/>
      <c r="X162" s="17"/>
      <c r="Y162" s="17"/>
    </row>
    <row r="163" spans="1:25">
      <c r="A163" s="17" t="s">
        <v>3207</v>
      </c>
      <c r="B163" s="17" t="s">
        <v>3207</v>
      </c>
      <c r="C163" s="17" t="s">
        <v>3208</v>
      </c>
      <c r="D163" s="17" t="s">
        <v>2669</v>
      </c>
      <c r="E163" s="17" t="s">
        <v>2968</v>
      </c>
      <c r="F163" s="17" t="s">
        <v>3207</v>
      </c>
      <c r="G163" s="17" t="s">
        <v>2671</v>
      </c>
      <c r="H163" s="17" t="s">
        <v>4312</v>
      </c>
      <c r="I163" s="17" t="s">
        <v>4237</v>
      </c>
      <c r="J163" s="17" t="s">
        <v>2969</v>
      </c>
      <c r="K163" s="17" t="s">
        <v>2956</v>
      </c>
      <c r="L163" s="17" t="s">
        <v>2970</v>
      </c>
      <c r="M163" s="17" t="s">
        <v>2669</v>
      </c>
      <c r="N163" s="17" t="s">
        <v>3207</v>
      </c>
      <c r="O163" s="17" t="s">
        <v>7635</v>
      </c>
      <c r="P163" s="17" t="s">
        <v>3209</v>
      </c>
      <c r="Q163" s="17"/>
      <c r="R163" s="17"/>
      <c r="S163" s="17"/>
      <c r="T163" s="17"/>
      <c r="U163" s="17"/>
      <c r="V163" s="17"/>
      <c r="W163" s="17"/>
      <c r="X163" s="17"/>
      <c r="Y163" s="17"/>
    </row>
    <row r="164" spans="1:25">
      <c r="A164" s="17" t="s">
        <v>3210</v>
      </c>
      <c r="B164" s="17" t="s">
        <v>3210</v>
      </c>
      <c r="C164" s="17" t="s">
        <v>3211</v>
      </c>
      <c r="D164" s="17" t="s">
        <v>2669</v>
      </c>
      <c r="E164" s="17" t="s">
        <v>2968</v>
      </c>
      <c r="F164" s="17" t="s">
        <v>3210</v>
      </c>
      <c r="G164" s="17" t="s">
        <v>2671</v>
      </c>
      <c r="H164" s="17" t="s">
        <v>4312</v>
      </c>
      <c r="I164" s="17" t="s">
        <v>4237</v>
      </c>
      <c r="J164" s="17" t="s">
        <v>2969</v>
      </c>
      <c r="K164" s="17" t="s">
        <v>3212</v>
      </c>
      <c r="L164" s="17" t="s">
        <v>2970</v>
      </c>
      <c r="M164" s="17" t="s">
        <v>2669</v>
      </c>
      <c r="N164" s="17" t="s">
        <v>3210</v>
      </c>
      <c r="O164" s="17" t="s">
        <v>7635</v>
      </c>
      <c r="P164" s="17" t="s">
        <v>3213</v>
      </c>
      <c r="Q164" s="17"/>
      <c r="R164" s="17"/>
      <c r="S164" s="17"/>
      <c r="T164" s="17"/>
      <c r="U164" s="17"/>
      <c r="V164" s="17"/>
      <c r="W164" s="17"/>
      <c r="X164" s="17"/>
      <c r="Y164" s="17"/>
    </row>
    <row r="165" spans="1:25">
      <c r="A165" s="17" t="s">
        <v>3214</v>
      </c>
      <c r="B165" s="17" t="s">
        <v>3214</v>
      </c>
      <c r="C165" s="17" t="s">
        <v>3211</v>
      </c>
      <c r="D165" s="17" t="s">
        <v>2669</v>
      </c>
      <c r="E165" s="17" t="s">
        <v>2968</v>
      </c>
      <c r="F165" s="17" t="s">
        <v>3214</v>
      </c>
      <c r="G165" s="17" t="s">
        <v>2671</v>
      </c>
      <c r="H165" s="17" t="s">
        <v>6835</v>
      </c>
      <c r="I165" s="17" t="s">
        <v>4237</v>
      </c>
      <c r="J165" s="17" t="s">
        <v>2969</v>
      </c>
      <c r="K165" s="17" t="s">
        <v>3212</v>
      </c>
      <c r="L165" s="17" t="s">
        <v>2970</v>
      </c>
      <c r="M165" s="17" t="s">
        <v>2669</v>
      </c>
      <c r="N165" s="17" t="s">
        <v>3214</v>
      </c>
      <c r="O165" s="17" t="s">
        <v>7635</v>
      </c>
      <c r="P165" s="17" t="s">
        <v>3215</v>
      </c>
      <c r="Q165" s="17"/>
      <c r="R165" s="17"/>
      <c r="S165" s="17"/>
      <c r="T165" s="17"/>
      <c r="U165" s="17"/>
      <c r="V165" s="17"/>
      <c r="W165" s="17"/>
      <c r="X165" s="17"/>
      <c r="Y165" s="17"/>
    </row>
    <row r="166" spans="1:25">
      <c r="A166" s="17" t="s">
        <v>3216</v>
      </c>
      <c r="B166" s="17" t="s">
        <v>3216</v>
      </c>
      <c r="C166" s="17" t="s">
        <v>3217</v>
      </c>
      <c r="D166" s="17" t="s">
        <v>2669</v>
      </c>
      <c r="E166" s="17" t="s">
        <v>2968</v>
      </c>
      <c r="F166" s="17" t="s">
        <v>3216</v>
      </c>
      <c r="G166" s="17" t="s">
        <v>2671</v>
      </c>
      <c r="H166" s="17" t="s">
        <v>4312</v>
      </c>
      <c r="I166" s="17" t="s">
        <v>4237</v>
      </c>
      <c r="J166" s="17" t="s">
        <v>2969</v>
      </c>
      <c r="K166" s="17" t="s">
        <v>2960</v>
      </c>
      <c r="L166" s="17" t="s">
        <v>2970</v>
      </c>
      <c r="M166" s="17" t="s">
        <v>2669</v>
      </c>
      <c r="N166" s="17" t="s">
        <v>3216</v>
      </c>
      <c r="O166" s="17" t="s">
        <v>7635</v>
      </c>
      <c r="P166" s="17" t="s">
        <v>3218</v>
      </c>
      <c r="Q166" s="17"/>
      <c r="R166" s="17"/>
      <c r="S166" s="17"/>
      <c r="T166" s="17"/>
      <c r="U166" s="17"/>
      <c r="V166" s="17"/>
      <c r="W166" s="17"/>
      <c r="X166" s="17"/>
      <c r="Y166" s="17"/>
    </row>
    <row r="167" spans="1:25">
      <c r="A167" s="17" t="s">
        <v>3219</v>
      </c>
      <c r="B167" s="17" t="s">
        <v>3219</v>
      </c>
      <c r="C167" s="17" t="s">
        <v>3217</v>
      </c>
      <c r="D167" s="17" t="s">
        <v>2669</v>
      </c>
      <c r="E167" s="17" t="s">
        <v>2968</v>
      </c>
      <c r="F167" s="17" t="s">
        <v>3219</v>
      </c>
      <c r="G167" s="17" t="s">
        <v>2671</v>
      </c>
      <c r="H167" s="17" t="s">
        <v>6835</v>
      </c>
      <c r="I167" s="17" t="s">
        <v>4237</v>
      </c>
      <c r="J167" s="17" t="s">
        <v>2969</v>
      </c>
      <c r="K167" s="17" t="s">
        <v>2960</v>
      </c>
      <c r="L167" s="17" t="s">
        <v>2970</v>
      </c>
      <c r="M167" s="17" t="s">
        <v>2669</v>
      </c>
      <c r="N167" s="17" t="s">
        <v>3219</v>
      </c>
      <c r="O167" s="17" t="s">
        <v>7635</v>
      </c>
      <c r="P167" s="17" t="s">
        <v>3220</v>
      </c>
      <c r="Q167" s="17"/>
      <c r="R167" s="17"/>
      <c r="S167" s="17"/>
      <c r="T167" s="17"/>
      <c r="U167" s="17"/>
      <c r="V167" s="17"/>
      <c r="W167" s="17"/>
      <c r="X167" s="17"/>
      <c r="Y167" s="17"/>
    </row>
    <row r="168" spans="1:25">
      <c r="A168" s="17" t="s">
        <v>3221</v>
      </c>
      <c r="B168" s="17" t="s">
        <v>3221</v>
      </c>
      <c r="C168" s="17" t="s">
        <v>3222</v>
      </c>
      <c r="D168" s="17" t="s">
        <v>2669</v>
      </c>
      <c r="E168" s="17" t="s">
        <v>2968</v>
      </c>
      <c r="F168" s="17" t="s">
        <v>3221</v>
      </c>
      <c r="G168" s="17" t="s">
        <v>2671</v>
      </c>
      <c r="H168" s="17" t="s">
        <v>4312</v>
      </c>
      <c r="I168" s="17" t="s">
        <v>4237</v>
      </c>
      <c r="J168" s="17" t="s">
        <v>2969</v>
      </c>
      <c r="K168" s="17" t="s">
        <v>2964</v>
      </c>
      <c r="L168" s="17" t="s">
        <v>2970</v>
      </c>
      <c r="M168" s="17" t="s">
        <v>2669</v>
      </c>
      <c r="N168" s="17" t="s">
        <v>3221</v>
      </c>
      <c r="O168" s="17" t="s">
        <v>7635</v>
      </c>
      <c r="P168" s="17" t="s">
        <v>3223</v>
      </c>
      <c r="Q168" s="17"/>
      <c r="R168" s="17"/>
      <c r="S168" s="17"/>
      <c r="T168" s="17"/>
      <c r="U168" s="17"/>
      <c r="V168" s="17"/>
      <c r="W168" s="17"/>
      <c r="X168" s="17"/>
      <c r="Y168" s="17"/>
    </row>
    <row r="169" spans="1:25">
      <c r="A169" s="17" t="s">
        <v>3224</v>
      </c>
      <c r="B169" s="17" t="s">
        <v>3224</v>
      </c>
      <c r="C169" s="17" t="s">
        <v>3222</v>
      </c>
      <c r="D169" s="17" t="s">
        <v>2669</v>
      </c>
      <c r="E169" s="17" t="s">
        <v>2968</v>
      </c>
      <c r="F169" s="17" t="s">
        <v>3224</v>
      </c>
      <c r="G169" s="17" t="s">
        <v>2671</v>
      </c>
      <c r="H169" s="17" t="s">
        <v>6835</v>
      </c>
      <c r="I169" s="17" t="s">
        <v>4237</v>
      </c>
      <c r="J169" s="17" t="s">
        <v>2969</v>
      </c>
      <c r="K169" s="17" t="s">
        <v>2964</v>
      </c>
      <c r="L169" s="17" t="s">
        <v>2970</v>
      </c>
      <c r="M169" s="17" t="s">
        <v>2669</v>
      </c>
      <c r="N169" s="17" t="s">
        <v>3224</v>
      </c>
      <c r="O169" s="17" t="s">
        <v>7635</v>
      </c>
      <c r="P169" s="17" t="s">
        <v>3225</v>
      </c>
      <c r="Q169" s="17"/>
      <c r="R169" s="17"/>
      <c r="S169" s="17"/>
      <c r="T169" s="17"/>
      <c r="U169" s="17"/>
      <c r="V169" s="17"/>
      <c r="W169" s="17"/>
      <c r="X169" s="17"/>
      <c r="Y169" s="17"/>
    </row>
    <row r="170" spans="1:25">
      <c r="A170" s="17" t="s">
        <v>3226</v>
      </c>
      <c r="B170" s="17" t="s">
        <v>3226</v>
      </c>
      <c r="C170" s="17" t="s">
        <v>3227</v>
      </c>
      <c r="D170" s="17" t="s">
        <v>2669</v>
      </c>
      <c r="E170" s="17" t="s">
        <v>2968</v>
      </c>
      <c r="F170" s="17" t="s">
        <v>3226</v>
      </c>
      <c r="G170" s="17" t="s">
        <v>2671</v>
      </c>
      <c r="H170" s="17" t="s">
        <v>4312</v>
      </c>
      <c r="I170" s="17" t="s">
        <v>4237</v>
      </c>
      <c r="J170" s="17" t="s">
        <v>2969</v>
      </c>
      <c r="K170" s="17" t="s">
        <v>3228</v>
      </c>
      <c r="L170" s="17" t="s">
        <v>2970</v>
      </c>
      <c r="M170" s="17" t="s">
        <v>2669</v>
      </c>
      <c r="N170" s="17" t="s">
        <v>3226</v>
      </c>
      <c r="O170" s="17" t="s">
        <v>7635</v>
      </c>
      <c r="P170" s="17" t="s">
        <v>3229</v>
      </c>
      <c r="Q170" s="17"/>
      <c r="R170" s="17"/>
      <c r="S170" s="17"/>
      <c r="T170" s="17"/>
      <c r="U170" s="17"/>
      <c r="V170" s="17"/>
      <c r="W170" s="17"/>
      <c r="X170" s="17"/>
      <c r="Y170" s="17"/>
    </row>
    <row r="171" spans="1:25">
      <c r="A171" s="17" t="s">
        <v>3230</v>
      </c>
      <c r="B171" s="17" t="s">
        <v>3230</v>
      </c>
      <c r="C171" s="17" t="s">
        <v>3227</v>
      </c>
      <c r="D171" s="17" t="s">
        <v>2669</v>
      </c>
      <c r="E171" s="17" t="s">
        <v>2968</v>
      </c>
      <c r="F171" s="17" t="s">
        <v>3230</v>
      </c>
      <c r="G171" s="17" t="s">
        <v>2671</v>
      </c>
      <c r="H171" s="17" t="s">
        <v>6835</v>
      </c>
      <c r="I171" s="17" t="s">
        <v>4237</v>
      </c>
      <c r="J171" s="17" t="s">
        <v>2969</v>
      </c>
      <c r="K171" s="17" t="s">
        <v>3228</v>
      </c>
      <c r="L171" s="17" t="s">
        <v>2970</v>
      </c>
      <c r="M171" s="17" t="s">
        <v>2669</v>
      </c>
      <c r="N171" s="17" t="s">
        <v>3230</v>
      </c>
      <c r="O171" s="17" t="s">
        <v>7635</v>
      </c>
      <c r="P171" s="17" t="s">
        <v>3231</v>
      </c>
      <c r="Q171" s="17"/>
      <c r="R171" s="17"/>
      <c r="S171" s="17"/>
      <c r="T171" s="17"/>
      <c r="U171" s="17"/>
      <c r="V171" s="17"/>
      <c r="W171" s="17"/>
      <c r="X171" s="17"/>
      <c r="Y171" s="17"/>
    </row>
    <row r="172" spans="1:25">
      <c r="A172" s="17" t="s">
        <v>3232</v>
      </c>
      <c r="B172" s="17" t="s">
        <v>3232</v>
      </c>
      <c r="C172" s="17" t="s">
        <v>3233</v>
      </c>
      <c r="D172" s="17" t="s">
        <v>2669</v>
      </c>
      <c r="E172" s="17" t="s">
        <v>2968</v>
      </c>
      <c r="F172" s="17" t="s">
        <v>3232</v>
      </c>
      <c r="G172" s="17" t="s">
        <v>2671</v>
      </c>
      <c r="H172" s="17" t="s">
        <v>4312</v>
      </c>
      <c r="I172" s="17" t="s">
        <v>4237</v>
      </c>
      <c r="J172" s="17" t="s">
        <v>2969</v>
      </c>
      <c r="K172" s="17" t="s">
        <v>3234</v>
      </c>
      <c r="L172" s="17" t="s">
        <v>2970</v>
      </c>
      <c r="M172" s="17" t="s">
        <v>2669</v>
      </c>
      <c r="N172" s="17" t="s">
        <v>3232</v>
      </c>
      <c r="O172" s="17" t="s">
        <v>7635</v>
      </c>
      <c r="P172" s="17" t="s">
        <v>3235</v>
      </c>
      <c r="Q172" s="17"/>
      <c r="R172" s="17"/>
      <c r="S172" s="17"/>
      <c r="T172" s="17"/>
      <c r="U172" s="17"/>
      <c r="V172" s="17"/>
      <c r="W172" s="17"/>
      <c r="X172" s="17"/>
      <c r="Y172" s="17"/>
    </row>
    <row r="173" spans="1:25">
      <c r="A173" s="17" t="s">
        <v>3236</v>
      </c>
      <c r="B173" s="17" t="s">
        <v>3236</v>
      </c>
      <c r="C173" s="17" t="s">
        <v>3233</v>
      </c>
      <c r="D173" s="17" t="s">
        <v>2669</v>
      </c>
      <c r="E173" s="17" t="s">
        <v>2968</v>
      </c>
      <c r="F173" s="17" t="s">
        <v>3236</v>
      </c>
      <c r="G173" s="17" t="s">
        <v>2671</v>
      </c>
      <c r="H173" s="17" t="s">
        <v>6835</v>
      </c>
      <c r="I173" s="17" t="s">
        <v>4237</v>
      </c>
      <c r="J173" s="17" t="s">
        <v>2969</v>
      </c>
      <c r="K173" s="17" t="s">
        <v>3234</v>
      </c>
      <c r="L173" s="17" t="s">
        <v>2970</v>
      </c>
      <c r="M173" s="17" t="s">
        <v>2669</v>
      </c>
      <c r="N173" s="17" t="s">
        <v>3236</v>
      </c>
      <c r="O173" s="17" t="s">
        <v>7635</v>
      </c>
      <c r="P173" s="17" t="s">
        <v>3237</v>
      </c>
      <c r="Q173" s="17"/>
      <c r="R173" s="17"/>
      <c r="S173" s="17"/>
      <c r="T173" s="17"/>
      <c r="U173" s="17"/>
      <c r="V173" s="17"/>
      <c r="W173" s="17"/>
      <c r="X173" s="17"/>
      <c r="Y173" s="17"/>
    </row>
    <row r="174" spans="1:25">
      <c r="A174" s="17" t="s">
        <v>3238</v>
      </c>
      <c r="B174" s="17" t="s">
        <v>3238</v>
      </c>
      <c r="C174" s="17" t="s">
        <v>3239</v>
      </c>
      <c r="D174" s="17" t="s">
        <v>2669</v>
      </c>
      <c r="E174" s="17" t="s">
        <v>2968</v>
      </c>
      <c r="F174" s="17" t="s">
        <v>3238</v>
      </c>
      <c r="G174" s="17" t="s">
        <v>2671</v>
      </c>
      <c r="H174" s="17" t="s">
        <v>4312</v>
      </c>
      <c r="I174" s="17" t="s">
        <v>4237</v>
      </c>
      <c r="J174" s="17" t="s">
        <v>2969</v>
      </c>
      <c r="K174" s="17" t="s">
        <v>3240</v>
      </c>
      <c r="L174" s="17" t="s">
        <v>2970</v>
      </c>
      <c r="M174" s="17" t="s">
        <v>2669</v>
      </c>
      <c r="N174" s="17" t="s">
        <v>3238</v>
      </c>
      <c r="O174" s="17" t="s">
        <v>7635</v>
      </c>
      <c r="P174" s="17" t="s">
        <v>3241</v>
      </c>
      <c r="Q174" s="17"/>
      <c r="R174" s="17"/>
      <c r="S174" s="17"/>
      <c r="T174" s="17"/>
      <c r="U174" s="17"/>
      <c r="V174" s="17"/>
      <c r="W174" s="17"/>
      <c r="X174" s="17"/>
      <c r="Y174" s="17"/>
    </row>
    <row r="175" spans="1:25">
      <c r="A175" s="17" t="s">
        <v>3242</v>
      </c>
      <c r="B175" s="17" t="s">
        <v>3242</v>
      </c>
      <c r="C175" s="17" t="s">
        <v>3239</v>
      </c>
      <c r="D175" s="17" t="s">
        <v>2669</v>
      </c>
      <c r="E175" s="17" t="s">
        <v>2968</v>
      </c>
      <c r="F175" s="17" t="s">
        <v>3242</v>
      </c>
      <c r="G175" s="17" t="s">
        <v>2671</v>
      </c>
      <c r="H175" s="17" t="s">
        <v>6835</v>
      </c>
      <c r="I175" s="17" t="s">
        <v>4237</v>
      </c>
      <c r="J175" s="17" t="s">
        <v>2969</v>
      </c>
      <c r="K175" s="17" t="s">
        <v>3240</v>
      </c>
      <c r="L175" s="17" t="s">
        <v>2970</v>
      </c>
      <c r="M175" s="17" t="s">
        <v>2669</v>
      </c>
      <c r="N175" s="17" t="s">
        <v>3242</v>
      </c>
      <c r="O175" s="17" t="s">
        <v>7635</v>
      </c>
      <c r="P175" s="17" t="s">
        <v>3243</v>
      </c>
      <c r="Q175" s="17"/>
      <c r="R175" s="17"/>
      <c r="S175" s="17"/>
      <c r="T175" s="17"/>
      <c r="U175" s="17"/>
      <c r="V175" s="17"/>
      <c r="W175" s="17"/>
      <c r="X175" s="17"/>
      <c r="Y175" s="17"/>
    </row>
    <row r="176" spans="1:25">
      <c r="A176" s="17" t="s">
        <v>3244</v>
      </c>
      <c r="B176" s="17" t="s">
        <v>3244</v>
      </c>
      <c r="C176" s="17" t="s">
        <v>3245</v>
      </c>
      <c r="D176" s="17" t="s">
        <v>2669</v>
      </c>
      <c r="E176" s="17" t="s">
        <v>2968</v>
      </c>
      <c r="F176" s="17" t="s">
        <v>3244</v>
      </c>
      <c r="G176" s="17" t="s">
        <v>2671</v>
      </c>
      <c r="H176" s="17" t="s">
        <v>4312</v>
      </c>
      <c r="I176" s="17" t="s">
        <v>4237</v>
      </c>
      <c r="J176" s="17" t="s">
        <v>2969</v>
      </c>
      <c r="K176" s="17" t="s">
        <v>3246</v>
      </c>
      <c r="L176" s="17" t="s">
        <v>2970</v>
      </c>
      <c r="M176" s="17" t="s">
        <v>2669</v>
      </c>
      <c r="N176" s="17" t="s">
        <v>3244</v>
      </c>
      <c r="O176" s="17" t="s">
        <v>7635</v>
      </c>
      <c r="P176" s="17" t="s">
        <v>3247</v>
      </c>
      <c r="Q176" s="17"/>
      <c r="R176" s="17"/>
      <c r="S176" s="17"/>
      <c r="T176" s="17"/>
      <c r="U176" s="17"/>
      <c r="V176" s="17"/>
      <c r="W176" s="17"/>
      <c r="X176" s="17"/>
      <c r="Y176" s="17"/>
    </row>
    <row r="177" spans="1:25">
      <c r="A177" s="17" t="s">
        <v>3248</v>
      </c>
      <c r="B177" s="17" t="s">
        <v>3248</v>
      </c>
      <c r="C177" s="17" t="s">
        <v>3245</v>
      </c>
      <c r="D177" s="17" t="s">
        <v>2669</v>
      </c>
      <c r="E177" s="17" t="s">
        <v>2968</v>
      </c>
      <c r="F177" s="17" t="s">
        <v>3248</v>
      </c>
      <c r="G177" s="17" t="s">
        <v>2671</v>
      </c>
      <c r="H177" s="17" t="s">
        <v>6835</v>
      </c>
      <c r="I177" s="17" t="s">
        <v>4237</v>
      </c>
      <c r="J177" s="17" t="s">
        <v>2969</v>
      </c>
      <c r="K177" s="17" t="s">
        <v>3246</v>
      </c>
      <c r="L177" s="17" t="s">
        <v>2970</v>
      </c>
      <c r="M177" s="17" t="s">
        <v>2669</v>
      </c>
      <c r="N177" s="17" t="s">
        <v>3248</v>
      </c>
      <c r="O177" s="17" t="s">
        <v>7635</v>
      </c>
      <c r="P177" s="17" t="s">
        <v>3249</v>
      </c>
      <c r="Q177" s="17"/>
      <c r="R177" s="17"/>
      <c r="S177" s="17"/>
      <c r="T177" s="17"/>
      <c r="U177" s="17"/>
      <c r="V177" s="17"/>
      <c r="W177" s="17"/>
      <c r="X177" s="17"/>
      <c r="Y177" s="17"/>
    </row>
    <row r="178" spans="1:25">
      <c r="A178" s="17" t="s">
        <v>3250</v>
      </c>
      <c r="B178" s="17" t="s">
        <v>3250</v>
      </c>
      <c r="C178" s="17" t="s">
        <v>3251</v>
      </c>
      <c r="D178" s="17" t="s">
        <v>2669</v>
      </c>
      <c r="E178" s="17" t="s">
        <v>2968</v>
      </c>
      <c r="F178" s="17" t="s">
        <v>3250</v>
      </c>
      <c r="G178" s="17" t="s">
        <v>2671</v>
      </c>
      <c r="H178" s="17" t="s">
        <v>4312</v>
      </c>
      <c r="I178" s="17" t="s">
        <v>4237</v>
      </c>
      <c r="J178" s="17" t="s">
        <v>2969</v>
      </c>
      <c r="K178" s="17" t="s">
        <v>3252</v>
      </c>
      <c r="L178" s="17" t="s">
        <v>2970</v>
      </c>
      <c r="M178" s="17" t="s">
        <v>2669</v>
      </c>
      <c r="N178" s="17" t="s">
        <v>3250</v>
      </c>
      <c r="O178" s="17" t="s">
        <v>7635</v>
      </c>
      <c r="P178" s="17" t="s">
        <v>3253</v>
      </c>
      <c r="Q178" s="17"/>
      <c r="R178" s="17"/>
      <c r="S178" s="17"/>
      <c r="T178" s="17"/>
      <c r="U178" s="17"/>
      <c r="V178" s="17"/>
      <c r="W178" s="17"/>
      <c r="X178" s="17"/>
      <c r="Y178" s="17"/>
    </row>
    <row r="179" spans="1:25">
      <c r="A179" s="17" t="s">
        <v>3254</v>
      </c>
      <c r="B179" s="17" t="s">
        <v>3254</v>
      </c>
      <c r="C179" s="17" t="s">
        <v>3251</v>
      </c>
      <c r="D179" s="17" t="s">
        <v>2669</v>
      </c>
      <c r="E179" s="17" t="s">
        <v>2968</v>
      </c>
      <c r="F179" s="17" t="s">
        <v>3254</v>
      </c>
      <c r="G179" s="17" t="s">
        <v>2671</v>
      </c>
      <c r="H179" s="17" t="s">
        <v>6835</v>
      </c>
      <c r="I179" s="17" t="s">
        <v>4237</v>
      </c>
      <c r="J179" s="17" t="s">
        <v>2969</v>
      </c>
      <c r="K179" s="17" t="s">
        <v>3252</v>
      </c>
      <c r="L179" s="17" t="s">
        <v>2970</v>
      </c>
      <c r="M179" s="17" t="s">
        <v>2669</v>
      </c>
      <c r="N179" s="17" t="s">
        <v>3254</v>
      </c>
      <c r="O179" s="17" t="s">
        <v>7635</v>
      </c>
      <c r="P179" s="17" t="s">
        <v>3255</v>
      </c>
      <c r="Q179" s="17"/>
      <c r="R179" s="17"/>
      <c r="S179" s="17"/>
      <c r="T179" s="17"/>
      <c r="U179" s="17"/>
      <c r="V179" s="17"/>
      <c r="W179" s="17"/>
      <c r="X179" s="17"/>
      <c r="Y179" s="17"/>
    </row>
    <row r="180" spans="1:25">
      <c r="A180" s="17" t="s">
        <v>3256</v>
      </c>
      <c r="B180" s="17" t="s">
        <v>3256</v>
      </c>
      <c r="C180" s="17" t="s">
        <v>3257</v>
      </c>
      <c r="D180" s="17" t="s">
        <v>2669</v>
      </c>
      <c r="E180" s="17" t="s">
        <v>3258</v>
      </c>
      <c r="F180" s="17" t="s">
        <v>3256</v>
      </c>
      <c r="G180" s="17" t="s">
        <v>2671</v>
      </c>
      <c r="H180" s="17" t="s">
        <v>4312</v>
      </c>
      <c r="I180" s="17" t="s">
        <v>4237</v>
      </c>
      <c r="J180" s="17" t="s">
        <v>3259</v>
      </c>
      <c r="K180" s="17" t="s">
        <v>2674</v>
      </c>
      <c r="L180" s="17" t="s">
        <v>3260</v>
      </c>
      <c r="M180" s="17" t="s">
        <v>2669</v>
      </c>
      <c r="N180" s="17" t="s">
        <v>3256</v>
      </c>
      <c r="O180" s="17" t="s">
        <v>7635</v>
      </c>
      <c r="P180" s="17" t="s">
        <v>3261</v>
      </c>
      <c r="Q180" s="17"/>
      <c r="R180" s="17"/>
      <c r="S180" s="17"/>
      <c r="T180" s="17"/>
      <c r="U180" s="17"/>
      <c r="V180" s="17"/>
      <c r="W180" s="17"/>
      <c r="X180" s="17"/>
      <c r="Y180" s="17"/>
    </row>
    <row r="181" spans="1:25">
      <c r="A181" s="17" t="s">
        <v>3262</v>
      </c>
      <c r="B181" s="17" t="s">
        <v>3262</v>
      </c>
      <c r="C181" s="17" t="s">
        <v>3257</v>
      </c>
      <c r="D181" s="17" t="s">
        <v>2669</v>
      </c>
      <c r="E181" s="17" t="s">
        <v>3258</v>
      </c>
      <c r="F181" s="17" t="s">
        <v>3262</v>
      </c>
      <c r="G181" s="17" t="s">
        <v>2671</v>
      </c>
      <c r="H181" s="17" t="s">
        <v>6835</v>
      </c>
      <c r="I181" s="17" t="s">
        <v>4237</v>
      </c>
      <c r="J181" s="17" t="s">
        <v>3259</v>
      </c>
      <c r="K181" s="17" t="s">
        <v>2674</v>
      </c>
      <c r="L181" s="17" t="s">
        <v>3260</v>
      </c>
      <c r="M181" s="17" t="s">
        <v>2669</v>
      </c>
      <c r="N181" s="17" t="s">
        <v>3262</v>
      </c>
      <c r="O181" s="17" t="s">
        <v>7635</v>
      </c>
      <c r="P181" s="17" t="s">
        <v>3263</v>
      </c>
      <c r="Q181" s="17" t="s">
        <v>2669</v>
      </c>
      <c r="R181" s="17" t="s">
        <v>3264</v>
      </c>
      <c r="S181" s="17" t="s">
        <v>7635</v>
      </c>
      <c r="T181" s="17" t="s">
        <v>3265</v>
      </c>
      <c r="U181" s="17"/>
      <c r="V181" s="17"/>
      <c r="W181" s="17"/>
      <c r="X181" s="17"/>
      <c r="Y181" s="17"/>
    </row>
    <row r="182" spans="1:25">
      <c r="A182" s="17" t="s">
        <v>3266</v>
      </c>
      <c r="B182" s="17" t="s">
        <v>3266</v>
      </c>
      <c r="C182" s="17" t="s">
        <v>3267</v>
      </c>
      <c r="D182" s="17" t="s">
        <v>2669</v>
      </c>
      <c r="E182" s="17" t="s">
        <v>3258</v>
      </c>
      <c r="F182" s="17" t="s">
        <v>3266</v>
      </c>
      <c r="G182" s="17" t="s">
        <v>2671</v>
      </c>
      <c r="H182" s="17" t="s">
        <v>4312</v>
      </c>
      <c r="I182" s="17" t="s">
        <v>4237</v>
      </c>
      <c r="J182" s="17" t="s">
        <v>3259</v>
      </c>
      <c r="K182" s="17" t="s">
        <v>2684</v>
      </c>
      <c r="L182" s="17" t="s">
        <v>3260</v>
      </c>
      <c r="M182" s="17" t="s">
        <v>2669</v>
      </c>
      <c r="N182" s="17" t="s">
        <v>3266</v>
      </c>
      <c r="O182" s="17" t="s">
        <v>7635</v>
      </c>
      <c r="P182" s="17" t="s">
        <v>3268</v>
      </c>
      <c r="Q182" s="17"/>
      <c r="R182" s="17"/>
      <c r="S182" s="17"/>
      <c r="T182" s="17"/>
      <c r="U182" s="17"/>
      <c r="V182" s="17"/>
      <c r="W182" s="17"/>
      <c r="X182" s="17"/>
      <c r="Y182" s="17"/>
    </row>
    <row r="183" spans="1:25">
      <c r="A183" s="17" t="s">
        <v>3269</v>
      </c>
      <c r="B183" s="17" t="s">
        <v>3269</v>
      </c>
      <c r="C183" s="17" t="s">
        <v>3267</v>
      </c>
      <c r="D183" s="17" t="s">
        <v>2669</v>
      </c>
      <c r="E183" s="17" t="s">
        <v>3258</v>
      </c>
      <c r="F183" s="17" t="s">
        <v>3269</v>
      </c>
      <c r="G183" s="17" t="s">
        <v>2671</v>
      </c>
      <c r="H183" s="17" t="s">
        <v>6835</v>
      </c>
      <c r="I183" s="17" t="s">
        <v>4237</v>
      </c>
      <c r="J183" s="17" t="s">
        <v>3259</v>
      </c>
      <c r="K183" s="17" t="s">
        <v>2684</v>
      </c>
      <c r="L183" s="17" t="s">
        <v>3260</v>
      </c>
      <c r="M183" s="17" t="s">
        <v>2669</v>
      </c>
      <c r="N183" s="17" t="s">
        <v>3269</v>
      </c>
      <c r="O183" s="17" t="s">
        <v>7635</v>
      </c>
      <c r="P183" s="17" t="s">
        <v>3270</v>
      </c>
      <c r="Q183" s="17"/>
      <c r="R183" s="17"/>
      <c r="S183" s="17"/>
      <c r="T183" s="17"/>
      <c r="U183" s="17"/>
      <c r="V183" s="17"/>
      <c r="W183" s="17"/>
      <c r="X183" s="17"/>
      <c r="Y183" s="17"/>
    </row>
    <row r="184" spans="1:25">
      <c r="A184" s="17" t="s">
        <v>3271</v>
      </c>
      <c r="B184" s="17" t="s">
        <v>3271</v>
      </c>
      <c r="C184" s="17" t="s">
        <v>3272</v>
      </c>
      <c r="D184" s="17" t="s">
        <v>2669</v>
      </c>
      <c r="E184" s="17" t="s">
        <v>3258</v>
      </c>
      <c r="F184" s="17" t="s">
        <v>3271</v>
      </c>
      <c r="G184" s="17" t="s">
        <v>2671</v>
      </c>
      <c r="H184" s="17" t="s">
        <v>4312</v>
      </c>
      <c r="I184" s="17" t="s">
        <v>4237</v>
      </c>
      <c r="J184" s="17" t="s">
        <v>3259</v>
      </c>
      <c r="K184" s="17" t="s">
        <v>2693</v>
      </c>
      <c r="L184" s="17" t="s">
        <v>3260</v>
      </c>
      <c r="M184" s="17" t="s">
        <v>2669</v>
      </c>
      <c r="N184" s="17" t="s">
        <v>3271</v>
      </c>
      <c r="O184" s="17" t="s">
        <v>7635</v>
      </c>
      <c r="P184" s="17" t="s">
        <v>3273</v>
      </c>
      <c r="Q184" s="17"/>
      <c r="R184" s="17"/>
      <c r="S184" s="17"/>
      <c r="T184" s="17"/>
      <c r="U184" s="17"/>
      <c r="V184" s="17"/>
      <c r="W184" s="17"/>
      <c r="X184" s="17"/>
      <c r="Y184" s="17"/>
    </row>
    <row r="185" spans="1:25">
      <c r="A185" s="17" t="s">
        <v>3274</v>
      </c>
      <c r="B185" s="17" t="s">
        <v>3274</v>
      </c>
      <c r="C185" s="17" t="s">
        <v>3272</v>
      </c>
      <c r="D185" s="17" t="s">
        <v>2669</v>
      </c>
      <c r="E185" s="17" t="s">
        <v>3258</v>
      </c>
      <c r="F185" s="17" t="s">
        <v>3274</v>
      </c>
      <c r="G185" s="17" t="s">
        <v>2671</v>
      </c>
      <c r="H185" s="17" t="s">
        <v>6835</v>
      </c>
      <c r="I185" s="17" t="s">
        <v>4237</v>
      </c>
      <c r="J185" s="17" t="s">
        <v>3259</v>
      </c>
      <c r="K185" s="17" t="s">
        <v>2693</v>
      </c>
      <c r="L185" s="17" t="s">
        <v>3260</v>
      </c>
      <c r="M185" s="17" t="s">
        <v>2669</v>
      </c>
      <c r="N185" s="17" t="s">
        <v>3274</v>
      </c>
      <c r="O185" s="17" t="s">
        <v>7635</v>
      </c>
      <c r="P185" s="17" t="s">
        <v>3275</v>
      </c>
      <c r="Q185" s="17"/>
      <c r="R185" s="17"/>
      <c r="S185" s="17"/>
      <c r="T185" s="17"/>
      <c r="U185" s="17"/>
      <c r="V185" s="17"/>
      <c r="W185" s="17"/>
      <c r="X185" s="17"/>
      <c r="Y185" s="17"/>
    </row>
    <row r="186" spans="1:25">
      <c r="A186" s="17" t="s">
        <v>3276</v>
      </c>
      <c r="B186" s="17" t="s">
        <v>3276</v>
      </c>
      <c r="C186" s="17" t="s">
        <v>3277</v>
      </c>
      <c r="D186" s="17" t="s">
        <v>2669</v>
      </c>
      <c r="E186" s="17" t="s">
        <v>3258</v>
      </c>
      <c r="F186" s="17" t="s">
        <v>3276</v>
      </c>
      <c r="G186" s="17" t="s">
        <v>2671</v>
      </c>
      <c r="H186" s="17" t="s">
        <v>4312</v>
      </c>
      <c r="I186" s="17" t="s">
        <v>4237</v>
      </c>
      <c r="J186" s="17" t="s">
        <v>3259</v>
      </c>
      <c r="K186" s="17" t="s">
        <v>2699</v>
      </c>
      <c r="L186" s="17" t="s">
        <v>3260</v>
      </c>
      <c r="M186" s="17" t="s">
        <v>2669</v>
      </c>
      <c r="N186" s="17" t="s">
        <v>3276</v>
      </c>
      <c r="O186" s="17" t="s">
        <v>7635</v>
      </c>
      <c r="P186" s="17" t="s">
        <v>3278</v>
      </c>
      <c r="Q186" s="17"/>
      <c r="R186" s="17"/>
      <c r="S186" s="17"/>
      <c r="T186" s="17"/>
      <c r="U186" s="17"/>
      <c r="V186" s="17"/>
      <c r="W186" s="17"/>
      <c r="X186" s="17"/>
      <c r="Y186" s="17"/>
    </row>
    <row r="187" spans="1:25">
      <c r="A187" s="17" t="s">
        <v>3279</v>
      </c>
      <c r="B187" s="17" t="s">
        <v>3279</v>
      </c>
      <c r="C187" s="17" t="s">
        <v>3277</v>
      </c>
      <c r="D187" s="17" t="s">
        <v>2669</v>
      </c>
      <c r="E187" s="17" t="s">
        <v>3258</v>
      </c>
      <c r="F187" s="17" t="s">
        <v>3279</v>
      </c>
      <c r="G187" s="17" t="s">
        <v>2671</v>
      </c>
      <c r="H187" s="17" t="s">
        <v>6835</v>
      </c>
      <c r="I187" s="17" t="s">
        <v>4237</v>
      </c>
      <c r="J187" s="17" t="s">
        <v>3259</v>
      </c>
      <c r="K187" s="17" t="s">
        <v>2699</v>
      </c>
      <c r="L187" s="17" t="s">
        <v>3260</v>
      </c>
      <c r="M187" s="17" t="s">
        <v>2669</v>
      </c>
      <c r="N187" s="17" t="s">
        <v>3279</v>
      </c>
      <c r="O187" s="17" t="s">
        <v>7635</v>
      </c>
      <c r="P187" s="17" t="s">
        <v>3280</v>
      </c>
      <c r="Q187" s="17"/>
      <c r="R187" s="17"/>
      <c r="S187" s="17"/>
      <c r="T187" s="17"/>
      <c r="U187" s="17"/>
      <c r="V187" s="17"/>
      <c r="W187" s="17"/>
      <c r="X187" s="17"/>
      <c r="Y187" s="17"/>
    </row>
    <row r="188" spans="1:25">
      <c r="A188" s="17" t="s">
        <v>3281</v>
      </c>
      <c r="B188" s="17" t="s">
        <v>3281</v>
      </c>
      <c r="C188" s="17" t="s">
        <v>3282</v>
      </c>
      <c r="D188" s="17" t="s">
        <v>2669</v>
      </c>
      <c r="E188" s="17" t="s">
        <v>3258</v>
      </c>
      <c r="F188" s="17" t="s">
        <v>3281</v>
      </c>
      <c r="G188" s="17" t="s">
        <v>2671</v>
      </c>
      <c r="H188" s="17" t="s">
        <v>4312</v>
      </c>
      <c r="I188" s="17" t="s">
        <v>4237</v>
      </c>
      <c r="J188" s="17" t="s">
        <v>3259</v>
      </c>
      <c r="K188" s="17" t="s">
        <v>2703</v>
      </c>
      <c r="L188" s="17" t="s">
        <v>3260</v>
      </c>
      <c r="M188" s="17" t="s">
        <v>2669</v>
      </c>
      <c r="N188" s="17" t="s">
        <v>3281</v>
      </c>
      <c r="O188" s="17" t="s">
        <v>7635</v>
      </c>
      <c r="P188" s="17" t="s">
        <v>3283</v>
      </c>
      <c r="Q188" s="17"/>
      <c r="R188" s="17"/>
      <c r="S188" s="17"/>
      <c r="T188" s="17"/>
      <c r="U188" s="17"/>
      <c r="V188" s="17"/>
      <c r="W188" s="17"/>
      <c r="X188" s="17"/>
      <c r="Y188" s="17"/>
    </row>
    <row r="189" spans="1:25">
      <c r="A189" s="17" t="s">
        <v>3284</v>
      </c>
      <c r="B189" s="17" t="s">
        <v>3284</v>
      </c>
      <c r="C189" s="17" t="s">
        <v>3282</v>
      </c>
      <c r="D189" s="17" t="s">
        <v>2669</v>
      </c>
      <c r="E189" s="17" t="s">
        <v>3258</v>
      </c>
      <c r="F189" s="17" t="s">
        <v>3284</v>
      </c>
      <c r="G189" s="17" t="s">
        <v>2671</v>
      </c>
      <c r="H189" s="17" t="s">
        <v>6835</v>
      </c>
      <c r="I189" s="17" t="s">
        <v>4237</v>
      </c>
      <c r="J189" s="17" t="s">
        <v>3259</v>
      </c>
      <c r="K189" s="17" t="s">
        <v>2703</v>
      </c>
      <c r="L189" s="17" t="s">
        <v>3260</v>
      </c>
      <c r="M189" s="17" t="s">
        <v>2669</v>
      </c>
      <c r="N189" s="17" t="s">
        <v>3284</v>
      </c>
      <c r="O189" s="17" t="s">
        <v>7635</v>
      </c>
      <c r="P189" s="17" t="s">
        <v>3285</v>
      </c>
      <c r="Q189" s="17"/>
      <c r="R189" s="17"/>
      <c r="S189" s="17"/>
      <c r="T189" s="17"/>
      <c r="U189" s="17"/>
      <c r="V189" s="17"/>
      <c r="W189" s="17"/>
      <c r="X189" s="17"/>
      <c r="Y189" s="17"/>
    </row>
    <row r="190" spans="1:25">
      <c r="A190" s="17" t="s">
        <v>3286</v>
      </c>
      <c r="B190" s="17" t="s">
        <v>3286</v>
      </c>
      <c r="C190" s="17" t="s">
        <v>3287</v>
      </c>
      <c r="D190" s="17" t="s">
        <v>2669</v>
      </c>
      <c r="E190" s="17" t="s">
        <v>3258</v>
      </c>
      <c r="F190" s="17" t="s">
        <v>3286</v>
      </c>
      <c r="G190" s="17" t="s">
        <v>2671</v>
      </c>
      <c r="H190" s="17" t="s">
        <v>4312</v>
      </c>
      <c r="I190" s="17" t="s">
        <v>4237</v>
      </c>
      <c r="J190" s="17" t="s">
        <v>3259</v>
      </c>
      <c r="K190" s="17" t="s">
        <v>2707</v>
      </c>
      <c r="L190" s="17" t="s">
        <v>3260</v>
      </c>
      <c r="M190" s="17" t="s">
        <v>2669</v>
      </c>
      <c r="N190" s="17" t="s">
        <v>3286</v>
      </c>
      <c r="O190" s="17" t="s">
        <v>7635</v>
      </c>
      <c r="P190" s="17" t="s">
        <v>3288</v>
      </c>
      <c r="Q190" s="17"/>
      <c r="R190" s="17"/>
      <c r="S190" s="17"/>
      <c r="T190" s="17"/>
      <c r="U190" s="17"/>
      <c r="V190" s="17"/>
      <c r="W190" s="17"/>
      <c r="X190" s="17"/>
      <c r="Y190" s="17"/>
    </row>
    <row r="191" spans="1:25">
      <c r="A191" s="17" t="s">
        <v>3289</v>
      </c>
      <c r="B191" s="17" t="s">
        <v>3289</v>
      </c>
      <c r="C191" s="17" t="s">
        <v>3287</v>
      </c>
      <c r="D191" s="17" t="s">
        <v>2669</v>
      </c>
      <c r="E191" s="17" t="s">
        <v>3258</v>
      </c>
      <c r="F191" s="17" t="s">
        <v>3289</v>
      </c>
      <c r="G191" s="17" t="s">
        <v>2671</v>
      </c>
      <c r="H191" s="17" t="s">
        <v>6835</v>
      </c>
      <c r="I191" s="17" t="s">
        <v>4237</v>
      </c>
      <c r="J191" s="17" t="s">
        <v>3259</v>
      </c>
      <c r="K191" s="17" t="s">
        <v>2707</v>
      </c>
      <c r="L191" s="17" t="s">
        <v>3260</v>
      </c>
      <c r="M191" s="17" t="s">
        <v>2669</v>
      </c>
      <c r="N191" s="17" t="s">
        <v>3289</v>
      </c>
      <c r="O191" s="17" t="s">
        <v>7635</v>
      </c>
      <c r="P191" s="17" t="s">
        <v>3290</v>
      </c>
      <c r="Q191" s="17"/>
      <c r="R191" s="17"/>
      <c r="S191" s="17"/>
      <c r="T191" s="17"/>
      <c r="U191" s="17"/>
      <c r="V191" s="17"/>
      <c r="W191" s="17"/>
      <c r="X191" s="17"/>
      <c r="Y191" s="17"/>
    </row>
    <row r="192" spans="1:25">
      <c r="A192" s="17" t="s">
        <v>3291</v>
      </c>
      <c r="B192" s="17" t="s">
        <v>3291</v>
      </c>
      <c r="C192" s="17" t="s">
        <v>3292</v>
      </c>
      <c r="D192" s="17" t="s">
        <v>2669</v>
      </c>
      <c r="E192" s="17" t="s">
        <v>3258</v>
      </c>
      <c r="F192" s="17" t="s">
        <v>3291</v>
      </c>
      <c r="G192" s="17" t="s">
        <v>2671</v>
      </c>
      <c r="H192" s="17" t="s">
        <v>4312</v>
      </c>
      <c r="I192" s="17" t="s">
        <v>4237</v>
      </c>
      <c r="J192" s="17" t="s">
        <v>3259</v>
      </c>
      <c r="K192" s="17" t="s">
        <v>2713</v>
      </c>
      <c r="L192" s="17" t="s">
        <v>3260</v>
      </c>
      <c r="M192" s="17" t="s">
        <v>2669</v>
      </c>
      <c r="N192" s="17" t="s">
        <v>3291</v>
      </c>
      <c r="O192" s="17" t="s">
        <v>7635</v>
      </c>
      <c r="P192" s="17" t="s">
        <v>3293</v>
      </c>
      <c r="Q192" s="17"/>
      <c r="R192" s="17"/>
      <c r="S192" s="17"/>
      <c r="T192" s="17"/>
      <c r="U192" s="17"/>
      <c r="V192" s="17"/>
      <c r="W192" s="17"/>
      <c r="X192" s="17"/>
      <c r="Y192" s="17"/>
    </row>
    <row r="193" spans="1:25">
      <c r="A193" s="17" t="s">
        <v>3294</v>
      </c>
      <c r="B193" s="17" t="s">
        <v>3294</v>
      </c>
      <c r="C193" s="17" t="s">
        <v>3292</v>
      </c>
      <c r="D193" s="17" t="s">
        <v>2669</v>
      </c>
      <c r="E193" s="17" t="s">
        <v>3258</v>
      </c>
      <c r="F193" s="17" t="s">
        <v>3294</v>
      </c>
      <c r="G193" s="17" t="s">
        <v>2671</v>
      </c>
      <c r="H193" s="17" t="s">
        <v>6835</v>
      </c>
      <c r="I193" s="17" t="s">
        <v>4237</v>
      </c>
      <c r="J193" s="17" t="s">
        <v>3259</v>
      </c>
      <c r="K193" s="17" t="s">
        <v>2713</v>
      </c>
      <c r="L193" s="17" t="s">
        <v>3260</v>
      </c>
      <c r="M193" s="17" t="s">
        <v>2669</v>
      </c>
      <c r="N193" s="17" t="s">
        <v>3294</v>
      </c>
      <c r="O193" s="17" t="s">
        <v>7635</v>
      </c>
      <c r="P193" s="17" t="s">
        <v>3295</v>
      </c>
      <c r="Q193" s="17"/>
      <c r="R193" s="17"/>
      <c r="S193" s="17"/>
      <c r="T193" s="17"/>
      <c r="U193" s="17"/>
      <c r="V193" s="17"/>
      <c r="W193" s="17"/>
      <c r="X193" s="17"/>
      <c r="Y193" s="17"/>
    </row>
    <row r="194" spans="1:25">
      <c r="A194" s="17" t="s">
        <v>3296</v>
      </c>
      <c r="B194" s="17" t="s">
        <v>3296</v>
      </c>
      <c r="C194" s="17" t="s">
        <v>3297</v>
      </c>
      <c r="D194" s="17" t="s">
        <v>2669</v>
      </c>
      <c r="E194" s="17" t="s">
        <v>3258</v>
      </c>
      <c r="F194" s="17" t="s">
        <v>3296</v>
      </c>
      <c r="G194" s="17" t="s">
        <v>2671</v>
      </c>
      <c r="H194" s="17" t="s">
        <v>4312</v>
      </c>
      <c r="I194" s="17" t="s">
        <v>4237</v>
      </c>
      <c r="J194" s="17" t="s">
        <v>3259</v>
      </c>
      <c r="K194" s="17" t="s">
        <v>2720</v>
      </c>
      <c r="L194" s="17" t="s">
        <v>3260</v>
      </c>
      <c r="M194" s="17" t="s">
        <v>2669</v>
      </c>
      <c r="N194" s="17" t="s">
        <v>3296</v>
      </c>
      <c r="O194" s="17" t="s">
        <v>7635</v>
      </c>
      <c r="P194" s="17" t="s">
        <v>3298</v>
      </c>
      <c r="Q194" s="17"/>
      <c r="R194" s="17"/>
      <c r="S194" s="17"/>
      <c r="T194" s="17"/>
      <c r="U194" s="17"/>
      <c r="V194" s="17"/>
      <c r="W194" s="17"/>
      <c r="X194" s="17"/>
      <c r="Y194" s="17"/>
    </row>
    <row r="195" spans="1:25">
      <c r="A195" s="17" t="s">
        <v>3299</v>
      </c>
      <c r="B195" s="17" t="s">
        <v>3299</v>
      </c>
      <c r="C195" s="17" t="s">
        <v>3297</v>
      </c>
      <c r="D195" s="17" t="s">
        <v>2669</v>
      </c>
      <c r="E195" s="17" t="s">
        <v>3258</v>
      </c>
      <c r="F195" s="17" t="s">
        <v>3299</v>
      </c>
      <c r="G195" s="17" t="s">
        <v>2671</v>
      </c>
      <c r="H195" s="17" t="s">
        <v>6835</v>
      </c>
      <c r="I195" s="17" t="s">
        <v>4237</v>
      </c>
      <c r="J195" s="17" t="s">
        <v>3259</v>
      </c>
      <c r="K195" s="17" t="s">
        <v>2720</v>
      </c>
      <c r="L195" s="17" t="s">
        <v>3260</v>
      </c>
      <c r="M195" s="17" t="s">
        <v>2669</v>
      </c>
      <c r="N195" s="17" t="s">
        <v>3299</v>
      </c>
      <c r="O195" s="17" t="s">
        <v>7635</v>
      </c>
      <c r="P195" s="17" t="s">
        <v>3300</v>
      </c>
      <c r="Q195" s="17"/>
      <c r="R195" s="17"/>
      <c r="S195" s="17"/>
      <c r="T195" s="17"/>
      <c r="U195" s="17"/>
      <c r="V195" s="17"/>
      <c r="W195" s="17"/>
      <c r="X195" s="17"/>
      <c r="Y195" s="17"/>
    </row>
    <row r="196" spans="1:25">
      <c r="A196" s="17" t="s">
        <v>3301</v>
      </c>
      <c r="B196" s="17" t="s">
        <v>3301</v>
      </c>
      <c r="C196" s="17" t="s">
        <v>3302</v>
      </c>
      <c r="D196" s="17" t="s">
        <v>2669</v>
      </c>
      <c r="E196" s="17" t="s">
        <v>3258</v>
      </c>
      <c r="F196" s="17" t="s">
        <v>3301</v>
      </c>
      <c r="G196" s="17" t="s">
        <v>2671</v>
      </c>
      <c r="H196" s="17" t="s">
        <v>4312</v>
      </c>
      <c r="I196" s="17" t="s">
        <v>4237</v>
      </c>
      <c r="J196" s="17" t="s">
        <v>3259</v>
      </c>
      <c r="K196" s="17" t="s">
        <v>2729</v>
      </c>
      <c r="L196" s="17" t="s">
        <v>3260</v>
      </c>
      <c r="M196" s="17" t="s">
        <v>2669</v>
      </c>
      <c r="N196" s="17" t="s">
        <v>3301</v>
      </c>
      <c r="O196" s="17" t="s">
        <v>7635</v>
      </c>
      <c r="P196" s="17" t="s">
        <v>3303</v>
      </c>
      <c r="Q196" s="17"/>
      <c r="R196" s="17"/>
      <c r="S196" s="17"/>
      <c r="T196" s="17"/>
      <c r="U196" s="17"/>
      <c r="V196" s="17"/>
      <c r="W196" s="17"/>
      <c r="X196" s="17"/>
      <c r="Y196" s="17"/>
    </row>
    <row r="197" spans="1:25">
      <c r="A197" s="17" t="s">
        <v>3304</v>
      </c>
      <c r="B197" s="17" t="s">
        <v>3304</v>
      </c>
      <c r="C197" s="17" t="s">
        <v>3302</v>
      </c>
      <c r="D197" s="17" t="s">
        <v>2669</v>
      </c>
      <c r="E197" s="17" t="s">
        <v>3258</v>
      </c>
      <c r="F197" s="17" t="s">
        <v>3304</v>
      </c>
      <c r="G197" s="17" t="s">
        <v>2671</v>
      </c>
      <c r="H197" s="17" t="s">
        <v>6835</v>
      </c>
      <c r="I197" s="17" t="s">
        <v>4237</v>
      </c>
      <c r="J197" s="17" t="s">
        <v>3259</v>
      </c>
      <c r="K197" s="17" t="s">
        <v>2729</v>
      </c>
      <c r="L197" s="17" t="s">
        <v>3260</v>
      </c>
      <c r="M197" s="17" t="s">
        <v>2669</v>
      </c>
      <c r="N197" s="17" t="s">
        <v>3304</v>
      </c>
      <c r="O197" s="17" t="s">
        <v>7635</v>
      </c>
      <c r="P197" s="17" t="s">
        <v>3305</v>
      </c>
      <c r="Q197" s="17"/>
      <c r="R197" s="17"/>
      <c r="S197" s="17"/>
      <c r="T197" s="17"/>
      <c r="U197" s="17"/>
      <c r="V197" s="17"/>
      <c r="W197" s="17"/>
      <c r="X197" s="17"/>
      <c r="Y197" s="17"/>
    </row>
    <row r="198" spans="1:25">
      <c r="A198" s="17" t="s">
        <v>3306</v>
      </c>
      <c r="B198" s="17" t="s">
        <v>3306</v>
      </c>
      <c r="C198" s="17" t="s">
        <v>3307</v>
      </c>
      <c r="D198" s="17" t="s">
        <v>2669</v>
      </c>
      <c r="E198" s="17" t="s">
        <v>3258</v>
      </c>
      <c r="F198" s="17" t="s">
        <v>3306</v>
      </c>
      <c r="G198" s="17" t="s">
        <v>2671</v>
      </c>
      <c r="H198" s="17" t="s">
        <v>4312</v>
      </c>
      <c r="I198" s="17" t="s">
        <v>4237</v>
      </c>
      <c r="J198" s="17" t="s">
        <v>3259</v>
      </c>
      <c r="K198" s="17" t="s">
        <v>2738</v>
      </c>
      <c r="L198" s="17" t="s">
        <v>3260</v>
      </c>
      <c r="M198" s="17" t="s">
        <v>2669</v>
      </c>
      <c r="N198" s="17" t="s">
        <v>3306</v>
      </c>
      <c r="O198" s="17" t="s">
        <v>7635</v>
      </c>
      <c r="P198" s="17" t="s">
        <v>3308</v>
      </c>
      <c r="Q198" s="17"/>
      <c r="R198" s="17"/>
      <c r="S198" s="17"/>
      <c r="T198" s="17"/>
      <c r="U198" s="17"/>
      <c r="V198" s="17"/>
      <c r="W198" s="17"/>
      <c r="X198" s="17"/>
      <c r="Y198" s="17"/>
    </row>
    <row r="199" spans="1:25">
      <c r="A199" s="17" t="s">
        <v>3309</v>
      </c>
      <c r="B199" s="17" t="s">
        <v>3309</v>
      </c>
      <c r="C199" s="17" t="s">
        <v>3307</v>
      </c>
      <c r="D199" s="17" t="s">
        <v>2669</v>
      </c>
      <c r="E199" s="17" t="s">
        <v>3258</v>
      </c>
      <c r="F199" s="17" t="s">
        <v>3309</v>
      </c>
      <c r="G199" s="17" t="s">
        <v>2671</v>
      </c>
      <c r="H199" s="17" t="s">
        <v>6835</v>
      </c>
      <c r="I199" s="17" t="s">
        <v>4237</v>
      </c>
      <c r="J199" s="17" t="s">
        <v>3259</v>
      </c>
      <c r="K199" s="17" t="s">
        <v>2738</v>
      </c>
      <c r="L199" s="17" t="s">
        <v>3260</v>
      </c>
      <c r="M199" s="17" t="s">
        <v>2669</v>
      </c>
      <c r="N199" s="17" t="s">
        <v>3309</v>
      </c>
      <c r="O199" s="17" t="s">
        <v>7635</v>
      </c>
      <c r="P199" s="17" t="s">
        <v>3310</v>
      </c>
      <c r="Q199" s="17"/>
      <c r="R199" s="17"/>
      <c r="S199" s="17"/>
      <c r="T199" s="17"/>
      <c r="U199" s="17"/>
      <c r="V199" s="17"/>
      <c r="W199" s="17"/>
      <c r="X199" s="17"/>
      <c r="Y199" s="17"/>
    </row>
    <row r="200" spans="1:25">
      <c r="A200" s="17" t="s">
        <v>3311</v>
      </c>
      <c r="B200" s="17" t="s">
        <v>3311</v>
      </c>
      <c r="C200" s="17" t="s">
        <v>3312</v>
      </c>
      <c r="D200" s="17" t="s">
        <v>2669</v>
      </c>
      <c r="E200" s="17" t="s">
        <v>3258</v>
      </c>
      <c r="F200" s="17" t="s">
        <v>3311</v>
      </c>
      <c r="G200" s="17" t="s">
        <v>2671</v>
      </c>
      <c r="H200" s="17" t="s">
        <v>4312</v>
      </c>
      <c r="I200" s="17" t="s">
        <v>4237</v>
      </c>
      <c r="J200" s="17" t="s">
        <v>3259</v>
      </c>
      <c r="K200" s="17" t="s">
        <v>2742</v>
      </c>
      <c r="L200" s="17" t="s">
        <v>3260</v>
      </c>
      <c r="M200" s="17" t="s">
        <v>2669</v>
      </c>
      <c r="N200" s="17" t="s">
        <v>3311</v>
      </c>
      <c r="O200" s="17" t="s">
        <v>7635</v>
      </c>
      <c r="P200" s="17" t="s">
        <v>3313</v>
      </c>
      <c r="Q200" s="17"/>
      <c r="R200" s="17"/>
      <c r="S200" s="17"/>
      <c r="T200" s="17"/>
      <c r="U200" s="17"/>
      <c r="V200" s="17"/>
      <c r="W200" s="17"/>
      <c r="X200" s="17"/>
      <c r="Y200" s="17"/>
    </row>
    <row r="201" spans="1:25">
      <c r="A201" s="17" t="s">
        <v>3314</v>
      </c>
      <c r="B201" s="17" t="s">
        <v>3314</v>
      </c>
      <c r="C201" s="17" t="s">
        <v>3312</v>
      </c>
      <c r="D201" s="17" t="s">
        <v>2669</v>
      </c>
      <c r="E201" s="17" t="s">
        <v>3258</v>
      </c>
      <c r="F201" s="17" t="s">
        <v>3314</v>
      </c>
      <c r="G201" s="17" t="s">
        <v>2671</v>
      </c>
      <c r="H201" s="17" t="s">
        <v>6835</v>
      </c>
      <c r="I201" s="17" t="s">
        <v>4237</v>
      </c>
      <c r="J201" s="17" t="s">
        <v>3259</v>
      </c>
      <c r="K201" s="17" t="s">
        <v>2742</v>
      </c>
      <c r="L201" s="17" t="s">
        <v>3260</v>
      </c>
      <c r="M201" s="17" t="s">
        <v>2669</v>
      </c>
      <c r="N201" s="17" t="s">
        <v>3314</v>
      </c>
      <c r="O201" s="17" t="s">
        <v>7635</v>
      </c>
      <c r="P201" s="17" t="s">
        <v>3315</v>
      </c>
      <c r="Q201" s="17"/>
      <c r="R201" s="17"/>
      <c r="S201" s="17"/>
      <c r="T201" s="17"/>
      <c r="U201" s="17"/>
      <c r="V201" s="17"/>
      <c r="W201" s="17"/>
      <c r="X201" s="17"/>
      <c r="Y201" s="17"/>
    </row>
    <row r="202" spans="1:25">
      <c r="A202" s="17" t="s">
        <v>3316</v>
      </c>
      <c r="B202" s="17" t="s">
        <v>3316</v>
      </c>
      <c r="C202" s="17" t="s">
        <v>3317</v>
      </c>
      <c r="D202" s="17" t="s">
        <v>2669</v>
      </c>
      <c r="E202" s="17" t="s">
        <v>3258</v>
      </c>
      <c r="F202" s="17" t="s">
        <v>3316</v>
      </c>
      <c r="G202" s="17" t="s">
        <v>2671</v>
      </c>
      <c r="H202" s="17" t="s">
        <v>4312</v>
      </c>
      <c r="I202" s="17" t="s">
        <v>4237</v>
      </c>
      <c r="J202" s="17" t="s">
        <v>3259</v>
      </c>
      <c r="K202" s="17" t="s">
        <v>2751</v>
      </c>
      <c r="L202" s="17" t="s">
        <v>3260</v>
      </c>
      <c r="M202" s="17" t="s">
        <v>2669</v>
      </c>
      <c r="N202" s="17" t="s">
        <v>3316</v>
      </c>
      <c r="O202" s="17" t="s">
        <v>7635</v>
      </c>
      <c r="P202" s="17" t="s">
        <v>3318</v>
      </c>
      <c r="Q202" s="17"/>
      <c r="R202" s="17"/>
      <c r="S202" s="17"/>
      <c r="T202" s="17"/>
      <c r="U202" s="17"/>
      <c r="V202" s="17"/>
      <c r="W202" s="17"/>
      <c r="X202" s="17"/>
      <c r="Y202" s="17"/>
    </row>
    <row r="203" spans="1:25">
      <c r="A203" s="17" t="s">
        <v>3319</v>
      </c>
      <c r="B203" s="17" t="s">
        <v>3319</v>
      </c>
      <c r="C203" s="17" t="s">
        <v>3317</v>
      </c>
      <c r="D203" s="17" t="s">
        <v>2669</v>
      </c>
      <c r="E203" s="17" t="s">
        <v>3258</v>
      </c>
      <c r="F203" s="17" t="s">
        <v>3319</v>
      </c>
      <c r="G203" s="17" t="s">
        <v>2671</v>
      </c>
      <c r="H203" s="17" t="s">
        <v>6835</v>
      </c>
      <c r="I203" s="17" t="s">
        <v>4237</v>
      </c>
      <c r="J203" s="17" t="s">
        <v>3259</v>
      </c>
      <c r="K203" s="17" t="s">
        <v>2751</v>
      </c>
      <c r="L203" s="17" t="s">
        <v>3260</v>
      </c>
      <c r="M203" s="17" t="s">
        <v>2669</v>
      </c>
      <c r="N203" s="17" t="s">
        <v>3319</v>
      </c>
      <c r="O203" s="17" t="s">
        <v>7635</v>
      </c>
      <c r="P203" s="17" t="s">
        <v>3320</v>
      </c>
      <c r="Q203" s="17"/>
      <c r="R203" s="17"/>
      <c r="S203" s="17"/>
      <c r="T203" s="17"/>
      <c r="U203" s="17"/>
      <c r="V203" s="17"/>
      <c r="W203" s="17"/>
      <c r="X203" s="17"/>
      <c r="Y203" s="17"/>
    </row>
    <row r="204" spans="1:25">
      <c r="A204" s="17" t="s">
        <v>3321</v>
      </c>
      <c r="B204" s="17" t="s">
        <v>3321</v>
      </c>
      <c r="C204" s="17" t="s">
        <v>3322</v>
      </c>
      <c r="D204" s="17" t="s">
        <v>2669</v>
      </c>
      <c r="E204" s="17" t="s">
        <v>3258</v>
      </c>
      <c r="F204" s="17" t="s">
        <v>3321</v>
      </c>
      <c r="G204" s="17" t="s">
        <v>2671</v>
      </c>
      <c r="H204" s="17" t="s">
        <v>4312</v>
      </c>
      <c r="I204" s="17" t="s">
        <v>4237</v>
      </c>
      <c r="J204" s="17" t="s">
        <v>3259</v>
      </c>
      <c r="K204" s="17" t="s">
        <v>2760</v>
      </c>
      <c r="L204" s="17" t="s">
        <v>3260</v>
      </c>
      <c r="M204" s="17" t="s">
        <v>2669</v>
      </c>
      <c r="N204" s="17" t="s">
        <v>3321</v>
      </c>
      <c r="O204" s="17" t="s">
        <v>7635</v>
      </c>
      <c r="P204" s="17" t="s">
        <v>3323</v>
      </c>
      <c r="Q204" s="17"/>
      <c r="R204" s="17"/>
      <c r="S204" s="17"/>
      <c r="T204" s="17"/>
      <c r="U204" s="17"/>
      <c r="V204" s="17"/>
      <c r="W204" s="17"/>
      <c r="X204" s="17"/>
      <c r="Y204" s="17"/>
    </row>
    <row r="205" spans="1:25">
      <c r="A205" s="17" t="s">
        <v>3324</v>
      </c>
      <c r="B205" s="17" t="s">
        <v>3324</v>
      </c>
      <c r="C205" s="17" t="s">
        <v>3322</v>
      </c>
      <c r="D205" s="17" t="s">
        <v>2669</v>
      </c>
      <c r="E205" s="17" t="s">
        <v>3258</v>
      </c>
      <c r="F205" s="17" t="s">
        <v>3324</v>
      </c>
      <c r="G205" s="17" t="s">
        <v>2671</v>
      </c>
      <c r="H205" s="17" t="s">
        <v>6835</v>
      </c>
      <c r="I205" s="17" t="s">
        <v>4237</v>
      </c>
      <c r="J205" s="17" t="s">
        <v>3259</v>
      </c>
      <c r="K205" s="17" t="s">
        <v>2760</v>
      </c>
      <c r="L205" s="17" t="s">
        <v>3260</v>
      </c>
      <c r="M205" s="17" t="s">
        <v>2669</v>
      </c>
      <c r="N205" s="17" t="s">
        <v>3324</v>
      </c>
      <c r="O205" s="17" t="s">
        <v>7635</v>
      </c>
      <c r="P205" s="17" t="s">
        <v>3325</v>
      </c>
      <c r="Q205" s="17"/>
      <c r="R205" s="17"/>
      <c r="S205" s="17"/>
      <c r="T205" s="17"/>
      <c r="U205" s="17"/>
      <c r="V205" s="17"/>
      <c r="W205" s="17"/>
      <c r="X205" s="17"/>
      <c r="Y205" s="17"/>
    </row>
    <row r="206" spans="1:25">
      <c r="A206" s="17" t="s">
        <v>3326</v>
      </c>
      <c r="B206" s="17" t="s">
        <v>3326</v>
      </c>
      <c r="C206" s="17" t="s">
        <v>3327</v>
      </c>
      <c r="D206" s="17" t="s">
        <v>2669</v>
      </c>
      <c r="E206" s="17" t="s">
        <v>3258</v>
      </c>
      <c r="F206" s="17" t="s">
        <v>3326</v>
      </c>
      <c r="G206" s="17" t="s">
        <v>2671</v>
      </c>
      <c r="H206" s="17" t="s">
        <v>4312</v>
      </c>
      <c r="I206" s="17" t="s">
        <v>4237</v>
      </c>
      <c r="J206" s="17" t="s">
        <v>3259</v>
      </c>
      <c r="K206" s="17" t="s">
        <v>2769</v>
      </c>
      <c r="L206" s="17" t="s">
        <v>3260</v>
      </c>
      <c r="M206" s="17" t="s">
        <v>2669</v>
      </c>
      <c r="N206" s="17" t="s">
        <v>3326</v>
      </c>
      <c r="O206" s="17" t="s">
        <v>7635</v>
      </c>
      <c r="P206" s="17" t="s">
        <v>3328</v>
      </c>
      <c r="Q206" s="17"/>
      <c r="R206" s="17"/>
      <c r="S206" s="17"/>
      <c r="T206" s="17"/>
      <c r="U206" s="17"/>
      <c r="V206" s="17"/>
      <c r="W206" s="17"/>
      <c r="X206" s="17"/>
      <c r="Y206" s="17"/>
    </row>
    <row r="207" spans="1:25">
      <c r="A207" s="17" t="s">
        <v>3329</v>
      </c>
      <c r="B207" s="17" t="s">
        <v>3329</v>
      </c>
      <c r="C207" s="17" t="s">
        <v>3327</v>
      </c>
      <c r="D207" s="17" t="s">
        <v>2669</v>
      </c>
      <c r="E207" s="17" t="s">
        <v>3258</v>
      </c>
      <c r="F207" s="17" t="s">
        <v>3329</v>
      </c>
      <c r="G207" s="17" t="s">
        <v>2671</v>
      </c>
      <c r="H207" s="17" t="s">
        <v>6835</v>
      </c>
      <c r="I207" s="17" t="s">
        <v>4237</v>
      </c>
      <c r="J207" s="17" t="s">
        <v>3259</v>
      </c>
      <c r="K207" s="17" t="s">
        <v>2769</v>
      </c>
      <c r="L207" s="17" t="s">
        <v>3260</v>
      </c>
      <c r="M207" s="17" t="s">
        <v>2669</v>
      </c>
      <c r="N207" s="17" t="s">
        <v>3329</v>
      </c>
      <c r="O207" s="17" t="s">
        <v>7635</v>
      </c>
      <c r="P207" s="17" t="s">
        <v>3330</v>
      </c>
      <c r="Q207" s="17"/>
      <c r="R207" s="17"/>
      <c r="S207" s="17"/>
      <c r="T207" s="17"/>
      <c r="U207" s="17"/>
      <c r="V207" s="17"/>
      <c r="W207" s="17"/>
      <c r="X207" s="17"/>
      <c r="Y207" s="17"/>
    </row>
    <row r="208" spans="1:25">
      <c r="A208" s="17" t="s">
        <v>3331</v>
      </c>
      <c r="B208" s="17" t="s">
        <v>3331</v>
      </c>
      <c r="C208" s="17" t="s">
        <v>3332</v>
      </c>
      <c r="D208" s="17" t="s">
        <v>2669</v>
      </c>
      <c r="E208" s="17" t="s">
        <v>3258</v>
      </c>
      <c r="F208" s="17" t="s">
        <v>3331</v>
      </c>
      <c r="G208" s="17" t="s">
        <v>2671</v>
      </c>
      <c r="H208" s="17" t="s">
        <v>4312</v>
      </c>
      <c r="I208" s="17" t="s">
        <v>4237</v>
      </c>
      <c r="J208" s="17" t="s">
        <v>3259</v>
      </c>
      <c r="K208" s="17" t="s">
        <v>2778</v>
      </c>
      <c r="L208" s="17" t="s">
        <v>3260</v>
      </c>
      <c r="M208" s="17" t="s">
        <v>2669</v>
      </c>
      <c r="N208" s="17" t="s">
        <v>3331</v>
      </c>
      <c r="O208" s="17" t="s">
        <v>7635</v>
      </c>
      <c r="P208" s="17" t="s">
        <v>3333</v>
      </c>
      <c r="Q208" s="17"/>
      <c r="R208" s="17"/>
      <c r="S208" s="17"/>
      <c r="T208" s="17"/>
      <c r="U208" s="17"/>
      <c r="V208" s="17"/>
      <c r="W208" s="17"/>
      <c r="X208" s="17"/>
      <c r="Y208" s="17"/>
    </row>
    <row r="209" spans="1:25">
      <c r="A209" s="17" t="s">
        <v>3334</v>
      </c>
      <c r="B209" s="17" t="s">
        <v>3334</v>
      </c>
      <c r="C209" s="17" t="s">
        <v>3332</v>
      </c>
      <c r="D209" s="17" t="s">
        <v>2669</v>
      </c>
      <c r="E209" s="17" t="s">
        <v>3258</v>
      </c>
      <c r="F209" s="17" t="s">
        <v>3334</v>
      </c>
      <c r="G209" s="17" t="s">
        <v>2671</v>
      </c>
      <c r="H209" s="17" t="s">
        <v>6835</v>
      </c>
      <c r="I209" s="17" t="s">
        <v>4237</v>
      </c>
      <c r="J209" s="17" t="s">
        <v>3259</v>
      </c>
      <c r="K209" s="17" t="s">
        <v>2778</v>
      </c>
      <c r="L209" s="17" t="s">
        <v>3260</v>
      </c>
      <c r="M209" s="17" t="s">
        <v>2669</v>
      </c>
      <c r="N209" s="17" t="s">
        <v>3334</v>
      </c>
      <c r="O209" s="17" t="s">
        <v>7635</v>
      </c>
      <c r="P209" s="17" t="s">
        <v>3335</v>
      </c>
      <c r="Q209" s="17"/>
      <c r="R209" s="17"/>
      <c r="S209" s="17"/>
      <c r="T209" s="17"/>
      <c r="U209" s="17"/>
      <c r="V209" s="17"/>
      <c r="W209" s="17"/>
      <c r="X209" s="17"/>
      <c r="Y209" s="17"/>
    </row>
    <row r="210" spans="1:25">
      <c r="A210" s="17" t="s">
        <v>3336</v>
      </c>
      <c r="B210" s="17" t="s">
        <v>3336</v>
      </c>
      <c r="C210" s="17" t="s">
        <v>3337</v>
      </c>
      <c r="D210" s="17" t="s">
        <v>2669</v>
      </c>
      <c r="E210" s="17" t="s">
        <v>3258</v>
      </c>
      <c r="F210" s="17" t="s">
        <v>3336</v>
      </c>
      <c r="G210" s="17" t="s">
        <v>2671</v>
      </c>
      <c r="H210" s="17" t="s">
        <v>4312</v>
      </c>
      <c r="I210" s="17" t="s">
        <v>4237</v>
      </c>
      <c r="J210" s="17" t="s">
        <v>3259</v>
      </c>
      <c r="K210" s="17" t="s">
        <v>2787</v>
      </c>
      <c r="L210" s="17" t="s">
        <v>3260</v>
      </c>
      <c r="M210" s="17" t="s">
        <v>2669</v>
      </c>
      <c r="N210" s="17" t="s">
        <v>3336</v>
      </c>
      <c r="O210" s="17" t="s">
        <v>7635</v>
      </c>
      <c r="P210" s="17" t="s">
        <v>3338</v>
      </c>
      <c r="Q210" s="17"/>
      <c r="R210" s="17"/>
      <c r="S210" s="17"/>
      <c r="T210" s="17"/>
      <c r="U210" s="17"/>
      <c r="V210" s="17"/>
      <c r="W210" s="17"/>
      <c r="X210" s="17"/>
      <c r="Y210" s="17"/>
    </row>
    <row r="211" spans="1:25">
      <c r="A211" s="17" t="s">
        <v>3339</v>
      </c>
      <c r="B211" s="17" t="s">
        <v>3339</v>
      </c>
      <c r="C211" s="17" t="s">
        <v>3337</v>
      </c>
      <c r="D211" s="17" t="s">
        <v>2669</v>
      </c>
      <c r="E211" s="17" t="s">
        <v>3258</v>
      </c>
      <c r="F211" s="17" t="s">
        <v>3339</v>
      </c>
      <c r="G211" s="17" t="s">
        <v>2671</v>
      </c>
      <c r="H211" s="17" t="s">
        <v>6835</v>
      </c>
      <c r="I211" s="17" t="s">
        <v>4237</v>
      </c>
      <c r="J211" s="17" t="s">
        <v>3259</v>
      </c>
      <c r="K211" s="17" t="s">
        <v>2787</v>
      </c>
      <c r="L211" s="17" t="s">
        <v>3260</v>
      </c>
      <c r="M211" s="17" t="s">
        <v>2669</v>
      </c>
      <c r="N211" s="17" t="s">
        <v>3339</v>
      </c>
      <c r="O211" s="17" t="s">
        <v>7635</v>
      </c>
      <c r="P211" s="17" t="s">
        <v>3340</v>
      </c>
      <c r="Q211" s="17"/>
      <c r="R211" s="17"/>
      <c r="S211" s="17"/>
      <c r="T211" s="17"/>
      <c r="U211" s="17"/>
      <c r="V211" s="17"/>
      <c r="W211" s="17"/>
      <c r="X211" s="17"/>
      <c r="Y211" s="17"/>
    </row>
    <row r="212" spans="1:25">
      <c r="A212" s="17" t="s">
        <v>3341</v>
      </c>
      <c r="B212" s="17" t="s">
        <v>3341</v>
      </c>
      <c r="C212" s="17" t="s">
        <v>3342</v>
      </c>
      <c r="D212" s="17" t="s">
        <v>2669</v>
      </c>
      <c r="E212" s="17" t="s">
        <v>3258</v>
      </c>
      <c r="F212" s="17" t="s">
        <v>3341</v>
      </c>
      <c r="G212" s="17" t="s">
        <v>2671</v>
      </c>
      <c r="H212" s="17" t="s">
        <v>4312</v>
      </c>
      <c r="I212" s="17" t="s">
        <v>4237</v>
      </c>
      <c r="J212" s="17" t="s">
        <v>3259</v>
      </c>
      <c r="K212" s="17" t="s">
        <v>2791</v>
      </c>
      <c r="L212" s="17" t="s">
        <v>3260</v>
      </c>
      <c r="M212" s="17" t="s">
        <v>2669</v>
      </c>
      <c r="N212" s="17" t="s">
        <v>3341</v>
      </c>
      <c r="O212" s="17" t="s">
        <v>7635</v>
      </c>
      <c r="P212" s="17" t="s">
        <v>3343</v>
      </c>
      <c r="Q212" s="17"/>
      <c r="R212" s="17"/>
      <c r="S212" s="17"/>
      <c r="T212" s="17"/>
      <c r="U212" s="17"/>
      <c r="V212" s="17"/>
      <c r="W212" s="17"/>
      <c r="X212" s="17"/>
      <c r="Y212" s="17"/>
    </row>
    <row r="213" spans="1:25">
      <c r="A213" s="17" t="s">
        <v>3344</v>
      </c>
      <c r="B213" s="17" t="s">
        <v>3344</v>
      </c>
      <c r="C213" s="17" t="s">
        <v>3342</v>
      </c>
      <c r="D213" s="17" t="s">
        <v>2669</v>
      </c>
      <c r="E213" s="17" t="s">
        <v>3258</v>
      </c>
      <c r="F213" s="17" t="s">
        <v>3344</v>
      </c>
      <c r="G213" s="17" t="s">
        <v>2671</v>
      </c>
      <c r="H213" s="17" t="s">
        <v>6835</v>
      </c>
      <c r="I213" s="17" t="s">
        <v>4237</v>
      </c>
      <c r="J213" s="17" t="s">
        <v>3259</v>
      </c>
      <c r="K213" s="17" t="s">
        <v>2791</v>
      </c>
      <c r="L213" s="17" t="s">
        <v>3260</v>
      </c>
      <c r="M213" s="17" t="s">
        <v>2669</v>
      </c>
      <c r="N213" s="17" t="s">
        <v>3344</v>
      </c>
      <c r="O213" s="17" t="s">
        <v>7635</v>
      </c>
      <c r="P213" s="17" t="s">
        <v>3345</v>
      </c>
      <c r="Q213" s="17"/>
      <c r="R213" s="17"/>
      <c r="S213" s="17"/>
      <c r="T213" s="17"/>
      <c r="U213" s="17"/>
      <c r="V213" s="17"/>
      <c r="W213" s="17"/>
      <c r="X213" s="17"/>
      <c r="Y213" s="17"/>
    </row>
    <row r="214" spans="1:25">
      <c r="A214" s="17" t="s">
        <v>3346</v>
      </c>
      <c r="B214" s="17" t="s">
        <v>3346</v>
      </c>
      <c r="C214" s="17" t="s">
        <v>3347</v>
      </c>
      <c r="D214" s="17" t="s">
        <v>2669</v>
      </c>
      <c r="E214" s="17" t="s">
        <v>3258</v>
      </c>
      <c r="F214" s="17" t="s">
        <v>3346</v>
      </c>
      <c r="G214" s="17" t="s">
        <v>2671</v>
      </c>
      <c r="H214" s="17" t="s">
        <v>4312</v>
      </c>
      <c r="I214" s="17" t="s">
        <v>4237</v>
      </c>
      <c r="J214" s="17" t="s">
        <v>3259</v>
      </c>
      <c r="K214" s="17" t="s">
        <v>2800</v>
      </c>
      <c r="L214" s="17" t="s">
        <v>3260</v>
      </c>
      <c r="M214" s="17" t="s">
        <v>2669</v>
      </c>
      <c r="N214" s="17" t="s">
        <v>3346</v>
      </c>
      <c r="O214" s="17" t="s">
        <v>7635</v>
      </c>
      <c r="P214" s="17" t="s">
        <v>3348</v>
      </c>
      <c r="Q214" s="17"/>
      <c r="R214" s="17"/>
      <c r="S214" s="17"/>
      <c r="T214" s="17"/>
      <c r="U214" s="17"/>
      <c r="V214" s="17"/>
      <c r="W214" s="17"/>
      <c r="X214" s="17"/>
      <c r="Y214" s="17"/>
    </row>
    <row r="215" spans="1:25">
      <c r="A215" s="17" t="s">
        <v>3349</v>
      </c>
      <c r="B215" s="17" t="s">
        <v>3349</v>
      </c>
      <c r="C215" s="17" t="s">
        <v>3347</v>
      </c>
      <c r="D215" s="17" t="s">
        <v>2669</v>
      </c>
      <c r="E215" s="17" t="s">
        <v>3258</v>
      </c>
      <c r="F215" s="17" t="s">
        <v>3349</v>
      </c>
      <c r="G215" s="17" t="s">
        <v>2671</v>
      </c>
      <c r="H215" s="17" t="s">
        <v>6835</v>
      </c>
      <c r="I215" s="17" t="s">
        <v>4237</v>
      </c>
      <c r="J215" s="17" t="s">
        <v>3259</v>
      </c>
      <c r="K215" s="17" t="s">
        <v>2800</v>
      </c>
      <c r="L215" s="17" t="s">
        <v>3260</v>
      </c>
      <c r="M215" s="17" t="s">
        <v>2669</v>
      </c>
      <c r="N215" s="17" t="s">
        <v>3349</v>
      </c>
      <c r="O215" s="17" t="s">
        <v>7635</v>
      </c>
      <c r="P215" s="17" t="s">
        <v>3350</v>
      </c>
      <c r="Q215" s="17"/>
      <c r="R215" s="17"/>
      <c r="S215" s="17"/>
      <c r="T215" s="17"/>
      <c r="U215" s="17"/>
      <c r="V215" s="17"/>
      <c r="W215" s="17"/>
      <c r="X215" s="17"/>
      <c r="Y215" s="17"/>
    </row>
    <row r="216" spans="1:25">
      <c r="A216" s="17" t="s">
        <v>3351</v>
      </c>
      <c r="B216" s="17" t="s">
        <v>3351</v>
      </c>
      <c r="C216" s="17" t="s">
        <v>3352</v>
      </c>
      <c r="D216" s="17" t="s">
        <v>2669</v>
      </c>
      <c r="E216" s="17" t="s">
        <v>3258</v>
      </c>
      <c r="F216" s="17" t="s">
        <v>3351</v>
      </c>
      <c r="G216" s="17" t="s">
        <v>2671</v>
      </c>
      <c r="H216" s="17" t="s">
        <v>4312</v>
      </c>
      <c r="I216" s="17" t="s">
        <v>4237</v>
      </c>
      <c r="J216" s="17" t="s">
        <v>3259</v>
      </c>
      <c r="K216" s="17" t="s">
        <v>2809</v>
      </c>
      <c r="L216" s="17" t="s">
        <v>3260</v>
      </c>
      <c r="M216" s="17" t="s">
        <v>2669</v>
      </c>
      <c r="N216" s="17" t="s">
        <v>3351</v>
      </c>
      <c r="O216" s="17" t="s">
        <v>7635</v>
      </c>
      <c r="P216" s="17" t="s">
        <v>3353</v>
      </c>
      <c r="Q216" s="17"/>
      <c r="R216" s="17"/>
      <c r="S216" s="17"/>
      <c r="T216" s="17"/>
      <c r="U216" s="17"/>
      <c r="V216" s="17"/>
      <c r="W216" s="17"/>
      <c r="X216" s="17"/>
      <c r="Y216" s="17"/>
    </row>
    <row r="217" spans="1:25">
      <c r="A217" s="17" t="s">
        <v>3354</v>
      </c>
      <c r="B217" s="17" t="s">
        <v>3354</v>
      </c>
      <c r="C217" s="17" t="s">
        <v>3352</v>
      </c>
      <c r="D217" s="17" t="s">
        <v>2669</v>
      </c>
      <c r="E217" s="17" t="s">
        <v>3258</v>
      </c>
      <c r="F217" s="17" t="s">
        <v>3354</v>
      </c>
      <c r="G217" s="17" t="s">
        <v>2671</v>
      </c>
      <c r="H217" s="17" t="s">
        <v>6835</v>
      </c>
      <c r="I217" s="17" t="s">
        <v>4237</v>
      </c>
      <c r="J217" s="17" t="s">
        <v>3259</v>
      </c>
      <c r="K217" s="17" t="s">
        <v>2809</v>
      </c>
      <c r="L217" s="17" t="s">
        <v>3260</v>
      </c>
      <c r="M217" s="17" t="s">
        <v>2669</v>
      </c>
      <c r="N217" s="17" t="s">
        <v>3354</v>
      </c>
      <c r="O217" s="17" t="s">
        <v>7635</v>
      </c>
      <c r="P217" s="17" t="s">
        <v>3355</v>
      </c>
      <c r="Q217" s="17"/>
      <c r="R217" s="17"/>
      <c r="S217" s="17"/>
      <c r="T217" s="17"/>
      <c r="U217" s="17"/>
      <c r="V217" s="17"/>
      <c r="W217" s="17"/>
      <c r="X217" s="17"/>
      <c r="Y217" s="17"/>
    </row>
    <row r="218" spans="1:25">
      <c r="A218" s="17" t="s">
        <v>3356</v>
      </c>
      <c r="B218" s="17" t="s">
        <v>3356</v>
      </c>
      <c r="C218" s="17" t="s">
        <v>3357</v>
      </c>
      <c r="D218" s="17" t="s">
        <v>2669</v>
      </c>
      <c r="E218" s="17" t="s">
        <v>3258</v>
      </c>
      <c r="F218" s="17" t="s">
        <v>3356</v>
      </c>
      <c r="G218" s="17" t="s">
        <v>2671</v>
      </c>
      <c r="H218" s="17" t="s">
        <v>4312</v>
      </c>
      <c r="I218" s="17" t="s">
        <v>4237</v>
      </c>
      <c r="J218" s="17" t="s">
        <v>3259</v>
      </c>
      <c r="K218" s="17" t="s">
        <v>2818</v>
      </c>
      <c r="L218" s="17" t="s">
        <v>3260</v>
      </c>
      <c r="M218" s="17" t="s">
        <v>2669</v>
      </c>
      <c r="N218" s="17" t="s">
        <v>3356</v>
      </c>
      <c r="O218" s="17" t="s">
        <v>7635</v>
      </c>
      <c r="P218" s="17" t="s">
        <v>3358</v>
      </c>
      <c r="Q218" s="17"/>
      <c r="R218" s="17"/>
      <c r="S218" s="17"/>
      <c r="T218" s="17"/>
      <c r="U218" s="17"/>
      <c r="V218" s="17"/>
      <c r="W218" s="17"/>
      <c r="X218" s="17"/>
      <c r="Y218" s="17"/>
    </row>
    <row r="219" spans="1:25">
      <c r="A219" s="17" t="s">
        <v>3359</v>
      </c>
      <c r="B219" s="17" t="s">
        <v>3359</v>
      </c>
      <c r="C219" s="17" t="s">
        <v>3357</v>
      </c>
      <c r="D219" s="17" t="s">
        <v>2669</v>
      </c>
      <c r="E219" s="17" t="s">
        <v>3258</v>
      </c>
      <c r="F219" s="17" t="s">
        <v>3359</v>
      </c>
      <c r="G219" s="17" t="s">
        <v>2671</v>
      </c>
      <c r="H219" s="17" t="s">
        <v>6835</v>
      </c>
      <c r="I219" s="17" t="s">
        <v>4237</v>
      </c>
      <c r="J219" s="17" t="s">
        <v>3259</v>
      </c>
      <c r="K219" s="17" t="s">
        <v>2818</v>
      </c>
      <c r="L219" s="17" t="s">
        <v>3260</v>
      </c>
      <c r="M219" s="17" t="s">
        <v>2669</v>
      </c>
      <c r="N219" s="17" t="s">
        <v>3359</v>
      </c>
      <c r="O219" s="17" t="s">
        <v>7635</v>
      </c>
      <c r="P219" s="17" t="s">
        <v>3360</v>
      </c>
      <c r="Q219" s="17"/>
      <c r="R219" s="17"/>
      <c r="S219" s="17"/>
      <c r="T219" s="17"/>
      <c r="U219" s="17"/>
      <c r="V219" s="17"/>
      <c r="W219" s="17"/>
      <c r="X219" s="17"/>
      <c r="Y219" s="17"/>
    </row>
    <row r="220" spans="1:25">
      <c r="A220" s="17" t="s">
        <v>3361</v>
      </c>
      <c r="B220" s="17" t="s">
        <v>3361</v>
      </c>
      <c r="C220" s="17" t="s">
        <v>3362</v>
      </c>
      <c r="D220" s="17" t="s">
        <v>2669</v>
      </c>
      <c r="E220" s="17" t="s">
        <v>3258</v>
      </c>
      <c r="F220" s="17" t="s">
        <v>3361</v>
      </c>
      <c r="G220" s="17" t="s">
        <v>2671</v>
      </c>
      <c r="H220" s="17" t="s">
        <v>4312</v>
      </c>
      <c r="I220" s="17" t="s">
        <v>4237</v>
      </c>
      <c r="J220" s="17" t="s">
        <v>3259</v>
      </c>
      <c r="K220" s="17" t="s">
        <v>2827</v>
      </c>
      <c r="L220" s="17" t="s">
        <v>3260</v>
      </c>
      <c r="M220" s="17" t="s">
        <v>2669</v>
      </c>
      <c r="N220" s="17" t="s">
        <v>3361</v>
      </c>
      <c r="O220" s="17" t="s">
        <v>7635</v>
      </c>
      <c r="P220" s="17" t="s">
        <v>3363</v>
      </c>
      <c r="Q220" s="17"/>
      <c r="R220" s="17"/>
      <c r="S220" s="17"/>
      <c r="T220" s="17"/>
      <c r="U220" s="17"/>
      <c r="V220" s="17"/>
      <c r="W220" s="17"/>
      <c r="X220" s="17"/>
      <c r="Y220" s="17"/>
    </row>
    <row r="221" spans="1:25">
      <c r="A221" s="17" t="s">
        <v>3364</v>
      </c>
      <c r="B221" s="17" t="s">
        <v>3364</v>
      </c>
      <c r="C221" s="17" t="s">
        <v>3362</v>
      </c>
      <c r="D221" s="17" t="s">
        <v>2669</v>
      </c>
      <c r="E221" s="17" t="s">
        <v>3258</v>
      </c>
      <c r="F221" s="17" t="s">
        <v>3364</v>
      </c>
      <c r="G221" s="17" t="s">
        <v>2671</v>
      </c>
      <c r="H221" s="17" t="s">
        <v>6835</v>
      </c>
      <c r="I221" s="17" t="s">
        <v>4237</v>
      </c>
      <c r="J221" s="17" t="s">
        <v>3259</v>
      </c>
      <c r="K221" s="17" t="s">
        <v>2827</v>
      </c>
      <c r="L221" s="17" t="s">
        <v>3260</v>
      </c>
      <c r="M221" s="17" t="s">
        <v>2669</v>
      </c>
      <c r="N221" s="17" t="s">
        <v>3364</v>
      </c>
      <c r="O221" s="17" t="s">
        <v>7635</v>
      </c>
      <c r="P221" s="17" t="s">
        <v>3365</v>
      </c>
      <c r="Q221" s="17"/>
      <c r="R221" s="17"/>
      <c r="S221" s="17"/>
      <c r="T221" s="17"/>
      <c r="U221" s="17"/>
      <c r="V221" s="17"/>
      <c r="W221" s="17"/>
      <c r="X221" s="17"/>
      <c r="Y221" s="17"/>
    </row>
    <row r="222" spans="1:25">
      <c r="A222" s="17" t="s">
        <v>3366</v>
      </c>
      <c r="B222" s="17" t="s">
        <v>3366</v>
      </c>
      <c r="C222" s="17" t="s">
        <v>3367</v>
      </c>
      <c r="D222" s="17" t="s">
        <v>2669</v>
      </c>
      <c r="E222" s="17" t="s">
        <v>3258</v>
      </c>
      <c r="F222" s="17" t="s">
        <v>3366</v>
      </c>
      <c r="G222" s="17" t="s">
        <v>2671</v>
      </c>
      <c r="H222" s="17" t="s">
        <v>4312</v>
      </c>
      <c r="I222" s="17" t="s">
        <v>4237</v>
      </c>
      <c r="J222" s="17" t="s">
        <v>3259</v>
      </c>
      <c r="K222" s="17" t="s">
        <v>2836</v>
      </c>
      <c r="L222" s="17" t="s">
        <v>3260</v>
      </c>
      <c r="M222" s="17" t="s">
        <v>2669</v>
      </c>
      <c r="N222" s="17" t="s">
        <v>3366</v>
      </c>
      <c r="O222" s="17" t="s">
        <v>7635</v>
      </c>
      <c r="P222" s="17" t="s">
        <v>3368</v>
      </c>
      <c r="Q222" s="17"/>
      <c r="R222" s="17"/>
      <c r="S222" s="17"/>
      <c r="T222" s="17"/>
      <c r="U222" s="17"/>
      <c r="V222" s="17"/>
      <c r="W222" s="17"/>
      <c r="X222" s="17"/>
      <c r="Y222" s="17"/>
    </row>
    <row r="223" spans="1:25">
      <c r="A223" s="17" t="s">
        <v>3369</v>
      </c>
      <c r="B223" s="17" t="s">
        <v>3369</v>
      </c>
      <c r="C223" s="17" t="s">
        <v>3367</v>
      </c>
      <c r="D223" s="17" t="s">
        <v>2669</v>
      </c>
      <c r="E223" s="17" t="s">
        <v>3258</v>
      </c>
      <c r="F223" s="17" t="s">
        <v>3369</v>
      </c>
      <c r="G223" s="17" t="s">
        <v>2671</v>
      </c>
      <c r="H223" s="17" t="s">
        <v>6835</v>
      </c>
      <c r="I223" s="17" t="s">
        <v>4237</v>
      </c>
      <c r="J223" s="17" t="s">
        <v>3259</v>
      </c>
      <c r="K223" s="17" t="s">
        <v>2836</v>
      </c>
      <c r="L223" s="17" t="s">
        <v>3260</v>
      </c>
      <c r="M223" s="17" t="s">
        <v>2669</v>
      </c>
      <c r="N223" s="17" t="s">
        <v>3369</v>
      </c>
      <c r="O223" s="17" t="s">
        <v>7635</v>
      </c>
      <c r="P223" s="17" t="s">
        <v>3370</v>
      </c>
      <c r="Q223" s="17"/>
      <c r="R223" s="17"/>
      <c r="S223" s="17"/>
      <c r="T223" s="17"/>
      <c r="U223" s="17"/>
      <c r="V223" s="17"/>
      <c r="W223" s="17"/>
      <c r="X223" s="17"/>
      <c r="Y223" s="17"/>
    </row>
    <row r="224" spans="1:25">
      <c r="A224" s="17" t="s">
        <v>3371</v>
      </c>
      <c r="B224" s="17" t="s">
        <v>3371</v>
      </c>
      <c r="C224" s="17" t="s">
        <v>3372</v>
      </c>
      <c r="D224" s="17" t="s">
        <v>2669</v>
      </c>
      <c r="E224" s="17" t="s">
        <v>3258</v>
      </c>
      <c r="F224" s="17" t="s">
        <v>3371</v>
      </c>
      <c r="G224" s="17" t="s">
        <v>2671</v>
      </c>
      <c r="H224" s="17" t="s">
        <v>4312</v>
      </c>
      <c r="I224" s="17" t="s">
        <v>4237</v>
      </c>
      <c r="J224" s="17" t="s">
        <v>3259</v>
      </c>
      <c r="K224" s="17" t="s">
        <v>2845</v>
      </c>
      <c r="L224" s="17" t="s">
        <v>3260</v>
      </c>
      <c r="M224" s="17" t="s">
        <v>2669</v>
      </c>
      <c r="N224" s="17" t="s">
        <v>3371</v>
      </c>
      <c r="O224" s="17" t="s">
        <v>7635</v>
      </c>
      <c r="P224" s="17" t="s">
        <v>3373</v>
      </c>
      <c r="Q224" s="17"/>
      <c r="R224" s="17"/>
      <c r="S224" s="17"/>
      <c r="T224" s="17"/>
      <c r="U224" s="17"/>
      <c r="V224" s="17"/>
      <c r="W224" s="17"/>
      <c r="X224" s="17"/>
      <c r="Y224" s="17"/>
    </row>
    <row r="225" spans="1:25">
      <c r="A225" s="17" t="s">
        <v>3374</v>
      </c>
      <c r="B225" s="17" t="s">
        <v>3374</v>
      </c>
      <c r="C225" s="17" t="s">
        <v>3372</v>
      </c>
      <c r="D225" s="17" t="s">
        <v>2669</v>
      </c>
      <c r="E225" s="17" t="s">
        <v>3258</v>
      </c>
      <c r="F225" s="17" t="s">
        <v>3374</v>
      </c>
      <c r="G225" s="17" t="s">
        <v>2671</v>
      </c>
      <c r="H225" s="17" t="s">
        <v>6835</v>
      </c>
      <c r="I225" s="17" t="s">
        <v>4237</v>
      </c>
      <c r="J225" s="17" t="s">
        <v>3259</v>
      </c>
      <c r="K225" s="17" t="s">
        <v>2845</v>
      </c>
      <c r="L225" s="17" t="s">
        <v>3260</v>
      </c>
      <c r="M225" s="17" t="s">
        <v>2669</v>
      </c>
      <c r="N225" s="17" t="s">
        <v>3374</v>
      </c>
      <c r="O225" s="17" t="s">
        <v>7635</v>
      </c>
      <c r="P225" s="17" t="s">
        <v>3375</v>
      </c>
      <c r="Q225" s="17"/>
      <c r="R225" s="17"/>
      <c r="S225" s="17"/>
      <c r="T225" s="17"/>
      <c r="U225" s="17"/>
      <c r="V225" s="17"/>
      <c r="W225" s="17"/>
      <c r="X225" s="17"/>
      <c r="Y225" s="17"/>
    </row>
    <row r="226" spans="1:25">
      <c r="A226" s="17" t="s">
        <v>3376</v>
      </c>
      <c r="B226" s="17" t="s">
        <v>3376</v>
      </c>
      <c r="C226" s="17" t="s">
        <v>3377</v>
      </c>
      <c r="D226" s="17" t="s">
        <v>2669</v>
      </c>
      <c r="E226" s="17" t="s">
        <v>3258</v>
      </c>
      <c r="F226" s="17" t="s">
        <v>3376</v>
      </c>
      <c r="G226" s="17" t="s">
        <v>2671</v>
      </c>
      <c r="H226" s="17" t="s">
        <v>4312</v>
      </c>
      <c r="I226" s="17" t="s">
        <v>4237</v>
      </c>
      <c r="J226" s="17" t="s">
        <v>3259</v>
      </c>
      <c r="K226" s="17" t="s">
        <v>2854</v>
      </c>
      <c r="L226" s="17" t="s">
        <v>3260</v>
      </c>
      <c r="M226" s="17" t="s">
        <v>2669</v>
      </c>
      <c r="N226" s="17" t="s">
        <v>3376</v>
      </c>
      <c r="O226" s="17" t="s">
        <v>7635</v>
      </c>
      <c r="P226" s="17" t="s">
        <v>3378</v>
      </c>
      <c r="Q226" s="17"/>
      <c r="R226" s="17"/>
      <c r="S226" s="17"/>
      <c r="T226" s="17"/>
      <c r="U226" s="17"/>
      <c r="V226" s="17"/>
      <c r="W226" s="17"/>
      <c r="X226" s="17"/>
      <c r="Y226" s="17"/>
    </row>
    <row r="227" spans="1:25">
      <c r="A227" s="17" t="s">
        <v>3379</v>
      </c>
      <c r="B227" s="17" t="s">
        <v>3379</v>
      </c>
      <c r="C227" s="17" t="s">
        <v>3377</v>
      </c>
      <c r="D227" s="17" t="s">
        <v>2669</v>
      </c>
      <c r="E227" s="17" t="s">
        <v>3258</v>
      </c>
      <c r="F227" s="17" t="s">
        <v>3379</v>
      </c>
      <c r="G227" s="17" t="s">
        <v>2671</v>
      </c>
      <c r="H227" s="17" t="s">
        <v>6835</v>
      </c>
      <c r="I227" s="17" t="s">
        <v>4237</v>
      </c>
      <c r="J227" s="17" t="s">
        <v>3259</v>
      </c>
      <c r="K227" s="17" t="s">
        <v>2854</v>
      </c>
      <c r="L227" s="17" t="s">
        <v>3260</v>
      </c>
      <c r="M227" s="17" t="s">
        <v>2669</v>
      </c>
      <c r="N227" s="17" t="s">
        <v>3379</v>
      </c>
      <c r="O227" s="17" t="s">
        <v>7635</v>
      </c>
      <c r="P227" s="17" t="s">
        <v>3380</v>
      </c>
      <c r="Q227" s="17"/>
      <c r="R227" s="17"/>
      <c r="S227" s="17"/>
      <c r="T227" s="17"/>
      <c r="U227" s="17"/>
      <c r="V227" s="17"/>
      <c r="W227" s="17"/>
      <c r="X227" s="17"/>
      <c r="Y227" s="17"/>
    </row>
    <row r="228" spans="1:25">
      <c r="A228" s="17" t="s">
        <v>3381</v>
      </c>
      <c r="B228" s="17" t="s">
        <v>3381</v>
      </c>
      <c r="C228" s="17" t="s">
        <v>3382</v>
      </c>
      <c r="D228" s="17" t="s">
        <v>2669</v>
      </c>
      <c r="E228" s="17" t="s">
        <v>3258</v>
      </c>
      <c r="F228" s="17" t="s">
        <v>3381</v>
      </c>
      <c r="G228" s="17" t="s">
        <v>2671</v>
      </c>
      <c r="H228" s="17" t="s">
        <v>4312</v>
      </c>
      <c r="I228" s="17" t="s">
        <v>4237</v>
      </c>
      <c r="J228" s="17" t="s">
        <v>3259</v>
      </c>
      <c r="K228" s="17" t="s">
        <v>2864</v>
      </c>
      <c r="L228" s="17" t="s">
        <v>3260</v>
      </c>
      <c r="M228" s="17" t="s">
        <v>2669</v>
      </c>
      <c r="N228" s="17" t="s">
        <v>3381</v>
      </c>
      <c r="O228" s="17" t="s">
        <v>7635</v>
      </c>
      <c r="P228" s="17" t="s">
        <v>3383</v>
      </c>
      <c r="Q228" s="17"/>
      <c r="R228" s="17"/>
      <c r="S228" s="17"/>
      <c r="T228" s="17"/>
      <c r="U228" s="17"/>
      <c r="V228" s="17"/>
      <c r="W228" s="17"/>
      <c r="X228" s="17"/>
      <c r="Y228" s="17"/>
    </row>
    <row r="229" spans="1:25">
      <c r="A229" s="17" t="s">
        <v>3384</v>
      </c>
      <c r="B229" s="17" t="s">
        <v>3384</v>
      </c>
      <c r="C229" s="17" t="s">
        <v>3382</v>
      </c>
      <c r="D229" s="17" t="s">
        <v>2669</v>
      </c>
      <c r="E229" s="17" t="s">
        <v>3258</v>
      </c>
      <c r="F229" s="17" t="s">
        <v>3384</v>
      </c>
      <c r="G229" s="17" t="s">
        <v>2671</v>
      </c>
      <c r="H229" s="17" t="s">
        <v>6835</v>
      </c>
      <c r="I229" s="17" t="s">
        <v>4237</v>
      </c>
      <c r="J229" s="17" t="s">
        <v>3259</v>
      </c>
      <c r="K229" s="17" t="s">
        <v>2864</v>
      </c>
      <c r="L229" s="17" t="s">
        <v>3260</v>
      </c>
      <c r="M229" s="17" t="s">
        <v>2669</v>
      </c>
      <c r="N229" s="17" t="s">
        <v>3384</v>
      </c>
      <c r="O229" s="17" t="s">
        <v>7635</v>
      </c>
      <c r="P229" s="17" t="s">
        <v>3385</v>
      </c>
      <c r="Q229" s="17"/>
      <c r="R229" s="17"/>
      <c r="S229" s="17"/>
      <c r="T229" s="17"/>
      <c r="U229" s="17"/>
      <c r="V229" s="17"/>
      <c r="W229" s="17"/>
      <c r="X229" s="17"/>
      <c r="Y229" s="17"/>
    </row>
    <row r="230" spans="1:25">
      <c r="A230" s="17" t="s">
        <v>3386</v>
      </c>
      <c r="B230" s="17" t="s">
        <v>3386</v>
      </c>
      <c r="C230" s="17" t="s">
        <v>3387</v>
      </c>
      <c r="D230" s="17" t="s">
        <v>2669</v>
      </c>
      <c r="E230" s="17" t="s">
        <v>3258</v>
      </c>
      <c r="F230" s="17" t="s">
        <v>3386</v>
      </c>
      <c r="G230" s="17" t="s">
        <v>2671</v>
      </c>
      <c r="H230" s="17" t="s">
        <v>4312</v>
      </c>
      <c r="I230" s="17" t="s">
        <v>4237</v>
      </c>
      <c r="J230" s="17" t="s">
        <v>3259</v>
      </c>
      <c r="K230" s="17" t="s">
        <v>2873</v>
      </c>
      <c r="L230" s="17" t="s">
        <v>3260</v>
      </c>
      <c r="M230" s="17" t="s">
        <v>2669</v>
      </c>
      <c r="N230" s="17" t="s">
        <v>3386</v>
      </c>
      <c r="O230" s="17" t="s">
        <v>7635</v>
      </c>
      <c r="P230" s="17" t="s">
        <v>3388</v>
      </c>
      <c r="Q230" s="17"/>
      <c r="R230" s="17"/>
      <c r="S230" s="17"/>
      <c r="T230" s="17"/>
      <c r="U230" s="17"/>
      <c r="V230" s="17"/>
      <c r="W230" s="17"/>
      <c r="X230" s="17"/>
      <c r="Y230" s="17"/>
    </row>
    <row r="231" spans="1:25">
      <c r="A231" s="17" t="s">
        <v>3389</v>
      </c>
      <c r="B231" s="17" t="s">
        <v>3389</v>
      </c>
      <c r="C231" s="17" t="s">
        <v>3387</v>
      </c>
      <c r="D231" s="17" t="s">
        <v>2669</v>
      </c>
      <c r="E231" s="17" t="s">
        <v>3258</v>
      </c>
      <c r="F231" s="17" t="s">
        <v>3389</v>
      </c>
      <c r="G231" s="17" t="s">
        <v>2671</v>
      </c>
      <c r="H231" s="17" t="s">
        <v>6835</v>
      </c>
      <c r="I231" s="17" t="s">
        <v>4237</v>
      </c>
      <c r="J231" s="17" t="s">
        <v>3259</v>
      </c>
      <c r="K231" s="17" t="s">
        <v>2873</v>
      </c>
      <c r="L231" s="17" t="s">
        <v>3260</v>
      </c>
      <c r="M231" s="17" t="s">
        <v>2669</v>
      </c>
      <c r="N231" s="17" t="s">
        <v>3389</v>
      </c>
      <c r="O231" s="17" t="s">
        <v>7635</v>
      </c>
      <c r="P231" s="17" t="s">
        <v>3390</v>
      </c>
      <c r="Q231" s="17"/>
      <c r="R231" s="17"/>
      <c r="S231" s="17"/>
      <c r="T231" s="17"/>
      <c r="U231" s="17"/>
      <c r="V231" s="17"/>
      <c r="W231" s="17"/>
      <c r="X231" s="17"/>
      <c r="Y231" s="17"/>
    </row>
    <row r="232" spans="1:25">
      <c r="A232" s="17" t="s">
        <v>3391</v>
      </c>
      <c r="B232" s="17" t="s">
        <v>3391</v>
      </c>
      <c r="C232" s="17" t="s">
        <v>3392</v>
      </c>
      <c r="D232" s="17" t="s">
        <v>2669</v>
      </c>
      <c r="E232" s="17" t="s">
        <v>3258</v>
      </c>
      <c r="F232" s="17" t="s">
        <v>3391</v>
      </c>
      <c r="G232" s="17" t="s">
        <v>2671</v>
      </c>
      <c r="H232" s="17" t="s">
        <v>4312</v>
      </c>
      <c r="I232" s="17" t="s">
        <v>4237</v>
      </c>
      <c r="J232" s="17" t="s">
        <v>3259</v>
      </c>
      <c r="K232" s="17" t="s">
        <v>2882</v>
      </c>
      <c r="L232" s="17" t="s">
        <v>3260</v>
      </c>
      <c r="M232" s="17" t="s">
        <v>2669</v>
      </c>
      <c r="N232" s="17" t="s">
        <v>3391</v>
      </c>
      <c r="O232" s="17" t="s">
        <v>7635</v>
      </c>
      <c r="P232" s="17" t="s">
        <v>3393</v>
      </c>
      <c r="Q232" s="17"/>
      <c r="R232" s="17"/>
      <c r="S232" s="17"/>
      <c r="T232" s="17"/>
      <c r="U232" s="17"/>
      <c r="V232" s="17"/>
      <c r="W232" s="17"/>
      <c r="X232" s="17"/>
      <c r="Y232" s="17"/>
    </row>
    <row r="233" spans="1:25">
      <c r="A233" s="17" t="s">
        <v>3394</v>
      </c>
      <c r="B233" s="17" t="s">
        <v>3394</v>
      </c>
      <c r="C233" s="17" t="s">
        <v>3392</v>
      </c>
      <c r="D233" s="17" t="s">
        <v>2669</v>
      </c>
      <c r="E233" s="17" t="s">
        <v>3258</v>
      </c>
      <c r="F233" s="17" t="s">
        <v>3394</v>
      </c>
      <c r="G233" s="17" t="s">
        <v>2671</v>
      </c>
      <c r="H233" s="17" t="s">
        <v>6835</v>
      </c>
      <c r="I233" s="17" t="s">
        <v>4237</v>
      </c>
      <c r="J233" s="17" t="s">
        <v>3259</v>
      </c>
      <c r="K233" s="17" t="s">
        <v>2882</v>
      </c>
      <c r="L233" s="17" t="s">
        <v>3260</v>
      </c>
      <c r="M233" s="17" t="s">
        <v>2669</v>
      </c>
      <c r="N233" s="17" t="s">
        <v>3394</v>
      </c>
      <c r="O233" s="17" t="s">
        <v>7635</v>
      </c>
      <c r="P233" s="17" t="s">
        <v>3395</v>
      </c>
      <c r="Q233" s="17"/>
      <c r="R233" s="17"/>
      <c r="S233" s="17"/>
      <c r="T233" s="17"/>
      <c r="U233" s="17"/>
      <c r="V233" s="17"/>
      <c r="W233" s="17"/>
      <c r="X233" s="17"/>
      <c r="Y233" s="17"/>
    </row>
    <row r="234" spans="1:25">
      <c r="A234" s="17" t="s">
        <v>3396</v>
      </c>
      <c r="B234" s="17" t="s">
        <v>3396</v>
      </c>
      <c r="C234" s="17" t="s">
        <v>3397</v>
      </c>
      <c r="D234" s="17" t="s">
        <v>2669</v>
      </c>
      <c r="E234" s="17" t="s">
        <v>3258</v>
      </c>
      <c r="F234" s="17" t="s">
        <v>3396</v>
      </c>
      <c r="G234" s="17" t="s">
        <v>2671</v>
      </c>
      <c r="H234" s="17" t="s">
        <v>4312</v>
      </c>
      <c r="I234" s="17" t="s">
        <v>4237</v>
      </c>
      <c r="J234" s="17" t="s">
        <v>3259</v>
      </c>
      <c r="K234" s="17" t="s">
        <v>2889</v>
      </c>
      <c r="L234" s="17" t="s">
        <v>3260</v>
      </c>
      <c r="M234" s="17" t="s">
        <v>2669</v>
      </c>
      <c r="N234" s="17" t="s">
        <v>3396</v>
      </c>
      <c r="O234" s="17" t="s">
        <v>7635</v>
      </c>
      <c r="P234" s="17" t="s">
        <v>3398</v>
      </c>
      <c r="Q234" s="17"/>
      <c r="R234" s="17"/>
      <c r="S234" s="17"/>
      <c r="T234" s="17"/>
      <c r="U234" s="17"/>
      <c r="V234" s="17"/>
      <c r="W234" s="17"/>
      <c r="X234" s="17"/>
      <c r="Y234" s="17"/>
    </row>
    <row r="235" spans="1:25">
      <c r="A235" s="17" t="s">
        <v>3399</v>
      </c>
      <c r="B235" s="17" t="s">
        <v>3399</v>
      </c>
      <c r="C235" s="17" t="s">
        <v>3397</v>
      </c>
      <c r="D235" s="17" t="s">
        <v>2669</v>
      </c>
      <c r="E235" s="17" t="s">
        <v>3258</v>
      </c>
      <c r="F235" s="17" t="s">
        <v>3399</v>
      </c>
      <c r="G235" s="17" t="s">
        <v>2671</v>
      </c>
      <c r="H235" s="17" t="s">
        <v>6835</v>
      </c>
      <c r="I235" s="17" t="s">
        <v>4237</v>
      </c>
      <c r="J235" s="17" t="s">
        <v>3259</v>
      </c>
      <c r="K235" s="17" t="s">
        <v>2889</v>
      </c>
      <c r="L235" s="17" t="s">
        <v>3260</v>
      </c>
      <c r="M235" s="17" t="s">
        <v>2669</v>
      </c>
      <c r="N235" s="17" t="s">
        <v>3399</v>
      </c>
      <c r="O235" s="17" t="s">
        <v>7635</v>
      </c>
      <c r="P235" s="17" t="s">
        <v>3400</v>
      </c>
      <c r="Q235" s="17"/>
      <c r="R235" s="17"/>
      <c r="S235" s="17"/>
      <c r="T235" s="17"/>
      <c r="U235" s="17"/>
      <c r="V235" s="17"/>
      <c r="W235" s="17"/>
      <c r="X235" s="17"/>
      <c r="Y235" s="17"/>
    </row>
    <row r="236" spans="1:25">
      <c r="A236" s="17" t="s">
        <v>3401</v>
      </c>
      <c r="B236" s="17" t="s">
        <v>3401</v>
      </c>
      <c r="C236" s="17" t="s">
        <v>3402</v>
      </c>
      <c r="D236" s="17" t="s">
        <v>2669</v>
      </c>
      <c r="E236" s="17" t="s">
        <v>3258</v>
      </c>
      <c r="F236" s="17" t="s">
        <v>3401</v>
      </c>
      <c r="G236" s="17" t="s">
        <v>2671</v>
      </c>
      <c r="H236" s="17" t="s">
        <v>4312</v>
      </c>
      <c r="I236" s="17" t="s">
        <v>4237</v>
      </c>
      <c r="J236" s="17" t="s">
        <v>3259</v>
      </c>
      <c r="K236" s="17" t="s">
        <v>2893</v>
      </c>
      <c r="L236" s="17" t="s">
        <v>3260</v>
      </c>
      <c r="M236" s="17" t="s">
        <v>2669</v>
      </c>
      <c r="N236" s="17" t="s">
        <v>3401</v>
      </c>
      <c r="O236" s="17" t="s">
        <v>7635</v>
      </c>
      <c r="P236" s="17" t="s">
        <v>3403</v>
      </c>
      <c r="Q236" s="17"/>
      <c r="R236" s="17"/>
      <c r="S236" s="17"/>
      <c r="T236" s="17"/>
      <c r="U236" s="17"/>
      <c r="V236" s="17"/>
      <c r="W236" s="17"/>
      <c r="X236" s="17"/>
      <c r="Y236" s="17"/>
    </row>
    <row r="237" spans="1:25">
      <c r="A237" s="17" t="s">
        <v>3404</v>
      </c>
      <c r="B237" s="17" t="s">
        <v>3404</v>
      </c>
      <c r="C237" s="17" t="s">
        <v>3402</v>
      </c>
      <c r="D237" s="17" t="s">
        <v>2669</v>
      </c>
      <c r="E237" s="17" t="s">
        <v>3258</v>
      </c>
      <c r="F237" s="17" t="s">
        <v>3404</v>
      </c>
      <c r="G237" s="17" t="s">
        <v>2671</v>
      </c>
      <c r="H237" s="17" t="s">
        <v>6835</v>
      </c>
      <c r="I237" s="17" t="s">
        <v>4237</v>
      </c>
      <c r="J237" s="17" t="s">
        <v>3259</v>
      </c>
      <c r="K237" s="17" t="s">
        <v>2893</v>
      </c>
      <c r="L237" s="17" t="s">
        <v>3260</v>
      </c>
      <c r="M237" s="17" t="s">
        <v>2669</v>
      </c>
      <c r="N237" s="17" t="s">
        <v>3404</v>
      </c>
      <c r="O237" s="17" t="s">
        <v>7635</v>
      </c>
      <c r="P237" s="17" t="s">
        <v>3405</v>
      </c>
      <c r="Q237" s="17"/>
      <c r="R237" s="17"/>
      <c r="S237" s="17"/>
      <c r="T237" s="17"/>
      <c r="U237" s="17"/>
      <c r="V237" s="17"/>
      <c r="W237" s="17"/>
      <c r="X237" s="17"/>
      <c r="Y237" s="17"/>
    </row>
    <row r="238" spans="1:25">
      <c r="A238" s="17" t="s">
        <v>3406</v>
      </c>
      <c r="B238" s="17" t="s">
        <v>3406</v>
      </c>
      <c r="C238" s="17" t="s">
        <v>3407</v>
      </c>
      <c r="D238" s="17" t="s">
        <v>2669</v>
      </c>
      <c r="E238" s="17" t="s">
        <v>3258</v>
      </c>
      <c r="F238" s="17" t="s">
        <v>3406</v>
      </c>
      <c r="G238" s="17" t="s">
        <v>2671</v>
      </c>
      <c r="H238" s="17" t="s">
        <v>4312</v>
      </c>
      <c r="I238" s="17" t="s">
        <v>4237</v>
      </c>
      <c r="J238" s="17" t="s">
        <v>3259</v>
      </c>
      <c r="K238" s="17" t="s">
        <v>2902</v>
      </c>
      <c r="L238" s="17" t="s">
        <v>3260</v>
      </c>
      <c r="M238" s="17" t="s">
        <v>2669</v>
      </c>
      <c r="N238" s="17" t="s">
        <v>3406</v>
      </c>
      <c r="O238" s="17" t="s">
        <v>7635</v>
      </c>
      <c r="P238" s="17" t="s">
        <v>3408</v>
      </c>
      <c r="Q238" s="17"/>
      <c r="R238" s="17"/>
      <c r="S238" s="17"/>
      <c r="T238" s="17"/>
      <c r="U238" s="17"/>
      <c r="V238" s="17"/>
      <c r="W238" s="17"/>
      <c r="X238" s="17"/>
      <c r="Y238" s="17"/>
    </row>
    <row r="239" spans="1:25">
      <c r="A239" s="17" t="s">
        <v>3409</v>
      </c>
      <c r="B239" s="17" t="s">
        <v>3409</v>
      </c>
      <c r="C239" s="17" t="s">
        <v>3407</v>
      </c>
      <c r="D239" s="17" t="s">
        <v>2669</v>
      </c>
      <c r="E239" s="17" t="s">
        <v>3258</v>
      </c>
      <c r="F239" s="17" t="s">
        <v>3409</v>
      </c>
      <c r="G239" s="17" t="s">
        <v>2671</v>
      </c>
      <c r="H239" s="17" t="s">
        <v>6835</v>
      </c>
      <c r="I239" s="17" t="s">
        <v>4237</v>
      </c>
      <c r="J239" s="17" t="s">
        <v>3259</v>
      </c>
      <c r="K239" s="17" t="s">
        <v>2902</v>
      </c>
      <c r="L239" s="17" t="s">
        <v>3260</v>
      </c>
      <c r="M239" s="17" t="s">
        <v>2669</v>
      </c>
      <c r="N239" s="17" t="s">
        <v>3409</v>
      </c>
      <c r="O239" s="17" t="s">
        <v>7635</v>
      </c>
      <c r="P239" s="17" t="s">
        <v>3410</v>
      </c>
      <c r="Q239" s="17"/>
      <c r="R239" s="17"/>
      <c r="S239" s="17"/>
      <c r="T239" s="17"/>
      <c r="U239" s="17"/>
      <c r="V239" s="17"/>
      <c r="W239" s="17"/>
      <c r="X239" s="17"/>
      <c r="Y239" s="17"/>
    </row>
    <row r="240" spans="1:25">
      <c r="A240" s="17" t="s">
        <v>3411</v>
      </c>
      <c r="B240" s="17" t="s">
        <v>3411</v>
      </c>
      <c r="C240" s="17" t="s">
        <v>3412</v>
      </c>
      <c r="D240" s="17" t="s">
        <v>2669</v>
      </c>
      <c r="E240" s="17" t="s">
        <v>3258</v>
      </c>
      <c r="F240" s="17" t="s">
        <v>3411</v>
      </c>
      <c r="G240" s="17" t="s">
        <v>2671</v>
      </c>
      <c r="H240" s="17" t="s">
        <v>4312</v>
      </c>
      <c r="I240" s="17" t="s">
        <v>4237</v>
      </c>
      <c r="J240" s="17" t="s">
        <v>3259</v>
      </c>
      <c r="K240" s="17" t="s">
        <v>2909</v>
      </c>
      <c r="L240" s="17" t="s">
        <v>3260</v>
      </c>
      <c r="M240" s="17" t="s">
        <v>2669</v>
      </c>
      <c r="N240" s="17" t="s">
        <v>3411</v>
      </c>
      <c r="O240" s="17" t="s">
        <v>7635</v>
      </c>
      <c r="P240" s="17" t="s">
        <v>3413</v>
      </c>
      <c r="Q240" s="17"/>
      <c r="R240" s="17"/>
      <c r="S240" s="17"/>
      <c r="T240" s="17"/>
      <c r="U240" s="17"/>
      <c r="V240" s="17"/>
      <c r="W240" s="17"/>
      <c r="X240" s="17"/>
      <c r="Y240" s="17"/>
    </row>
    <row r="241" spans="1:25">
      <c r="A241" s="17" t="s">
        <v>3414</v>
      </c>
      <c r="B241" s="17" t="s">
        <v>3414</v>
      </c>
      <c r="C241" s="17" t="s">
        <v>3412</v>
      </c>
      <c r="D241" s="17" t="s">
        <v>2669</v>
      </c>
      <c r="E241" s="17" t="s">
        <v>3258</v>
      </c>
      <c r="F241" s="17" t="s">
        <v>3414</v>
      </c>
      <c r="G241" s="17" t="s">
        <v>2671</v>
      </c>
      <c r="H241" s="17" t="s">
        <v>6835</v>
      </c>
      <c r="I241" s="17" t="s">
        <v>4237</v>
      </c>
      <c r="J241" s="17" t="s">
        <v>3259</v>
      </c>
      <c r="K241" s="17" t="s">
        <v>2909</v>
      </c>
      <c r="L241" s="17" t="s">
        <v>3260</v>
      </c>
      <c r="M241" s="17" t="s">
        <v>2669</v>
      </c>
      <c r="N241" s="17" t="s">
        <v>3414</v>
      </c>
      <c r="O241" s="17" t="s">
        <v>7635</v>
      </c>
      <c r="P241" s="17" t="s">
        <v>3415</v>
      </c>
      <c r="Q241" s="17"/>
      <c r="R241" s="17"/>
      <c r="S241" s="17"/>
      <c r="T241" s="17"/>
      <c r="U241" s="17"/>
      <c r="V241" s="17"/>
      <c r="W241" s="17"/>
      <c r="X241" s="17"/>
      <c r="Y241" s="17"/>
    </row>
    <row r="242" spans="1:25">
      <c r="A242" s="17" t="s">
        <v>3416</v>
      </c>
      <c r="B242" s="17" t="s">
        <v>3416</v>
      </c>
      <c r="C242" s="17" t="s">
        <v>3417</v>
      </c>
      <c r="D242" s="17" t="s">
        <v>2669</v>
      </c>
      <c r="E242" s="17" t="s">
        <v>3258</v>
      </c>
      <c r="F242" s="17" t="s">
        <v>3416</v>
      </c>
      <c r="G242" s="17" t="s">
        <v>2671</v>
      </c>
      <c r="H242" s="17" t="s">
        <v>4312</v>
      </c>
      <c r="I242" s="17" t="s">
        <v>4237</v>
      </c>
      <c r="J242" s="17" t="s">
        <v>3259</v>
      </c>
      <c r="K242" s="17" t="s">
        <v>2916</v>
      </c>
      <c r="L242" s="17" t="s">
        <v>3260</v>
      </c>
      <c r="M242" s="17" t="s">
        <v>2669</v>
      </c>
      <c r="N242" s="17" t="s">
        <v>3416</v>
      </c>
      <c r="O242" s="17" t="s">
        <v>7635</v>
      </c>
      <c r="P242" s="17" t="s">
        <v>3418</v>
      </c>
      <c r="Q242" s="17"/>
      <c r="R242" s="17"/>
      <c r="S242" s="17"/>
      <c r="T242" s="17"/>
      <c r="U242" s="17"/>
      <c r="V242" s="17"/>
      <c r="W242" s="17"/>
      <c r="X242" s="17"/>
      <c r="Y242" s="17"/>
    </row>
    <row r="243" spans="1:25">
      <c r="A243" s="17" t="s">
        <v>3419</v>
      </c>
      <c r="B243" s="17" t="s">
        <v>3419</v>
      </c>
      <c r="C243" s="17" t="s">
        <v>3417</v>
      </c>
      <c r="D243" s="17" t="s">
        <v>2669</v>
      </c>
      <c r="E243" s="17" t="s">
        <v>3258</v>
      </c>
      <c r="F243" s="17" t="s">
        <v>3419</v>
      </c>
      <c r="G243" s="17" t="s">
        <v>2671</v>
      </c>
      <c r="H243" s="17" t="s">
        <v>6835</v>
      </c>
      <c r="I243" s="17" t="s">
        <v>4237</v>
      </c>
      <c r="J243" s="17" t="s">
        <v>3259</v>
      </c>
      <c r="K243" s="17" t="s">
        <v>2916</v>
      </c>
      <c r="L243" s="17" t="s">
        <v>3260</v>
      </c>
      <c r="M243" s="17" t="s">
        <v>2669</v>
      </c>
      <c r="N243" s="17" t="s">
        <v>3419</v>
      </c>
      <c r="O243" s="17" t="s">
        <v>7635</v>
      </c>
      <c r="P243" s="17" t="s">
        <v>3420</v>
      </c>
      <c r="Q243" s="17"/>
      <c r="R243" s="17"/>
      <c r="S243" s="17"/>
      <c r="T243" s="17"/>
      <c r="U243" s="17"/>
      <c r="V243" s="17"/>
      <c r="W243" s="17"/>
      <c r="X243" s="17"/>
      <c r="Y243" s="17"/>
    </row>
    <row r="244" spans="1:25">
      <c r="A244" s="17" t="s">
        <v>3421</v>
      </c>
      <c r="B244" s="17" t="s">
        <v>3421</v>
      </c>
      <c r="C244" s="17" t="s">
        <v>3422</v>
      </c>
      <c r="D244" s="17" t="s">
        <v>2669</v>
      </c>
      <c r="E244" s="17" t="s">
        <v>3258</v>
      </c>
      <c r="F244" s="17" t="s">
        <v>3421</v>
      </c>
      <c r="G244" s="17" t="s">
        <v>2671</v>
      </c>
      <c r="H244" s="17" t="s">
        <v>4312</v>
      </c>
      <c r="I244" s="17" t="s">
        <v>4237</v>
      </c>
      <c r="J244" s="17" t="s">
        <v>3259</v>
      </c>
      <c r="K244" s="17" t="s">
        <v>2923</v>
      </c>
      <c r="L244" s="17" t="s">
        <v>3260</v>
      </c>
      <c r="M244" s="17" t="s">
        <v>2669</v>
      </c>
      <c r="N244" s="17" t="s">
        <v>3421</v>
      </c>
      <c r="O244" s="17" t="s">
        <v>7635</v>
      </c>
      <c r="P244" s="17" t="s">
        <v>3423</v>
      </c>
      <c r="Q244" s="17"/>
      <c r="R244" s="17"/>
      <c r="S244" s="17"/>
      <c r="T244" s="17"/>
      <c r="U244" s="17"/>
      <c r="V244" s="17"/>
      <c r="W244" s="17"/>
      <c r="X244" s="17"/>
      <c r="Y244" s="17"/>
    </row>
    <row r="245" spans="1:25">
      <c r="A245" s="17" t="s">
        <v>3424</v>
      </c>
      <c r="B245" s="17" t="s">
        <v>3424</v>
      </c>
      <c r="C245" s="17" t="s">
        <v>3422</v>
      </c>
      <c r="D245" s="17" t="s">
        <v>2669</v>
      </c>
      <c r="E245" s="17" t="s">
        <v>3258</v>
      </c>
      <c r="F245" s="17" t="s">
        <v>3424</v>
      </c>
      <c r="G245" s="17" t="s">
        <v>2671</v>
      </c>
      <c r="H245" s="17" t="s">
        <v>6835</v>
      </c>
      <c r="I245" s="17" t="s">
        <v>4237</v>
      </c>
      <c r="J245" s="17" t="s">
        <v>3259</v>
      </c>
      <c r="K245" s="17" t="s">
        <v>2923</v>
      </c>
      <c r="L245" s="17" t="s">
        <v>3260</v>
      </c>
      <c r="M245" s="17" t="s">
        <v>2669</v>
      </c>
      <c r="N245" s="17" t="s">
        <v>3424</v>
      </c>
      <c r="O245" s="17" t="s">
        <v>7635</v>
      </c>
      <c r="P245" s="17" t="s">
        <v>3425</v>
      </c>
      <c r="Q245" s="17"/>
      <c r="R245" s="17"/>
      <c r="S245" s="17"/>
      <c r="T245" s="17"/>
      <c r="U245" s="17"/>
      <c r="V245" s="17"/>
      <c r="W245" s="17"/>
      <c r="X245" s="17"/>
      <c r="Y245" s="17"/>
    </row>
    <row r="246" spans="1:25">
      <c r="A246" s="17" t="s">
        <v>3426</v>
      </c>
      <c r="B246" s="17" t="s">
        <v>3426</v>
      </c>
      <c r="C246" s="17" t="s">
        <v>3427</v>
      </c>
      <c r="D246" s="17" t="s">
        <v>2669</v>
      </c>
      <c r="E246" s="17" t="s">
        <v>3258</v>
      </c>
      <c r="F246" s="17" t="s">
        <v>3426</v>
      </c>
      <c r="G246" s="17" t="s">
        <v>2671</v>
      </c>
      <c r="H246" s="17" t="s">
        <v>4312</v>
      </c>
      <c r="I246" s="17" t="s">
        <v>4237</v>
      </c>
      <c r="J246" s="17" t="s">
        <v>3259</v>
      </c>
      <c r="K246" s="17" t="s">
        <v>2930</v>
      </c>
      <c r="L246" s="17" t="s">
        <v>3260</v>
      </c>
      <c r="M246" s="17" t="s">
        <v>2669</v>
      </c>
      <c r="N246" s="17" t="s">
        <v>3426</v>
      </c>
      <c r="O246" s="17" t="s">
        <v>7635</v>
      </c>
      <c r="P246" s="17" t="s">
        <v>3428</v>
      </c>
      <c r="Q246" s="17"/>
      <c r="R246" s="17"/>
      <c r="S246" s="17"/>
      <c r="T246" s="17"/>
      <c r="U246" s="17"/>
      <c r="V246" s="17"/>
      <c r="W246" s="17"/>
      <c r="X246" s="17"/>
      <c r="Y246" s="17"/>
    </row>
    <row r="247" spans="1:25">
      <c r="A247" s="17" t="s">
        <v>3429</v>
      </c>
      <c r="B247" s="17" t="s">
        <v>3429</v>
      </c>
      <c r="C247" s="17" t="s">
        <v>3427</v>
      </c>
      <c r="D247" s="17" t="s">
        <v>2669</v>
      </c>
      <c r="E247" s="17" t="s">
        <v>3258</v>
      </c>
      <c r="F247" s="17" t="s">
        <v>3429</v>
      </c>
      <c r="G247" s="17" t="s">
        <v>2671</v>
      </c>
      <c r="H247" s="17" t="s">
        <v>6835</v>
      </c>
      <c r="I247" s="17" t="s">
        <v>4237</v>
      </c>
      <c r="J247" s="17" t="s">
        <v>3259</v>
      </c>
      <c r="K247" s="17" t="s">
        <v>2930</v>
      </c>
      <c r="L247" s="17" t="s">
        <v>3260</v>
      </c>
      <c r="M247" s="17" t="s">
        <v>2669</v>
      </c>
      <c r="N247" s="17" t="s">
        <v>3429</v>
      </c>
      <c r="O247" s="17" t="s">
        <v>7635</v>
      </c>
      <c r="P247" s="17" t="s">
        <v>3430</v>
      </c>
      <c r="Q247" s="17"/>
      <c r="R247" s="17"/>
      <c r="S247" s="17"/>
      <c r="T247" s="17"/>
      <c r="U247" s="17"/>
      <c r="V247" s="17"/>
      <c r="W247" s="17"/>
      <c r="X247" s="17"/>
      <c r="Y247" s="17"/>
    </row>
    <row r="248" spans="1:25">
      <c r="A248" s="17" t="s">
        <v>3431</v>
      </c>
      <c r="B248" s="17" t="s">
        <v>3431</v>
      </c>
      <c r="C248" s="17" t="s">
        <v>3432</v>
      </c>
      <c r="D248" s="17" t="s">
        <v>2669</v>
      </c>
      <c r="E248" s="17" t="s">
        <v>3258</v>
      </c>
      <c r="F248" s="17" t="s">
        <v>3431</v>
      </c>
      <c r="G248" s="17" t="s">
        <v>2671</v>
      </c>
      <c r="H248" s="17" t="s">
        <v>4312</v>
      </c>
      <c r="I248" s="17" t="s">
        <v>4237</v>
      </c>
      <c r="J248" s="17" t="s">
        <v>3259</v>
      </c>
      <c r="K248" s="17" t="s">
        <v>2934</v>
      </c>
      <c r="L248" s="17" t="s">
        <v>3260</v>
      </c>
      <c r="M248" s="17" t="s">
        <v>2669</v>
      </c>
      <c r="N248" s="17" t="s">
        <v>3431</v>
      </c>
      <c r="O248" s="17" t="s">
        <v>7635</v>
      </c>
      <c r="P248" s="17" t="s">
        <v>3433</v>
      </c>
      <c r="Q248" s="17"/>
      <c r="R248" s="17"/>
      <c r="S248" s="17"/>
      <c r="T248" s="17"/>
      <c r="U248" s="17"/>
      <c r="V248" s="17"/>
      <c r="W248" s="17"/>
      <c r="X248" s="17"/>
      <c r="Y248" s="17"/>
    </row>
    <row r="249" spans="1:25">
      <c r="A249" s="17" t="s">
        <v>3434</v>
      </c>
      <c r="B249" s="17" t="s">
        <v>3434</v>
      </c>
      <c r="C249" s="17" t="s">
        <v>3432</v>
      </c>
      <c r="D249" s="17" t="s">
        <v>2669</v>
      </c>
      <c r="E249" s="17" t="s">
        <v>3258</v>
      </c>
      <c r="F249" s="17" t="s">
        <v>3434</v>
      </c>
      <c r="G249" s="17" t="s">
        <v>2671</v>
      </c>
      <c r="H249" s="17" t="s">
        <v>6835</v>
      </c>
      <c r="I249" s="17" t="s">
        <v>4237</v>
      </c>
      <c r="J249" s="17" t="s">
        <v>3259</v>
      </c>
      <c r="K249" s="17" t="s">
        <v>2934</v>
      </c>
      <c r="L249" s="17" t="s">
        <v>3260</v>
      </c>
      <c r="M249" s="17" t="s">
        <v>2669</v>
      </c>
      <c r="N249" s="17" t="s">
        <v>3434</v>
      </c>
      <c r="O249" s="17" t="s">
        <v>7635</v>
      </c>
      <c r="P249" s="17" t="s">
        <v>3435</v>
      </c>
      <c r="Q249" s="17"/>
      <c r="R249" s="17"/>
      <c r="S249" s="17"/>
      <c r="T249" s="17"/>
      <c r="U249" s="17"/>
      <c r="V249" s="17"/>
      <c r="W249" s="17"/>
      <c r="X249" s="17"/>
      <c r="Y249" s="17"/>
    </row>
    <row r="250" spans="1:25">
      <c r="A250" s="17" t="s">
        <v>3436</v>
      </c>
      <c r="B250" s="17" t="s">
        <v>3436</v>
      </c>
      <c r="C250" s="17" t="s">
        <v>3437</v>
      </c>
      <c r="D250" s="17" t="s">
        <v>2669</v>
      </c>
      <c r="E250" s="17" t="s">
        <v>3258</v>
      </c>
      <c r="F250" s="17" t="s">
        <v>3436</v>
      </c>
      <c r="G250" s="17" t="s">
        <v>2671</v>
      </c>
      <c r="H250" s="17" t="s">
        <v>4312</v>
      </c>
      <c r="I250" s="17" t="s">
        <v>4237</v>
      </c>
      <c r="J250" s="17" t="s">
        <v>3259</v>
      </c>
      <c r="K250" s="17" t="s">
        <v>2938</v>
      </c>
      <c r="L250" s="17" t="s">
        <v>3260</v>
      </c>
      <c r="M250" s="17" t="s">
        <v>2669</v>
      </c>
      <c r="N250" s="17" t="s">
        <v>3436</v>
      </c>
      <c r="O250" s="17" t="s">
        <v>7635</v>
      </c>
      <c r="P250" s="17" t="s">
        <v>3438</v>
      </c>
      <c r="Q250" s="17"/>
      <c r="R250" s="17"/>
      <c r="S250" s="17"/>
      <c r="T250" s="17"/>
      <c r="U250" s="17"/>
      <c r="V250" s="17"/>
      <c r="W250" s="17"/>
      <c r="X250" s="17"/>
      <c r="Y250" s="17"/>
    </row>
    <row r="251" spans="1:25">
      <c r="A251" s="17" t="s">
        <v>3439</v>
      </c>
      <c r="B251" s="17" t="s">
        <v>3439</v>
      </c>
      <c r="C251" s="17" t="s">
        <v>3437</v>
      </c>
      <c r="D251" s="17" t="s">
        <v>2669</v>
      </c>
      <c r="E251" s="17" t="s">
        <v>3258</v>
      </c>
      <c r="F251" s="17" t="s">
        <v>3439</v>
      </c>
      <c r="G251" s="17" t="s">
        <v>2671</v>
      </c>
      <c r="H251" s="17" t="s">
        <v>6835</v>
      </c>
      <c r="I251" s="17" t="s">
        <v>4237</v>
      </c>
      <c r="J251" s="17" t="s">
        <v>3259</v>
      </c>
      <c r="K251" s="17" t="s">
        <v>2938</v>
      </c>
      <c r="L251" s="17" t="s">
        <v>3260</v>
      </c>
      <c r="M251" s="17" t="s">
        <v>2669</v>
      </c>
      <c r="N251" s="17" t="s">
        <v>3439</v>
      </c>
      <c r="O251" s="17" t="s">
        <v>7635</v>
      </c>
      <c r="P251" s="17" t="s">
        <v>3440</v>
      </c>
      <c r="Q251" s="17"/>
      <c r="R251" s="17"/>
      <c r="S251" s="17"/>
      <c r="T251" s="17"/>
      <c r="U251" s="17"/>
      <c r="V251" s="17"/>
      <c r="W251" s="17"/>
      <c r="X251" s="17"/>
      <c r="Y251" s="17"/>
    </row>
    <row r="252" spans="1:25">
      <c r="A252" s="17" t="s">
        <v>3441</v>
      </c>
      <c r="B252" s="17" t="s">
        <v>3441</v>
      </c>
      <c r="C252" s="17" t="s">
        <v>3442</v>
      </c>
      <c r="D252" s="17" t="s">
        <v>2669</v>
      </c>
      <c r="E252" s="17" t="s">
        <v>3258</v>
      </c>
      <c r="F252" s="17" t="s">
        <v>3441</v>
      </c>
      <c r="G252" s="17" t="s">
        <v>2671</v>
      </c>
      <c r="H252" s="17" t="s">
        <v>4312</v>
      </c>
      <c r="I252" s="17" t="s">
        <v>4237</v>
      </c>
      <c r="J252" s="17" t="s">
        <v>3259</v>
      </c>
      <c r="K252" s="17" t="s">
        <v>3151</v>
      </c>
      <c r="L252" s="17" t="s">
        <v>3260</v>
      </c>
      <c r="M252" s="17" t="s">
        <v>2669</v>
      </c>
      <c r="N252" s="17" t="s">
        <v>3441</v>
      </c>
      <c r="O252" s="17" t="s">
        <v>7635</v>
      </c>
      <c r="P252" s="17" t="s">
        <v>3443</v>
      </c>
      <c r="Q252" s="17"/>
      <c r="R252" s="17"/>
      <c r="S252" s="17"/>
      <c r="T252" s="17"/>
      <c r="U252" s="17"/>
      <c r="V252" s="17"/>
      <c r="W252" s="17"/>
      <c r="X252" s="17"/>
      <c r="Y252" s="17"/>
    </row>
    <row r="253" spans="1:25">
      <c r="A253" s="17" t="s">
        <v>3444</v>
      </c>
      <c r="B253" s="17" t="s">
        <v>3444</v>
      </c>
      <c r="C253" s="17" t="s">
        <v>3442</v>
      </c>
      <c r="D253" s="17" t="s">
        <v>2669</v>
      </c>
      <c r="E253" s="17" t="s">
        <v>3258</v>
      </c>
      <c r="F253" s="17" t="s">
        <v>3444</v>
      </c>
      <c r="G253" s="17" t="s">
        <v>2671</v>
      </c>
      <c r="H253" s="17" t="s">
        <v>6835</v>
      </c>
      <c r="I253" s="17" t="s">
        <v>4237</v>
      </c>
      <c r="J253" s="17" t="s">
        <v>3259</v>
      </c>
      <c r="K253" s="17" t="s">
        <v>3151</v>
      </c>
      <c r="L253" s="17" t="s">
        <v>3260</v>
      </c>
      <c r="M253" s="17" t="s">
        <v>2669</v>
      </c>
      <c r="N253" s="17" t="s">
        <v>3444</v>
      </c>
      <c r="O253" s="17" t="s">
        <v>7635</v>
      </c>
      <c r="P253" s="17" t="s">
        <v>3445</v>
      </c>
      <c r="Q253" s="17"/>
      <c r="R253" s="17"/>
      <c r="S253" s="17"/>
      <c r="T253" s="17"/>
      <c r="U253" s="17"/>
      <c r="V253" s="17"/>
      <c r="W253" s="17"/>
      <c r="X253" s="17"/>
      <c r="Y253" s="17"/>
    </row>
    <row r="254" spans="1:25">
      <c r="A254" s="17" t="s">
        <v>3446</v>
      </c>
      <c r="B254" s="17" t="s">
        <v>3446</v>
      </c>
      <c r="C254" s="17" t="s">
        <v>3447</v>
      </c>
      <c r="D254" s="17" t="s">
        <v>2669</v>
      </c>
      <c r="E254" s="17" t="s">
        <v>3258</v>
      </c>
      <c r="F254" s="17" t="s">
        <v>3446</v>
      </c>
      <c r="G254" s="17" t="s">
        <v>2671</v>
      </c>
      <c r="H254" s="17" t="s">
        <v>4312</v>
      </c>
      <c r="I254" s="17" t="s">
        <v>4237</v>
      </c>
      <c r="J254" s="17" t="s">
        <v>3259</v>
      </c>
      <c r="K254" s="17" t="s">
        <v>2945</v>
      </c>
      <c r="L254" s="17" t="s">
        <v>3260</v>
      </c>
      <c r="M254" s="17" t="s">
        <v>2669</v>
      </c>
      <c r="N254" s="17" t="s">
        <v>3446</v>
      </c>
      <c r="O254" s="17" t="s">
        <v>7635</v>
      </c>
      <c r="P254" s="17" t="s">
        <v>3448</v>
      </c>
      <c r="Q254" s="17" t="s">
        <v>2669</v>
      </c>
      <c r="R254" s="17" t="s">
        <v>3449</v>
      </c>
      <c r="S254" s="17" t="s">
        <v>7635</v>
      </c>
      <c r="T254" s="17" t="s">
        <v>3450</v>
      </c>
      <c r="U254" s="17"/>
      <c r="V254" s="17"/>
      <c r="W254" s="17"/>
      <c r="X254" s="17"/>
      <c r="Y254" s="17"/>
    </row>
    <row r="255" spans="1:25">
      <c r="A255" s="17" t="s">
        <v>3451</v>
      </c>
      <c r="B255" s="17" t="s">
        <v>3451</v>
      </c>
      <c r="C255" s="17" t="s">
        <v>3447</v>
      </c>
      <c r="D255" s="17" t="s">
        <v>2669</v>
      </c>
      <c r="E255" s="17" t="s">
        <v>3258</v>
      </c>
      <c r="F255" s="17" t="s">
        <v>3451</v>
      </c>
      <c r="G255" s="17" t="s">
        <v>2671</v>
      </c>
      <c r="H255" s="17" t="s">
        <v>6835</v>
      </c>
      <c r="I255" s="17" t="s">
        <v>4237</v>
      </c>
      <c r="J255" s="17" t="s">
        <v>3259</v>
      </c>
      <c r="K255" s="17" t="s">
        <v>2945</v>
      </c>
      <c r="L255" s="17" t="s">
        <v>3260</v>
      </c>
      <c r="M255" s="17" t="s">
        <v>2669</v>
      </c>
      <c r="N255" s="17" t="s">
        <v>3451</v>
      </c>
      <c r="O255" s="17" t="s">
        <v>7635</v>
      </c>
      <c r="P255" s="17" t="s">
        <v>3452</v>
      </c>
      <c r="Q255" s="17"/>
      <c r="R255" s="17"/>
      <c r="S255" s="17"/>
      <c r="T255" s="17"/>
      <c r="U255" s="17"/>
      <c r="V255" s="17"/>
      <c r="W255" s="17"/>
      <c r="X255" s="17"/>
      <c r="Y255" s="17"/>
    </row>
    <row r="256" spans="1:25">
      <c r="A256" s="17" t="s">
        <v>3453</v>
      </c>
      <c r="B256" s="17" t="s">
        <v>3453</v>
      </c>
      <c r="C256" s="17" t="s">
        <v>3454</v>
      </c>
      <c r="D256" s="17" t="s">
        <v>2669</v>
      </c>
      <c r="E256" s="17" t="s">
        <v>3258</v>
      </c>
      <c r="F256" s="17" t="s">
        <v>3453</v>
      </c>
      <c r="G256" s="17" t="s">
        <v>2671</v>
      </c>
      <c r="H256" s="17" t="s">
        <v>4312</v>
      </c>
      <c r="I256" s="17" t="s">
        <v>4237</v>
      </c>
      <c r="J256" s="17" t="s">
        <v>3259</v>
      </c>
      <c r="K256" s="17" t="s">
        <v>3162</v>
      </c>
      <c r="L256" s="17" t="s">
        <v>3260</v>
      </c>
      <c r="M256" s="17" t="s">
        <v>2669</v>
      </c>
      <c r="N256" s="17" t="s">
        <v>3453</v>
      </c>
      <c r="O256" s="17" t="s">
        <v>7635</v>
      </c>
      <c r="P256" s="17" t="s">
        <v>3455</v>
      </c>
      <c r="Q256" s="17"/>
      <c r="R256" s="17"/>
      <c r="S256" s="17"/>
      <c r="T256" s="17"/>
      <c r="U256" s="17"/>
      <c r="V256" s="17"/>
      <c r="W256" s="17"/>
      <c r="X256" s="17"/>
      <c r="Y256" s="17"/>
    </row>
    <row r="257" spans="1:25">
      <c r="A257" s="17" t="s">
        <v>3456</v>
      </c>
      <c r="B257" s="17" t="s">
        <v>3456</v>
      </c>
      <c r="C257" s="17" t="s">
        <v>3454</v>
      </c>
      <c r="D257" s="17" t="s">
        <v>2669</v>
      </c>
      <c r="E257" s="17" t="s">
        <v>3258</v>
      </c>
      <c r="F257" s="17" t="s">
        <v>3456</v>
      </c>
      <c r="G257" s="17" t="s">
        <v>2671</v>
      </c>
      <c r="H257" s="17" t="s">
        <v>6835</v>
      </c>
      <c r="I257" s="17" t="s">
        <v>4237</v>
      </c>
      <c r="J257" s="17" t="s">
        <v>3259</v>
      </c>
      <c r="K257" s="17" t="s">
        <v>3162</v>
      </c>
      <c r="L257" s="17" t="s">
        <v>3260</v>
      </c>
      <c r="M257" s="17" t="s">
        <v>2669</v>
      </c>
      <c r="N257" s="17" t="s">
        <v>3456</v>
      </c>
      <c r="O257" s="17" t="s">
        <v>7635</v>
      </c>
      <c r="P257" s="17" t="s">
        <v>3457</v>
      </c>
      <c r="Q257" s="17"/>
      <c r="R257" s="17"/>
      <c r="S257" s="17"/>
      <c r="T257" s="17"/>
      <c r="U257" s="17"/>
      <c r="V257" s="17"/>
      <c r="W257" s="17"/>
      <c r="X257" s="17"/>
      <c r="Y257" s="17"/>
    </row>
    <row r="258" spans="1:25">
      <c r="A258" s="17" t="s">
        <v>3458</v>
      </c>
      <c r="B258" s="17" t="s">
        <v>3458</v>
      </c>
      <c r="C258" s="17" t="s">
        <v>3459</v>
      </c>
      <c r="D258" s="17" t="s">
        <v>2669</v>
      </c>
      <c r="E258" s="17" t="s">
        <v>3258</v>
      </c>
      <c r="F258" s="17" t="s">
        <v>3458</v>
      </c>
      <c r="G258" s="17" t="s">
        <v>2671</v>
      </c>
      <c r="H258" s="17" t="s">
        <v>4312</v>
      </c>
      <c r="I258" s="17" t="s">
        <v>4237</v>
      </c>
      <c r="J258" s="17" t="s">
        <v>3259</v>
      </c>
      <c r="K258" s="17" t="s">
        <v>3168</v>
      </c>
      <c r="L258" s="17" t="s">
        <v>3260</v>
      </c>
      <c r="M258" s="17" t="s">
        <v>2669</v>
      </c>
      <c r="N258" s="17" t="s">
        <v>3458</v>
      </c>
      <c r="O258" s="17" t="s">
        <v>7635</v>
      </c>
      <c r="P258" s="17" t="s">
        <v>3460</v>
      </c>
      <c r="Q258" s="17"/>
      <c r="R258" s="17"/>
      <c r="S258" s="17"/>
      <c r="T258" s="17"/>
      <c r="U258" s="17"/>
      <c r="V258" s="17"/>
      <c r="W258" s="17"/>
      <c r="X258" s="17"/>
      <c r="Y258" s="17"/>
    </row>
    <row r="259" spans="1:25">
      <c r="A259" s="17" t="s">
        <v>3461</v>
      </c>
      <c r="B259" s="17" t="s">
        <v>3461</v>
      </c>
      <c r="C259" s="17" t="s">
        <v>3459</v>
      </c>
      <c r="D259" s="17" t="s">
        <v>2669</v>
      </c>
      <c r="E259" s="17" t="s">
        <v>3258</v>
      </c>
      <c r="F259" s="17" t="s">
        <v>3461</v>
      </c>
      <c r="G259" s="17" t="s">
        <v>2671</v>
      </c>
      <c r="H259" s="17" t="s">
        <v>6835</v>
      </c>
      <c r="I259" s="17" t="s">
        <v>4237</v>
      </c>
      <c r="J259" s="17" t="s">
        <v>3259</v>
      </c>
      <c r="K259" s="17" t="s">
        <v>3168</v>
      </c>
      <c r="L259" s="17" t="s">
        <v>3260</v>
      </c>
      <c r="M259" s="17" t="s">
        <v>2669</v>
      </c>
      <c r="N259" s="17" t="s">
        <v>3461</v>
      </c>
      <c r="O259" s="17" t="s">
        <v>7635</v>
      </c>
      <c r="P259" s="17" t="s">
        <v>3462</v>
      </c>
      <c r="Q259" s="17"/>
      <c r="R259" s="17"/>
      <c r="S259" s="17"/>
      <c r="T259" s="17"/>
      <c r="U259" s="17"/>
      <c r="V259" s="17"/>
      <c r="W259" s="17"/>
      <c r="X259" s="17"/>
      <c r="Y259" s="17"/>
    </row>
    <row r="260" spans="1:25">
      <c r="A260" s="17" t="s">
        <v>3463</v>
      </c>
      <c r="B260" s="17" t="s">
        <v>3463</v>
      </c>
      <c r="C260" s="17" t="s">
        <v>3464</v>
      </c>
      <c r="D260" s="17" t="s">
        <v>2669</v>
      </c>
      <c r="E260" s="17" t="s">
        <v>3258</v>
      </c>
      <c r="F260" s="17" t="s">
        <v>3463</v>
      </c>
      <c r="G260" s="17" t="s">
        <v>2671</v>
      </c>
      <c r="H260" s="17" t="s">
        <v>4312</v>
      </c>
      <c r="I260" s="17" t="s">
        <v>4237</v>
      </c>
      <c r="J260" s="17" t="s">
        <v>3259</v>
      </c>
      <c r="K260" s="17" t="s">
        <v>3174</v>
      </c>
      <c r="L260" s="17" t="s">
        <v>3260</v>
      </c>
      <c r="M260" s="17" t="s">
        <v>2669</v>
      </c>
      <c r="N260" s="17" t="s">
        <v>3463</v>
      </c>
      <c r="O260" s="17" t="s">
        <v>7635</v>
      </c>
      <c r="P260" s="17" t="s">
        <v>3465</v>
      </c>
      <c r="Q260" s="17"/>
      <c r="R260" s="17"/>
      <c r="S260" s="17"/>
      <c r="T260" s="17"/>
      <c r="U260" s="17"/>
      <c r="V260" s="17"/>
      <c r="W260" s="17"/>
      <c r="X260" s="17"/>
      <c r="Y260" s="17"/>
    </row>
    <row r="261" spans="1:25">
      <c r="A261" s="17" t="s">
        <v>3466</v>
      </c>
      <c r="B261" s="17" t="s">
        <v>3466</v>
      </c>
      <c r="C261" s="17" t="s">
        <v>3464</v>
      </c>
      <c r="D261" s="17" t="s">
        <v>2669</v>
      </c>
      <c r="E261" s="17" t="s">
        <v>3258</v>
      </c>
      <c r="F261" s="17" t="s">
        <v>3466</v>
      </c>
      <c r="G261" s="17" t="s">
        <v>2671</v>
      </c>
      <c r="H261" s="17" t="s">
        <v>6835</v>
      </c>
      <c r="I261" s="17" t="s">
        <v>4237</v>
      </c>
      <c r="J261" s="17" t="s">
        <v>3259</v>
      </c>
      <c r="K261" s="17" t="s">
        <v>3174</v>
      </c>
      <c r="L261" s="17" t="s">
        <v>3260</v>
      </c>
      <c r="M261" s="17" t="s">
        <v>2669</v>
      </c>
      <c r="N261" s="17" t="s">
        <v>3466</v>
      </c>
      <c r="O261" s="17" t="s">
        <v>7635</v>
      </c>
      <c r="P261" s="17" t="s">
        <v>3467</v>
      </c>
      <c r="Q261" s="17"/>
      <c r="R261" s="17"/>
      <c r="S261" s="17"/>
      <c r="T261" s="17"/>
      <c r="U261" s="17"/>
      <c r="V261" s="17"/>
      <c r="W261" s="17"/>
      <c r="X261" s="17"/>
      <c r="Y261" s="17"/>
    </row>
    <row r="262" spans="1:25">
      <c r="A262" s="17" t="s">
        <v>3468</v>
      </c>
      <c r="B262" s="17" t="s">
        <v>3468</v>
      </c>
      <c r="C262" s="17" t="s">
        <v>3469</v>
      </c>
      <c r="D262" s="17" t="s">
        <v>2669</v>
      </c>
      <c r="E262" s="17" t="s">
        <v>3258</v>
      </c>
      <c r="F262" s="17" t="s">
        <v>3468</v>
      </c>
      <c r="G262" s="17" t="s">
        <v>2671</v>
      </c>
      <c r="H262" s="17" t="s">
        <v>4312</v>
      </c>
      <c r="I262" s="17" t="s">
        <v>4237</v>
      </c>
      <c r="J262" s="17" t="s">
        <v>3259</v>
      </c>
      <c r="K262" s="17" t="s">
        <v>3180</v>
      </c>
      <c r="L262" s="17" t="s">
        <v>3260</v>
      </c>
      <c r="M262" s="17" t="s">
        <v>2669</v>
      </c>
      <c r="N262" s="17" t="s">
        <v>3468</v>
      </c>
      <c r="O262" s="17" t="s">
        <v>7635</v>
      </c>
      <c r="P262" s="17" t="s">
        <v>3470</v>
      </c>
      <c r="Q262" s="17"/>
      <c r="R262" s="17"/>
      <c r="S262" s="17"/>
      <c r="T262" s="17"/>
      <c r="U262" s="17"/>
      <c r="V262" s="17"/>
      <c r="W262" s="17"/>
      <c r="X262" s="17"/>
      <c r="Y262" s="17"/>
    </row>
    <row r="263" spans="1:25">
      <c r="A263" s="17" t="s">
        <v>3471</v>
      </c>
      <c r="B263" s="17" t="s">
        <v>3471</v>
      </c>
      <c r="C263" s="17" t="s">
        <v>3469</v>
      </c>
      <c r="D263" s="17" t="s">
        <v>2669</v>
      </c>
      <c r="E263" s="17" t="s">
        <v>3258</v>
      </c>
      <c r="F263" s="17" t="s">
        <v>3471</v>
      </c>
      <c r="G263" s="17" t="s">
        <v>2671</v>
      </c>
      <c r="H263" s="17" t="s">
        <v>6835</v>
      </c>
      <c r="I263" s="17" t="s">
        <v>4237</v>
      </c>
      <c r="J263" s="17" t="s">
        <v>3259</v>
      </c>
      <c r="K263" s="17" t="s">
        <v>3180</v>
      </c>
      <c r="L263" s="17" t="s">
        <v>3260</v>
      </c>
      <c r="M263" s="17" t="s">
        <v>2669</v>
      </c>
      <c r="N263" s="17" t="s">
        <v>3471</v>
      </c>
      <c r="O263" s="17" t="s">
        <v>7635</v>
      </c>
      <c r="P263" s="17" t="s">
        <v>3472</v>
      </c>
      <c r="Q263" s="17"/>
      <c r="R263" s="17"/>
      <c r="S263" s="17"/>
      <c r="T263" s="17"/>
      <c r="U263" s="17"/>
      <c r="V263" s="17"/>
      <c r="W263" s="17"/>
      <c r="X263" s="17"/>
      <c r="Y263" s="17"/>
    </row>
    <row r="264" spans="1:25">
      <c r="A264" s="17" t="s">
        <v>3473</v>
      </c>
      <c r="B264" s="17" t="s">
        <v>3473</v>
      </c>
      <c r="C264" s="17" t="s">
        <v>3474</v>
      </c>
      <c r="D264" s="17" t="s">
        <v>2669</v>
      </c>
      <c r="E264" s="17" t="s">
        <v>3258</v>
      </c>
      <c r="F264" s="17" t="s">
        <v>3473</v>
      </c>
      <c r="G264" s="17" t="s">
        <v>2671</v>
      </c>
      <c r="H264" s="17" t="s">
        <v>4312</v>
      </c>
      <c r="I264" s="17" t="s">
        <v>4237</v>
      </c>
      <c r="J264" s="17" t="s">
        <v>3259</v>
      </c>
      <c r="K264" s="17" t="s">
        <v>3186</v>
      </c>
      <c r="L264" s="17" t="s">
        <v>3260</v>
      </c>
      <c r="M264" s="17" t="s">
        <v>2669</v>
      </c>
      <c r="N264" s="17" t="s">
        <v>3473</v>
      </c>
      <c r="O264" s="17" t="s">
        <v>7635</v>
      </c>
      <c r="P264" s="17" t="s">
        <v>3475</v>
      </c>
      <c r="Q264" s="17"/>
      <c r="R264" s="17"/>
      <c r="S264" s="17"/>
      <c r="T264" s="17"/>
      <c r="U264" s="17"/>
      <c r="V264" s="17"/>
      <c r="W264" s="17"/>
      <c r="X264" s="17"/>
      <c r="Y264" s="17"/>
    </row>
    <row r="265" spans="1:25">
      <c r="A265" s="17" t="s">
        <v>3476</v>
      </c>
      <c r="B265" s="17" t="s">
        <v>3476</v>
      </c>
      <c r="C265" s="17" t="s">
        <v>3474</v>
      </c>
      <c r="D265" s="17" t="s">
        <v>2669</v>
      </c>
      <c r="E265" s="17" t="s">
        <v>3258</v>
      </c>
      <c r="F265" s="17" t="s">
        <v>3476</v>
      </c>
      <c r="G265" s="17" t="s">
        <v>2671</v>
      </c>
      <c r="H265" s="17" t="s">
        <v>6835</v>
      </c>
      <c r="I265" s="17" t="s">
        <v>4237</v>
      </c>
      <c r="J265" s="17" t="s">
        <v>3259</v>
      </c>
      <c r="K265" s="17" t="s">
        <v>3186</v>
      </c>
      <c r="L265" s="17" t="s">
        <v>3260</v>
      </c>
      <c r="M265" s="17" t="s">
        <v>2669</v>
      </c>
      <c r="N265" s="17" t="s">
        <v>3476</v>
      </c>
      <c r="O265" s="17" t="s">
        <v>7635</v>
      </c>
      <c r="P265" s="17" t="s">
        <v>3477</v>
      </c>
      <c r="Q265" s="17"/>
      <c r="R265" s="17"/>
      <c r="S265" s="17"/>
      <c r="T265" s="17"/>
      <c r="U265" s="17"/>
      <c r="V265" s="17"/>
      <c r="W265" s="17"/>
      <c r="X265" s="17"/>
      <c r="Y265" s="17"/>
    </row>
    <row r="266" spans="1:25">
      <c r="A266" s="17" t="s">
        <v>3478</v>
      </c>
      <c r="B266" s="17" t="s">
        <v>3478</v>
      </c>
      <c r="C266" s="17" t="s">
        <v>3479</v>
      </c>
      <c r="D266" s="17" t="s">
        <v>2669</v>
      </c>
      <c r="E266" s="17" t="s">
        <v>3258</v>
      </c>
      <c r="F266" s="17" t="s">
        <v>3478</v>
      </c>
      <c r="G266" s="17" t="s">
        <v>2671</v>
      </c>
      <c r="H266" s="17" t="s">
        <v>4312</v>
      </c>
      <c r="I266" s="17" t="s">
        <v>4237</v>
      </c>
      <c r="J266" s="17" t="s">
        <v>3259</v>
      </c>
      <c r="K266" s="17" t="s">
        <v>2952</v>
      </c>
      <c r="L266" s="17" t="s">
        <v>3260</v>
      </c>
      <c r="M266" s="17" t="s">
        <v>2669</v>
      </c>
      <c r="N266" s="17" t="s">
        <v>3478</v>
      </c>
      <c r="O266" s="17" t="s">
        <v>7635</v>
      </c>
      <c r="P266" s="17" t="s">
        <v>3480</v>
      </c>
      <c r="Q266" s="17"/>
      <c r="R266" s="17"/>
      <c r="S266" s="17"/>
      <c r="T266" s="17"/>
      <c r="U266" s="17"/>
      <c r="V266" s="17"/>
      <c r="W266" s="17"/>
      <c r="X266" s="17"/>
      <c r="Y266" s="17"/>
    </row>
    <row r="267" spans="1:25">
      <c r="A267" s="17" t="s">
        <v>3481</v>
      </c>
      <c r="B267" s="17" t="s">
        <v>3481</v>
      </c>
      <c r="C267" s="17" t="s">
        <v>3479</v>
      </c>
      <c r="D267" s="17" t="s">
        <v>2669</v>
      </c>
      <c r="E267" s="17" t="s">
        <v>3258</v>
      </c>
      <c r="F267" s="17" t="s">
        <v>3481</v>
      </c>
      <c r="G267" s="17" t="s">
        <v>2671</v>
      </c>
      <c r="H267" s="17" t="s">
        <v>6835</v>
      </c>
      <c r="I267" s="17" t="s">
        <v>4237</v>
      </c>
      <c r="J267" s="17" t="s">
        <v>3259</v>
      </c>
      <c r="K267" s="17" t="s">
        <v>2952</v>
      </c>
      <c r="L267" s="17" t="s">
        <v>3260</v>
      </c>
      <c r="M267" s="17" t="s">
        <v>2669</v>
      </c>
      <c r="N267" s="17" t="s">
        <v>3481</v>
      </c>
      <c r="O267" s="17" t="s">
        <v>7635</v>
      </c>
      <c r="P267" s="17" t="s">
        <v>3482</v>
      </c>
      <c r="Q267" s="17"/>
      <c r="R267" s="17"/>
      <c r="S267" s="17"/>
      <c r="T267" s="17"/>
      <c r="U267" s="17"/>
      <c r="V267" s="17"/>
      <c r="W267" s="17"/>
      <c r="X267" s="17"/>
      <c r="Y267" s="17"/>
    </row>
    <row r="268" spans="1:25">
      <c r="A268" s="17" t="s">
        <v>3483</v>
      </c>
      <c r="B268" s="17" t="s">
        <v>3483</v>
      </c>
      <c r="C268" s="17" t="s">
        <v>3484</v>
      </c>
      <c r="D268" s="17" t="s">
        <v>2669</v>
      </c>
      <c r="E268" s="17" t="s">
        <v>3258</v>
      </c>
      <c r="F268" s="17" t="s">
        <v>3483</v>
      </c>
      <c r="G268" s="17" t="s">
        <v>2671</v>
      </c>
      <c r="H268" s="17" t="s">
        <v>4312</v>
      </c>
      <c r="I268" s="17" t="s">
        <v>4237</v>
      </c>
      <c r="J268" s="17" t="s">
        <v>3259</v>
      </c>
      <c r="K268" s="17" t="s">
        <v>3197</v>
      </c>
      <c r="L268" s="17" t="s">
        <v>3260</v>
      </c>
      <c r="M268" s="17" t="s">
        <v>2669</v>
      </c>
      <c r="N268" s="17" t="s">
        <v>3483</v>
      </c>
      <c r="O268" s="17" t="s">
        <v>7635</v>
      </c>
      <c r="P268" s="17" t="s">
        <v>3485</v>
      </c>
      <c r="Q268" s="17"/>
      <c r="R268" s="17"/>
      <c r="S268" s="17"/>
      <c r="T268" s="17"/>
      <c r="U268" s="17"/>
      <c r="V268" s="17"/>
      <c r="W268" s="17"/>
      <c r="X268" s="17"/>
      <c r="Y268" s="17"/>
    </row>
    <row r="269" spans="1:25">
      <c r="A269" s="17" t="s">
        <v>3486</v>
      </c>
      <c r="B269" s="17" t="s">
        <v>3486</v>
      </c>
      <c r="C269" s="17" t="s">
        <v>3484</v>
      </c>
      <c r="D269" s="17" t="s">
        <v>2669</v>
      </c>
      <c r="E269" s="17" t="s">
        <v>3258</v>
      </c>
      <c r="F269" s="17" t="s">
        <v>3486</v>
      </c>
      <c r="G269" s="17" t="s">
        <v>2671</v>
      </c>
      <c r="H269" s="17" t="s">
        <v>6835</v>
      </c>
      <c r="I269" s="17" t="s">
        <v>4237</v>
      </c>
      <c r="J269" s="17" t="s">
        <v>3259</v>
      </c>
      <c r="K269" s="17" t="s">
        <v>3197</v>
      </c>
      <c r="L269" s="17" t="s">
        <v>3260</v>
      </c>
      <c r="M269" s="17" t="s">
        <v>2669</v>
      </c>
      <c r="N269" s="17" t="s">
        <v>3486</v>
      </c>
      <c r="O269" s="17" t="s">
        <v>7635</v>
      </c>
      <c r="P269" s="17" t="s">
        <v>3487</v>
      </c>
      <c r="Q269" s="17"/>
      <c r="R269" s="17"/>
      <c r="S269" s="17"/>
      <c r="T269" s="17"/>
      <c r="U269" s="17"/>
      <c r="V269" s="17"/>
      <c r="W269" s="17"/>
      <c r="X269" s="17"/>
      <c r="Y269" s="17"/>
    </row>
    <row r="270" spans="1:25">
      <c r="A270" s="17" t="s">
        <v>3488</v>
      </c>
      <c r="B270" s="17" t="s">
        <v>3488</v>
      </c>
      <c r="C270" s="17" t="s">
        <v>3489</v>
      </c>
      <c r="D270" s="17" t="s">
        <v>2669</v>
      </c>
      <c r="E270" s="17" t="s">
        <v>3258</v>
      </c>
      <c r="F270" s="17" t="s">
        <v>3488</v>
      </c>
      <c r="G270" s="17" t="s">
        <v>2671</v>
      </c>
      <c r="H270" s="17" t="s">
        <v>4312</v>
      </c>
      <c r="I270" s="17" t="s">
        <v>4237</v>
      </c>
      <c r="J270" s="17" t="s">
        <v>3259</v>
      </c>
      <c r="K270" s="17" t="s">
        <v>3203</v>
      </c>
      <c r="L270" s="17" t="s">
        <v>3260</v>
      </c>
      <c r="M270" s="17" t="s">
        <v>2669</v>
      </c>
      <c r="N270" s="17" t="s">
        <v>3488</v>
      </c>
      <c r="O270" s="17" t="s">
        <v>7635</v>
      </c>
      <c r="P270" s="17" t="s">
        <v>3490</v>
      </c>
      <c r="Q270" s="17"/>
      <c r="R270" s="17"/>
      <c r="S270" s="17"/>
      <c r="T270" s="17"/>
      <c r="U270" s="17"/>
      <c r="V270" s="17"/>
      <c r="W270" s="17"/>
      <c r="X270" s="17"/>
      <c r="Y270" s="17"/>
    </row>
    <row r="271" spans="1:25">
      <c r="A271" s="17" t="s">
        <v>3491</v>
      </c>
      <c r="B271" s="17" t="s">
        <v>3491</v>
      </c>
      <c r="C271" s="17" t="s">
        <v>3489</v>
      </c>
      <c r="D271" s="17" t="s">
        <v>2669</v>
      </c>
      <c r="E271" s="17" t="s">
        <v>3258</v>
      </c>
      <c r="F271" s="17" t="s">
        <v>3491</v>
      </c>
      <c r="G271" s="17" t="s">
        <v>2671</v>
      </c>
      <c r="H271" s="17" t="s">
        <v>6835</v>
      </c>
      <c r="I271" s="17" t="s">
        <v>4237</v>
      </c>
      <c r="J271" s="17" t="s">
        <v>3259</v>
      </c>
      <c r="K271" s="17" t="s">
        <v>3203</v>
      </c>
      <c r="L271" s="17" t="s">
        <v>3260</v>
      </c>
      <c r="M271" s="17" t="s">
        <v>2669</v>
      </c>
      <c r="N271" s="17" t="s">
        <v>3491</v>
      </c>
      <c r="O271" s="17" t="s">
        <v>7635</v>
      </c>
      <c r="P271" s="17" t="s">
        <v>3492</v>
      </c>
      <c r="Q271" s="17" t="s">
        <v>2669</v>
      </c>
      <c r="R271" s="17" t="s">
        <v>3493</v>
      </c>
      <c r="S271" s="17" t="s">
        <v>7635</v>
      </c>
      <c r="T271" s="17" t="s">
        <v>3494</v>
      </c>
      <c r="U271" s="17"/>
      <c r="V271" s="17"/>
      <c r="W271" s="17"/>
      <c r="X271" s="17"/>
      <c r="Y271" s="17"/>
    </row>
    <row r="272" spans="1:25">
      <c r="A272" s="17" t="s">
        <v>3495</v>
      </c>
      <c r="B272" s="17" t="s">
        <v>3495</v>
      </c>
      <c r="C272" s="17" t="s">
        <v>3496</v>
      </c>
      <c r="D272" s="17" t="s">
        <v>2669</v>
      </c>
      <c r="E272" s="17" t="s">
        <v>3258</v>
      </c>
      <c r="F272" s="17" t="s">
        <v>3495</v>
      </c>
      <c r="G272" s="17" t="s">
        <v>2671</v>
      </c>
      <c r="H272" s="17" t="s">
        <v>4312</v>
      </c>
      <c r="I272" s="17" t="s">
        <v>4237</v>
      </c>
      <c r="J272" s="17" t="s">
        <v>3259</v>
      </c>
      <c r="K272" s="17" t="s">
        <v>2956</v>
      </c>
      <c r="L272" s="17" t="s">
        <v>3260</v>
      </c>
      <c r="M272" s="17" t="s">
        <v>2669</v>
      </c>
      <c r="N272" s="17" t="s">
        <v>3495</v>
      </c>
      <c r="O272" s="17" t="s">
        <v>7635</v>
      </c>
      <c r="P272" s="17" t="s">
        <v>3497</v>
      </c>
      <c r="Q272" s="17"/>
      <c r="R272" s="17"/>
      <c r="S272" s="17"/>
      <c r="T272" s="17"/>
      <c r="U272" s="17"/>
      <c r="V272" s="17"/>
      <c r="W272" s="17"/>
      <c r="X272" s="17"/>
      <c r="Y272" s="17"/>
    </row>
    <row r="273" spans="1:25">
      <c r="A273" s="17" t="s">
        <v>3498</v>
      </c>
      <c r="B273" s="17" t="s">
        <v>3498</v>
      </c>
      <c r="C273" s="17" t="s">
        <v>3496</v>
      </c>
      <c r="D273" s="17" t="s">
        <v>2669</v>
      </c>
      <c r="E273" s="17" t="s">
        <v>3258</v>
      </c>
      <c r="F273" s="17" t="s">
        <v>3498</v>
      </c>
      <c r="G273" s="17" t="s">
        <v>2671</v>
      </c>
      <c r="H273" s="17" t="s">
        <v>6835</v>
      </c>
      <c r="I273" s="17" t="s">
        <v>4237</v>
      </c>
      <c r="J273" s="17" t="s">
        <v>3259</v>
      </c>
      <c r="K273" s="17" t="s">
        <v>2956</v>
      </c>
      <c r="L273" s="17" t="s">
        <v>3260</v>
      </c>
      <c r="M273" s="17" t="s">
        <v>2669</v>
      </c>
      <c r="N273" s="17" t="s">
        <v>3498</v>
      </c>
      <c r="O273" s="17" t="s">
        <v>7635</v>
      </c>
      <c r="P273" s="17" t="s">
        <v>3499</v>
      </c>
      <c r="Q273" s="17"/>
      <c r="R273" s="17"/>
      <c r="S273" s="17"/>
      <c r="T273" s="17"/>
      <c r="U273" s="17"/>
      <c r="V273" s="17"/>
      <c r="W273" s="17"/>
      <c r="X273" s="17"/>
      <c r="Y273" s="17"/>
    </row>
    <row r="274" spans="1:25">
      <c r="A274" s="17" t="s">
        <v>3500</v>
      </c>
      <c r="B274" s="17" t="s">
        <v>3500</v>
      </c>
      <c r="C274" s="17" t="s">
        <v>3501</v>
      </c>
      <c r="D274" s="17" t="s">
        <v>2669</v>
      </c>
      <c r="E274" s="17" t="s">
        <v>3258</v>
      </c>
      <c r="F274" s="17" t="s">
        <v>3500</v>
      </c>
      <c r="G274" s="17" t="s">
        <v>2671</v>
      </c>
      <c r="H274" s="17" t="s">
        <v>4312</v>
      </c>
      <c r="I274" s="17" t="s">
        <v>4237</v>
      </c>
      <c r="J274" s="17" t="s">
        <v>3259</v>
      </c>
      <c r="K274" s="17" t="s">
        <v>3212</v>
      </c>
      <c r="L274" s="17" t="s">
        <v>3260</v>
      </c>
      <c r="M274" s="17" t="s">
        <v>2669</v>
      </c>
      <c r="N274" s="17" t="s">
        <v>3500</v>
      </c>
      <c r="O274" s="17" t="s">
        <v>7635</v>
      </c>
      <c r="P274" s="17" t="s">
        <v>3502</v>
      </c>
      <c r="Q274" s="17"/>
      <c r="R274" s="17"/>
      <c r="S274" s="17"/>
      <c r="T274" s="17"/>
      <c r="U274" s="17"/>
      <c r="V274" s="17"/>
      <c r="W274" s="17"/>
      <c r="X274" s="17"/>
      <c r="Y274" s="17"/>
    </row>
    <row r="275" spans="1:25">
      <c r="A275" s="17" t="s">
        <v>3503</v>
      </c>
      <c r="B275" s="17" t="s">
        <v>3503</v>
      </c>
      <c r="C275" s="17" t="s">
        <v>3501</v>
      </c>
      <c r="D275" s="17" t="s">
        <v>2669</v>
      </c>
      <c r="E275" s="17" t="s">
        <v>3258</v>
      </c>
      <c r="F275" s="17" t="s">
        <v>3503</v>
      </c>
      <c r="G275" s="17" t="s">
        <v>2671</v>
      </c>
      <c r="H275" s="17" t="s">
        <v>6835</v>
      </c>
      <c r="I275" s="17" t="s">
        <v>4237</v>
      </c>
      <c r="J275" s="17" t="s">
        <v>3259</v>
      </c>
      <c r="K275" s="17" t="s">
        <v>3212</v>
      </c>
      <c r="L275" s="17" t="s">
        <v>3260</v>
      </c>
      <c r="M275" s="17" t="s">
        <v>2669</v>
      </c>
      <c r="N275" s="17" t="s">
        <v>3503</v>
      </c>
      <c r="O275" s="17" t="s">
        <v>7635</v>
      </c>
      <c r="P275" s="17" t="s">
        <v>3504</v>
      </c>
      <c r="Q275" s="17"/>
      <c r="R275" s="17"/>
      <c r="S275" s="17"/>
      <c r="T275" s="17"/>
      <c r="U275" s="17"/>
      <c r="V275" s="17"/>
      <c r="W275" s="17"/>
      <c r="X275" s="17"/>
      <c r="Y275" s="17"/>
    </row>
    <row r="276" spans="1:25">
      <c r="A276" s="17" t="s">
        <v>3505</v>
      </c>
      <c r="B276" s="17" t="s">
        <v>3505</v>
      </c>
      <c r="C276" s="17" t="s">
        <v>3506</v>
      </c>
      <c r="D276" s="17" t="s">
        <v>2669</v>
      </c>
      <c r="E276" s="17" t="s">
        <v>3258</v>
      </c>
      <c r="F276" s="17" t="s">
        <v>3505</v>
      </c>
      <c r="G276" s="17" t="s">
        <v>2671</v>
      </c>
      <c r="H276" s="17" t="s">
        <v>4312</v>
      </c>
      <c r="I276" s="17" t="s">
        <v>4237</v>
      </c>
      <c r="J276" s="17" t="s">
        <v>3259</v>
      </c>
      <c r="K276" s="17" t="s">
        <v>2960</v>
      </c>
      <c r="L276" s="17" t="s">
        <v>3260</v>
      </c>
      <c r="M276" s="17" t="s">
        <v>2669</v>
      </c>
      <c r="N276" s="17" t="s">
        <v>3505</v>
      </c>
      <c r="O276" s="17" t="s">
        <v>7635</v>
      </c>
      <c r="P276" s="17" t="s">
        <v>3507</v>
      </c>
      <c r="Q276" s="17"/>
      <c r="R276" s="17"/>
      <c r="S276" s="17"/>
      <c r="T276" s="17"/>
      <c r="U276" s="17"/>
      <c r="V276" s="17"/>
      <c r="W276" s="17"/>
      <c r="X276" s="17"/>
      <c r="Y276" s="17"/>
    </row>
    <row r="277" spans="1:25">
      <c r="A277" s="17" t="s">
        <v>3508</v>
      </c>
      <c r="B277" s="17" t="s">
        <v>3508</v>
      </c>
      <c r="C277" s="17" t="s">
        <v>3506</v>
      </c>
      <c r="D277" s="17" t="s">
        <v>2669</v>
      </c>
      <c r="E277" s="17" t="s">
        <v>3258</v>
      </c>
      <c r="F277" s="17" t="s">
        <v>3508</v>
      </c>
      <c r="G277" s="17" t="s">
        <v>2671</v>
      </c>
      <c r="H277" s="17" t="s">
        <v>6835</v>
      </c>
      <c r="I277" s="17" t="s">
        <v>4237</v>
      </c>
      <c r="J277" s="17" t="s">
        <v>3259</v>
      </c>
      <c r="K277" s="17" t="s">
        <v>2960</v>
      </c>
      <c r="L277" s="17" t="s">
        <v>3260</v>
      </c>
      <c r="M277" s="17" t="s">
        <v>2669</v>
      </c>
      <c r="N277" s="17" t="s">
        <v>3508</v>
      </c>
      <c r="O277" s="17" t="s">
        <v>7635</v>
      </c>
      <c r="P277" s="17" t="s">
        <v>3509</v>
      </c>
      <c r="Q277" s="17"/>
      <c r="R277" s="17"/>
      <c r="S277" s="17"/>
      <c r="T277" s="17"/>
      <c r="U277" s="17"/>
      <c r="V277" s="17"/>
      <c r="W277" s="17"/>
      <c r="X277" s="17"/>
      <c r="Y277" s="17"/>
    </row>
    <row r="278" spans="1:25">
      <c r="A278" s="17" t="s">
        <v>3510</v>
      </c>
      <c r="B278" s="17" t="s">
        <v>3510</v>
      </c>
      <c r="C278" s="17" t="s">
        <v>3511</v>
      </c>
      <c r="D278" s="17" t="s">
        <v>2669</v>
      </c>
      <c r="E278" s="17" t="s">
        <v>3258</v>
      </c>
      <c r="F278" s="17" t="s">
        <v>3510</v>
      </c>
      <c r="G278" s="17" t="s">
        <v>2671</v>
      </c>
      <c r="H278" s="17" t="s">
        <v>4312</v>
      </c>
      <c r="I278" s="17" t="s">
        <v>4237</v>
      </c>
      <c r="J278" s="17" t="s">
        <v>3259</v>
      </c>
      <c r="K278" s="17" t="s">
        <v>2964</v>
      </c>
      <c r="L278" s="17" t="s">
        <v>3260</v>
      </c>
      <c r="M278" s="17" t="s">
        <v>2669</v>
      </c>
      <c r="N278" s="17" t="s">
        <v>3510</v>
      </c>
      <c r="O278" s="17" t="s">
        <v>7635</v>
      </c>
      <c r="P278" s="17" t="s">
        <v>3512</v>
      </c>
      <c r="Q278" s="17"/>
      <c r="R278" s="17"/>
      <c r="S278" s="17"/>
      <c r="T278" s="17"/>
      <c r="U278" s="17"/>
      <c r="V278" s="17"/>
      <c r="W278" s="17"/>
      <c r="X278" s="17"/>
      <c r="Y278" s="17"/>
    </row>
    <row r="279" spans="1:25">
      <c r="A279" s="17" t="s">
        <v>3513</v>
      </c>
      <c r="B279" s="17" t="s">
        <v>3513</v>
      </c>
      <c r="C279" s="17" t="s">
        <v>3511</v>
      </c>
      <c r="D279" s="17" t="s">
        <v>2669</v>
      </c>
      <c r="E279" s="17" t="s">
        <v>3258</v>
      </c>
      <c r="F279" s="17" t="s">
        <v>3513</v>
      </c>
      <c r="G279" s="17" t="s">
        <v>2671</v>
      </c>
      <c r="H279" s="17" t="s">
        <v>6835</v>
      </c>
      <c r="I279" s="17" t="s">
        <v>4237</v>
      </c>
      <c r="J279" s="17" t="s">
        <v>3259</v>
      </c>
      <c r="K279" s="17" t="s">
        <v>2964</v>
      </c>
      <c r="L279" s="17" t="s">
        <v>3260</v>
      </c>
      <c r="M279" s="17" t="s">
        <v>2669</v>
      </c>
      <c r="N279" s="17" t="s">
        <v>3513</v>
      </c>
      <c r="O279" s="17" t="s">
        <v>7635</v>
      </c>
      <c r="P279" s="17" t="s">
        <v>3514</v>
      </c>
      <c r="Q279" s="17"/>
      <c r="R279" s="17"/>
      <c r="S279" s="17"/>
      <c r="T279" s="17"/>
      <c r="U279" s="17"/>
      <c r="V279" s="17"/>
      <c r="W279" s="17"/>
      <c r="X279" s="17"/>
      <c r="Y279" s="17"/>
    </row>
    <row r="280" spans="1:25">
      <c r="A280" s="17" t="s">
        <v>3515</v>
      </c>
      <c r="B280" s="17" t="s">
        <v>3515</v>
      </c>
      <c r="C280" s="17" t="s">
        <v>3516</v>
      </c>
      <c r="D280" s="17" t="s">
        <v>2669</v>
      </c>
      <c r="E280" s="17" t="s">
        <v>3258</v>
      </c>
      <c r="F280" s="17" t="s">
        <v>3515</v>
      </c>
      <c r="G280" s="17" t="s">
        <v>2671</v>
      </c>
      <c r="H280" s="17" t="s">
        <v>4312</v>
      </c>
      <c r="I280" s="17" t="s">
        <v>4237</v>
      </c>
      <c r="J280" s="17" t="s">
        <v>3259</v>
      </c>
      <c r="K280" s="17" t="s">
        <v>3228</v>
      </c>
      <c r="L280" s="17" t="s">
        <v>3260</v>
      </c>
      <c r="M280" s="17" t="s">
        <v>2669</v>
      </c>
      <c r="N280" s="17" t="s">
        <v>3515</v>
      </c>
      <c r="O280" s="17" t="s">
        <v>7635</v>
      </c>
      <c r="P280" s="17" t="s">
        <v>3517</v>
      </c>
      <c r="Q280" s="17"/>
      <c r="R280" s="17"/>
      <c r="S280" s="17"/>
      <c r="T280" s="17"/>
      <c r="U280" s="17"/>
      <c r="V280" s="17"/>
      <c r="W280" s="17"/>
      <c r="X280" s="17"/>
      <c r="Y280" s="17"/>
    </row>
    <row r="281" spans="1:25">
      <c r="A281" s="17" t="s">
        <v>3518</v>
      </c>
      <c r="B281" s="17" t="s">
        <v>3518</v>
      </c>
      <c r="C281" s="17" t="s">
        <v>3516</v>
      </c>
      <c r="D281" s="17" t="s">
        <v>2669</v>
      </c>
      <c r="E281" s="17" t="s">
        <v>3258</v>
      </c>
      <c r="F281" s="17" t="s">
        <v>3518</v>
      </c>
      <c r="G281" s="17" t="s">
        <v>2671</v>
      </c>
      <c r="H281" s="17" t="s">
        <v>6835</v>
      </c>
      <c r="I281" s="17" t="s">
        <v>4237</v>
      </c>
      <c r="J281" s="17" t="s">
        <v>3259</v>
      </c>
      <c r="K281" s="17" t="s">
        <v>3228</v>
      </c>
      <c r="L281" s="17" t="s">
        <v>3260</v>
      </c>
      <c r="M281" s="17" t="s">
        <v>2669</v>
      </c>
      <c r="N281" s="17" t="s">
        <v>3518</v>
      </c>
      <c r="O281" s="17" t="s">
        <v>7635</v>
      </c>
      <c r="P281" s="17" t="s">
        <v>3519</v>
      </c>
      <c r="Q281" s="17"/>
      <c r="R281" s="17"/>
      <c r="S281" s="17"/>
      <c r="T281" s="17"/>
      <c r="U281" s="17"/>
      <c r="V281" s="17"/>
      <c r="W281" s="17"/>
      <c r="X281" s="17"/>
      <c r="Y281" s="17"/>
    </row>
    <row r="282" spans="1:25">
      <c r="A282" s="17" t="s">
        <v>3520</v>
      </c>
      <c r="B282" s="17" t="s">
        <v>3520</v>
      </c>
      <c r="C282" s="17" t="s">
        <v>3521</v>
      </c>
      <c r="D282" s="17" t="s">
        <v>2669</v>
      </c>
      <c r="E282" s="17" t="s">
        <v>3258</v>
      </c>
      <c r="F282" s="17" t="s">
        <v>3520</v>
      </c>
      <c r="G282" s="17" t="s">
        <v>2671</v>
      </c>
      <c r="H282" s="17" t="s">
        <v>4312</v>
      </c>
      <c r="I282" s="17" t="s">
        <v>4237</v>
      </c>
      <c r="J282" s="17" t="s">
        <v>3259</v>
      </c>
      <c r="K282" s="17" t="s">
        <v>3234</v>
      </c>
      <c r="L282" s="17" t="s">
        <v>3260</v>
      </c>
      <c r="M282" s="17" t="s">
        <v>2669</v>
      </c>
      <c r="N282" s="17" t="s">
        <v>3520</v>
      </c>
      <c r="O282" s="17" t="s">
        <v>7635</v>
      </c>
      <c r="P282" s="17" t="s">
        <v>3522</v>
      </c>
      <c r="Q282" s="17"/>
      <c r="R282" s="17"/>
      <c r="S282" s="17"/>
      <c r="T282" s="17"/>
      <c r="U282" s="17"/>
      <c r="V282" s="17"/>
      <c r="W282" s="17"/>
      <c r="X282" s="17"/>
      <c r="Y282" s="17"/>
    </row>
    <row r="283" spans="1:25">
      <c r="A283" s="17" t="s">
        <v>3523</v>
      </c>
      <c r="B283" s="17" t="s">
        <v>3523</v>
      </c>
      <c r="C283" s="17" t="s">
        <v>3521</v>
      </c>
      <c r="D283" s="17" t="s">
        <v>2669</v>
      </c>
      <c r="E283" s="17" t="s">
        <v>3258</v>
      </c>
      <c r="F283" s="17" t="s">
        <v>3523</v>
      </c>
      <c r="G283" s="17" t="s">
        <v>2671</v>
      </c>
      <c r="H283" s="17" t="s">
        <v>6835</v>
      </c>
      <c r="I283" s="17" t="s">
        <v>4237</v>
      </c>
      <c r="J283" s="17" t="s">
        <v>3259</v>
      </c>
      <c r="K283" s="17" t="s">
        <v>3234</v>
      </c>
      <c r="L283" s="17" t="s">
        <v>3260</v>
      </c>
      <c r="M283" s="17" t="s">
        <v>2669</v>
      </c>
      <c r="N283" s="17" t="s">
        <v>3523</v>
      </c>
      <c r="O283" s="17" t="s">
        <v>7635</v>
      </c>
      <c r="P283" s="17" t="s">
        <v>3524</v>
      </c>
      <c r="Q283" s="17"/>
      <c r="R283" s="17"/>
      <c r="S283" s="17"/>
      <c r="T283" s="17"/>
      <c r="U283" s="17"/>
      <c r="V283" s="17"/>
      <c r="W283" s="17"/>
      <c r="X283" s="17"/>
      <c r="Y283" s="17"/>
    </row>
    <row r="284" spans="1:25">
      <c r="A284" s="17" t="s">
        <v>3525</v>
      </c>
      <c r="B284" s="17" t="s">
        <v>3525</v>
      </c>
      <c r="C284" s="17" t="s">
        <v>3526</v>
      </c>
      <c r="D284" s="17" t="s">
        <v>2669</v>
      </c>
      <c r="E284" s="17" t="s">
        <v>3258</v>
      </c>
      <c r="F284" s="17" t="s">
        <v>3525</v>
      </c>
      <c r="G284" s="17" t="s">
        <v>2671</v>
      </c>
      <c r="H284" s="17" t="s">
        <v>4312</v>
      </c>
      <c r="I284" s="17" t="s">
        <v>4237</v>
      </c>
      <c r="J284" s="17" t="s">
        <v>3259</v>
      </c>
      <c r="K284" s="17" t="s">
        <v>3240</v>
      </c>
      <c r="L284" s="17" t="s">
        <v>3260</v>
      </c>
      <c r="M284" s="17" t="s">
        <v>2669</v>
      </c>
      <c r="N284" s="17" t="s">
        <v>3525</v>
      </c>
      <c r="O284" s="17" t="s">
        <v>7635</v>
      </c>
      <c r="P284" s="17" t="s">
        <v>3527</v>
      </c>
      <c r="Q284" s="17"/>
      <c r="R284" s="17"/>
      <c r="S284" s="17"/>
      <c r="T284" s="17"/>
      <c r="U284" s="17"/>
      <c r="V284" s="17"/>
      <c r="W284" s="17"/>
      <c r="X284" s="17"/>
      <c r="Y284" s="17"/>
    </row>
    <row r="285" spans="1:25">
      <c r="A285" s="17" t="s">
        <v>3528</v>
      </c>
      <c r="B285" s="17" t="s">
        <v>3528</v>
      </c>
      <c r="C285" s="17" t="s">
        <v>3526</v>
      </c>
      <c r="D285" s="17" t="s">
        <v>2669</v>
      </c>
      <c r="E285" s="17" t="s">
        <v>3258</v>
      </c>
      <c r="F285" s="17" t="s">
        <v>3528</v>
      </c>
      <c r="G285" s="17" t="s">
        <v>2671</v>
      </c>
      <c r="H285" s="17" t="s">
        <v>6835</v>
      </c>
      <c r="I285" s="17" t="s">
        <v>4237</v>
      </c>
      <c r="J285" s="17" t="s">
        <v>3259</v>
      </c>
      <c r="K285" s="17" t="s">
        <v>3240</v>
      </c>
      <c r="L285" s="17" t="s">
        <v>3260</v>
      </c>
      <c r="M285" s="17" t="s">
        <v>2669</v>
      </c>
      <c r="N285" s="17" t="s">
        <v>3528</v>
      </c>
      <c r="O285" s="17" t="s">
        <v>7635</v>
      </c>
      <c r="P285" s="17" t="s">
        <v>3529</v>
      </c>
      <c r="Q285" s="17"/>
      <c r="R285" s="17"/>
      <c r="S285" s="17"/>
      <c r="T285" s="17"/>
      <c r="U285" s="17"/>
      <c r="V285" s="17"/>
      <c r="W285" s="17"/>
      <c r="X285" s="17"/>
      <c r="Y285" s="17"/>
    </row>
    <row r="286" spans="1:25">
      <c r="A286" s="17" t="s">
        <v>3530</v>
      </c>
      <c r="B286" s="17" t="s">
        <v>3530</v>
      </c>
      <c r="C286" s="17" t="s">
        <v>3531</v>
      </c>
      <c r="D286" s="17" t="s">
        <v>2669</v>
      </c>
      <c r="E286" s="17" t="s">
        <v>3258</v>
      </c>
      <c r="F286" s="17" t="s">
        <v>3530</v>
      </c>
      <c r="G286" s="17" t="s">
        <v>2671</v>
      </c>
      <c r="H286" s="17" t="s">
        <v>4312</v>
      </c>
      <c r="I286" s="17" t="s">
        <v>4237</v>
      </c>
      <c r="J286" s="17" t="s">
        <v>3259</v>
      </c>
      <c r="K286" s="17" t="s">
        <v>3246</v>
      </c>
      <c r="L286" s="17" t="s">
        <v>3260</v>
      </c>
      <c r="M286" s="17" t="s">
        <v>2669</v>
      </c>
      <c r="N286" s="17" t="s">
        <v>3530</v>
      </c>
      <c r="O286" s="17" t="s">
        <v>7635</v>
      </c>
      <c r="P286" s="17" t="s">
        <v>3532</v>
      </c>
      <c r="Q286" s="17"/>
      <c r="R286" s="17"/>
      <c r="S286" s="17"/>
      <c r="T286" s="17"/>
      <c r="U286" s="17"/>
      <c r="V286" s="17"/>
      <c r="W286" s="17"/>
      <c r="X286" s="17"/>
      <c r="Y286" s="17"/>
    </row>
    <row r="287" spans="1:25">
      <c r="A287" s="17" t="s">
        <v>3533</v>
      </c>
      <c r="B287" s="17" t="s">
        <v>3533</v>
      </c>
      <c r="C287" s="17" t="s">
        <v>3531</v>
      </c>
      <c r="D287" s="17" t="s">
        <v>2669</v>
      </c>
      <c r="E287" s="17" t="s">
        <v>3258</v>
      </c>
      <c r="F287" s="17" t="s">
        <v>3533</v>
      </c>
      <c r="G287" s="17" t="s">
        <v>2671</v>
      </c>
      <c r="H287" s="17" t="s">
        <v>6835</v>
      </c>
      <c r="I287" s="17" t="s">
        <v>4237</v>
      </c>
      <c r="J287" s="17" t="s">
        <v>3259</v>
      </c>
      <c r="K287" s="17" t="s">
        <v>3246</v>
      </c>
      <c r="L287" s="17" t="s">
        <v>3260</v>
      </c>
      <c r="M287" s="17" t="s">
        <v>2669</v>
      </c>
      <c r="N287" s="17" t="s">
        <v>3533</v>
      </c>
      <c r="O287" s="17" t="s">
        <v>7635</v>
      </c>
      <c r="P287" s="17" t="s">
        <v>3534</v>
      </c>
      <c r="Q287" s="17"/>
      <c r="R287" s="17"/>
      <c r="S287" s="17"/>
      <c r="T287" s="17"/>
      <c r="U287" s="17"/>
      <c r="V287" s="17"/>
      <c r="W287" s="17"/>
      <c r="X287" s="17"/>
      <c r="Y287" s="17"/>
    </row>
    <row r="288" spans="1:25">
      <c r="A288" s="17" t="s">
        <v>3535</v>
      </c>
      <c r="B288" s="17" t="s">
        <v>3535</v>
      </c>
      <c r="C288" s="17" t="s">
        <v>3536</v>
      </c>
      <c r="D288" s="17" t="s">
        <v>2669</v>
      </c>
      <c r="E288" s="17" t="s">
        <v>3258</v>
      </c>
      <c r="F288" s="17" t="s">
        <v>3535</v>
      </c>
      <c r="G288" s="17" t="s">
        <v>2671</v>
      </c>
      <c r="H288" s="17" t="s">
        <v>4312</v>
      </c>
      <c r="I288" s="17" t="s">
        <v>4237</v>
      </c>
      <c r="J288" s="17" t="s">
        <v>3259</v>
      </c>
      <c r="K288" s="17" t="s">
        <v>3252</v>
      </c>
      <c r="L288" s="17" t="s">
        <v>3260</v>
      </c>
      <c r="M288" s="17" t="s">
        <v>2669</v>
      </c>
      <c r="N288" s="17" t="s">
        <v>3535</v>
      </c>
      <c r="O288" s="17" t="s">
        <v>7635</v>
      </c>
      <c r="P288" s="17" t="s">
        <v>3537</v>
      </c>
      <c r="Q288" s="17"/>
      <c r="R288" s="17"/>
      <c r="S288" s="17"/>
      <c r="T288" s="17"/>
      <c r="U288" s="17"/>
      <c r="V288" s="17"/>
      <c r="W288" s="17"/>
      <c r="X288" s="17"/>
      <c r="Y288" s="17"/>
    </row>
    <row r="289" spans="1:25">
      <c r="A289" s="17" t="s">
        <v>3538</v>
      </c>
      <c r="B289" s="17" t="s">
        <v>3538</v>
      </c>
      <c r="C289" s="17" t="s">
        <v>3536</v>
      </c>
      <c r="D289" s="17" t="s">
        <v>2669</v>
      </c>
      <c r="E289" s="17" t="s">
        <v>3258</v>
      </c>
      <c r="F289" s="17" t="s">
        <v>3538</v>
      </c>
      <c r="G289" s="17" t="s">
        <v>2671</v>
      </c>
      <c r="H289" s="17" t="s">
        <v>6835</v>
      </c>
      <c r="I289" s="17" t="s">
        <v>4237</v>
      </c>
      <c r="J289" s="17" t="s">
        <v>3259</v>
      </c>
      <c r="K289" s="17" t="s">
        <v>3252</v>
      </c>
      <c r="L289" s="17" t="s">
        <v>3260</v>
      </c>
      <c r="M289" s="17" t="s">
        <v>2669</v>
      </c>
      <c r="N289" s="17" t="s">
        <v>3538</v>
      </c>
      <c r="O289" s="17" t="s">
        <v>7635</v>
      </c>
      <c r="P289" s="17" t="s">
        <v>3539</v>
      </c>
      <c r="Q289" s="17"/>
      <c r="R289" s="17"/>
      <c r="S289" s="17"/>
      <c r="T289" s="17"/>
      <c r="U289" s="17"/>
      <c r="V289" s="17"/>
      <c r="W289" s="17"/>
      <c r="X289" s="17"/>
      <c r="Y289" s="17"/>
    </row>
    <row r="290" spans="1:25">
      <c r="A290" s="17" t="s">
        <v>3541</v>
      </c>
      <c r="B290" s="17" t="s">
        <v>3541</v>
      </c>
      <c r="C290" s="17" t="s">
        <v>3542</v>
      </c>
      <c r="D290" s="17" t="s">
        <v>2669</v>
      </c>
      <c r="E290" s="17" t="s">
        <v>3543</v>
      </c>
      <c r="F290" s="17" t="s">
        <v>3541</v>
      </c>
      <c r="G290" s="17" t="s">
        <v>2671</v>
      </c>
      <c r="H290" s="17" t="s">
        <v>4312</v>
      </c>
      <c r="I290" s="17" t="s">
        <v>4237</v>
      </c>
      <c r="J290" s="17" t="s">
        <v>3544</v>
      </c>
      <c r="K290" s="17" t="s">
        <v>2674</v>
      </c>
      <c r="L290" s="17" t="s">
        <v>3545</v>
      </c>
      <c r="M290" s="17" t="s">
        <v>2669</v>
      </c>
      <c r="N290" s="17" t="s">
        <v>3541</v>
      </c>
      <c r="O290" s="17" t="s">
        <v>7635</v>
      </c>
      <c r="P290" s="17" t="s">
        <v>3546</v>
      </c>
      <c r="Q290" s="17"/>
      <c r="R290" s="17"/>
      <c r="S290" s="17"/>
      <c r="T290" s="17"/>
      <c r="U290" s="17"/>
      <c r="V290" s="17"/>
      <c r="W290" s="17"/>
      <c r="X290" s="17"/>
      <c r="Y290" s="17"/>
    </row>
    <row r="291" spans="1:25">
      <c r="A291" s="17" t="s">
        <v>3547</v>
      </c>
      <c r="B291" s="17" t="s">
        <v>3547</v>
      </c>
      <c r="C291" s="17" t="s">
        <v>3542</v>
      </c>
      <c r="D291" s="17" t="s">
        <v>2669</v>
      </c>
      <c r="E291" s="17" t="s">
        <v>3543</v>
      </c>
      <c r="F291" s="17" t="s">
        <v>3547</v>
      </c>
      <c r="G291" s="17" t="s">
        <v>2671</v>
      </c>
      <c r="H291" s="17" t="s">
        <v>6835</v>
      </c>
      <c r="I291" s="17" t="s">
        <v>4237</v>
      </c>
      <c r="J291" s="17" t="s">
        <v>3544</v>
      </c>
      <c r="K291" s="17" t="s">
        <v>2674</v>
      </c>
      <c r="L291" s="17" t="s">
        <v>3545</v>
      </c>
      <c r="M291" s="17" t="s">
        <v>2669</v>
      </c>
      <c r="N291" s="17" t="s">
        <v>3547</v>
      </c>
      <c r="O291" s="17" t="s">
        <v>7635</v>
      </c>
      <c r="P291" s="17" t="s">
        <v>3548</v>
      </c>
      <c r="Q291" s="17" t="s">
        <v>2669</v>
      </c>
      <c r="R291" s="17" t="s">
        <v>3549</v>
      </c>
      <c r="S291" s="17" t="s">
        <v>7635</v>
      </c>
      <c r="T291" s="17" t="s">
        <v>3550</v>
      </c>
      <c r="U291" s="17"/>
      <c r="V291" s="17"/>
      <c r="W291" s="17"/>
      <c r="X291" s="17"/>
      <c r="Y291" s="17"/>
    </row>
    <row r="292" spans="1:25">
      <c r="A292" s="17" t="s">
        <v>3551</v>
      </c>
      <c r="B292" s="17" t="s">
        <v>3551</v>
      </c>
      <c r="C292" s="17" t="s">
        <v>3552</v>
      </c>
      <c r="D292" s="17" t="s">
        <v>2669</v>
      </c>
      <c r="E292" s="17" t="s">
        <v>3543</v>
      </c>
      <c r="F292" s="17" t="s">
        <v>3551</v>
      </c>
      <c r="G292" s="17" t="s">
        <v>2671</v>
      </c>
      <c r="H292" s="17" t="s">
        <v>4312</v>
      </c>
      <c r="I292" s="17" t="s">
        <v>4237</v>
      </c>
      <c r="J292" s="17" t="s">
        <v>3544</v>
      </c>
      <c r="K292" s="17" t="s">
        <v>2684</v>
      </c>
      <c r="L292" s="17" t="s">
        <v>3545</v>
      </c>
      <c r="M292" s="17" t="s">
        <v>2669</v>
      </c>
      <c r="N292" s="17" t="s">
        <v>3551</v>
      </c>
      <c r="O292" s="17" t="s">
        <v>7635</v>
      </c>
      <c r="P292" s="17" t="s">
        <v>3553</v>
      </c>
      <c r="Q292" s="17"/>
      <c r="R292" s="17"/>
      <c r="S292" s="17"/>
      <c r="T292" s="17"/>
      <c r="U292" s="17"/>
      <c r="V292" s="17"/>
      <c r="W292" s="17"/>
      <c r="X292" s="17"/>
      <c r="Y292" s="17"/>
    </row>
    <row r="293" spans="1:25">
      <c r="A293" s="17" t="s">
        <v>3554</v>
      </c>
      <c r="B293" s="17" t="s">
        <v>3554</v>
      </c>
      <c r="C293" s="17" t="s">
        <v>3552</v>
      </c>
      <c r="D293" s="17" t="s">
        <v>2669</v>
      </c>
      <c r="E293" s="17" t="s">
        <v>3543</v>
      </c>
      <c r="F293" s="17" t="s">
        <v>3554</v>
      </c>
      <c r="G293" s="17" t="s">
        <v>2671</v>
      </c>
      <c r="H293" s="17" t="s">
        <v>6835</v>
      </c>
      <c r="I293" s="17" t="s">
        <v>4237</v>
      </c>
      <c r="J293" s="17" t="s">
        <v>3544</v>
      </c>
      <c r="K293" s="17" t="s">
        <v>2684</v>
      </c>
      <c r="L293" s="17" t="s">
        <v>3545</v>
      </c>
      <c r="M293" s="17" t="s">
        <v>2669</v>
      </c>
      <c r="N293" s="17" t="s">
        <v>3554</v>
      </c>
      <c r="O293" s="17" t="s">
        <v>7635</v>
      </c>
      <c r="P293" s="17" t="s">
        <v>3555</v>
      </c>
      <c r="Q293" s="17"/>
      <c r="R293" s="17"/>
      <c r="S293" s="17"/>
      <c r="T293" s="17"/>
      <c r="U293" s="17"/>
      <c r="V293" s="17"/>
      <c r="W293" s="17"/>
      <c r="X293" s="17"/>
      <c r="Y293" s="17"/>
    </row>
    <row r="294" spans="1:25">
      <c r="A294" s="17" t="s">
        <v>3556</v>
      </c>
      <c r="B294" s="17" t="s">
        <v>3556</v>
      </c>
      <c r="C294" s="17" t="s">
        <v>3557</v>
      </c>
      <c r="D294" s="17" t="s">
        <v>2669</v>
      </c>
      <c r="E294" s="17" t="s">
        <v>3543</v>
      </c>
      <c r="F294" s="17" t="s">
        <v>3556</v>
      </c>
      <c r="G294" s="17" t="s">
        <v>2671</v>
      </c>
      <c r="H294" s="17" t="s">
        <v>4312</v>
      </c>
      <c r="I294" s="17" t="s">
        <v>4237</v>
      </c>
      <c r="J294" s="17" t="s">
        <v>3544</v>
      </c>
      <c r="K294" s="17" t="s">
        <v>2693</v>
      </c>
      <c r="L294" s="17" t="s">
        <v>3545</v>
      </c>
      <c r="M294" s="17" t="s">
        <v>2669</v>
      </c>
      <c r="N294" s="17" t="s">
        <v>3556</v>
      </c>
      <c r="O294" s="17" t="s">
        <v>7635</v>
      </c>
      <c r="P294" s="17" t="s">
        <v>3558</v>
      </c>
      <c r="Q294" s="17"/>
      <c r="R294" s="17"/>
      <c r="S294" s="17"/>
      <c r="T294" s="17"/>
      <c r="U294" s="17"/>
      <c r="V294" s="17"/>
      <c r="W294" s="17"/>
      <c r="X294" s="17"/>
      <c r="Y294" s="17"/>
    </row>
    <row r="295" spans="1:25">
      <c r="A295" s="17" t="s">
        <v>3559</v>
      </c>
      <c r="B295" s="17" t="s">
        <v>3559</v>
      </c>
      <c r="C295" s="17" t="s">
        <v>3557</v>
      </c>
      <c r="D295" s="17" t="s">
        <v>2669</v>
      </c>
      <c r="E295" s="17" t="s">
        <v>3543</v>
      </c>
      <c r="F295" s="17" t="s">
        <v>3559</v>
      </c>
      <c r="G295" s="17" t="s">
        <v>2671</v>
      </c>
      <c r="H295" s="17" t="s">
        <v>6835</v>
      </c>
      <c r="I295" s="17" t="s">
        <v>4237</v>
      </c>
      <c r="J295" s="17" t="s">
        <v>3544</v>
      </c>
      <c r="K295" s="17" t="s">
        <v>2693</v>
      </c>
      <c r="L295" s="17" t="s">
        <v>3545</v>
      </c>
      <c r="M295" s="17" t="s">
        <v>2669</v>
      </c>
      <c r="N295" s="17" t="s">
        <v>3559</v>
      </c>
      <c r="O295" s="17" t="s">
        <v>7635</v>
      </c>
      <c r="P295" s="17" t="s">
        <v>3560</v>
      </c>
      <c r="Q295" s="17"/>
      <c r="R295" s="17"/>
      <c r="S295" s="17"/>
      <c r="T295" s="17"/>
      <c r="U295" s="17"/>
      <c r="V295" s="17"/>
      <c r="W295" s="17"/>
      <c r="X295" s="17"/>
      <c r="Y295" s="17"/>
    </row>
    <row r="296" spans="1:25">
      <c r="A296" s="17" t="s">
        <v>3561</v>
      </c>
      <c r="B296" s="17" t="s">
        <v>3561</v>
      </c>
      <c r="C296" s="17" t="s">
        <v>3562</v>
      </c>
      <c r="D296" s="17" t="s">
        <v>2669</v>
      </c>
      <c r="E296" s="17" t="s">
        <v>3543</v>
      </c>
      <c r="F296" s="17" t="s">
        <v>3561</v>
      </c>
      <c r="G296" s="17" t="s">
        <v>2671</v>
      </c>
      <c r="H296" s="17" t="s">
        <v>4312</v>
      </c>
      <c r="I296" s="17" t="s">
        <v>4237</v>
      </c>
      <c r="J296" s="17" t="s">
        <v>3544</v>
      </c>
      <c r="K296" s="17" t="s">
        <v>2699</v>
      </c>
      <c r="L296" s="17" t="s">
        <v>3545</v>
      </c>
      <c r="M296" s="17" t="s">
        <v>2669</v>
      </c>
      <c r="N296" s="17" t="s">
        <v>3561</v>
      </c>
      <c r="O296" s="17" t="s">
        <v>7635</v>
      </c>
      <c r="P296" s="17" t="s">
        <v>3563</v>
      </c>
      <c r="Q296" s="17"/>
      <c r="R296" s="17"/>
      <c r="S296" s="17"/>
      <c r="T296" s="17"/>
      <c r="U296" s="17"/>
      <c r="V296" s="17"/>
      <c r="W296" s="17"/>
      <c r="X296" s="17"/>
      <c r="Y296" s="17"/>
    </row>
    <row r="297" spans="1:25">
      <c r="A297" s="17" t="s">
        <v>3564</v>
      </c>
      <c r="B297" s="17" t="s">
        <v>3564</v>
      </c>
      <c r="C297" s="17" t="s">
        <v>3562</v>
      </c>
      <c r="D297" s="17" t="s">
        <v>2669</v>
      </c>
      <c r="E297" s="17" t="s">
        <v>3543</v>
      </c>
      <c r="F297" s="17" t="s">
        <v>3564</v>
      </c>
      <c r="G297" s="17" t="s">
        <v>2671</v>
      </c>
      <c r="H297" s="17" t="s">
        <v>6835</v>
      </c>
      <c r="I297" s="17" t="s">
        <v>4237</v>
      </c>
      <c r="J297" s="17" t="s">
        <v>3544</v>
      </c>
      <c r="K297" s="17" t="s">
        <v>2699</v>
      </c>
      <c r="L297" s="17" t="s">
        <v>3545</v>
      </c>
      <c r="M297" s="17" t="s">
        <v>2669</v>
      </c>
      <c r="N297" s="17" t="s">
        <v>3564</v>
      </c>
      <c r="O297" s="17" t="s">
        <v>7635</v>
      </c>
      <c r="P297" s="17" t="s">
        <v>3565</v>
      </c>
      <c r="Q297" s="17"/>
      <c r="R297" s="17"/>
      <c r="S297" s="17"/>
      <c r="T297" s="17"/>
      <c r="U297" s="17"/>
      <c r="V297" s="17"/>
      <c r="W297" s="17"/>
      <c r="X297" s="17"/>
      <c r="Y297" s="17"/>
    </row>
    <row r="298" spans="1:25">
      <c r="A298" s="17" t="s">
        <v>3566</v>
      </c>
      <c r="B298" s="17" t="s">
        <v>3566</v>
      </c>
      <c r="C298" s="17" t="s">
        <v>3567</v>
      </c>
      <c r="D298" s="17" t="s">
        <v>2669</v>
      </c>
      <c r="E298" s="17" t="s">
        <v>3543</v>
      </c>
      <c r="F298" s="17" t="s">
        <v>3566</v>
      </c>
      <c r="G298" s="17" t="s">
        <v>2671</v>
      </c>
      <c r="H298" s="17" t="s">
        <v>4312</v>
      </c>
      <c r="I298" s="17" t="s">
        <v>4237</v>
      </c>
      <c r="J298" s="17" t="s">
        <v>3544</v>
      </c>
      <c r="K298" s="17" t="s">
        <v>2703</v>
      </c>
      <c r="L298" s="17" t="s">
        <v>3545</v>
      </c>
      <c r="M298" s="17" t="s">
        <v>2669</v>
      </c>
      <c r="N298" s="17" t="s">
        <v>3566</v>
      </c>
      <c r="O298" s="17" t="s">
        <v>7635</v>
      </c>
      <c r="P298" s="17" t="s">
        <v>3568</v>
      </c>
      <c r="Q298" s="17"/>
      <c r="R298" s="17"/>
      <c r="S298" s="17"/>
      <c r="T298" s="17"/>
      <c r="U298" s="17"/>
      <c r="V298" s="17"/>
      <c r="W298" s="17"/>
      <c r="X298" s="17"/>
      <c r="Y298" s="17"/>
    </row>
    <row r="299" spans="1:25">
      <c r="A299" s="17" t="s">
        <v>3569</v>
      </c>
      <c r="B299" s="17" t="s">
        <v>3569</v>
      </c>
      <c r="C299" s="17" t="s">
        <v>3567</v>
      </c>
      <c r="D299" s="17" t="s">
        <v>2669</v>
      </c>
      <c r="E299" s="17" t="s">
        <v>3543</v>
      </c>
      <c r="F299" s="17" t="s">
        <v>3569</v>
      </c>
      <c r="G299" s="17" t="s">
        <v>2671</v>
      </c>
      <c r="H299" s="17" t="s">
        <v>6835</v>
      </c>
      <c r="I299" s="17" t="s">
        <v>4237</v>
      </c>
      <c r="J299" s="17" t="s">
        <v>3544</v>
      </c>
      <c r="K299" s="17" t="s">
        <v>2703</v>
      </c>
      <c r="L299" s="17" t="s">
        <v>3545</v>
      </c>
      <c r="M299" s="17" t="s">
        <v>2669</v>
      </c>
      <c r="N299" s="17" t="s">
        <v>3569</v>
      </c>
      <c r="O299" s="17" t="s">
        <v>7635</v>
      </c>
      <c r="P299" s="17" t="s">
        <v>3570</v>
      </c>
      <c r="Q299" s="17"/>
      <c r="R299" s="17"/>
      <c r="S299" s="17"/>
      <c r="T299" s="17"/>
      <c r="U299" s="17"/>
      <c r="V299" s="17"/>
      <c r="W299" s="17"/>
      <c r="X299" s="17"/>
      <c r="Y299" s="17"/>
    </row>
    <row r="300" spans="1:25">
      <c r="A300" s="17" t="s">
        <v>3571</v>
      </c>
      <c r="B300" s="17" t="s">
        <v>3571</v>
      </c>
      <c r="C300" s="17" t="s">
        <v>3572</v>
      </c>
      <c r="D300" s="17" t="s">
        <v>2669</v>
      </c>
      <c r="E300" s="17" t="s">
        <v>3543</v>
      </c>
      <c r="F300" s="17" t="s">
        <v>3571</v>
      </c>
      <c r="G300" s="17" t="s">
        <v>2671</v>
      </c>
      <c r="H300" s="17" t="s">
        <v>4312</v>
      </c>
      <c r="I300" s="17" t="s">
        <v>4237</v>
      </c>
      <c r="J300" s="17" t="s">
        <v>3544</v>
      </c>
      <c r="K300" s="17" t="s">
        <v>2707</v>
      </c>
      <c r="L300" s="17" t="s">
        <v>3545</v>
      </c>
      <c r="M300" s="17" t="s">
        <v>2669</v>
      </c>
      <c r="N300" s="17" t="s">
        <v>3571</v>
      </c>
      <c r="O300" s="17" t="s">
        <v>7635</v>
      </c>
      <c r="P300" s="17" t="s">
        <v>3573</v>
      </c>
      <c r="Q300" s="17"/>
      <c r="R300" s="17"/>
      <c r="S300" s="17"/>
      <c r="T300" s="17"/>
      <c r="U300" s="17"/>
      <c r="V300" s="17"/>
      <c r="W300" s="17"/>
      <c r="X300" s="17"/>
      <c r="Y300" s="17"/>
    </row>
    <row r="301" spans="1:25">
      <c r="A301" s="17" t="s">
        <v>3574</v>
      </c>
      <c r="B301" s="17" t="s">
        <v>3574</v>
      </c>
      <c r="C301" s="17" t="s">
        <v>3572</v>
      </c>
      <c r="D301" s="17" t="s">
        <v>2669</v>
      </c>
      <c r="E301" s="17" t="s">
        <v>3543</v>
      </c>
      <c r="F301" s="17" t="s">
        <v>3574</v>
      </c>
      <c r="G301" s="17" t="s">
        <v>2671</v>
      </c>
      <c r="H301" s="17" t="s">
        <v>6835</v>
      </c>
      <c r="I301" s="17" t="s">
        <v>4237</v>
      </c>
      <c r="J301" s="17" t="s">
        <v>3544</v>
      </c>
      <c r="K301" s="17" t="s">
        <v>2707</v>
      </c>
      <c r="L301" s="17" t="s">
        <v>3545</v>
      </c>
      <c r="M301" s="17" t="s">
        <v>2669</v>
      </c>
      <c r="N301" s="17" t="s">
        <v>3574</v>
      </c>
      <c r="O301" s="17" t="s">
        <v>7635</v>
      </c>
      <c r="P301" s="17" t="s">
        <v>3575</v>
      </c>
      <c r="Q301" s="17"/>
      <c r="R301" s="17"/>
      <c r="S301" s="17"/>
      <c r="T301" s="17"/>
      <c r="U301" s="17"/>
      <c r="V301" s="17"/>
      <c r="W301" s="17"/>
      <c r="X301" s="17"/>
      <c r="Y301" s="17"/>
    </row>
    <row r="302" spans="1:25">
      <c r="A302" s="17" t="s">
        <v>3576</v>
      </c>
      <c r="B302" s="17" t="s">
        <v>3576</v>
      </c>
      <c r="C302" s="17" t="s">
        <v>3577</v>
      </c>
      <c r="D302" s="17" t="s">
        <v>2669</v>
      </c>
      <c r="E302" s="17" t="s">
        <v>3543</v>
      </c>
      <c r="F302" s="17" t="s">
        <v>3576</v>
      </c>
      <c r="G302" s="17" t="s">
        <v>2671</v>
      </c>
      <c r="H302" s="17" t="s">
        <v>4312</v>
      </c>
      <c r="I302" s="17" t="s">
        <v>4237</v>
      </c>
      <c r="J302" s="17" t="s">
        <v>3544</v>
      </c>
      <c r="K302" s="17" t="s">
        <v>2713</v>
      </c>
      <c r="L302" s="17" t="s">
        <v>3545</v>
      </c>
      <c r="M302" s="17" t="s">
        <v>2669</v>
      </c>
      <c r="N302" s="17" t="s">
        <v>3576</v>
      </c>
      <c r="O302" s="17" t="s">
        <v>7635</v>
      </c>
      <c r="P302" s="17" t="s">
        <v>3578</v>
      </c>
      <c r="Q302" s="17"/>
      <c r="R302" s="17"/>
      <c r="S302" s="17"/>
      <c r="T302" s="17"/>
      <c r="U302" s="17"/>
      <c r="V302" s="17"/>
      <c r="W302" s="17"/>
      <c r="X302" s="17"/>
      <c r="Y302" s="17"/>
    </row>
    <row r="303" spans="1:25">
      <c r="A303" s="17" t="s">
        <v>3579</v>
      </c>
      <c r="B303" s="17" t="s">
        <v>3579</v>
      </c>
      <c r="C303" s="17" t="s">
        <v>3580</v>
      </c>
      <c r="D303" s="17" t="s">
        <v>2669</v>
      </c>
      <c r="E303" s="17" t="s">
        <v>3543</v>
      </c>
      <c r="F303" s="17" t="s">
        <v>3579</v>
      </c>
      <c r="G303" s="17" t="s">
        <v>2671</v>
      </c>
      <c r="H303" s="17" t="s">
        <v>6835</v>
      </c>
      <c r="I303" s="17" t="s">
        <v>4237</v>
      </c>
      <c r="J303" s="17" t="s">
        <v>3544</v>
      </c>
      <c r="K303" s="17" t="s">
        <v>2713</v>
      </c>
      <c r="L303" s="17" t="s">
        <v>3581</v>
      </c>
      <c r="M303" s="17" t="s">
        <v>2669</v>
      </c>
      <c r="N303" s="17" t="s">
        <v>3582</v>
      </c>
      <c r="O303" s="17" t="s">
        <v>7635</v>
      </c>
      <c r="P303" s="17" t="s">
        <v>3583</v>
      </c>
      <c r="Q303" s="17"/>
      <c r="R303" s="17"/>
      <c r="S303" s="17"/>
      <c r="T303" s="17"/>
      <c r="U303" s="17"/>
      <c r="V303" s="17"/>
      <c r="W303" s="17"/>
      <c r="X303" s="17"/>
      <c r="Y303" s="17"/>
    </row>
    <row r="304" spans="1:25">
      <c r="A304" s="17" t="s">
        <v>3584</v>
      </c>
      <c r="B304" s="17" t="s">
        <v>3584</v>
      </c>
      <c r="C304" s="17" t="s">
        <v>3585</v>
      </c>
      <c r="D304" s="17" t="s">
        <v>2669</v>
      </c>
      <c r="E304" s="17" t="s">
        <v>3543</v>
      </c>
      <c r="F304" s="17" t="s">
        <v>3584</v>
      </c>
      <c r="G304" s="17" t="s">
        <v>2671</v>
      </c>
      <c r="H304" s="17" t="s">
        <v>4312</v>
      </c>
      <c r="I304" s="17" t="s">
        <v>4237</v>
      </c>
      <c r="J304" s="17" t="s">
        <v>3544</v>
      </c>
      <c r="K304" s="17" t="s">
        <v>2720</v>
      </c>
      <c r="L304" s="17" t="s">
        <v>3545</v>
      </c>
      <c r="M304" s="17" t="s">
        <v>2669</v>
      </c>
      <c r="N304" s="17" t="s">
        <v>3584</v>
      </c>
      <c r="O304" s="17" t="s">
        <v>7635</v>
      </c>
      <c r="P304" s="17" t="s">
        <v>3586</v>
      </c>
      <c r="Q304" s="17"/>
      <c r="R304" s="17"/>
      <c r="S304" s="17"/>
      <c r="T304" s="17"/>
      <c r="U304" s="17"/>
      <c r="V304" s="17"/>
      <c r="W304" s="17"/>
      <c r="X304" s="17"/>
      <c r="Y304" s="17"/>
    </row>
    <row r="305" spans="1:25">
      <c r="A305" s="17" t="s">
        <v>3587</v>
      </c>
      <c r="B305" s="17" t="s">
        <v>3587</v>
      </c>
      <c r="C305" s="17" t="s">
        <v>3585</v>
      </c>
      <c r="D305" s="17" t="s">
        <v>2669</v>
      </c>
      <c r="E305" s="17" t="s">
        <v>3543</v>
      </c>
      <c r="F305" s="17" t="s">
        <v>3587</v>
      </c>
      <c r="G305" s="17" t="s">
        <v>2671</v>
      </c>
      <c r="H305" s="17" t="s">
        <v>6835</v>
      </c>
      <c r="I305" s="17" t="s">
        <v>4237</v>
      </c>
      <c r="J305" s="17" t="s">
        <v>3544</v>
      </c>
      <c r="K305" s="17" t="s">
        <v>2720</v>
      </c>
      <c r="L305" s="17" t="s">
        <v>3545</v>
      </c>
      <c r="M305" s="17" t="s">
        <v>2669</v>
      </c>
      <c r="N305" s="17" t="s">
        <v>3587</v>
      </c>
      <c r="O305" s="17" t="s">
        <v>7635</v>
      </c>
      <c r="P305" s="17" t="s">
        <v>3588</v>
      </c>
      <c r="Q305" s="17"/>
      <c r="R305" s="17"/>
      <c r="S305" s="17"/>
      <c r="T305" s="17"/>
      <c r="U305" s="17"/>
      <c r="V305" s="17"/>
      <c r="W305" s="17"/>
      <c r="X305" s="17"/>
      <c r="Y305" s="17"/>
    </row>
    <row r="306" spans="1:25">
      <c r="A306" s="17" t="s">
        <v>3589</v>
      </c>
      <c r="B306" s="17" t="s">
        <v>3589</v>
      </c>
      <c r="C306" s="17" t="s">
        <v>3590</v>
      </c>
      <c r="D306" s="17" t="s">
        <v>2669</v>
      </c>
      <c r="E306" s="17" t="s">
        <v>3543</v>
      </c>
      <c r="F306" s="17" t="s">
        <v>3589</v>
      </c>
      <c r="G306" s="17" t="s">
        <v>2671</v>
      </c>
      <c r="H306" s="17" t="s">
        <v>4312</v>
      </c>
      <c r="I306" s="17" t="s">
        <v>4237</v>
      </c>
      <c r="J306" s="17" t="s">
        <v>3544</v>
      </c>
      <c r="K306" s="17" t="s">
        <v>2729</v>
      </c>
      <c r="L306" s="17" t="s">
        <v>3545</v>
      </c>
      <c r="M306" s="17" t="s">
        <v>2669</v>
      </c>
      <c r="N306" s="17" t="s">
        <v>3589</v>
      </c>
      <c r="O306" s="17" t="s">
        <v>7635</v>
      </c>
      <c r="P306" s="17" t="s">
        <v>3591</v>
      </c>
      <c r="Q306" s="17"/>
      <c r="R306" s="17"/>
      <c r="S306" s="17"/>
      <c r="T306" s="17"/>
      <c r="U306" s="17"/>
      <c r="V306" s="17"/>
      <c r="W306" s="17"/>
      <c r="X306" s="17"/>
      <c r="Y306" s="17"/>
    </row>
    <row r="307" spans="1:25">
      <c r="A307" s="17" t="s">
        <v>3592</v>
      </c>
      <c r="B307" s="17" t="s">
        <v>3592</v>
      </c>
      <c r="C307" s="17" t="s">
        <v>3590</v>
      </c>
      <c r="D307" s="17" t="s">
        <v>2669</v>
      </c>
      <c r="E307" s="17" t="s">
        <v>3543</v>
      </c>
      <c r="F307" s="17" t="s">
        <v>3592</v>
      </c>
      <c r="G307" s="17" t="s">
        <v>2671</v>
      </c>
      <c r="H307" s="17" t="s">
        <v>6835</v>
      </c>
      <c r="I307" s="17" t="s">
        <v>4237</v>
      </c>
      <c r="J307" s="17" t="s">
        <v>3544</v>
      </c>
      <c r="K307" s="17" t="s">
        <v>2729</v>
      </c>
      <c r="L307" s="17" t="s">
        <v>3545</v>
      </c>
      <c r="M307" s="17" t="s">
        <v>2669</v>
      </c>
      <c r="N307" s="17" t="s">
        <v>3592</v>
      </c>
      <c r="O307" s="17" t="s">
        <v>7635</v>
      </c>
      <c r="P307" s="17" t="s">
        <v>3593</v>
      </c>
      <c r="Q307" s="17"/>
      <c r="R307" s="17"/>
      <c r="S307" s="17"/>
      <c r="T307" s="17"/>
      <c r="U307" s="17"/>
      <c r="V307" s="17"/>
      <c r="W307" s="17"/>
      <c r="X307" s="17"/>
      <c r="Y307" s="17"/>
    </row>
    <row r="308" spans="1:25">
      <c r="A308" s="17" t="s">
        <v>3594</v>
      </c>
      <c r="B308" s="17" t="s">
        <v>3594</v>
      </c>
      <c r="C308" s="17" t="s">
        <v>3595</v>
      </c>
      <c r="D308" s="17" t="s">
        <v>2669</v>
      </c>
      <c r="E308" s="17" t="s">
        <v>3543</v>
      </c>
      <c r="F308" s="17" t="s">
        <v>3594</v>
      </c>
      <c r="G308" s="17" t="s">
        <v>2671</v>
      </c>
      <c r="H308" s="17" t="s">
        <v>4312</v>
      </c>
      <c r="I308" s="17" t="s">
        <v>4237</v>
      </c>
      <c r="J308" s="17" t="s">
        <v>3544</v>
      </c>
      <c r="K308" s="17" t="s">
        <v>2738</v>
      </c>
      <c r="L308" s="17" t="s">
        <v>3545</v>
      </c>
      <c r="M308" s="17" t="s">
        <v>2669</v>
      </c>
      <c r="N308" s="17" t="s">
        <v>3594</v>
      </c>
      <c r="O308" s="17" t="s">
        <v>7635</v>
      </c>
      <c r="P308" s="17" t="s">
        <v>3596</v>
      </c>
      <c r="Q308" s="17"/>
      <c r="R308" s="17"/>
      <c r="S308" s="17"/>
      <c r="T308" s="17"/>
      <c r="U308" s="17"/>
      <c r="V308" s="17"/>
      <c r="W308" s="17"/>
      <c r="X308" s="17"/>
      <c r="Y308" s="17"/>
    </row>
    <row r="309" spans="1:25">
      <c r="A309" s="17" t="s">
        <v>3597</v>
      </c>
      <c r="B309" s="17" t="s">
        <v>3597</v>
      </c>
      <c r="C309" s="17" t="s">
        <v>3595</v>
      </c>
      <c r="D309" s="17" t="s">
        <v>2669</v>
      </c>
      <c r="E309" s="17" t="s">
        <v>3543</v>
      </c>
      <c r="F309" s="17" t="s">
        <v>3597</v>
      </c>
      <c r="G309" s="17" t="s">
        <v>2671</v>
      </c>
      <c r="H309" s="17" t="s">
        <v>6835</v>
      </c>
      <c r="I309" s="17" t="s">
        <v>4237</v>
      </c>
      <c r="J309" s="17" t="s">
        <v>3544</v>
      </c>
      <c r="K309" s="17" t="s">
        <v>2738</v>
      </c>
      <c r="L309" s="17" t="s">
        <v>3545</v>
      </c>
      <c r="M309" s="17" t="s">
        <v>2669</v>
      </c>
      <c r="N309" s="17" t="s">
        <v>3597</v>
      </c>
      <c r="O309" s="17" t="s">
        <v>7635</v>
      </c>
      <c r="P309" s="17" t="s">
        <v>3598</v>
      </c>
      <c r="Q309" s="17"/>
      <c r="R309" s="17"/>
      <c r="S309" s="17"/>
      <c r="T309" s="17"/>
      <c r="U309" s="17"/>
      <c r="V309" s="17"/>
      <c r="W309" s="17"/>
      <c r="X309" s="17"/>
      <c r="Y309" s="17"/>
    </row>
    <row r="310" spans="1:25">
      <c r="A310" s="17" t="s">
        <v>3599</v>
      </c>
      <c r="B310" s="17" t="s">
        <v>3599</v>
      </c>
      <c r="C310" s="17" t="s">
        <v>3600</v>
      </c>
      <c r="D310" s="17" t="s">
        <v>2669</v>
      </c>
      <c r="E310" s="17" t="s">
        <v>3543</v>
      </c>
      <c r="F310" s="17" t="s">
        <v>3599</v>
      </c>
      <c r="G310" s="17" t="s">
        <v>2671</v>
      </c>
      <c r="H310" s="17" t="s">
        <v>4312</v>
      </c>
      <c r="I310" s="17" t="s">
        <v>4237</v>
      </c>
      <c r="J310" s="17" t="s">
        <v>3544</v>
      </c>
      <c r="K310" s="17" t="s">
        <v>2742</v>
      </c>
      <c r="L310" s="17" t="s">
        <v>3545</v>
      </c>
      <c r="M310" s="17" t="s">
        <v>2669</v>
      </c>
      <c r="N310" s="17" t="s">
        <v>3599</v>
      </c>
      <c r="O310" s="17" t="s">
        <v>7635</v>
      </c>
      <c r="P310" s="17" t="s">
        <v>3601</v>
      </c>
      <c r="Q310" s="17" t="s">
        <v>2669</v>
      </c>
      <c r="R310" s="17" t="s">
        <v>3602</v>
      </c>
      <c r="S310" s="17" t="s">
        <v>7635</v>
      </c>
      <c r="T310" s="17" t="s">
        <v>3603</v>
      </c>
      <c r="U310" s="17"/>
      <c r="V310" s="17"/>
      <c r="W310" s="17"/>
      <c r="X310" s="17"/>
      <c r="Y310" s="17"/>
    </row>
    <row r="311" spans="1:25">
      <c r="A311" s="17" t="s">
        <v>3604</v>
      </c>
      <c r="B311" s="17" t="s">
        <v>3604</v>
      </c>
      <c r="C311" s="17" t="s">
        <v>3600</v>
      </c>
      <c r="D311" s="17" t="s">
        <v>2669</v>
      </c>
      <c r="E311" s="17" t="s">
        <v>3543</v>
      </c>
      <c r="F311" s="17" t="s">
        <v>3604</v>
      </c>
      <c r="G311" s="17" t="s">
        <v>2671</v>
      </c>
      <c r="H311" s="17" t="s">
        <v>6835</v>
      </c>
      <c r="I311" s="17" t="s">
        <v>4237</v>
      </c>
      <c r="J311" s="17" t="s">
        <v>3544</v>
      </c>
      <c r="K311" s="17" t="s">
        <v>2742</v>
      </c>
      <c r="L311" s="17" t="s">
        <v>3545</v>
      </c>
      <c r="M311" s="17" t="s">
        <v>2669</v>
      </c>
      <c r="N311" s="17" t="s">
        <v>3604</v>
      </c>
      <c r="O311" s="17" t="s">
        <v>7635</v>
      </c>
      <c r="P311" s="17" t="s">
        <v>3605</v>
      </c>
      <c r="Q311" s="17" t="s">
        <v>2669</v>
      </c>
      <c r="R311" s="17" t="s">
        <v>3606</v>
      </c>
      <c r="S311" s="17" t="s">
        <v>7635</v>
      </c>
      <c r="T311" s="17" t="s">
        <v>3607</v>
      </c>
      <c r="U311" s="17"/>
      <c r="V311" s="17"/>
      <c r="W311" s="17"/>
      <c r="X311" s="17"/>
      <c r="Y311" s="17"/>
    </row>
    <row r="312" spans="1:25">
      <c r="A312" s="17" t="s">
        <v>3608</v>
      </c>
      <c r="B312" s="17" t="s">
        <v>3608</v>
      </c>
      <c r="C312" s="17" t="s">
        <v>3609</v>
      </c>
      <c r="D312" s="17" t="s">
        <v>2669</v>
      </c>
      <c r="E312" s="17" t="s">
        <v>3543</v>
      </c>
      <c r="F312" s="17" t="s">
        <v>3608</v>
      </c>
      <c r="G312" s="17" t="s">
        <v>2671</v>
      </c>
      <c r="H312" s="17" t="s">
        <v>4312</v>
      </c>
      <c r="I312" s="17" t="s">
        <v>4237</v>
      </c>
      <c r="J312" s="17" t="s">
        <v>3544</v>
      </c>
      <c r="K312" s="17" t="s">
        <v>2751</v>
      </c>
      <c r="L312" s="17" t="s">
        <v>3545</v>
      </c>
      <c r="M312" s="17" t="s">
        <v>2669</v>
      </c>
      <c r="N312" s="17" t="s">
        <v>3608</v>
      </c>
      <c r="O312" s="17" t="s">
        <v>7635</v>
      </c>
      <c r="P312" s="17" t="s">
        <v>3610</v>
      </c>
      <c r="Q312" s="17" t="s">
        <v>2669</v>
      </c>
      <c r="R312" s="17" t="s">
        <v>3611</v>
      </c>
      <c r="S312" s="17" t="s">
        <v>7635</v>
      </c>
      <c r="T312" s="17" t="s">
        <v>3612</v>
      </c>
      <c r="U312" s="17"/>
      <c r="V312" s="17"/>
      <c r="W312" s="17"/>
      <c r="X312" s="17"/>
      <c r="Y312" s="17"/>
    </row>
    <row r="313" spans="1:25">
      <c r="A313" s="17" t="s">
        <v>3613</v>
      </c>
      <c r="B313" s="17" t="s">
        <v>3613</v>
      </c>
      <c r="C313" s="17" t="s">
        <v>3609</v>
      </c>
      <c r="D313" s="17" t="s">
        <v>2669</v>
      </c>
      <c r="E313" s="17" t="s">
        <v>3543</v>
      </c>
      <c r="F313" s="17" t="s">
        <v>3613</v>
      </c>
      <c r="G313" s="17" t="s">
        <v>2671</v>
      </c>
      <c r="H313" s="17" t="s">
        <v>6835</v>
      </c>
      <c r="I313" s="17" t="s">
        <v>4237</v>
      </c>
      <c r="J313" s="17" t="s">
        <v>3544</v>
      </c>
      <c r="K313" s="17" t="s">
        <v>2751</v>
      </c>
      <c r="L313" s="17" t="s">
        <v>3545</v>
      </c>
      <c r="M313" s="17" t="s">
        <v>2669</v>
      </c>
      <c r="N313" s="17" t="s">
        <v>3613</v>
      </c>
      <c r="O313" s="17" t="s">
        <v>7635</v>
      </c>
      <c r="P313" s="17" t="s">
        <v>3614</v>
      </c>
      <c r="Q313" s="17"/>
      <c r="R313" s="17"/>
      <c r="S313" s="17"/>
      <c r="T313" s="17"/>
      <c r="U313" s="17"/>
      <c r="V313" s="17"/>
      <c r="W313" s="17"/>
      <c r="X313" s="17"/>
      <c r="Y313" s="17"/>
    </row>
    <row r="314" spans="1:25">
      <c r="A314" s="17" t="s">
        <v>3615</v>
      </c>
      <c r="B314" s="17" t="s">
        <v>3615</v>
      </c>
      <c r="C314" s="17" t="s">
        <v>3616</v>
      </c>
      <c r="D314" s="17" t="s">
        <v>2669</v>
      </c>
      <c r="E314" s="17" t="s">
        <v>3543</v>
      </c>
      <c r="F314" s="17" t="s">
        <v>3615</v>
      </c>
      <c r="G314" s="17" t="s">
        <v>2671</v>
      </c>
      <c r="H314" s="17" t="s">
        <v>4312</v>
      </c>
      <c r="I314" s="17" t="s">
        <v>4237</v>
      </c>
      <c r="J314" s="17" t="s">
        <v>3544</v>
      </c>
      <c r="K314" s="17" t="s">
        <v>2760</v>
      </c>
      <c r="L314" s="17" t="s">
        <v>3545</v>
      </c>
      <c r="M314" s="17" t="s">
        <v>2669</v>
      </c>
      <c r="N314" s="17" t="s">
        <v>3615</v>
      </c>
      <c r="O314" s="17" t="s">
        <v>7635</v>
      </c>
      <c r="P314" s="17" t="s">
        <v>3617</v>
      </c>
      <c r="Q314" s="17"/>
      <c r="R314" s="17"/>
      <c r="S314" s="17"/>
      <c r="T314" s="17"/>
      <c r="U314" s="17"/>
      <c r="V314" s="17"/>
      <c r="W314" s="17"/>
      <c r="X314" s="17"/>
      <c r="Y314" s="17"/>
    </row>
    <row r="315" spans="1:25">
      <c r="A315" s="17" t="s">
        <v>3618</v>
      </c>
      <c r="B315" s="17" t="s">
        <v>3618</v>
      </c>
      <c r="C315" s="17" t="s">
        <v>3616</v>
      </c>
      <c r="D315" s="17" t="s">
        <v>2669</v>
      </c>
      <c r="E315" s="17" t="s">
        <v>3543</v>
      </c>
      <c r="F315" s="17" t="s">
        <v>3618</v>
      </c>
      <c r="G315" s="17" t="s">
        <v>2671</v>
      </c>
      <c r="H315" s="17" t="s">
        <v>6835</v>
      </c>
      <c r="I315" s="17" t="s">
        <v>4237</v>
      </c>
      <c r="J315" s="17" t="s">
        <v>3544</v>
      </c>
      <c r="K315" s="17" t="s">
        <v>2760</v>
      </c>
      <c r="L315" s="17" t="s">
        <v>3545</v>
      </c>
      <c r="M315" s="17" t="s">
        <v>2669</v>
      </c>
      <c r="N315" s="17" t="s">
        <v>3618</v>
      </c>
      <c r="O315" s="17" t="s">
        <v>7635</v>
      </c>
      <c r="P315" s="17" t="s">
        <v>3619</v>
      </c>
      <c r="Q315" s="17" t="s">
        <v>2669</v>
      </c>
      <c r="R315" s="17" t="s">
        <v>3620</v>
      </c>
      <c r="S315" s="17" t="s">
        <v>7635</v>
      </c>
      <c r="T315" s="17" t="s">
        <v>3621</v>
      </c>
      <c r="U315" s="17"/>
      <c r="V315" s="17"/>
      <c r="W315" s="17"/>
      <c r="X315" s="17"/>
      <c r="Y315" s="17"/>
    </row>
    <row r="316" spans="1:25">
      <c r="A316" s="17" t="s">
        <v>3622</v>
      </c>
      <c r="B316" s="17" t="s">
        <v>3622</v>
      </c>
      <c r="C316" s="17" t="s">
        <v>3623</v>
      </c>
      <c r="D316" s="17" t="s">
        <v>2669</v>
      </c>
      <c r="E316" s="17" t="s">
        <v>3543</v>
      </c>
      <c r="F316" s="17" t="s">
        <v>3622</v>
      </c>
      <c r="G316" s="17" t="s">
        <v>2671</v>
      </c>
      <c r="H316" s="17" t="s">
        <v>4312</v>
      </c>
      <c r="I316" s="17" t="s">
        <v>4237</v>
      </c>
      <c r="J316" s="17" t="s">
        <v>3544</v>
      </c>
      <c r="K316" s="17" t="s">
        <v>2769</v>
      </c>
      <c r="L316" s="17" t="s">
        <v>3545</v>
      </c>
      <c r="M316" s="17" t="s">
        <v>2669</v>
      </c>
      <c r="N316" s="17" t="s">
        <v>3622</v>
      </c>
      <c r="O316" s="17" t="s">
        <v>7635</v>
      </c>
      <c r="P316" s="17" t="s">
        <v>3624</v>
      </c>
      <c r="Q316" s="17" t="s">
        <v>2669</v>
      </c>
      <c r="R316" s="17" t="s">
        <v>3625</v>
      </c>
      <c r="S316" s="17" t="s">
        <v>7635</v>
      </c>
      <c r="T316" s="17" t="s">
        <v>3626</v>
      </c>
      <c r="U316" s="17"/>
      <c r="V316" s="17"/>
      <c r="W316" s="17"/>
      <c r="X316" s="17"/>
      <c r="Y316" s="17"/>
    </row>
    <row r="317" spans="1:25">
      <c r="A317" s="17" t="s">
        <v>3627</v>
      </c>
      <c r="B317" s="17" t="s">
        <v>3627</v>
      </c>
      <c r="C317" s="17" t="s">
        <v>3623</v>
      </c>
      <c r="D317" s="17" t="s">
        <v>2669</v>
      </c>
      <c r="E317" s="17" t="s">
        <v>3543</v>
      </c>
      <c r="F317" s="17" t="s">
        <v>3627</v>
      </c>
      <c r="G317" s="17" t="s">
        <v>2671</v>
      </c>
      <c r="H317" s="17" t="s">
        <v>6835</v>
      </c>
      <c r="I317" s="17" t="s">
        <v>4237</v>
      </c>
      <c r="J317" s="17" t="s">
        <v>3544</v>
      </c>
      <c r="K317" s="17" t="s">
        <v>2769</v>
      </c>
      <c r="L317" s="17" t="s">
        <v>3545</v>
      </c>
      <c r="M317" s="17" t="s">
        <v>2669</v>
      </c>
      <c r="N317" s="17" t="s">
        <v>3627</v>
      </c>
      <c r="O317" s="17" t="s">
        <v>7635</v>
      </c>
      <c r="P317" s="17" t="s">
        <v>3628</v>
      </c>
      <c r="Q317" s="17"/>
      <c r="R317" s="17"/>
      <c r="S317" s="17"/>
      <c r="T317" s="17"/>
      <c r="U317" s="17"/>
      <c r="V317" s="17"/>
      <c r="W317" s="17"/>
      <c r="X317" s="17"/>
      <c r="Y317" s="17"/>
    </row>
    <row r="318" spans="1:25">
      <c r="A318" s="17" t="s">
        <v>3629</v>
      </c>
      <c r="B318" s="17" t="s">
        <v>3629</v>
      </c>
      <c r="C318" s="17" t="s">
        <v>3630</v>
      </c>
      <c r="D318" s="17" t="s">
        <v>2669</v>
      </c>
      <c r="E318" s="17" t="s">
        <v>3543</v>
      </c>
      <c r="F318" s="17" t="s">
        <v>3629</v>
      </c>
      <c r="G318" s="17" t="s">
        <v>2671</v>
      </c>
      <c r="H318" s="17" t="s">
        <v>4312</v>
      </c>
      <c r="I318" s="17" t="s">
        <v>4237</v>
      </c>
      <c r="J318" s="17" t="s">
        <v>3544</v>
      </c>
      <c r="K318" s="17" t="s">
        <v>2778</v>
      </c>
      <c r="L318" s="17" t="s">
        <v>3545</v>
      </c>
      <c r="M318" s="17" t="s">
        <v>2669</v>
      </c>
      <c r="N318" s="17" t="s">
        <v>3629</v>
      </c>
      <c r="O318" s="17" t="s">
        <v>7635</v>
      </c>
      <c r="P318" s="17" t="s">
        <v>3631</v>
      </c>
      <c r="Q318" s="17" t="s">
        <v>2669</v>
      </c>
      <c r="R318" s="17" t="s">
        <v>3632</v>
      </c>
      <c r="S318" s="17" t="s">
        <v>7635</v>
      </c>
      <c r="T318" s="17" t="s">
        <v>3633</v>
      </c>
      <c r="U318" s="17"/>
      <c r="V318" s="17"/>
      <c r="W318" s="17"/>
      <c r="X318" s="17"/>
      <c r="Y318" s="17"/>
    </row>
    <row r="319" spans="1:25">
      <c r="A319" s="17" t="s">
        <v>3634</v>
      </c>
      <c r="B319" s="17" t="s">
        <v>3634</v>
      </c>
      <c r="C319" s="17" t="s">
        <v>3630</v>
      </c>
      <c r="D319" s="17" t="s">
        <v>2669</v>
      </c>
      <c r="E319" s="17" t="s">
        <v>3543</v>
      </c>
      <c r="F319" s="17" t="s">
        <v>3634</v>
      </c>
      <c r="G319" s="17" t="s">
        <v>2671</v>
      </c>
      <c r="H319" s="17" t="s">
        <v>6835</v>
      </c>
      <c r="I319" s="17" t="s">
        <v>4237</v>
      </c>
      <c r="J319" s="17" t="s">
        <v>3544</v>
      </c>
      <c r="K319" s="17" t="s">
        <v>2778</v>
      </c>
      <c r="L319" s="17" t="s">
        <v>3545</v>
      </c>
      <c r="M319" s="17" t="s">
        <v>2669</v>
      </c>
      <c r="N319" s="17" t="s">
        <v>3634</v>
      </c>
      <c r="O319" s="17" t="s">
        <v>7635</v>
      </c>
      <c r="P319" s="17" t="s">
        <v>3635</v>
      </c>
      <c r="Q319" s="17"/>
      <c r="R319" s="17"/>
      <c r="S319" s="17"/>
      <c r="T319" s="17"/>
      <c r="U319" s="17"/>
      <c r="V319" s="17"/>
      <c r="W319" s="17"/>
      <c r="X319" s="17"/>
      <c r="Y319" s="17"/>
    </row>
    <row r="320" spans="1:25">
      <c r="A320" s="17" t="s">
        <v>3636</v>
      </c>
      <c r="B320" s="17" t="s">
        <v>3636</v>
      </c>
      <c r="C320" s="17" t="s">
        <v>3637</v>
      </c>
      <c r="D320" s="17" t="s">
        <v>2669</v>
      </c>
      <c r="E320" s="17" t="s">
        <v>3543</v>
      </c>
      <c r="F320" s="17" t="s">
        <v>3636</v>
      </c>
      <c r="G320" s="17" t="s">
        <v>2671</v>
      </c>
      <c r="H320" s="17" t="s">
        <v>4312</v>
      </c>
      <c r="I320" s="17" t="s">
        <v>4237</v>
      </c>
      <c r="J320" s="17" t="s">
        <v>3544</v>
      </c>
      <c r="K320" s="17" t="s">
        <v>2787</v>
      </c>
      <c r="L320" s="17" t="s">
        <v>3545</v>
      </c>
      <c r="M320" s="17" t="s">
        <v>2669</v>
      </c>
      <c r="N320" s="17" t="s">
        <v>3636</v>
      </c>
      <c r="O320" s="17" t="s">
        <v>7635</v>
      </c>
      <c r="P320" s="17" t="s">
        <v>3638</v>
      </c>
      <c r="Q320" s="17"/>
      <c r="R320" s="17"/>
      <c r="S320" s="17"/>
      <c r="T320" s="17"/>
      <c r="U320" s="17"/>
      <c r="V320" s="17"/>
      <c r="W320" s="17"/>
      <c r="X320" s="17"/>
      <c r="Y320" s="17"/>
    </row>
    <row r="321" spans="1:25">
      <c r="A321" s="17" t="s">
        <v>3639</v>
      </c>
      <c r="B321" s="17" t="s">
        <v>3639</v>
      </c>
      <c r="C321" s="17" t="s">
        <v>3637</v>
      </c>
      <c r="D321" s="17" t="s">
        <v>2669</v>
      </c>
      <c r="E321" s="17" t="s">
        <v>3543</v>
      </c>
      <c r="F321" s="17" t="s">
        <v>3639</v>
      </c>
      <c r="G321" s="17" t="s">
        <v>2671</v>
      </c>
      <c r="H321" s="17" t="s">
        <v>6835</v>
      </c>
      <c r="I321" s="17" t="s">
        <v>4237</v>
      </c>
      <c r="J321" s="17" t="s">
        <v>3544</v>
      </c>
      <c r="K321" s="17" t="s">
        <v>2787</v>
      </c>
      <c r="L321" s="17" t="s">
        <v>3545</v>
      </c>
      <c r="M321" s="17" t="s">
        <v>2669</v>
      </c>
      <c r="N321" s="17" t="s">
        <v>3639</v>
      </c>
      <c r="O321" s="17" t="s">
        <v>7635</v>
      </c>
      <c r="P321" s="17" t="s">
        <v>3640</v>
      </c>
      <c r="Q321" s="17"/>
      <c r="R321" s="17"/>
      <c r="S321" s="17"/>
      <c r="T321" s="17"/>
      <c r="U321" s="17"/>
      <c r="V321" s="17"/>
      <c r="W321" s="17"/>
      <c r="X321" s="17"/>
      <c r="Y321" s="17"/>
    </row>
    <row r="322" spans="1:25">
      <c r="A322" s="17" t="s">
        <v>3641</v>
      </c>
      <c r="B322" s="17" t="s">
        <v>3641</v>
      </c>
      <c r="C322" s="17" t="s">
        <v>3642</v>
      </c>
      <c r="D322" s="17" t="s">
        <v>2669</v>
      </c>
      <c r="E322" s="17" t="s">
        <v>3543</v>
      </c>
      <c r="F322" s="17" t="s">
        <v>3641</v>
      </c>
      <c r="G322" s="17" t="s">
        <v>2671</v>
      </c>
      <c r="H322" s="17" t="s">
        <v>4312</v>
      </c>
      <c r="I322" s="17" t="s">
        <v>4237</v>
      </c>
      <c r="J322" s="17" t="s">
        <v>3544</v>
      </c>
      <c r="K322" s="17" t="s">
        <v>2791</v>
      </c>
      <c r="L322" s="17" t="s">
        <v>3545</v>
      </c>
      <c r="M322" s="17" t="s">
        <v>2669</v>
      </c>
      <c r="N322" s="17" t="s">
        <v>3641</v>
      </c>
      <c r="O322" s="17" t="s">
        <v>7635</v>
      </c>
      <c r="P322" s="17" t="s">
        <v>3643</v>
      </c>
      <c r="Q322" s="17"/>
      <c r="R322" s="17"/>
      <c r="S322" s="17"/>
      <c r="T322" s="17"/>
      <c r="U322" s="17"/>
      <c r="V322" s="17"/>
      <c r="W322" s="17"/>
      <c r="X322" s="17"/>
      <c r="Y322" s="17"/>
    </row>
    <row r="323" spans="1:25">
      <c r="A323" s="17" t="s">
        <v>3644</v>
      </c>
      <c r="B323" s="17" t="s">
        <v>3644</v>
      </c>
      <c r="C323" s="17" t="s">
        <v>3642</v>
      </c>
      <c r="D323" s="17" t="s">
        <v>2669</v>
      </c>
      <c r="E323" s="17" t="s">
        <v>3543</v>
      </c>
      <c r="F323" s="17" t="s">
        <v>3644</v>
      </c>
      <c r="G323" s="17" t="s">
        <v>2671</v>
      </c>
      <c r="H323" s="17" t="s">
        <v>6835</v>
      </c>
      <c r="I323" s="17" t="s">
        <v>4237</v>
      </c>
      <c r="J323" s="17" t="s">
        <v>3544</v>
      </c>
      <c r="K323" s="17" t="s">
        <v>2791</v>
      </c>
      <c r="L323" s="17" t="s">
        <v>3545</v>
      </c>
      <c r="M323" s="17" t="s">
        <v>2669</v>
      </c>
      <c r="N323" s="17" t="s">
        <v>3644</v>
      </c>
      <c r="O323" s="17" t="s">
        <v>7635</v>
      </c>
      <c r="P323" s="17" t="s">
        <v>3645</v>
      </c>
      <c r="Q323" s="17"/>
      <c r="R323" s="17"/>
      <c r="S323" s="17"/>
      <c r="T323" s="17"/>
      <c r="U323" s="17"/>
      <c r="V323" s="17"/>
      <c r="W323" s="17"/>
      <c r="X323" s="17"/>
      <c r="Y323" s="17"/>
    </row>
    <row r="324" spans="1:25">
      <c r="A324" s="17" t="s">
        <v>3646</v>
      </c>
      <c r="B324" s="17" t="s">
        <v>3646</v>
      </c>
      <c r="C324" s="17" t="s">
        <v>3647</v>
      </c>
      <c r="D324" s="17" t="s">
        <v>2669</v>
      </c>
      <c r="E324" s="17" t="s">
        <v>3543</v>
      </c>
      <c r="F324" s="17" t="s">
        <v>3646</v>
      </c>
      <c r="G324" s="17" t="s">
        <v>2671</v>
      </c>
      <c r="H324" s="17" t="s">
        <v>4312</v>
      </c>
      <c r="I324" s="17" t="s">
        <v>4237</v>
      </c>
      <c r="J324" s="17" t="s">
        <v>3544</v>
      </c>
      <c r="K324" s="17" t="s">
        <v>2800</v>
      </c>
      <c r="L324" s="17" t="s">
        <v>3545</v>
      </c>
      <c r="M324" s="17" t="s">
        <v>2669</v>
      </c>
      <c r="N324" s="17" t="s">
        <v>3646</v>
      </c>
      <c r="O324" s="17" t="s">
        <v>7635</v>
      </c>
      <c r="P324" s="17" t="s">
        <v>3648</v>
      </c>
      <c r="Q324" s="17" t="s">
        <v>2669</v>
      </c>
      <c r="R324" s="17" t="s">
        <v>3649</v>
      </c>
      <c r="S324" s="17" t="s">
        <v>7635</v>
      </c>
      <c r="T324" s="17" t="s">
        <v>3650</v>
      </c>
      <c r="U324" s="17"/>
      <c r="V324" s="17"/>
      <c r="W324" s="17"/>
      <c r="X324" s="17"/>
      <c r="Y324" s="17"/>
    </row>
    <row r="325" spans="1:25">
      <c r="A325" s="17" t="s">
        <v>3651</v>
      </c>
      <c r="B325" s="17" t="s">
        <v>3651</v>
      </c>
      <c r="C325" s="17" t="s">
        <v>3647</v>
      </c>
      <c r="D325" s="17" t="s">
        <v>2669</v>
      </c>
      <c r="E325" s="17" t="s">
        <v>3543</v>
      </c>
      <c r="F325" s="17" t="s">
        <v>3651</v>
      </c>
      <c r="G325" s="17" t="s">
        <v>2671</v>
      </c>
      <c r="H325" s="17" t="s">
        <v>6835</v>
      </c>
      <c r="I325" s="17" t="s">
        <v>4237</v>
      </c>
      <c r="J325" s="17" t="s">
        <v>3544</v>
      </c>
      <c r="K325" s="17" t="s">
        <v>2800</v>
      </c>
      <c r="L325" s="17" t="s">
        <v>3545</v>
      </c>
      <c r="M325" s="17" t="s">
        <v>2669</v>
      </c>
      <c r="N325" s="17" t="s">
        <v>3651</v>
      </c>
      <c r="O325" s="17" t="s">
        <v>7635</v>
      </c>
      <c r="P325" s="17" t="s">
        <v>3652</v>
      </c>
      <c r="Q325" s="17"/>
      <c r="R325" s="17"/>
      <c r="S325" s="17"/>
      <c r="T325" s="17"/>
      <c r="U325" s="17"/>
      <c r="V325" s="17"/>
      <c r="W325" s="17"/>
      <c r="X325" s="17"/>
      <c r="Y325" s="17"/>
    </row>
    <row r="326" spans="1:25">
      <c r="A326" s="17" t="s">
        <v>3653</v>
      </c>
      <c r="B326" s="17" t="s">
        <v>3653</v>
      </c>
      <c r="C326" s="17" t="s">
        <v>3654</v>
      </c>
      <c r="D326" s="17" t="s">
        <v>2669</v>
      </c>
      <c r="E326" s="17" t="s">
        <v>3543</v>
      </c>
      <c r="F326" s="17" t="s">
        <v>3653</v>
      </c>
      <c r="G326" s="17" t="s">
        <v>2671</v>
      </c>
      <c r="H326" s="17" t="s">
        <v>4312</v>
      </c>
      <c r="I326" s="17" t="s">
        <v>4237</v>
      </c>
      <c r="J326" s="17" t="s">
        <v>3544</v>
      </c>
      <c r="K326" s="17" t="s">
        <v>2809</v>
      </c>
      <c r="L326" s="17" t="s">
        <v>3545</v>
      </c>
      <c r="M326" s="17" t="s">
        <v>2669</v>
      </c>
      <c r="N326" s="17" t="s">
        <v>3653</v>
      </c>
      <c r="O326" s="17" t="s">
        <v>7635</v>
      </c>
      <c r="P326" s="17" t="s">
        <v>3655</v>
      </c>
      <c r="Q326" s="17"/>
      <c r="R326" s="17"/>
      <c r="S326" s="17"/>
      <c r="T326" s="17"/>
      <c r="U326" s="17"/>
      <c r="V326" s="17"/>
      <c r="W326" s="17"/>
      <c r="X326" s="17"/>
      <c r="Y326" s="17"/>
    </row>
    <row r="327" spans="1:25">
      <c r="A327" s="17" t="s">
        <v>3656</v>
      </c>
      <c r="B327" s="17" t="s">
        <v>3656</v>
      </c>
      <c r="C327" s="17" t="s">
        <v>3654</v>
      </c>
      <c r="D327" s="17" t="s">
        <v>2669</v>
      </c>
      <c r="E327" s="17" t="s">
        <v>3543</v>
      </c>
      <c r="F327" s="17" t="s">
        <v>3656</v>
      </c>
      <c r="G327" s="17" t="s">
        <v>2671</v>
      </c>
      <c r="H327" s="17" t="s">
        <v>6835</v>
      </c>
      <c r="I327" s="17" t="s">
        <v>4237</v>
      </c>
      <c r="J327" s="17" t="s">
        <v>3544</v>
      </c>
      <c r="K327" s="17" t="s">
        <v>2809</v>
      </c>
      <c r="L327" s="17" t="s">
        <v>3545</v>
      </c>
      <c r="M327" s="17" t="s">
        <v>2669</v>
      </c>
      <c r="N327" s="17" t="s">
        <v>3656</v>
      </c>
      <c r="O327" s="17" t="s">
        <v>7635</v>
      </c>
      <c r="P327" s="17" t="s">
        <v>3657</v>
      </c>
      <c r="Q327" s="17"/>
      <c r="R327" s="17"/>
      <c r="S327" s="17"/>
      <c r="T327" s="17"/>
      <c r="U327" s="17"/>
      <c r="V327" s="17"/>
      <c r="W327" s="17"/>
      <c r="X327" s="17"/>
      <c r="Y327" s="17"/>
    </row>
    <row r="328" spans="1:25">
      <c r="A328" s="17" t="s">
        <v>3658</v>
      </c>
      <c r="B328" s="17" t="s">
        <v>3658</v>
      </c>
      <c r="C328" s="17" t="s">
        <v>3659</v>
      </c>
      <c r="D328" s="17" t="s">
        <v>2669</v>
      </c>
      <c r="E328" s="17" t="s">
        <v>3543</v>
      </c>
      <c r="F328" s="17" t="s">
        <v>3658</v>
      </c>
      <c r="G328" s="17" t="s">
        <v>2671</v>
      </c>
      <c r="H328" s="17" t="s">
        <v>4312</v>
      </c>
      <c r="I328" s="17" t="s">
        <v>4237</v>
      </c>
      <c r="J328" s="17" t="s">
        <v>3544</v>
      </c>
      <c r="K328" s="17" t="s">
        <v>2818</v>
      </c>
      <c r="L328" s="17" t="s">
        <v>3545</v>
      </c>
      <c r="M328" s="17" t="s">
        <v>2669</v>
      </c>
      <c r="N328" s="17" t="s">
        <v>3658</v>
      </c>
      <c r="O328" s="17" t="s">
        <v>7635</v>
      </c>
      <c r="P328" s="17" t="s">
        <v>3660</v>
      </c>
      <c r="Q328" s="17"/>
      <c r="R328" s="17"/>
      <c r="S328" s="17"/>
      <c r="T328" s="17"/>
      <c r="U328" s="17"/>
      <c r="V328" s="17"/>
      <c r="W328" s="17"/>
      <c r="X328" s="17"/>
      <c r="Y328" s="17"/>
    </row>
    <row r="329" spans="1:25">
      <c r="A329" s="17" t="s">
        <v>3661</v>
      </c>
      <c r="B329" s="17" t="s">
        <v>3661</v>
      </c>
      <c r="C329" s="17" t="s">
        <v>3659</v>
      </c>
      <c r="D329" s="17" t="s">
        <v>2669</v>
      </c>
      <c r="E329" s="17" t="s">
        <v>3543</v>
      </c>
      <c r="F329" s="17" t="s">
        <v>3661</v>
      </c>
      <c r="G329" s="17" t="s">
        <v>2671</v>
      </c>
      <c r="H329" s="17" t="s">
        <v>6835</v>
      </c>
      <c r="I329" s="17" t="s">
        <v>4237</v>
      </c>
      <c r="J329" s="17" t="s">
        <v>3544</v>
      </c>
      <c r="K329" s="17" t="s">
        <v>2818</v>
      </c>
      <c r="L329" s="17" t="s">
        <v>3545</v>
      </c>
      <c r="M329" s="17" t="s">
        <v>2669</v>
      </c>
      <c r="N329" s="17" t="s">
        <v>3661</v>
      </c>
      <c r="O329" s="17" t="s">
        <v>7635</v>
      </c>
      <c r="P329" s="17" t="s">
        <v>3662</v>
      </c>
      <c r="Q329" s="17" t="s">
        <v>2669</v>
      </c>
      <c r="R329" s="17" t="s">
        <v>3663</v>
      </c>
      <c r="S329" s="17" t="s">
        <v>7635</v>
      </c>
      <c r="T329" s="17" t="s">
        <v>3664</v>
      </c>
      <c r="U329" s="17"/>
      <c r="V329" s="17"/>
      <c r="W329" s="17"/>
      <c r="X329" s="17"/>
      <c r="Y329" s="17"/>
    </row>
    <row r="330" spans="1:25">
      <c r="A330" s="17" t="s">
        <v>3665</v>
      </c>
      <c r="B330" s="17" t="s">
        <v>3665</v>
      </c>
      <c r="C330" s="17" t="s">
        <v>3666</v>
      </c>
      <c r="D330" s="17" t="s">
        <v>2669</v>
      </c>
      <c r="E330" s="17" t="s">
        <v>3543</v>
      </c>
      <c r="F330" s="17" t="s">
        <v>3665</v>
      </c>
      <c r="G330" s="17" t="s">
        <v>2671</v>
      </c>
      <c r="H330" s="17" t="s">
        <v>4312</v>
      </c>
      <c r="I330" s="17" t="s">
        <v>4237</v>
      </c>
      <c r="J330" s="17" t="s">
        <v>3544</v>
      </c>
      <c r="K330" s="17" t="s">
        <v>2827</v>
      </c>
      <c r="L330" s="17" t="s">
        <v>3545</v>
      </c>
      <c r="M330" s="17" t="s">
        <v>2669</v>
      </c>
      <c r="N330" s="17" t="s">
        <v>3665</v>
      </c>
      <c r="O330" s="17" t="s">
        <v>7635</v>
      </c>
      <c r="P330" s="17" t="s">
        <v>3667</v>
      </c>
      <c r="Q330" s="17"/>
      <c r="R330" s="17"/>
      <c r="S330" s="17"/>
      <c r="T330" s="17"/>
      <c r="U330" s="17"/>
      <c r="V330" s="17"/>
      <c r="W330" s="17"/>
      <c r="X330" s="17"/>
      <c r="Y330" s="17"/>
    </row>
    <row r="331" spans="1:25">
      <c r="A331" s="17" t="s">
        <v>3668</v>
      </c>
      <c r="B331" s="17" t="s">
        <v>3668</v>
      </c>
      <c r="C331" s="17" t="s">
        <v>3666</v>
      </c>
      <c r="D331" s="17" t="s">
        <v>2669</v>
      </c>
      <c r="E331" s="17" t="s">
        <v>3543</v>
      </c>
      <c r="F331" s="17" t="s">
        <v>3668</v>
      </c>
      <c r="G331" s="17" t="s">
        <v>2671</v>
      </c>
      <c r="H331" s="17" t="s">
        <v>6835</v>
      </c>
      <c r="I331" s="17" t="s">
        <v>4237</v>
      </c>
      <c r="J331" s="17" t="s">
        <v>3544</v>
      </c>
      <c r="K331" s="17" t="s">
        <v>2827</v>
      </c>
      <c r="L331" s="17" t="s">
        <v>3545</v>
      </c>
      <c r="M331" s="17" t="s">
        <v>2669</v>
      </c>
      <c r="N331" s="17" t="s">
        <v>3668</v>
      </c>
      <c r="O331" s="17" t="s">
        <v>7635</v>
      </c>
      <c r="P331" s="17" t="s">
        <v>3669</v>
      </c>
      <c r="Q331" s="17"/>
      <c r="R331" s="17"/>
      <c r="S331" s="17"/>
      <c r="T331" s="17"/>
      <c r="U331" s="17"/>
      <c r="V331" s="17"/>
      <c r="W331" s="17"/>
      <c r="X331" s="17"/>
      <c r="Y331" s="17"/>
    </row>
    <row r="332" spans="1:25">
      <c r="A332" s="17" t="s">
        <v>3670</v>
      </c>
      <c r="B332" s="17" t="s">
        <v>3670</v>
      </c>
      <c r="C332" s="17" t="s">
        <v>3671</v>
      </c>
      <c r="D332" s="17" t="s">
        <v>2669</v>
      </c>
      <c r="E332" s="17" t="s">
        <v>3543</v>
      </c>
      <c r="F332" s="17" t="s">
        <v>3670</v>
      </c>
      <c r="G332" s="17" t="s">
        <v>2671</v>
      </c>
      <c r="H332" s="17" t="s">
        <v>4312</v>
      </c>
      <c r="I332" s="17" t="s">
        <v>4237</v>
      </c>
      <c r="J332" s="17" t="s">
        <v>3544</v>
      </c>
      <c r="K332" s="17" t="s">
        <v>2836</v>
      </c>
      <c r="L332" s="17" t="s">
        <v>3545</v>
      </c>
      <c r="M332" s="17" t="s">
        <v>2669</v>
      </c>
      <c r="N332" s="17" t="s">
        <v>3670</v>
      </c>
      <c r="O332" s="17" t="s">
        <v>7635</v>
      </c>
      <c r="P332" s="17" t="s">
        <v>3672</v>
      </c>
      <c r="Q332" s="17" t="s">
        <v>2669</v>
      </c>
      <c r="R332" s="17" t="s">
        <v>3673</v>
      </c>
      <c r="S332" s="17" t="s">
        <v>7635</v>
      </c>
      <c r="T332" s="17" t="s">
        <v>3674</v>
      </c>
      <c r="U332" s="17"/>
      <c r="V332" s="17"/>
      <c r="W332" s="17"/>
      <c r="X332" s="17"/>
      <c r="Y332" s="17"/>
    </row>
    <row r="333" spans="1:25">
      <c r="A333" s="17" t="s">
        <v>3675</v>
      </c>
      <c r="B333" s="17" t="s">
        <v>3675</v>
      </c>
      <c r="C333" s="17" t="s">
        <v>3671</v>
      </c>
      <c r="D333" s="17" t="s">
        <v>2669</v>
      </c>
      <c r="E333" s="17" t="s">
        <v>3543</v>
      </c>
      <c r="F333" s="17" t="s">
        <v>3675</v>
      </c>
      <c r="G333" s="17" t="s">
        <v>2671</v>
      </c>
      <c r="H333" s="17" t="s">
        <v>6835</v>
      </c>
      <c r="I333" s="17" t="s">
        <v>4237</v>
      </c>
      <c r="J333" s="17" t="s">
        <v>3544</v>
      </c>
      <c r="K333" s="17" t="s">
        <v>2836</v>
      </c>
      <c r="L333" s="17" t="s">
        <v>3545</v>
      </c>
      <c r="M333" s="17" t="s">
        <v>2669</v>
      </c>
      <c r="N333" s="17" t="s">
        <v>3675</v>
      </c>
      <c r="O333" s="17" t="s">
        <v>7635</v>
      </c>
      <c r="P333" s="17" t="s">
        <v>3676</v>
      </c>
      <c r="Q333" s="17" t="s">
        <v>2669</v>
      </c>
      <c r="R333" s="17" t="s">
        <v>3677</v>
      </c>
      <c r="S333" s="17" t="s">
        <v>7635</v>
      </c>
      <c r="T333" s="17" t="s">
        <v>3678</v>
      </c>
      <c r="U333" s="17"/>
      <c r="V333" s="17"/>
      <c r="W333" s="17"/>
      <c r="X333" s="17"/>
      <c r="Y333" s="17"/>
    </row>
    <row r="334" spans="1:25">
      <c r="A334" s="17" t="s">
        <v>3679</v>
      </c>
      <c r="B334" s="17" t="s">
        <v>3679</v>
      </c>
      <c r="C334" s="17" t="s">
        <v>3680</v>
      </c>
      <c r="D334" s="17" t="s">
        <v>2669</v>
      </c>
      <c r="E334" s="17" t="s">
        <v>3543</v>
      </c>
      <c r="F334" s="17" t="s">
        <v>3679</v>
      </c>
      <c r="G334" s="17" t="s">
        <v>2671</v>
      </c>
      <c r="H334" s="17" t="s">
        <v>4312</v>
      </c>
      <c r="I334" s="17" t="s">
        <v>4237</v>
      </c>
      <c r="J334" s="17" t="s">
        <v>3544</v>
      </c>
      <c r="K334" s="17" t="s">
        <v>2845</v>
      </c>
      <c r="L334" s="17" t="s">
        <v>3545</v>
      </c>
      <c r="M334" s="17" t="s">
        <v>2669</v>
      </c>
      <c r="N334" s="17" t="s">
        <v>3679</v>
      </c>
      <c r="O334" s="17" t="s">
        <v>7635</v>
      </c>
      <c r="P334" s="17" t="s">
        <v>3681</v>
      </c>
      <c r="Q334" s="17" t="s">
        <v>2669</v>
      </c>
      <c r="R334" s="17" t="s">
        <v>3682</v>
      </c>
      <c r="S334" s="17" t="s">
        <v>7635</v>
      </c>
      <c r="T334" s="17" t="s">
        <v>3683</v>
      </c>
      <c r="U334" s="17"/>
      <c r="V334" s="17"/>
      <c r="W334" s="17"/>
      <c r="X334" s="17"/>
      <c r="Y334" s="17"/>
    </row>
    <row r="335" spans="1:25">
      <c r="A335" s="17" t="s">
        <v>3684</v>
      </c>
      <c r="B335" s="17" t="s">
        <v>3684</v>
      </c>
      <c r="C335" s="17" t="s">
        <v>3680</v>
      </c>
      <c r="D335" s="17" t="s">
        <v>2669</v>
      </c>
      <c r="E335" s="17" t="s">
        <v>3543</v>
      </c>
      <c r="F335" s="17" t="s">
        <v>3684</v>
      </c>
      <c r="G335" s="17" t="s">
        <v>2671</v>
      </c>
      <c r="H335" s="17" t="s">
        <v>6835</v>
      </c>
      <c r="I335" s="17" t="s">
        <v>4237</v>
      </c>
      <c r="J335" s="17" t="s">
        <v>3544</v>
      </c>
      <c r="K335" s="17" t="s">
        <v>2845</v>
      </c>
      <c r="L335" s="17" t="s">
        <v>3545</v>
      </c>
      <c r="M335" s="17" t="s">
        <v>2669</v>
      </c>
      <c r="N335" s="17" t="s">
        <v>3684</v>
      </c>
      <c r="O335" s="17" t="s">
        <v>7635</v>
      </c>
      <c r="P335" s="17" t="s">
        <v>3685</v>
      </c>
      <c r="Q335" s="17" t="s">
        <v>2669</v>
      </c>
      <c r="R335" s="17" t="s">
        <v>3686</v>
      </c>
      <c r="S335" s="17" t="s">
        <v>7635</v>
      </c>
      <c r="T335" s="17" t="s">
        <v>3687</v>
      </c>
      <c r="U335" s="17"/>
      <c r="V335" s="17"/>
      <c r="W335" s="17"/>
      <c r="X335" s="17"/>
      <c r="Y335" s="17"/>
    </row>
    <row r="336" spans="1:25">
      <c r="A336" s="17" t="s">
        <v>3688</v>
      </c>
      <c r="B336" s="17" t="s">
        <v>3688</v>
      </c>
      <c r="C336" s="17" t="s">
        <v>3689</v>
      </c>
      <c r="D336" s="17" t="s">
        <v>2669</v>
      </c>
      <c r="E336" s="17" t="s">
        <v>3543</v>
      </c>
      <c r="F336" s="17" t="s">
        <v>3688</v>
      </c>
      <c r="G336" s="17" t="s">
        <v>2671</v>
      </c>
      <c r="H336" s="17" t="s">
        <v>4312</v>
      </c>
      <c r="I336" s="17" t="s">
        <v>4237</v>
      </c>
      <c r="J336" s="17" t="s">
        <v>3544</v>
      </c>
      <c r="K336" s="17" t="s">
        <v>2854</v>
      </c>
      <c r="L336" s="17" t="s">
        <v>3545</v>
      </c>
      <c r="M336" s="17" t="s">
        <v>2669</v>
      </c>
      <c r="N336" s="17" t="s">
        <v>3688</v>
      </c>
      <c r="O336" s="17" t="s">
        <v>7635</v>
      </c>
      <c r="P336" s="17" t="s">
        <v>3690</v>
      </c>
      <c r="Q336" s="17"/>
      <c r="R336" s="17"/>
      <c r="S336" s="17"/>
      <c r="T336" s="17"/>
      <c r="U336" s="17"/>
      <c r="V336" s="17"/>
      <c r="W336" s="17"/>
      <c r="X336" s="17"/>
      <c r="Y336" s="17"/>
    </row>
    <row r="337" spans="1:25">
      <c r="A337" s="17" t="s">
        <v>3691</v>
      </c>
      <c r="B337" s="17" t="s">
        <v>3691</v>
      </c>
      <c r="C337" s="17" t="s">
        <v>3689</v>
      </c>
      <c r="D337" s="17" t="s">
        <v>2669</v>
      </c>
      <c r="E337" s="17" t="s">
        <v>3543</v>
      </c>
      <c r="F337" s="17" t="s">
        <v>3691</v>
      </c>
      <c r="G337" s="17" t="s">
        <v>2671</v>
      </c>
      <c r="H337" s="17" t="s">
        <v>6835</v>
      </c>
      <c r="I337" s="17" t="s">
        <v>4237</v>
      </c>
      <c r="J337" s="17" t="s">
        <v>3544</v>
      </c>
      <c r="K337" s="17" t="s">
        <v>2854</v>
      </c>
      <c r="L337" s="17" t="s">
        <v>3545</v>
      </c>
      <c r="M337" s="17" t="s">
        <v>2669</v>
      </c>
      <c r="N337" s="17" t="s">
        <v>3691</v>
      </c>
      <c r="O337" s="17" t="s">
        <v>7635</v>
      </c>
      <c r="P337" s="17" t="s">
        <v>3692</v>
      </c>
      <c r="Q337" s="17" t="s">
        <v>2669</v>
      </c>
      <c r="R337" s="17" t="s">
        <v>3693</v>
      </c>
      <c r="S337" s="17" t="s">
        <v>7635</v>
      </c>
      <c r="T337" s="17" t="s">
        <v>3694</v>
      </c>
      <c r="U337" s="17"/>
      <c r="V337" s="17"/>
      <c r="W337" s="17"/>
      <c r="X337" s="17"/>
      <c r="Y337" s="17"/>
    </row>
    <row r="338" spans="1:25">
      <c r="A338" s="17" t="s">
        <v>3695</v>
      </c>
      <c r="B338" s="17" t="s">
        <v>3695</v>
      </c>
      <c r="C338" s="17" t="s">
        <v>3696</v>
      </c>
      <c r="D338" s="17" t="s">
        <v>2669</v>
      </c>
      <c r="E338" s="17" t="s">
        <v>3543</v>
      </c>
      <c r="F338" s="17" t="s">
        <v>3695</v>
      </c>
      <c r="G338" s="17" t="s">
        <v>2671</v>
      </c>
      <c r="H338" s="17" t="s">
        <v>4312</v>
      </c>
      <c r="I338" s="17" t="s">
        <v>4237</v>
      </c>
      <c r="J338" s="17" t="s">
        <v>3544</v>
      </c>
      <c r="K338" s="17" t="s">
        <v>2864</v>
      </c>
      <c r="L338" s="17" t="s">
        <v>3545</v>
      </c>
      <c r="M338" s="17" t="s">
        <v>2669</v>
      </c>
      <c r="N338" s="17" t="s">
        <v>3695</v>
      </c>
      <c r="O338" s="17" t="s">
        <v>7635</v>
      </c>
      <c r="P338" s="17" t="s">
        <v>3697</v>
      </c>
      <c r="Q338" s="17" t="s">
        <v>2669</v>
      </c>
      <c r="R338" s="17" t="s">
        <v>3698</v>
      </c>
      <c r="S338" s="17" t="s">
        <v>7635</v>
      </c>
      <c r="T338" s="17" t="s">
        <v>3699</v>
      </c>
      <c r="U338" s="17"/>
      <c r="V338" s="17"/>
      <c r="W338" s="17"/>
      <c r="X338" s="17"/>
      <c r="Y338" s="17"/>
    </row>
    <row r="339" spans="1:25">
      <c r="A339" s="17" t="s">
        <v>3700</v>
      </c>
      <c r="B339" s="17" t="s">
        <v>3700</v>
      </c>
      <c r="C339" s="17" t="s">
        <v>3696</v>
      </c>
      <c r="D339" s="17" t="s">
        <v>2669</v>
      </c>
      <c r="E339" s="17" t="s">
        <v>3543</v>
      </c>
      <c r="F339" s="17" t="s">
        <v>3700</v>
      </c>
      <c r="G339" s="17" t="s">
        <v>2671</v>
      </c>
      <c r="H339" s="17" t="s">
        <v>6835</v>
      </c>
      <c r="I339" s="17" t="s">
        <v>4237</v>
      </c>
      <c r="J339" s="17" t="s">
        <v>3544</v>
      </c>
      <c r="K339" s="17" t="s">
        <v>2864</v>
      </c>
      <c r="L339" s="17" t="s">
        <v>3545</v>
      </c>
      <c r="M339" s="17" t="s">
        <v>2669</v>
      </c>
      <c r="N339" s="17" t="s">
        <v>3700</v>
      </c>
      <c r="O339" s="17" t="s">
        <v>7635</v>
      </c>
      <c r="P339" s="17" t="s">
        <v>3701</v>
      </c>
      <c r="Q339" s="17" t="s">
        <v>2669</v>
      </c>
      <c r="R339" s="17" t="s">
        <v>3702</v>
      </c>
      <c r="S339" s="17" t="s">
        <v>7635</v>
      </c>
      <c r="T339" s="17" t="s">
        <v>3703</v>
      </c>
      <c r="U339" s="17"/>
      <c r="V339" s="17"/>
      <c r="W339" s="17"/>
      <c r="X339" s="17"/>
      <c r="Y339" s="17"/>
    </row>
    <row r="340" spans="1:25">
      <c r="A340" s="17" t="s">
        <v>3704</v>
      </c>
      <c r="B340" s="17" t="s">
        <v>3704</v>
      </c>
      <c r="C340" s="17" t="s">
        <v>3705</v>
      </c>
      <c r="D340" s="17" t="s">
        <v>2669</v>
      </c>
      <c r="E340" s="17" t="s">
        <v>3543</v>
      </c>
      <c r="F340" s="17" t="s">
        <v>3704</v>
      </c>
      <c r="G340" s="17" t="s">
        <v>2671</v>
      </c>
      <c r="H340" s="17" t="s">
        <v>4312</v>
      </c>
      <c r="I340" s="17" t="s">
        <v>4237</v>
      </c>
      <c r="J340" s="17" t="s">
        <v>3544</v>
      </c>
      <c r="K340" s="17" t="s">
        <v>2873</v>
      </c>
      <c r="L340" s="17" t="s">
        <v>3545</v>
      </c>
      <c r="M340" s="17" t="s">
        <v>2669</v>
      </c>
      <c r="N340" s="17" t="s">
        <v>3704</v>
      </c>
      <c r="O340" s="17" t="s">
        <v>7635</v>
      </c>
      <c r="P340" s="17" t="s">
        <v>3706</v>
      </c>
      <c r="Q340" s="17" t="s">
        <v>2669</v>
      </c>
      <c r="R340" s="17" t="s">
        <v>3707</v>
      </c>
      <c r="S340" s="17" t="s">
        <v>7635</v>
      </c>
      <c r="T340" s="17" t="s">
        <v>3708</v>
      </c>
      <c r="U340" s="17"/>
      <c r="V340" s="17"/>
      <c r="W340" s="17"/>
      <c r="X340" s="17"/>
      <c r="Y340" s="17"/>
    </row>
    <row r="341" spans="1:25">
      <c r="A341" s="17" t="s">
        <v>3709</v>
      </c>
      <c r="B341" s="17" t="s">
        <v>3709</v>
      </c>
      <c r="C341" s="17" t="s">
        <v>3705</v>
      </c>
      <c r="D341" s="17" t="s">
        <v>2669</v>
      </c>
      <c r="E341" s="17" t="s">
        <v>3543</v>
      </c>
      <c r="F341" s="17" t="s">
        <v>3709</v>
      </c>
      <c r="G341" s="17" t="s">
        <v>2671</v>
      </c>
      <c r="H341" s="17" t="s">
        <v>6835</v>
      </c>
      <c r="I341" s="17" t="s">
        <v>4237</v>
      </c>
      <c r="J341" s="17" t="s">
        <v>3544</v>
      </c>
      <c r="K341" s="17" t="s">
        <v>2873</v>
      </c>
      <c r="L341" s="17" t="s">
        <v>3545</v>
      </c>
      <c r="M341" s="17" t="s">
        <v>2669</v>
      </c>
      <c r="N341" s="17" t="s">
        <v>3709</v>
      </c>
      <c r="O341" s="17" t="s">
        <v>7635</v>
      </c>
      <c r="P341" s="17" t="s">
        <v>3710</v>
      </c>
      <c r="Q341" s="17" t="s">
        <v>2669</v>
      </c>
      <c r="R341" s="17" t="s">
        <v>3711</v>
      </c>
      <c r="S341" s="17" t="s">
        <v>7635</v>
      </c>
      <c r="T341" s="17" t="s">
        <v>3712</v>
      </c>
      <c r="U341" s="17"/>
      <c r="V341" s="17"/>
      <c r="W341" s="17"/>
      <c r="X341" s="17"/>
      <c r="Y341" s="17"/>
    </row>
    <row r="342" spans="1:25">
      <c r="A342" s="17" t="s">
        <v>3713</v>
      </c>
      <c r="B342" s="17" t="s">
        <v>3713</v>
      </c>
      <c r="C342" s="17" t="s">
        <v>3714</v>
      </c>
      <c r="D342" s="17" t="s">
        <v>2669</v>
      </c>
      <c r="E342" s="17" t="s">
        <v>3543</v>
      </c>
      <c r="F342" s="17" t="s">
        <v>3713</v>
      </c>
      <c r="G342" s="17" t="s">
        <v>2671</v>
      </c>
      <c r="H342" s="17" t="s">
        <v>4312</v>
      </c>
      <c r="I342" s="17" t="s">
        <v>4237</v>
      </c>
      <c r="J342" s="17" t="s">
        <v>3544</v>
      </c>
      <c r="K342" s="17" t="s">
        <v>2882</v>
      </c>
      <c r="L342" s="17" t="s">
        <v>3545</v>
      </c>
      <c r="M342" s="17" t="s">
        <v>2669</v>
      </c>
      <c r="N342" s="17" t="s">
        <v>3713</v>
      </c>
      <c r="O342" s="17" t="s">
        <v>7635</v>
      </c>
      <c r="P342" s="17" t="s">
        <v>3715</v>
      </c>
      <c r="Q342" s="17"/>
      <c r="R342" s="17"/>
      <c r="S342" s="17"/>
      <c r="T342" s="17"/>
      <c r="U342" s="17"/>
      <c r="V342" s="17"/>
      <c r="W342" s="17"/>
      <c r="X342" s="17"/>
      <c r="Y342" s="17"/>
    </row>
    <row r="343" spans="1:25">
      <c r="A343" s="17" t="s">
        <v>3716</v>
      </c>
      <c r="B343" s="17" t="s">
        <v>3716</v>
      </c>
      <c r="C343" s="17" t="s">
        <v>3714</v>
      </c>
      <c r="D343" s="17" t="s">
        <v>2669</v>
      </c>
      <c r="E343" s="17" t="s">
        <v>3543</v>
      </c>
      <c r="F343" s="17" t="s">
        <v>3716</v>
      </c>
      <c r="G343" s="17" t="s">
        <v>2671</v>
      </c>
      <c r="H343" s="17" t="s">
        <v>6835</v>
      </c>
      <c r="I343" s="17" t="s">
        <v>4237</v>
      </c>
      <c r="J343" s="17" t="s">
        <v>3544</v>
      </c>
      <c r="K343" s="17" t="s">
        <v>2882</v>
      </c>
      <c r="L343" s="17" t="s">
        <v>3545</v>
      </c>
      <c r="M343" s="17" t="s">
        <v>2669</v>
      </c>
      <c r="N343" s="17" t="s">
        <v>3716</v>
      </c>
      <c r="O343" s="17" t="s">
        <v>7635</v>
      </c>
      <c r="P343" s="17" t="s">
        <v>3717</v>
      </c>
      <c r="Q343" s="17"/>
      <c r="R343" s="17"/>
      <c r="S343" s="17"/>
      <c r="T343" s="17"/>
      <c r="U343" s="17"/>
      <c r="V343" s="17"/>
      <c r="W343" s="17"/>
      <c r="X343" s="17"/>
      <c r="Y343" s="17"/>
    </row>
    <row r="344" spans="1:25">
      <c r="A344" s="17" t="s">
        <v>3718</v>
      </c>
      <c r="B344" s="17" t="s">
        <v>3718</v>
      </c>
      <c r="C344" s="17" t="s">
        <v>3719</v>
      </c>
      <c r="D344" s="17" t="s">
        <v>2669</v>
      </c>
      <c r="E344" s="17" t="s">
        <v>3543</v>
      </c>
      <c r="F344" s="17" t="s">
        <v>3718</v>
      </c>
      <c r="G344" s="17" t="s">
        <v>2671</v>
      </c>
      <c r="H344" s="17" t="s">
        <v>4312</v>
      </c>
      <c r="I344" s="17" t="s">
        <v>4237</v>
      </c>
      <c r="J344" s="17" t="s">
        <v>3544</v>
      </c>
      <c r="K344" s="17" t="s">
        <v>2889</v>
      </c>
      <c r="L344" s="17" t="s">
        <v>3545</v>
      </c>
      <c r="M344" s="17" t="s">
        <v>2669</v>
      </c>
      <c r="N344" s="17" t="s">
        <v>3718</v>
      </c>
      <c r="O344" s="17" t="s">
        <v>7635</v>
      </c>
      <c r="P344" s="17" t="s">
        <v>3720</v>
      </c>
      <c r="Q344" s="17"/>
      <c r="R344" s="17"/>
      <c r="S344" s="17"/>
      <c r="T344" s="17"/>
      <c r="U344" s="17"/>
      <c r="V344" s="17"/>
      <c r="W344" s="17"/>
      <c r="X344" s="17"/>
      <c r="Y344" s="17"/>
    </row>
    <row r="345" spans="1:25">
      <c r="A345" s="17" t="s">
        <v>3721</v>
      </c>
      <c r="B345" s="17" t="s">
        <v>3721</v>
      </c>
      <c r="C345" s="17" t="s">
        <v>3719</v>
      </c>
      <c r="D345" s="17" t="s">
        <v>2669</v>
      </c>
      <c r="E345" s="17" t="s">
        <v>3543</v>
      </c>
      <c r="F345" s="17" t="s">
        <v>3721</v>
      </c>
      <c r="G345" s="17" t="s">
        <v>2671</v>
      </c>
      <c r="H345" s="17" t="s">
        <v>6835</v>
      </c>
      <c r="I345" s="17" t="s">
        <v>4237</v>
      </c>
      <c r="J345" s="17" t="s">
        <v>3544</v>
      </c>
      <c r="K345" s="17" t="s">
        <v>2889</v>
      </c>
      <c r="L345" s="17" t="s">
        <v>3545</v>
      </c>
      <c r="M345" s="17" t="s">
        <v>2669</v>
      </c>
      <c r="N345" s="17" t="s">
        <v>3721</v>
      </c>
      <c r="O345" s="17" t="s">
        <v>7635</v>
      </c>
      <c r="P345" s="17" t="s">
        <v>3722</v>
      </c>
      <c r="Q345" s="17"/>
      <c r="R345" s="17"/>
      <c r="S345" s="17"/>
      <c r="T345" s="17"/>
      <c r="U345" s="17"/>
      <c r="V345" s="17"/>
      <c r="W345" s="17"/>
      <c r="X345" s="17"/>
      <c r="Y345" s="17"/>
    </row>
    <row r="346" spans="1:25">
      <c r="A346" s="17" t="s">
        <v>3723</v>
      </c>
      <c r="B346" s="17" t="s">
        <v>3723</v>
      </c>
      <c r="C346" s="17" t="s">
        <v>3724</v>
      </c>
      <c r="D346" s="17" t="s">
        <v>2669</v>
      </c>
      <c r="E346" s="17" t="s">
        <v>3543</v>
      </c>
      <c r="F346" s="17" t="s">
        <v>3723</v>
      </c>
      <c r="G346" s="17" t="s">
        <v>2671</v>
      </c>
      <c r="H346" s="17" t="s">
        <v>4312</v>
      </c>
      <c r="I346" s="17" t="s">
        <v>4237</v>
      </c>
      <c r="J346" s="17" t="s">
        <v>3544</v>
      </c>
      <c r="K346" s="17" t="s">
        <v>2893</v>
      </c>
      <c r="L346" s="17" t="s">
        <v>3545</v>
      </c>
      <c r="M346" s="17" t="s">
        <v>2669</v>
      </c>
      <c r="N346" s="17" t="s">
        <v>3723</v>
      </c>
      <c r="O346" s="17" t="s">
        <v>7635</v>
      </c>
      <c r="P346" s="17" t="s">
        <v>3725</v>
      </c>
      <c r="Q346" s="17"/>
      <c r="R346" s="17"/>
      <c r="S346" s="17"/>
      <c r="T346" s="17"/>
      <c r="U346" s="17"/>
      <c r="V346" s="17"/>
      <c r="W346" s="17"/>
      <c r="X346" s="17"/>
      <c r="Y346" s="17"/>
    </row>
    <row r="347" spans="1:25">
      <c r="A347" s="17" t="s">
        <v>3726</v>
      </c>
      <c r="B347" s="17" t="s">
        <v>3726</v>
      </c>
      <c r="C347" s="17" t="s">
        <v>3724</v>
      </c>
      <c r="D347" s="17" t="s">
        <v>2669</v>
      </c>
      <c r="E347" s="17" t="s">
        <v>3543</v>
      </c>
      <c r="F347" s="17" t="s">
        <v>3726</v>
      </c>
      <c r="G347" s="17" t="s">
        <v>2671</v>
      </c>
      <c r="H347" s="17" t="s">
        <v>6835</v>
      </c>
      <c r="I347" s="17" t="s">
        <v>4237</v>
      </c>
      <c r="J347" s="17" t="s">
        <v>3544</v>
      </c>
      <c r="K347" s="17" t="s">
        <v>2893</v>
      </c>
      <c r="L347" s="17" t="s">
        <v>3545</v>
      </c>
      <c r="M347" s="17" t="s">
        <v>2669</v>
      </c>
      <c r="N347" s="17" t="s">
        <v>3726</v>
      </c>
      <c r="O347" s="17" t="s">
        <v>7635</v>
      </c>
      <c r="P347" s="17" t="s">
        <v>3727</v>
      </c>
      <c r="Q347" s="17" t="s">
        <v>2669</v>
      </c>
      <c r="R347" s="17" t="s">
        <v>3728</v>
      </c>
      <c r="S347" s="17" t="s">
        <v>7635</v>
      </c>
      <c r="T347" s="17" t="s">
        <v>3729</v>
      </c>
      <c r="U347" s="17"/>
      <c r="V347" s="17"/>
      <c r="W347" s="17"/>
      <c r="X347" s="17"/>
      <c r="Y347" s="17"/>
    </row>
    <row r="348" spans="1:25">
      <c r="A348" s="17" t="s">
        <v>3730</v>
      </c>
      <c r="B348" s="17" t="s">
        <v>3730</v>
      </c>
      <c r="C348" s="17" t="s">
        <v>3731</v>
      </c>
      <c r="D348" s="17" t="s">
        <v>2669</v>
      </c>
      <c r="E348" s="17" t="s">
        <v>3543</v>
      </c>
      <c r="F348" s="17" t="s">
        <v>3730</v>
      </c>
      <c r="G348" s="17" t="s">
        <v>2671</v>
      </c>
      <c r="H348" s="17" t="s">
        <v>4312</v>
      </c>
      <c r="I348" s="17" t="s">
        <v>4237</v>
      </c>
      <c r="J348" s="17" t="s">
        <v>3544</v>
      </c>
      <c r="K348" s="17" t="s">
        <v>2902</v>
      </c>
      <c r="L348" s="17" t="s">
        <v>3545</v>
      </c>
      <c r="M348" s="17" t="s">
        <v>2669</v>
      </c>
      <c r="N348" s="17" t="s">
        <v>3730</v>
      </c>
      <c r="O348" s="17" t="s">
        <v>7635</v>
      </c>
      <c r="P348" s="17" t="s">
        <v>3732</v>
      </c>
      <c r="Q348" s="17"/>
      <c r="R348" s="17"/>
      <c r="S348" s="17"/>
      <c r="T348" s="17"/>
      <c r="U348" s="17"/>
      <c r="V348" s="17"/>
      <c r="W348" s="17"/>
      <c r="X348" s="17"/>
      <c r="Y348" s="17"/>
    </row>
    <row r="349" spans="1:25">
      <c r="A349" s="17" t="s">
        <v>3733</v>
      </c>
      <c r="B349" s="17" t="s">
        <v>3733</v>
      </c>
      <c r="C349" s="17" t="s">
        <v>3731</v>
      </c>
      <c r="D349" s="17" t="s">
        <v>2669</v>
      </c>
      <c r="E349" s="17" t="s">
        <v>3543</v>
      </c>
      <c r="F349" s="17" t="s">
        <v>3733</v>
      </c>
      <c r="G349" s="17" t="s">
        <v>2671</v>
      </c>
      <c r="H349" s="17" t="s">
        <v>6835</v>
      </c>
      <c r="I349" s="17" t="s">
        <v>4237</v>
      </c>
      <c r="J349" s="17" t="s">
        <v>3544</v>
      </c>
      <c r="K349" s="17" t="s">
        <v>2902</v>
      </c>
      <c r="L349" s="17" t="s">
        <v>3545</v>
      </c>
      <c r="M349" s="17" t="s">
        <v>2669</v>
      </c>
      <c r="N349" s="17" t="s">
        <v>3733</v>
      </c>
      <c r="O349" s="17" t="s">
        <v>7635</v>
      </c>
      <c r="P349" s="17" t="s">
        <v>3734</v>
      </c>
      <c r="Q349" s="17" t="s">
        <v>2669</v>
      </c>
      <c r="R349" s="17" t="s">
        <v>3735</v>
      </c>
      <c r="S349" s="17" t="s">
        <v>7635</v>
      </c>
      <c r="T349" s="17" t="s">
        <v>3736</v>
      </c>
      <c r="U349" s="17"/>
      <c r="V349" s="17"/>
      <c r="W349" s="17"/>
      <c r="X349" s="17"/>
      <c r="Y349" s="17"/>
    </row>
    <row r="350" spans="1:25">
      <c r="A350" s="17" t="s">
        <v>3737</v>
      </c>
      <c r="B350" s="17" t="s">
        <v>3737</v>
      </c>
      <c r="C350" s="17" t="s">
        <v>3738</v>
      </c>
      <c r="D350" s="17" t="s">
        <v>2669</v>
      </c>
      <c r="E350" s="17" t="s">
        <v>3543</v>
      </c>
      <c r="F350" s="17" t="s">
        <v>3737</v>
      </c>
      <c r="G350" s="17" t="s">
        <v>2671</v>
      </c>
      <c r="H350" s="17" t="s">
        <v>4312</v>
      </c>
      <c r="I350" s="17" t="s">
        <v>4237</v>
      </c>
      <c r="J350" s="17" t="s">
        <v>3544</v>
      </c>
      <c r="K350" s="17" t="s">
        <v>2909</v>
      </c>
      <c r="L350" s="17" t="s">
        <v>3545</v>
      </c>
      <c r="M350" s="17" t="s">
        <v>2669</v>
      </c>
      <c r="N350" s="17" t="s">
        <v>3737</v>
      </c>
      <c r="O350" s="17" t="s">
        <v>7635</v>
      </c>
      <c r="P350" s="17" t="s">
        <v>3739</v>
      </c>
      <c r="Q350" s="17"/>
      <c r="R350" s="17"/>
      <c r="S350" s="17"/>
      <c r="T350" s="17"/>
      <c r="U350" s="17"/>
      <c r="V350" s="17"/>
      <c r="W350" s="17"/>
      <c r="X350" s="17"/>
      <c r="Y350" s="17"/>
    </row>
    <row r="351" spans="1:25">
      <c r="A351" s="17" t="s">
        <v>3740</v>
      </c>
      <c r="B351" s="17" t="s">
        <v>3740</v>
      </c>
      <c r="C351" s="17" t="s">
        <v>3738</v>
      </c>
      <c r="D351" s="17" t="s">
        <v>2669</v>
      </c>
      <c r="E351" s="17" t="s">
        <v>3543</v>
      </c>
      <c r="F351" s="17" t="s">
        <v>3740</v>
      </c>
      <c r="G351" s="17" t="s">
        <v>2671</v>
      </c>
      <c r="H351" s="17" t="s">
        <v>6835</v>
      </c>
      <c r="I351" s="17" t="s">
        <v>4237</v>
      </c>
      <c r="J351" s="17" t="s">
        <v>3544</v>
      </c>
      <c r="K351" s="17" t="s">
        <v>2909</v>
      </c>
      <c r="L351" s="17" t="s">
        <v>3545</v>
      </c>
      <c r="M351" s="17" t="s">
        <v>2669</v>
      </c>
      <c r="N351" s="17" t="s">
        <v>3740</v>
      </c>
      <c r="O351" s="17" t="s">
        <v>7635</v>
      </c>
      <c r="P351" s="17" t="s">
        <v>3741</v>
      </c>
      <c r="Q351" s="17"/>
      <c r="R351" s="17"/>
      <c r="S351" s="17"/>
      <c r="T351" s="17"/>
      <c r="U351" s="17"/>
      <c r="V351" s="17"/>
      <c r="W351" s="17"/>
      <c r="X351" s="17"/>
      <c r="Y351" s="17"/>
    </row>
    <row r="352" spans="1:25">
      <c r="A352" s="17" t="s">
        <v>3742</v>
      </c>
      <c r="B352" s="17" t="s">
        <v>3742</v>
      </c>
      <c r="C352" s="17" t="s">
        <v>3743</v>
      </c>
      <c r="D352" s="17" t="s">
        <v>2669</v>
      </c>
      <c r="E352" s="17" t="s">
        <v>3543</v>
      </c>
      <c r="F352" s="17" t="s">
        <v>3742</v>
      </c>
      <c r="G352" s="17" t="s">
        <v>2671</v>
      </c>
      <c r="H352" s="17" t="s">
        <v>4312</v>
      </c>
      <c r="I352" s="17" t="s">
        <v>4237</v>
      </c>
      <c r="J352" s="17" t="s">
        <v>3544</v>
      </c>
      <c r="K352" s="17" t="s">
        <v>2916</v>
      </c>
      <c r="L352" s="17" t="s">
        <v>3545</v>
      </c>
      <c r="M352" s="17" t="s">
        <v>2669</v>
      </c>
      <c r="N352" s="17" t="s">
        <v>3742</v>
      </c>
      <c r="O352" s="17" t="s">
        <v>7635</v>
      </c>
      <c r="P352" s="17" t="s">
        <v>3744</v>
      </c>
      <c r="Q352" s="17"/>
      <c r="R352" s="17"/>
      <c r="S352" s="17"/>
      <c r="T352" s="17"/>
      <c r="U352" s="17"/>
      <c r="V352" s="17"/>
      <c r="W352" s="17"/>
      <c r="X352" s="17"/>
      <c r="Y352" s="17"/>
    </row>
    <row r="353" spans="1:25">
      <c r="A353" s="17" t="s">
        <v>3745</v>
      </c>
      <c r="B353" s="17" t="s">
        <v>3745</v>
      </c>
      <c r="C353" s="17" t="s">
        <v>3743</v>
      </c>
      <c r="D353" s="17" t="s">
        <v>2669</v>
      </c>
      <c r="E353" s="17" t="s">
        <v>3543</v>
      </c>
      <c r="F353" s="17" t="s">
        <v>3745</v>
      </c>
      <c r="G353" s="17" t="s">
        <v>2671</v>
      </c>
      <c r="H353" s="17" t="s">
        <v>6835</v>
      </c>
      <c r="I353" s="17" t="s">
        <v>4237</v>
      </c>
      <c r="J353" s="17" t="s">
        <v>3544</v>
      </c>
      <c r="K353" s="17" t="s">
        <v>2916</v>
      </c>
      <c r="L353" s="17" t="s">
        <v>3545</v>
      </c>
      <c r="M353" s="17" t="s">
        <v>2669</v>
      </c>
      <c r="N353" s="17" t="s">
        <v>3745</v>
      </c>
      <c r="O353" s="17" t="s">
        <v>7635</v>
      </c>
      <c r="P353" s="17" t="s">
        <v>3746</v>
      </c>
      <c r="Q353" s="17" t="s">
        <v>2669</v>
      </c>
      <c r="R353" s="17" t="s">
        <v>3747</v>
      </c>
      <c r="S353" s="17" t="s">
        <v>7635</v>
      </c>
      <c r="T353" s="17" t="s">
        <v>3748</v>
      </c>
      <c r="U353" s="17"/>
      <c r="V353" s="17"/>
      <c r="W353" s="17"/>
      <c r="X353" s="17"/>
      <c r="Y353" s="17"/>
    </row>
    <row r="354" spans="1:25">
      <c r="A354" s="17" t="s">
        <v>3749</v>
      </c>
      <c r="B354" s="17" t="s">
        <v>3749</v>
      </c>
      <c r="C354" s="17" t="s">
        <v>3750</v>
      </c>
      <c r="D354" s="17" t="s">
        <v>2669</v>
      </c>
      <c r="E354" s="17" t="s">
        <v>3543</v>
      </c>
      <c r="F354" s="17" t="s">
        <v>3749</v>
      </c>
      <c r="G354" s="17" t="s">
        <v>2671</v>
      </c>
      <c r="H354" s="17" t="s">
        <v>4312</v>
      </c>
      <c r="I354" s="17" t="s">
        <v>4237</v>
      </c>
      <c r="J354" s="17" t="s">
        <v>3544</v>
      </c>
      <c r="K354" s="17" t="s">
        <v>2923</v>
      </c>
      <c r="L354" s="17" t="s">
        <v>3545</v>
      </c>
      <c r="M354" s="17" t="s">
        <v>2669</v>
      </c>
      <c r="N354" s="17" t="s">
        <v>3749</v>
      </c>
      <c r="O354" s="17" t="s">
        <v>7635</v>
      </c>
      <c r="P354" s="17" t="s">
        <v>3751</v>
      </c>
      <c r="Q354" s="17"/>
      <c r="R354" s="17"/>
      <c r="S354" s="17"/>
      <c r="T354" s="17"/>
      <c r="U354" s="17"/>
      <c r="V354" s="17"/>
      <c r="W354" s="17"/>
      <c r="X354" s="17"/>
      <c r="Y354" s="17"/>
    </row>
    <row r="355" spans="1:25">
      <c r="A355" s="17" t="s">
        <v>3752</v>
      </c>
      <c r="B355" s="17" t="s">
        <v>3752</v>
      </c>
      <c r="C355" s="17" t="s">
        <v>3750</v>
      </c>
      <c r="D355" s="17" t="s">
        <v>2669</v>
      </c>
      <c r="E355" s="17" t="s">
        <v>3543</v>
      </c>
      <c r="F355" s="17" t="s">
        <v>3752</v>
      </c>
      <c r="G355" s="17" t="s">
        <v>2671</v>
      </c>
      <c r="H355" s="17" t="s">
        <v>6835</v>
      </c>
      <c r="I355" s="17" t="s">
        <v>4237</v>
      </c>
      <c r="J355" s="17" t="s">
        <v>3544</v>
      </c>
      <c r="K355" s="17" t="s">
        <v>2923</v>
      </c>
      <c r="L355" s="17" t="s">
        <v>3545</v>
      </c>
      <c r="M355" s="17" t="s">
        <v>2669</v>
      </c>
      <c r="N355" s="17" t="s">
        <v>3752</v>
      </c>
      <c r="O355" s="17" t="s">
        <v>7635</v>
      </c>
      <c r="P355" s="17" t="s">
        <v>3753</v>
      </c>
      <c r="Q355" s="17"/>
      <c r="R355" s="17"/>
      <c r="S355" s="17"/>
      <c r="T355" s="17"/>
      <c r="U355" s="17"/>
      <c r="V355" s="17"/>
      <c r="W355" s="17"/>
      <c r="X355" s="17"/>
      <c r="Y355" s="17"/>
    </row>
    <row r="356" spans="1:25">
      <c r="A356" s="17" t="s">
        <v>3754</v>
      </c>
      <c r="B356" s="17" t="s">
        <v>3754</v>
      </c>
      <c r="C356" s="17" t="s">
        <v>3755</v>
      </c>
      <c r="D356" s="17" t="s">
        <v>2669</v>
      </c>
      <c r="E356" s="17" t="s">
        <v>3543</v>
      </c>
      <c r="F356" s="17" t="s">
        <v>3754</v>
      </c>
      <c r="G356" s="17" t="s">
        <v>2671</v>
      </c>
      <c r="H356" s="17" t="s">
        <v>4312</v>
      </c>
      <c r="I356" s="17" t="s">
        <v>4237</v>
      </c>
      <c r="J356" s="17" t="s">
        <v>3544</v>
      </c>
      <c r="K356" s="17" t="s">
        <v>2930</v>
      </c>
      <c r="L356" s="17" t="s">
        <v>3545</v>
      </c>
      <c r="M356" s="17" t="s">
        <v>2669</v>
      </c>
      <c r="N356" s="17" t="s">
        <v>3754</v>
      </c>
      <c r="O356" s="17" t="s">
        <v>7635</v>
      </c>
      <c r="P356" s="17" t="s">
        <v>3756</v>
      </c>
      <c r="Q356" s="17"/>
      <c r="R356" s="17"/>
      <c r="S356" s="17"/>
      <c r="T356" s="17"/>
      <c r="U356" s="17"/>
      <c r="V356" s="17"/>
      <c r="W356" s="17"/>
      <c r="X356" s="17"/>
      <c r="Y356" s="17"/>
    </row>
    <row r="357" spans="1:25">
      <c r="A357" s="17" t="s">
        <v>3757</v>
      </c>
      <c r="B357" s="17" t="s">
        <v>3757</v>
      </c>
      <c r="C357" s="17" t="s">
        <v>3755</v>
      </c>
      <c r="D357" s="17" t="s">
        <v>2669</v>
      </c>
      <c r="E357" s="17" t="s">
        <v>3543</v>
      </c>
      <c r="F357" s="17" t="s">
        <v>3757</v>
      </c>
      <c r="G357" s="17" t="s">
        <v>2671</v>
      </c>
      <c r="H357" s="17" t="s">
        <v>6835</v>
      </c>
      <c r="I357" s="17" t="s">
        <v>4237</v>
      </c>
      <c r="J357" s="17" t="s">
        <v>3544</v>
      </c>
      <c r="K357" s="17" t="s">
        <v>2930</v>
      </c>
      <c r="L357" s="17" t="s">
        <v>3545</v>
      </c>
      <c r="M357" s="17" t="s">
        <v>2669</v>
      </c>
      <c r="N357" s="17" t="s">
        <v>3757</v>
      </c>
      <c r="O357" s="17" t="s">
        <v>7635</v>
      </c>
      <c r="P357" s="17" t="s">
        <v>3758</v>
      </c>
      <c r="Q357" s="17"/>
      <c r="R357" s="17"/>
      <c r="S357" s="17"/>
      <c r="T357" s="17"/>
      <c r="U357" s="17"/>
      <c r="V357" s="17"/>
      <c r="W357" s="17"/>
      <c r="X357" s="17"/>
      <c r="Y357" s="17"/>
    </row>
    <row r="358" spans="1:25">
      <c r="A358" s="17" t="s">
        <v>3759</v>
      </c>
      <c r="B358" s="17" t="s">
        <v>3759</v>
      </c>
      <c r="C358" s="17" t="s">
        <v>3760</v>
      </c>
      <c r="D358" s="17" t="s">
        <v>2669</v>
      </c>
      <c r="E358" s="17" t="s">
        <v>3543</v>
      </c>
      <c r="F358" s="17" t="s">
        <v>3759</v>
      </c>
      <c r="G358" s="17" t="s">
        <v>2671</v>
      </c>
      <c r="H358" s="17" t="s">
        <v>4312</v>
      </c>
      <c r="I358" s="17" t="s">
        <v>4237</v>
      </c>
      <c r="J358" s="17" t="s">
        <v>3544</v>
      </c>
      <c r="K358" s="17" t="s">
        <v>2934</v>
      </c>
      <c r="L358" s="17" t="s">
        <v>3545</v>
      </c>
      <c r="M358" s="17" t="s">
        <v>2669</v>
      </c>
      <c r="N358" s="17" t="s">
        <v>3759</v>
      </c>
      <c r="O358" s="17" t="s">
        <v>7635</v>
      </c>
      <c r="P358" s="17" t="s">
        <v>3761</v>
      </c>
      <c r="Q358" s="17"/>
      <c r="R358" s="17"/>
      <c r="S358" s="17"/>
      <c r="T358" s="17"/>
      <c r="U358" s="17"/>
      <c r="V358" s="17"/>
      <c r="W358" s="17"/>
      <c r="X358" s="17"/>
      <c r="Y358" s="17"/>
    </row>
    <row r="359" spans="1:25">
      <c r="A359" s="17" t="s">
        <v>3762</v>
      </c>
      <c r="B359" s="17" t="s">
        <v>3762</v>
      </c>
      <c r="C359" s="17" t="s">
        <v>3760</v>
      </c>
      <c r="D359" s="17" t="s">
        <v>2669</v>
      </c>
      <c r="E359" s="17" t="s">
        <v>3543</v>
      </c>
      <c r="F359" s="17" t="s">
        <v>3762</v>
      </c>
      <c r="G359" s="17" t="s">
        <v>2671</v>
      </c>
      <c r="H359" s="17" t="s">
        <v>6835</v>
      </c>
      <c r="I359" s="17" t="s">
        <v>4237</v>
      </c>
      <c r="J359" s="17" t="s">
        <v>3544</v>
      </c>
      <c r="K359" s="17" t="s">
        <v>2934</v>
      </c>
      <c r="L359" s="17" t="s">
        <v>3545</v>
      </c>
      <c r="M359" s="17" t="s">
        <v>2669</v>
      </c>
      <c r="N359" s="17" t="s">
        <v>3762</v>
      </c>
      <c r="O359" s="17" t="s">
        <v>7635</v>
      </c>
      <c r="P359" s="17" t="s">
        <v>3763</v>
      </c>
      <c r="Q359" s="17"/>
      <c r="R359" s="17"/>
      <c r="S359" s="17"/>
      <c r="T359" s="17"/>
      <c r="U359" s="17"/>
      <c r="V359" s="17"/>
      <c r="W359" s="17"/>
      <c r="X359" s="17"/>
      <c r="Y359" s="17"/>
    </row>
    <row r="360" spans="1:25">
      <c r="A360" s="17" t="s">
        <v>3764</v>
      </c>
      <c r="B360" s="17" t="s">
        <v>3764</v>
      </c>
      <c r="C360" s="17" t="s">
        <v>3765</v>
      </c>
      <c r="D360" s="17" t="s">
        <v>2669</v>
      </c>
      <c r="E360" s="17" t="s">
        <v>3543</v>
      </c>
      <c r="F360" s="17" t="s">
        <v>3764</v>
      </c>
      <c r="G360" s="17" t="s">
        <v>2671</v>
      </c>
      <c r="H360" s="17" t="s">
        <v>4312</v>
      </c>
      <c r="I360" s="17" t="s">
        <v>4237</v>
      </c>
      <c r="J360" s="17" t="s">
        <v>3544</v>
      </c>
      <c r="K360" s="17" t="s">
        <v>2938</v>
      </c>
      <c r="L360" s="17" t="s">
        <v>3545</v>
      </c>
      <c r="M360" s="17" t="s">
        <v>2669</v>
      </c>
      <c r="N360" s="17" t="s">
        <v>3764</v>
      </c>
      <c r="O360" s="17" t="s">
        <v>7635</v>
      </c>
      <c r="P360" s="17" t="s">
        <v>3766</v>
      </c>
      <c r="Q360" s="17"/>
      <c r="R360" s="17"/>
      <c r="S360" s="17"/>
      <c r="T360" s="17"/>
      <c r="U360" s="17"/>
      <c r="V360" s="17"/>
      <c r="W360" s="17"/>
      <c r="X360" s="17"/>
      <c r="Y360" s="17"/>
    </row>
    <row r="361" spans="1:25">
      <c r="A361" s="17" t="s">
        <v>3767</v>
      </c>
      <c r="B361" s="17" t="s">
        <v>3767</v>
      </c>
      <c r="C361" s="17" t="s">
        <v>3765</v>
      </c>
      <c r="D361" s="17" t="s">
        <v>2669</v>
      </c>
      <c r="E361" s="17" t="s">
        <v>3543</v>
      </c>
      <c r="F361" s="17" t="s">
        <v>3767</v>
      </c>
      <c r="G361" s="17" t="s">
        <v>2671</v>
      </c>
      <c r="H361" s="17" t="s">
        <v>6835</v>
      </c>
      <c r="I361" s="17" t="s">
        <v>4237</v>
      </c>
      <c r="J361" s="17" t="s">
        <v>3544</v>
      </c>
      <c r="K361" s="17" t="s">
        <v>2938</v>
      </c>
      <c r="L361" s="17" t="s">
        <v>3545</v>
      </c>
      <c r="M361" s="17" t="s">
        <v>2669</v>
      </c>
      <c r="N361" s="17" t="s">
        <v>3767</v>
      </c>
      <c r="O361" s="17" t="s">
        <v>7635</v>
      </c>
      <c r="P361" s="17" t="s">
        <v>3768</v>
      </c>
      <c r="Q361" s="17"/>
      <c r="R361" s="17"/>
      <c r="S361" s="17"/>
      <c r="T361" s="17"/>
      <c r="U361" s="17"/>
      <c r="V361" s="17"/>
      <c r="W361" s="17"/>
      <c r="X361" s="17"/>
      <c r="Y361" s="17"/>
    </row>
    <row r="362" spans="1:25">
      <c r="A362" s="17" t="s">
        <v>3769</v>
      </c>
      <c r="B362" s="17" t="s">
        <v>3769</v>
      </c>
      <c r="C362" s="17" t="s">
        <v>3770</v>
      </c>
      <c r="D362" s="17" t="s">
        <v>2669</v>
      </c>
      <c r="E362" s="17" t="s">
        <v>3543</v>
      </c>
      <c r="F362" s="17" t="s">
        <v>3769</v>
      </c>
      <c r="G362" s="17" t="s">
        <v>2671</v>
      </c>
      <c r="H362" s="17" t="s">
        <v>4312</v>
      </c>
      <c r="I362" s="17" t="s">
        <v>4237</v>
      </c>
      <c r="J362" s="17" t="s">
        <v>3544</v>
      </c>
      <c r="K362" s="17" t="s">
        <v>3151</v>
      </c>
      <c r="L362" s="17" t="s">
        <v>3545</v>
      </c>
      <c r="M362" s="17" t="s">
        <v>2669</v>
      </c>
      <c r="N362" s="17" t="s">
        <v>3769</v>
      </c>
      <c r="O362" s="17" t="s">
        <v>7635</v>
      </c>
      <c r="P362" s="17" t="s">
        <v>3771</v>
      </c>
      <c r="Q362" s="17"/>
      <c r="R362" s="17"/>
      <c r="S362" s="17"/>
      <c r="T362" s="17"/>
      <c r="U362" s="17"/>
      <c r="V362" s="17"/>
      <c r="W362" s="17"/>
      <c r="X362" s="17"/>
      <c r="Y362" s="17"/>
    </row>
    <row r="363" spans="1:25">
      <c r="A363" s="17" t="s">
        <v>3772</v>
      </c>
      <c r="B363" s="17" t="s">
        <v>3772</v>
      </c>
      <c r="C363" s="17" t="s">
        <v>3770</v>
      </c>
      <c r="D363" s="17" t="s">
        <v>2669</v>
      </c>
      <c r="E363" s="17" t="s">
        <v>3543</v>
      </c>
      <c r="F363" s="17" t="s">
        <v>3772</v>
      </c>
      <c r="G363" s="17" t="s">
        <v>2671</v>
      </c>
      <c r="H363" s="17" t="s">
        <v>6835</v>
      </c>
      <c r="I363" s="17" t="s">
        <v>4237</v>
      </c>
      <c r="J363" s="17" t="s">
        <v>3544</v>
      </c>
      <c r="K363" s="17" t="s">
        <v>3151</v>
      </c>
      <c r="L363" s="17" t="s">
        <v>3545</v>
      </c>
      <c r="M363" s="17" t="s">
        <v>2669</v>
      </c>
      <c r="N363" s="17" t="s">
        <v>3772</v>
      </c>
      <c r="O363" s="17" t="s">
        <v>7635</v>
      </c>
      <c r="P363" s="17" t="s">
        <v>3773</v>
      </c>
      <c r="Q363" s="17"/>
      <c r="R363" s="17"/>
      <c r="S363" s="17"/>
      <c r="T363" s="17"/>
      <c r="U363" s="17"/>
      <c r="V363" s="17"/>
      <c r="W363" s="17"/>
      <c r="X363" s="17"/>
      <c r="Y363" s="17"/>
    </row>
    <row r="364" spans="1:25">
      <c r="A364" s="17" t="s">
        <v>3774</v>
      </c>
      <c r="B364" s="17" t="s">
        <v>3774</v>
      </c>
      <c r="C364" s="17" t="s">
        <v>3775</v>
      </c>
      <c r="D364" s="17" t="s">
        <v>2669</v>
      </c>
      <c r="E364" s="17" t="s">
        <v>3543</v>
      </c>
      <c r="F364" s="17" t="s">
        <v>3774</v>
      </c>
      <c r="G364" s="17" t="s">
        <v>2671</v>
      </c>
      <c r="H364" s="17" t="s">
        <v>4312</v>
      </c>
      <c r="I364" s="17" t="s">
        <v>4237</v>
      </c>
      <c r="J364" s="17" t="s">
        <v>3544</v>
      </c>
      <c r="K364" s="17" t="s">
        <v>2945</v>
      </c>
      <c r="L364" s="17" t="s">
        <v>3545</v>
      </c>
      <c r="M364" s="17" t="s">
        <v>2669</v>
      </c>
      <c r="N364" s="17" t="s">
        <v>3774</v>
      </c>
      <c r="O364" s="17" t="s">
        <v>7635</v>
      </c>
      <c r="P364" s="17" t="s">
        <v>3776</v>
      </c>
      <c r="Q364" s="17"/>
      <c r="R364" s="17"/>
      <c r="S364" s="17"/>
      <c r="T364" s="17"/>
      <c r="U364" s="17"/>
      <c r="V364" s="17"/>
      <c r="W364" s="17"/>
      <c r="X364" s="17"/>
      <c r="Y364" s="17"/>
    </row>
    <row r="365" spans="1:25">
      <c r="A365" s="17" t="s">
        <v>3777</v>
      </c>
      <c r="B365" s="17" t="s">
        <v>3777</v>
      </c>
      <c r="C365" s="17" t="s">
        <v>3775</v>
      </c>
      <c r="D365" s="17" t="s">
        <v>2669</v>
      </c>
      <c r="E365" s="17" t="s">
        <v>3543</v>
      </c>
      <c r="F365" s="17" t="s">
        <v>3777</v>
      </c>
      <c r="G365" s="17" t="s">
        <v>2671</v>
      </c>
      <c r="H365" s="17" t="s">
        <v>6835</v>
      </c>
      <c r="I365" s="17" t="s">
        <v>4237</v>
      </c>
      <c r="J365" s="17" t="s">
        <v>3544</v>
      </c>
      <c r="K365" s="17" t="s">
        <v>2945</v>
      </c>
      <c r="L365" s="17" t="s">
        <v>3545</v>
      </c>
      <c r="M365" s="17" t="s">
        <v>2669</v>
      </c>
      <c r="N365" s="17" t="s">
        <v>3777</v>
      </c>
      <c r="O365" s="17" t="s">
        <v>7635</v>
      </c>
      <c r="P365" s="17" t="s">
        <v>3778</v>
      </c>
      <c r="Q365" s="17"/>
      <c r="R365" s="17"/>
      <c r="S365" s="17"/>
      <c r="T365" s="17"/>
      <c r="U365" s="17"/>
      <c r="V365" s="17"/>
      <c r="W365" s="17"/>
      <c r="X365" s="17"/>
      <c r="Y365" s="17"/>
    </row>
    <row r="366" spans="1:25">
      <c r="A366" s="17" t="s">
        <v>3779</v>
      </c>
      <c r="B366" s="17" t="s">
        <v>3779</v>
      </c>
      <c r="C366" s="17" t="s">
        <v>3780</v>
      </c>
      <c r="D366" s="17" t="s">
        <v>2669</v>
      </c>
      <c r="E366" s="17" t="s">
        <v>3543</v>
      </c>
      <c r="F366" s="17" t="s">
        <v>3779</v>
      </c>
      <c r="G366" s="17" t="s">
        <v>2671</v>
      </c>
      <c r="H366" s="17" t="s">
        <v>4312</v>
      </c>
      <c r="I366" s="17" t="s">
        <v>4237</v>
      </c>
      <c r="J366" s="17" t="s">
        <v>3544</v>
      </c>
      <c r="K366" s="17" t="s">
        <v>3162</v>
      </c>
      <c r="L366" s="17" t="s">
        <v>3545</v>
      </c>
      <c r="M366" s="17" t="s">
        <v>2669</v>
      </c>
      <c r="N366" s="17" t="s">
        <v>3779</v>
      </c>
      <c r="O366" s="17" t="s">
        <v>7635</v>
      </c>
      <c r="P366" s="17" t="s">
        <v>3781</v>
      </c>
      <c r="Q366" s="17"/>
      <c r="R366" s="17"/>
      <c r="S366" s="17"/>
      <c r="T366" s="17"/>
      <c r="U366" s="17"/>
      <c r="V366" s="17"/>
      <c r="W366" s="17"/>
      <c r="X366" s="17"/>
      <c r="Y366" s="17"/>
    </row>
    <row r="367" spans="1:25">
      <c r="A367" s="17" t="s">
        <v>3782</v>
      </c>
      <c r="B367" s="17" t="s">
        <v>3782</v>
      </c>
      <c r="C367" s="17" t="s">
        <v>3780</v>
      </c>
      <c r="D367" s="17" t="s">
        <v>2669</v>
      </c>
      <c r="E367" s="17" t="s">
        <v>3543</v>
      </c>
      <c r="F367" s="17" t="s">
        <v>3782</v>
      </c>
      <c r="G367" s="17" t="s">
        <v>2671</v>
      </c>
      <c r="H367" s="17" t="s">
        <v>6835</v>
      </c>
      <c r="I367" s="17" t="s">
        <v>4237</v>
      </c>
      <c r="J367" s="17" t="s">
        <v>3544</v>
      </c>
      <c r="K367" s="17" t="s">
        <v>3162</v>
      </c>
      <c r="L367" s="17" t="s">
        <v>3545</v>
      </c>
      <c r="M367" s="17" t="s">
        <v>2669</v>
      </c>
      <c r="N367" s="17" t="s">
        <v>3782</v>
      </c>
      <c r="O367" s="17" t="s">
        <v>7635</v>
      </c>
      <c r="P367" s="17" t="s">
        <v>3783</v>
      </c>
      <c r="Q367" s="17"/>
      <c r="R367" s="17"/>
      <c r="S367" s="17"/>
      <c r="T367" s="17"/>
      <c r="U367" s="17"/>
      <c r="V367" s="17"/>
      <c r="W367" s="17"/>
      <c r="X367" s="17"/>
      <c r="Y367" s="17"/>
    </row>
    <row r="368" spans="1:25">
      <c r="A368" s="17" t="s">
        <v>3784</v>
      </c>
      <c r="B368" s="17" t="s">
        <v>3784</v>
      </c>
      <c r="C368" s="17" t="s">
        <v>3785</v>
      </c>
      <c r="D368" s="17" t="s">
        <v>2669</v>
      </c>
      <c r="E368" s="17" t="s">
        <v>3543</v>
      </c>
      <c r="F368" s="17" t="s">
        <v>3784</v>
      </c>
      <c r="G368" s="17" t="s">
        <v>2671</v>
      </c>
      <c r="H368" s="17" t="s">
        <v>4312</v>
      </c>
      <c r="I368" s="17" t="s">
        <v>4237</v>
      </c>
      <c r="J368" s="17" t="s">
        <v>3544</v>
      </c>
      <c r="K368" s="17" t="s">
        <v>3168</v>
      </c>
      <c r="L368" s="17" t="s">
        <v>3545</v>
      </c>
      <c r="M368" s="17" t="s">
        <v>2669</v>
      </c>
      <c r="N368" s="17" t="s">
        <v>3784</v>
      </c>
      <c r="O368" s="17" t="s">
        <v>7635</v>
      </c>
      <c r="P368" s="17" t="s">
        <v>3786</v>
      </c>
      <c r="Q368" s="17"/>
      <c r="R368" s="17"/>
      <c r="S368" s="17"/>
      <c r="T368" s="17"/>
      <c r="U368" s="17"/>
      <c r="V368" s="17"/>
      <c r="W368" s="17"/>
      <c r="X368" s="17"/>
      <c r="Y368" s="17"/>
    </row>
    <row r="369" spans="1:25">
      <c r="A369" s="17" t="s">
        <v>3787</v>
      </c>
      <c r="B369" s="17" t="s">
        <v>3787</v>
      </c>
      <c r="C369" s="17" t="s">
        <v>3785</v>
      </c>
      <c r="D369" s="17" t="s">
        <v>2669</v>
      </c>
      <c r="E369" s="17" t="s">
        <v>3543</v>
      </c>
      <c r="F369" s="17" t="s">
        <v>3787</v>
      </c>
      <c r="G369" s="17" t="s">
        <v>2671</v>
      </c>
      <c r="H369" s="17" t="s">
        <v>6835</v>
      </c>
      <c r="I369" s="17" t="s">
        <v>4237</v>
      </c>
      <c r="J369" s="17" t="s">
        <v>3544</v>
      </c>
      <c r="K369" s="17" t="s">
        <v>3168</v>
      </c>
      <c r="L369" s="17" t="s">
        <v>3545</v>
      </c>
      <c r="M369" s="17" t="s">
        <v>2669</v>
      </c>
      <c r="N369" s="17" t="s">
        <v>3787</v>
      </c>
      <c r="O369" s="17" t="s">
        <v>7635</v>
      </c>
      <c r="P369" s="17" t="s">
        <v>3788</v>
      </c>
      <c r="Q369" s="17"/>
      <c r="R369" s="17"/>
      <c r="S369" s="17"/>
      <c r="T369" s="17"/>
      <c r="U369" s="17"/>
      <c r="V369" s="17"/>
      <c r="W369" s="17"/>
      <c r="X369" s="17"/>
      <c r="Y369" s="17"/>
    </row>
    <row r="370" spans="1:25">
      <c r="A370" s="17" t="s">
        <v>3789</v>
      </c>
      <c r="B370" s="17" t="s">
        <v>3789</v>
      </c>
      <c r="C370" s="17" t="s">
        <v>3790</v>
      </c>
      <c r="D370" s="17" t="s">
        <v>2669</v>
      </c>
      <c r="E370" s="17" t="s">
        <v>3543</v>
      </c>
      <c r="F370" s="17" t="s">
        <v>3789</v>
      </c>
      <c r="G370" s="17" t="s">
        <v>2671</v>
      </c>
      <c r="H370" s="17" t="s">
        <v>4312</v>
      </c>
      <c r="I370" s="17" t="s">
        <v>4237</v>
      </c>
      <c r="J370" s="17" t="s">
        <v>3544</v>
      </c>
      <c r="K370" s="17" t="s">
        <v>3174</v>
      </c>
      <c r="L370" s="17" t="s">
        <v>3545</v>
      </c>
      <c r="M370" s="17" t="s">
        <v>2669</v>
      </c>
      <c r="N370" s="17" t="s">
        <v>3789</v>
      </c>
      <c r="O370" s="17" t="s">
        <v>7635</v>
      </c>
      <c r="P370" s="17" t="s">
        <v>3791</v>
      </c>
      <c r="Q370" s="17"/>
      <c r="R370" s="17"/>
      <c r="S370" s="17"/>
      <c r="T370" s="17"/>
      <c r="U370" s="17"/>
      <c r="V370" s="17"/>
      <c r="W370" s="17"/>
      <c r="X370" s="17"/>
      <c r="Y370" s="17"/>
    </row>
    <row r="371" spans="1:25">
      <c r="A371" s="17" t="s">
        <v>3792</v>
      </c>
      <c r="B371" s="17" t="s">
        <v>3792</v>
      </c>
      <c r="C371" s="17" t="s">
        <v>3790</v>
      </c>
      <c r="D371" s="17" t="s">
        <v>2669</v>
      </c>
      <c r="E371" s="17" t="s">
        <v>3543</v>
      </c>
      <c r="F371" s="17" t="s">
        <v>3792</v>
      </c>
      <c r="G371" s="17" t="s">
        <v>2671</v>
      </c>
      <c r="H371" s="17" t="s">
        <v>6835</v>
      </c>
      <c r="I371" s="17" t="s">
        <v>4237</v>
      </c>
      <c r="J371" s="17" t="s">
        <v>3544</v>
      </c>
      <c r="K371" s="17" t="s">
        <v>3174</v>
      </c>
      <c r="L371" s="17" t="s">
        <v>3545</v>
      </c>
      <c r="M371" s="17" t="s">
        <v>2669</v>
      </c>
      <c r="N371" s="17" t="s">
        <v>3792</v>
      </c>
      <c r="O371" s="17" t="s">
        <v>7635</v>
      </c>
      <c r="P371" s="17" t="s">
        <v>3793</v>
      </c>
      <c r="Q371" s="17"/>
      <c r="R371" s="17"/>
      <c r="S371" s="17"/>
      <c r="T371" s="17"/>
      <c r="U371" s="17"/>
      <c r="V371" s="17"/>
      <c r="W371" s="17"/>
      <c r="X371" s="17"/>
      <c r="Y371" s="17"/>
    </row>
    <row r="372" spans="1:25">
      <c r="A372" s="17" t="s">
        <v>3794</v>
      </c>
      <c r="B372" s="17" t="s">
        <v>3794</v>
      </c>
      <c r="C372" s="17" t="s">
        <v>3795</v>
      </c>
      <c r="D372" s="17" t="s">
        <v>2669</v>
      </c>
      <c r="E372" s="17" t="s">
        <v>3543</v>
      </c>
      <c r="F372" s="17" t="s">
        <v>3794</v>
      </c>
      <c r="G372" s="17" t="s">
        <v>2671</v>
      </c>
      <c r="H372" s="17" t="s">
        <v>4312</v>
      </c>
      <c r="I372" s="17" t="s">
        <v>4237</v>
      </c>
      <c r="J372" s="17" t="s">
        <v>3544</v>
      </c>
      <c r="K372" s="17" t="s">
        <v>3180</v>
      </c>
      <c r="L372" s="17" t="s">
        <v>3545</v>
      </c>
      <c r="M372" s="17" t="s">
        <v>2669</v>
      </c>
      <c r="N372" s="17" t="s">
        <v>3794</v>
      </c>
      <c r="O372" s="17" t="s">
        <v>7635</v>
      </c>
      <c r="P372" s="17" t="s">
        <v>3796</v>
      </c>
      <c r="Q372" s="17"/>
      <c r="R372" s="17"/>
      <c r="S372" s="17"/>
      <c r="T372" s="17"/>
      <c r="U372" s="17"/>
      <c r="V372" s="17"/>
      <c r="W372" s="17"/>
      <c r="X372" s="17"/>
      <c r="Y372" s="17"/>
    </row>
    <row r="373" spans="1:25">
      <c r="A373" s="17" t="s">
        <v>3797</v>
      </c>
      <c r="B373" s="17" t="s">
        <v>3797</v>
      </c>
      <c r="C373" s="17" t="s">
        <v>3795</v>
      </c>
      <c r="D373" s="17" t="s">
        <v>2669</v>
      </c>
      <c r="E373" s="17" t="s">
        <v>3543</v>
      </c>
      <c r="F373" s="17" t="s">
        <v>3797</v>
      </c>
      <c r="G373" s="17" t="s">
        <v>2671</v>
      </c>
      <c r="H373" s="17" t="s">
        <v>6835</v>
      </c>
      <c r="I373" s="17" t="s">
        <v>4237</v>
      </c>
      <c r="J373" s="17" t="s">
        <v>3544</v>
      </c>
      <c r="K373" s="17" t="s">
        <v>3180</v>
      </c>
      <c r="L373" s="17" t="s">
        <v>3545</v>
      </c>
      <c r="M373" s="17" t="s">
        <v>2669</v>
      </c>
      <c r="N373" s="17" t="s">
        <v>3797</v>
      </c>
      <c r="O373" s="17" t="s">
        <v>7635</v>
      </c>
      <c r="P373" s="17" t="s">
        <v>3798</v>
      </c>
      <c r="Q373" s="17"/>
      <c r="R373" s="17"/>
      <c r="S373" s="17"/>
      <c r="T373" s="17"/>
      <c r="U373" s="17"/>
      <c r="V373" s="17"/>
      <c r="W373" s="17"/>
      <c r="X373" s="17"/>
      <c r="Y373" s="17"/>
    </row>
    <row r="374" spans="1:25">
      <c r="A374" s="17" t="s">
        <v>3799</v>
      </c>
      <c r="B374" s="17" t="s">
        <v>3799</v>
      </c>
      <c r="C374" s="17" t="s">
        <v>3800</v>
      </c>
      <c r="D374" s="17" t="s">
        <v>2669</v>
      </c>
      <c r="E374" s="17" t="s">
        <v>3543</v>
      </c>
      <c r="F374" s="17" t="s">
        <v>3799</v>
      </c>
      <c r="G374" s="17" t="s">
        <v>2671</v>
      </c>
      <c r="H374" s="17" t="s">
        <v>4312</v>
      </c>
      <c r="I374" s="17" t="s">
        <v>4237</v>
      </c>
      <c r="J374" s="17" t="s">
        <v>3544</v>
      </c>
      <c r="K374" s="17" t="s">
        <v>3186</v>
      </c>
      <c r="L374" s="17" t="s">
        <v>3545</v>
      </c>
      <c r="M374" s="17" t="s">
        <v>2669</v>
      </c>
      <c r="N374" s="17" t="s">
        <v>3799</v>
      </c>
      <c r="O374" s="17" t="s">
        <v>7635</v>
      </c>
      <c r="P374" s="17" t="s">
        <v>3801</v>
      </c>
      <c r="Q374" s="17"/>
      <c r="R374" s="17"/>
      <c r="S374" s="17"/>
      <c r="T374" s="17"/>
      <c r="U374" s="17"/>
      <c r="V374" s="17"/>
      <c r="W374" s="17"/>
      <c r="X374" s="17"/>
      <c r="Y374" s="17"/>
    </row>
    <row r="375" spans="1:25">
      <c r="A375" s="17" t="s">
        <v>3802</v>
      </c>
      <c r="B375" s="17" t="s">
        <v>3802</v>
      </c>
      <c r="C375" s="17" t="s">
        <v>3800</v>
      </c>
      <c r="D375" s="17" t="s">
        <v>2669</v>
      </c>
      <c r="E375" s="17" t="s">
        <v>3543</v>
      </c>
      <c r="F375" s="17" t="s">
        <v>3802</v>
      </c>
      <c r="G375" s="17" t="s">
        <v>2671</v>
      </c>
      <c r="H375" s="17" t="s">
        <v>6835</v>
      </c>
      <c r="I375" s="17" t="s">
        <v>4237</v>
      </c>
      <c r="J375" s="17" t="s">
        <v>3544</v>
      </c>
      <c r="K375" s="17" t="s">
        <v>3186</v>
      </c>
      <c r="L375" s="17" t="s">
        <v>3545</v>
      </c>
      <c r="M375" s="17" t="s">
        <v>2669</v>
      </c>
      <c r="N375" s="17" t="s">
        <v>3802</v>
      </c>
      <c r="O375" s="17" t="s">
        <v>7635</v>
      </c>
      <c r="P375" s="17" t="s">
        <v>3803</v>
      </c>
      <c r="Q375" s="17"/>
      <c r="R375" s="17"/>
      <c r="S375" s="17"/>
      <c r="T375" s="17"/>
      <c r="U375" s="17"/>
      <c r="V375" s="17"/>
      <c r="W375" s="17"/>
      <c r="X375" s="17"/>
      <c r="Y375" s="17"/>
    </row>
    <row r="376" spans="1:25">
      <c r="A376" s="17" t="s">
        <v>3804</v>
      </c>
      <c r="B376" s="17" t="s">
        <v>3804</v>
      </c>
      <c r="C376" s="17" t="s">
        <v>3805</v>
      </c>
      <c r="D376" s="17" t="s">
        <v>2669</v>
      </c>
      <c r="E376" s="17" t="s">
        <v>3543</v>
      </c>
      <c r="F376" s="17" t="s">
        <v>3804</v>
      </c>
      <c r="G376" s="17" t="s">
        <v>2671</v>
      </c>
      <c r="H376" s="17" t="s">
        <v>4312</v>
      </c>
      <c r="I376" s="17" t="s">
        <v>4237</v>
      </c>
      <c r="J376" s="17" t="s">
        <v>3544</v>
      </c>
      <c r="K376" s="17" t="s">
        <v>2952</v>
      </c>
      <c r="L376" s="17" t="s">
        <v>3545</v>
      </c>
      <c r="M376" s="17" t="s">
        <v>2669</v>
      </c>
      <c r="N376" s="17" t="s">
        <v>3804</v>
      </c>
      <c r="O376" s="17" t="s">
        <v>7635</v>
      </c>
      <c r="P376" s="17" t="s">
        <v>3806</v>
      </c>
      <c r="Q376" s="17"/>
      <c r="R376" s="17"/>
      <c r="S376" s="17"/>
      <c r="T376" s="17"/>
      <c r="U376" s="17"/>
      <c r="V376" s="17"/>
      <c r="W376" s="17"/>
      <c r="X376" s="17"/>
      <c r="Y376" s="17"/>
    </row>
    <row r="377" spans="1:25">
      <c r="A377" s="17" t="s">
        <v>3807</v>
      </c>
      <c r="B377" s="17" t="s">
        <v>3807</v>
      </c>
      <c r="C377" s="17" t="s">
        <v>3805</v>
      </c>
      <c r="D377" s="17" t="s">
        <v>2669</v>
      </c>
      <c r="E377" s="17" t="s">
        <v>3543</v>
      </c>
      <c r="F377" s="17" t="s">
        <v>3807</v>
      </c>
      <c r="G377" s="17" t="s">
        <v>2671</v>
      </c>
      <c r="H377" s="17" t="s">
        <v>6835</v>
      </c>
      <c r="I377" s="17" t="s">
        <v>4237</v>
      </c>
      <c r="J377" s="17" t="s">
        <v>3544</v>
      </c>
      <c r="K377" s="17" t="s">
        <v>2952</v>
      </c>
      <c r="L377" s="17" t="s">
        <v>3545</v>
      </c>
      <c r="M377" s="17" t="s">
        <v>2669</v>
      </c>
      <c r="N377" s="17" t="s">
        <v>3807</v>
      </c>
      <c r="O377" s="17" t="s">
        <v>7635</v>
      </c>
      <c r="P377" s="17" t="s">
        <v>3808</v>
      </c>
      <c r="Q377" s="17"/>
      <c r="R377" s="17"/>
      <c r="S377" s="17"/>
      <c r="T377" s="17"/>
      <c r="U377" s="17"/>
      <c r="V377" s="17"/>
      <c r="W377" s="17"/>
      <c r="X377" s="17"/>
      <c r="Y377" s="17"/>
    </row>
    <row r="378" spans="1:25">
      <c r="A378" s="17" t="s">
        <v>3809</v>
      </c>
      <c r="B378" s="17" t="s">
        <v>3809</v>
      </c>
      <c r="C378" s="17" t="s">
        <v>3810</v>
      </c>
      <c r="D378" s="17" t="s">
        <v>2669</v>
      </c>
      <c r="E378" s="17" t="s">
        <v>3543</v>
      </c>
      <c r="F378" s="17" t="s">
        <v>3809</v>
      </c>
      <c r="G378" s="17" t="s">
        <v>2671</v>
      </c>
      <c r="H378" s="17" t="s">
        <v>4312</v>
      </c>
      <c r="I378" s="17" t="s">
        <v>4237</v>
      </c>
      <c r="J378" s="17" t="s">
        <v>3544</v>
      </c>
      <c r="K378" s="17" t="s">
        <v>3197</v>
      </c>
      <c r="L378" s="17" t="s">
        <v>3545</v>
      </c>
      <c r="M378" s="17" t="s">
        <v>2669</v>
      </c>
      <c r="N378" s="17" t="s">
        <v>3809</v>
      </c>
      <c r="O378" s="17" t="s">
        <v>7635</v>
      </c>
      <c r="P378" s="17" t="s">
        <v>3811</v>
      </c>
      <c r="Q378" s="17"/>
      <c r="R378" s="17"/>
      <c r="S378" s="17"/>
      <c r="T378" s="17"/>
      <c r="U378" s="17"/>
      <c r="V378" s="17"/>
      <c r="W378" s="17"/>
      <c r="X378" s="17"/>
      <c r="Y378" s="17"/>
    </row>
    <row r="379" spans="1:25">
      <c r="A379" s="17" t="s">
        <v>3812</v>
      </c>
      <c r="B379" s="17" t="s">
        <v>3812</v>
      </c>
      <c r="C379" s="17" t="s">
        <v>3810</v>
      </c>
      <c r="D379" s="17" t="s">
        <v>2669</v>
      </c>
      <c r="E379" s="17" t="s">
        <v>3543</v>
      </c>
      <c r="F379" s="17" t="s">
        <v>3812</v>
      </c>
      <c r="G379" s="17" t="s">
        <v>2671</v>
      </c>
      <c r="H379" s="17" t="s">
        <v>6835</v>
      </c>
      <c r="I379" s="17" t="s">
        <v>4237</v>
      </c>
      <c r="J379" s="17" t="s">
        <v>3544</v>
      </c>
      <c r="K379" s="17" t="s">
        <v>3197</v>
      </c>
      <c r="L379" s="17" t="s">
        <v>3545</v>
      </c>
      <c r="M379" s="17" t="s">
        <v>2669</v>
      </c>
      <c r="N379" s="17" t="s">
        <v>3812</v>
      </c>
      <c r="O379" s="17" t="s">
        <v>7635</v>
      </c>
      <c r="P379" s="17" t="s">
        <v>3813</v>
      </c>
      <c r="Q379" s="17"/>
      <c r="R379" s="17"/>
      <c r="S379" s="17"/>
      <c r="T379" s="17"/>
      <c r="U379" s="17"/>
      <c r="V379" s="17"/>
      <c r="W379" s="17"/>
      <c r="X379" s="17"/>
      <c r="Y379" s="17"/>
    </row>
    <row r="380" spans="1:25">
      <c r="A380" s="17" t="s">
        <v>3814</v>
      </c>
      <c r="B380" s="17" t="s">
        <v>3814</v>
      </c>
      <c r="C380" s="17" t="s">
        <v>3815</v>
      </c>
      <c r="D380" s="17" t="s">
        <v>2669</v>
      </c>
      <c r="E380" s="17" t="s">
        <v>3543</v>
      </c>
      <c r="F380" s="17" t="s">
        <v>3814</v>
      </c>
      <c r="G380" s="17" t="s">
        <v>2671</v>
      </c>
      <c r="H380" s="17" t="s">
        <v>4312</v>
      </c>
      <c r="I380" s="17" t="s">
        <v>4237</v>
      </c>
      <c r="J380" s="17" t="s">
        <v>3544</v>
      </c>
      <c r="K380" s="17" t="s">
        <v>3203</v>
      </c>
      <c r="L380" s="17" t="s">
        <v>3545</v>
      </c>
      <c r="M380" s="17" t="s">
        <v>2669</v>
      </c>
      <c r="N380" s="17" t="s">
        <v>3814</v>
      </c>
      <c r="O380" s="17" t="s">
        <v>7635</v>
      </c>
      <c r="P380" s="17" t="s">
        <v>3816</v>
      </c>
      <c r="Q380" s="17"/>
      <c r="R380" s="17"/>
      <c r="S380" s="17"/>
      <c r="T380" s="17"/>
      <c r="U380" s="17"/>
      <c r="V380" s="17"/>
      <c r="W380" s="17"/>
      <c r="X380" s="17"/>
      <c r="Y380" s="17"/>
    </row>
    <row r="381" spans="1:25">
      <c r="A381" s="17" t="s">
        <v>3817</v>
      </c>
      <c r="B381" s="17" t="s">
        <v>3817</v>
      </c>
      <c r="C381" s="17" t="s">
        <v>3815</v>
      </c>
      <c r="D381" s="17" t="s">
        <v>2669</v>
      </c>
      <c r="E381" s="17" t="s">
        <v>3543</v>
      </c>
      <c r="F381" s="17" t="s">
        <v>3817</v>
      </c>
      <c r="G381" s="17" t="s">
        <v>2671</v>
      </c>
      <c r="H381" s="17" t="s">
        <v>6835</v>
      </c>
      <c r="I381" s="17" t="s">
        <v>4237</v>
      </c>
      <c r="J381" s="17" t="s">
        <v>3544</v>
      </c>
      <c r="K381" s="17" t="s">
        <v>3203</v>
      </c>
      <c r="L381" s="17" t="s">
        <v>3545</v>
      </c>
      <c r="M381" s="17" t="s">
        <v>2669</v>
      </c>
      <c r="N381" s="17" t="s">
        <v>3817</v>
      </c>
      <c r="O381" s="17" t="s">
        <v>7635</v>
      </c>
      <c r="P381" s="17" t="s">
        <v>3818</v>
      </c>
      <c r="Q381" s="17"/>
      <c r="R381" s="17"/>
      <c r="S381" s="17"/>
      <c r="T381" s="17"/>
      <c r="U381" s="17"/>
      <c r="V381" s="17"/>
      <c r="W381" s="17"/>
      <c r="X381" s="17"/>
      <c r="Y381" s="17"/>
    </row>
    <row r="382" spans="1:25">
      <c r="A382" s="17" t="s">
        <v>3819</v>
      </c>
      <c r="B382" s="17" t="s">
        <v>3819</v>
      </c>
      <c r="C382" s="17" t="s">
        <v>3820</v>
      </c>
      <c r="D382" s="17" t="s">
        <v>2669</v>
      </c>
      <c r="E382" s="17" t="s">
        <v>3543</v>
      </c>
      <c r="F382" s="17" t="s">
        <v>3819</v>
      </c>
      <c r="G382" s="17" t="s">
        <v>2671</v>
      </c>
      <c r="H382" s="17" t="s">
        <v>4312</v>
      </c>
      <c r="I382" s="17" t="s">
        <v>4237</v>
      </c>
      <c r="J382" s="17" t="s">
        <v>3544</v>
      </c>
      <c r="K382" s="17" t="s">
        <v>2956</v>
      </c>
      <c r="L382" s="17" t="s">
        <v>3545</v>
      </c>
      <c r="M382" s="17" t="s">
        <v>2669</v>
      </c>
      <c r="N382" s="17" t="s">
        <v>3819</v>
      </c>
      <c r="O382" s="17" t="s">
        <v>7635</v>
      </c>
      <c r="P382" s="17" t="s">
        <v>3821</v>
      </c>
      <c r="Q382" s="17"/>
      <c r="R382" s="17"/>
      <c r="S382" s="17"/>
      <c r="T382" s="17"/>
      <c r="U382" s="17"/>
      <c r="V382" s="17"/>
      <c r="W382" s="17"/>
      <c r="X382" s="17"/>
      <c r="Y382" s="17"/>
    </row>
    <row r="383" spans="1:25">
      <c r="A383" s="17" t="s">
        <v>3822</v>
      </c>
      <c r="B383" s="17" t="s">
        <v>3822</v>
      </c>
      <c r="C383" s="17" t="s">
        <v>3820</v>
      </c>
      <c r="D383" s="17" t="s">
        <v>2669</v>
      </c>
      <c r="E383" s="17" t="s">
        <v>3543</v>
      </c>
      <c r="F383" s="17" t="s">
        <v>3822</v>
      </c>
      <c r="G383" s="17" t="s">
        <v>2671</v>
      </c>
      <c r="H383" s="17" t="s">
        <v>6835</v>
      </c>
      <c r="I383" s="17" t="s">
        <v>4237</v>
      </c>
      <c r="J383" s="17" t="s">
        <v>3544</v>
      </c>
      <c r="K383" s="17" t="s">
        <v>2956</v>
      </c>
      <c r="L383" s="17" t="s">
        <v>3545</v>
      </c>
      <c r="M383" s="17" t="s">
        <v>2669</v>
      </c>
      <c r="N383" s="17" t="s">
        <v>3822</v>
      </c>
      <c r="O383" s="17" t="s">
        <v>7635</v>
      </c>
      <c r="P383" s="17" t="s">
        <v>3823</v>
      </c>
      <c r="Q383" s="17"/>
      <c r="R383" s="17"/>
      <c r="S383" s="17"/>
      <c r="T383" s="17"/>
      <c r="U383" s="17"/>
      <c r="V383" s="17"/>
      <c r="W383" s="17"/>
      <c r="X383" s="17"/>
      <c r="Y383" s="17"/>
    </row>
    <row r="384" spans="1:25">
      <c r="A384" s="17" t="s">
        <v>3824</v>
      </c>
      <c r="B384" s="17" t="s">
        <v>3824</v>
      </c>
      <c r="C384" s="17" t="s">
        <v>3825</v>
      </c>
      <c r="D384" s="17" t="s">
        <v>2669</v>
      </c>
      <c r="E384" s="17" t="s">
        <v>3543</v>
      </c>
      <c r="F384" s="17" t="s">
        <v>3824</v>
      </c>
      <c r="G384" s="17" t="s">
        <v>2671</v>
      </c>
      <c r="H384" s="17" t="s">
        <v>4312</v>
      </c>
      <c r="I384" s="17" t="s">
        <v>4237</v>
      </c>
      <c r="J384" s="17" t="s">
        <v>3544</v>
      </c>
      <c r="K384" s="17" t="s">
        <v>2960</v>
      </c>
      <c r="L384" s="17" t="s">
        <v>3545</v>
      </c>
      <c r="M384" s="17" t="s">
        <v>2669</v>
      </c>
      <c r="N384" s="17" t="s">
        <v>3824</v>
      </c>
      <c r="O384" s="17" t="s">
        <v>7635</v>
      </c>
      <c r="P384" s="17" t="s">
        <v>3826</v>
      </c>
      <c r="Q384" s="17"/>
      <c r="R384" s="17"/>
      <c r="S384" s="17"/>
      <c r="T384" s="17"/>
      <c r="U384" s="17"/>
      <c r="V384" s="17"/>
      <c r="W384" s="17"/>
      <c r="X384" s="17"/>
      <c r="Y384" s="17"/>
    </row>
    <row r="385" spans="1:25">
      <c r="A385" s="17" t="s">
        <v>3827</v>
      </c>
      <c r="B385" s="17" t="s">
        <v>3827</v>
      </c>
      <c r="C385" s="17" t="s">
        <v>3825</v>
      </c>
      <c r="D385" s="17" t="s">
        <v>2669</v>
      </c>
      <c r="E385" s="17" t="s">
        <v>3543</v>
      </c>
      <c r="F385" s="17" t="s">
        <v>3827</v>
      </c>
      <c r="G385" s="17" t="s">
        <v>2671</v>
      </c>
      <c r="H385" s="17" t="s">
        <v>6835</v>
      </c>
      <c r="I385" s="17" t="s">
        <v>4237</v>
      </c>
      <c r="J385" s="17" t="s">
        <v>3544</v>
      </c>
      <c r="K385" s="17" t="s">
        <v>2960</v>
      </c>
      <c r="L385" s="17" t="s">
        <v>3545</v>
      </c>
      <c r="M385" s="17" t="s">
        <v>2669</v>
      </c>
      <c r="N385" s="17" t="s">
        <v>3827</v>
      </c>
      <c r="O385" s="17" t="s">
        <v>7635</v>
      </c>
      <c r="P385" s="17" t="s">
        <v>3828</v>
      </c>
      <c r="Q385" s="17"/>
      <c r="R385" s="17"/>
      <c r="S385" s="17"/>
      <c r="T385" s="17"/>
      <c r="U385" s="17"/>
      <c r="V385" s="17"/>
      <c r="W385" s="17"/>
      <c r="X385" s="17"/>
      <c r="Y385" s="17"/>
    </row>
    <row r="386" spans="1:25">
      <c r="A386" s="17" t="s">
        <v>3829</v>
      </c>
      <c r="B386" s="17" t="s">
        <v>3829</v>
      </c>
      <c r="C386" s="17" t="s">
        <v>3830</v>
      </c>
      <c r="D386" s="17" t="s">
        <v>2669</v>
      </c>
      <c r="E386" s="17" t="s">
        <v>3543</v>
      </c>
      <c r="F386" s="17" t="s">
        <v>3829</v>
      </c>
      <c r="G386" s="17" t="s">
        <v>2671</v>
      </c>
      <c r="H386" s="17" t="s">
        <v>4312</v>
      </c>
      <c r="I386" s="17" t="s">
        <v>4237</v>
      </c>
      <c r="J386" s="17" t="s">
        <v>3544</v>
      </c>
      <c r="K386" s="17" t="s">
        <v>2964</v>
      </c>
      <c r="L386" s="17" t="s">
        <v>3545</v>
      </c>
      <c r="M386" s="17" t="s">
        <v>2669</v>
      </c>
      <c r="N386" s="17" t="s">
        <v>3829</v>
      </c>
      <c r="O386" s="17" t="s">
        <v>7635</v>
      </c>
      <c r="P386" s="17" t="s">
        <v>3831</v>
      </c>
      <c r="Q386" s="17"/>
      <c r="R386" s="17"/>
      <c r="S386" s="17"/>
      <c r="T386" s="17"/>
      <c r="U386" s="17"/>
      <c r="V386" s="17"/>
      <c r="W386" s="17"/>
      <c r="X386" s="17"/>
      <c r="Y386" s="17"/>
    </row>
    <row r="387" spans="1:25">
      <c r="A387" s="17" t="s">
        <v>3832</v>
      </c>
      <c r="B387" s="17" t="s">
        <v>3832</v>
      </c>
      <c r="C387" s="17" t="s">
        <v>3830</v>
      </c>
      <c r="D387" s="17" t="s">
        <v>2669</v>
      </c>
      <c r="E387" s="17" t="s">
        <v>3543</v>
      </c>
      <c r="F387" s="17" t="s">
        <v>3832</v>
      </c>
      <c r="G387" s="17" t="s">
        <v>2671</v>
      </c>
      <c r="H387" s="17" t="s">
        <v>6835</v>
      </c>
      <c r="I387" s="17" t="s">
        <v>4237</v>
      </c>
      <c r="J387" s="17" t="s">
        <v>3544</v>
      </c>
      <c r="K387" s="17" t="s">
        <v>2964</v>
      </c>
      <c r="L387" s="17" t="s">
        <v>3545</v>
      </c>
      <c r="M387" s="17" t="s">
        <v>2669</v>
      </c>
      <c r="N387" s="17" t="s">
        <v>3832</v>
      </c>
      <c r="O387" s="17" t="s">
        <v>7635</v>
      </c>
      <c r="P387" s="17" t="s">
        <v>3833</v>
      </c>
      <c r="Q387" s="17"/>
      <c r="R387" s="17"/>
      <c r="S387" s="17"/>
      <c r="T387" s="17"/>
      <c r="U387" s="17"/>
      <c r="V387" s="17"/>
      <c r="W387" s="17"/>
      <c r="X387" s="17"/>
      <c r="Y387" s="17"/>
    </row>
    <row r="388" spans="1:25">
      <c r="A388" s="17" t="s">
        <v>3834</v>
      </c>
      <c r="B388" s="17" t="s">
        <v>3834</v>
      </c>
      <c r="C388" s="17" t="s">
        <v>3835</v>
      </c>
      <c r="D388" s="17" t="s">
        <v>2669</v>
      </c>
      <c r="E388" s="17" t="s">
        <v>3543</v>
      </c>
      <c r="F388" s="17" t="s">
        <v>3834</v>
      </c>
      <c r="G388" s="17" t="s">
        <v>2671</v>
      </c>
      <c r="H388" s="17" t="s">
        <v>4312</v>
      </c>
      <c r="I388" s="17" t="s">
        <v>4237</v>
      </c>
      <c r="J388" s="17" t="s">
        <v>3544</v>
      </c>
      <c r="K388" s="17" t="s">
        <v>3228</v>
      </c>
      <c r="L388" s="17" t="s">
        <v>3545</v>
      </c>
      <c r="M388" s="17" t="s">
        <v>2669</v>
      </c>
      <c r="N388" s="17" t="s">
        <v>3834</v>
      </c>
      <c r="O388" s="17" t="s">
        <v>7635</v>
      </c>
      <c r="P388" s="17" t="s">
        <v>3836</v>
      </c>
      <c r="Q388" s="17"/>
      <c r="R388" s="17"/>
      <c r="S388" s="17"/>
      <c r="T388" s="17"/>
      <c r="U388" s="17"/>
      <c r="V388" s="17"/>
      <c r="W388" s="17"/>
      <c r="X388" s="17"/>
      <c r="Y388" s="17"/>
    </row>
    <row r="389" spans="1:25">
      <c r="A389" s="17" t="s">
        <v>3837</v>
      </c>
      <c r="B389" s="17" t="s">
        <v>3837</v>
      </c>
      <c r="C389" s="17" t="s">
        <v>3835</v>
      </c>
      <c r="D389" s="17" t="s">
        <v>2669</v>
      </c>
      <c r="E389" s="17" t="s">
        <v>3543</v>
      </c>
      <c r="F389" s="17" t="s">
        <v>3837</v>
      </c>
      <c r="G389" s="17" t="s">
        <v>2671</v>
      </c>
      <c r="H389" s="17" t="s">
        <v>6835</v>
      </c>
      <c r="I389" s="17" t="s">
        <v>4237</v>
      </c>
      <c r="J389" s="17" t="s">
        <v>3544</v>
      </c>
      <c r="K389" s="17" t="s">
        <v>3228</v>
      </c>
      <c r="L389" s="17" t="s">
        <v>3545</v>
      </c>
      <c r="M389" s="17" t="s">
        <v>2669</v>
      </c>
      <c r="N389" s="17" t="s">
        <v>3837</v>
      </c>
      <c r="O389" s="17" t="s">
        <v>7635</v>
      </c>
      <c r="P389" s="17" t="s">
        <v>3838</v>
      </c>
      <c r="Q389" s="17"/>
      <c r="R389" s="17"/>
      <c r="S389" s="17"/>
      <c r="T389" s="17"/>
      <c r="U389" s="17"/>
      <c r="V389" s="17"/>
      <c r="W389" s="17"/>
      <c r="X389" s="17"/>
      <c r="Y389" s="17"/>
    </row>
    <row r="390" spans="1:25">
      <c r="A390" s="17" t="s">
        <v>3839</v>
      </c>
      <c r="B390" s="17" t="s">
        <v>3839</v>
      </c>
      <c r="C390" s="17" t="s">
        <v>3840</v>
      </c>
      <c r="D390" s="17" t="s">
        <v>2669</v>
      </c>
      <c r="E390" s="17" t="s">
        <v>3543</v>
      </c>
      <c r="F390" s="17" t="s">
        <v>3839</v>
      </c>
      <c r="G390" s="17" t="s">
        <v>2671</v>
      </c>
      <c r="H390" s="17" t="s">
        <v>4312</v>
      </c>
      <c r="I390" s="17" t="s">
        <v>4237</v>
      </c>
      <c r="J390" s="17" t="s">
        <v>3544</v>
      </c>
      <c r="K390" s="17" t="s">
        <v>3234</v>
      </c>
      <c r="L390" s="17" t="s">
        <v>3545</v>
      </c>
      <c r="M390" s="17" t="s">
        <v>2669</v>
      </c>
      <c r="N390" s="17" t="s">
        <v>3839</v>
      </c>
      <c r="O390" s="17" t="s">
        <v>7635</v>
      </c>
      <c r="P390" s="17" t="s">
        <v>3841</v>
      </c>
      <c r="Q390" s="17"/>
      <c r="R390" s="17"/>
      <c r="S390" s="17"/>
      <c r="T390" s="17"/>
      <c r="U390" s="17"/>
      <c r="V390" s="17"/>
      <c r="W390" s="17"/>
      <c r="X390" s="17"/>
      <c r="Y390" s="17"/>
    </row>
    <row r="391" spans="1:25">
      <c r="A391" s="17" t="s">
        <v>3842</v>
      </c>
      <c r="B391" s="17" t="s">
        <v>3842</v>
      </c>
      <c r="C391" s="17" t="s">
        <v>3840</v>
      </c>
      <c r="D391" s="17" t="s">
        <v>2669</v>
      </c>
      <c r="E391" s="17" t="s">
        <v>3543</v>
      </c>
      <c r="F391" s="17" t="s">
        <v>3842</v>
      </c>
      <c r="G391" s="17" t="s">
        <v>2671</v>
      </c>
      <c r="H391" s="17" t="s">
        <v>6835</v>
      </c>
      <c r="I391" s="17" t="s">
        <v>4237</v>
      </c>
      <c r="J391" s="17" t="s">
        <v>3544</v>
      </c>
      <c r="K391" s="17" t="s">
        <v>3234</v>
      </c>
      <c r="L391" s="17" t="s">
        <v>3545</v>
      </c>
      <c r="M391" s="17" t="s">
        <v>2669</v>
      </c>
      <c r="N391" s="17" t="s">
        <v>3842</v>
      </c>
      <c r="O391" s="17" t="s">
        <v>7635</v>
      </c>
      <c r="P391" s="17" t="s">
        <v>3843</v>
      </c>
      <c r="Q391" s="17"/>
      <c r="R391" s="17"/>
      <c r="S391" s="17"/>
      <c r="T391" s="17"/>
      <c r="U391" s="17"/>
      <c r="V391" s="17"/>
      <c r="W391" s="17"/>
      <c r="X391" s="17"/>
      <c r="Y391" s="17"/>
    </row>
    <row r="392" spans="1:25">
      <c r="A392" s="17" t="s">
        <v>3844</v>
      </c>
      <c r="B392" s="17" t="s">
        <v>3844</v>
      </c>
      <c r="C392" s="17" t="s">
        <v>3845</v>
      </c>
      <c r="D392" s="17" t="s">
        <v>2669</v>
      </c>
      <c r="E392" s="17" t="s">
        <v>3543</v>
      </c>
      <c r="F392" s="17" t="s">
        <v>3844</v>
      </c>
      <c r="G392" s="17" t="s">
        <v>2671</v>
      </c>
      <c r="H392" s="17" t="s">
        <v>4312</v>
      </c>
      <c r="I392" s="17" t="s">
        <v>4237</v>
      </c>
      <c r="J392" s="17" t="s">
        <v>3544</v>
      </c>
      <c r="K392" s="17" t="s">
        <v>3240</v>
      </c>
      <c r="L392" s="17" t="s">
        <v>3545</v>
      </c>
      <c r="M392" s="17" t="s">
        <v>2669</v>
      </c>
      <c r="N392" s="17" t="s">
        <v>3844</v>
      </c>
      <c r="O392" s="17" t="s">
        <v>7635</v>
      </c>
      <c r="P392" s="17" t="s">
        <v>3846</v>
      </c>
      <c r="Q392" s="17"/>
      <c r="R392" s="17"/>
      <c r="S392" s="17"/>
      <c r="T392" s="17"/>
      <c r="U392" s="17"/>
      <c r="V392" s="17"/>
      <c r="W392" s="17"/>
      <c r="X392" s="17"/>
      <c r="Y392" s="17"/>
    </row>
    <row r="393" spans="1:25">
      <c r="A393" s="17" t="s">
        <v>3847</v>
      </c>
      <c r="B393" s="17" t="s">
        <v>3847</v>
      </c>
      <c r="C393" s="17" t="s">
        <v>3845</v>
      </c>
      <c r="D393" s="17" t="s">
        <v>2669</v>
      </c>
      <c r="E393" s="17" t="s">
        <v>3543</v>
      </c>
      <c r="F393" s="17" t="s">
        <v>3847</v>
      </c>
      <c r="G393" s="17" t="s">
        <v>2671</v>
      </c>
      <c r="H393" s="17" t="s">
        <v>6835</v>
      </c>
      <c r="I393" s="17" t="s">
        <v>4237</v>
      </c>
      <c r="J393" s="17" t="s">
        <v>3544</v>
      </c>
      <c r="K393" s="17" t="s">
        <v>3240</v>
      </c>
      <c r="L393" s="17" t="s">
        <v>3545</v>
      </c>
      <c r="M393" s="17" t="s">
        <v>2669</v>
      </c>
      <c r="N393" s="17" t="s">
        <v>3847</v>
      </c>
      <c r="O393" s="17" t="s">
        <v>7635</v>
      </c>
      <c r="P393" s="17" t="s">
        <v>3848</v>
      </c>
      <c r="Q393" s="17"/>
      <c r="R393" s="17"/>
      <c r="S393" s="17"/>
      <c r="T393" s="17"/>
      <c r="U393" s="17"/>
      <c r="V393" s="17"/>
      <c r="W393" s="17"/>
      <c r="X393" s="17"/>
      <c r="Y393" s="17"/>
    </row>
    <row r="394" spans="1:25">
      <c r="A394" s="17" t="s">
        <v>3849</v>
      </c>
      <c r="B394" s="17" t="s">
        <v>3849</v>
      </c>
      <c r="C394" s="17" t="s">
        <v>3850</v>
      </c>
      <c r="D394" s="17" t="s">
        <v>2669</v>
      </c>
      <c r="E394" s="17" t="s">
        <v>3543</v>
      </c>
      <c r="F394" s="17" t="s">
        <v>3849</v>
      </c>
      <c r="G394" s="17" t="s">
        <v>2671</v>
      </c>
      <c r="H394" s="17" t="s">
        <v>4312</v>
      </c>
      <c r="I394" s="17" t="s">
        <v>4237</v>
      </c>
      <c r="J394" s="17" t="s">
        <v>3544</v>
      </c>
      <c r="K394" s="17" t="s">
        <v>3246</v>
      </c>
      <c r="L394" s="17" t="s">
        <v>3545</v>
      </c>
      <c r="M394" s="17" t="s">
        <v>2669</v>
      </c>
      <c r="N394" s="17" t="s">
        <v>3849</v>
      </c>
      <c r="O394" s="17" t="s">
        <v>7635</v>
      </c>
      <c r="P394" s="17" t="s">
        <v>3851</v>
      </c>
      <c r="Q394" s="17"/>
      <c r="R394" s="17"/>
      <c r="S394" s="17"/>
      <c r="T394" s="17"/>
      <c r="U394" s="17"/>
      <c r="V394" s="17"/>
      <c r="W394" s="17"/>
      <c r="X394" s="17"/>
      <c r="Y394" s="17"/>
    </row>
    <row r="395" spans="1:25">
      <c r="A395" s="17" t="s">
        <v>3852</v>
      </c>
      <c r="B395" s="17" t="s">
        <v>3852</v>
      </c>
      <c r="C395" s="17" t="s">
        <v>3850</v>
      </c>
      <c r="D395" s="17" t="s">
        <v>2669</v>
      </c>
      <c r="E395" s="17" t="s">
        <v>3543</v>
      </c>
      <c r="F395" s="17" t="s">
        <v>3852</v>
      </c>
      <c r="G395" s="17" t="s">
        <v>2671</v>
      </c>
      <c r="H395" s="17" t="s">
        <v>6835</v>
      </c>
      <c r="I395" s="17" t="s">
        <v>4237</v>
      </c>
      <c r="J395" s="17" t="s">
        <v>3544</v>
      </c>
      <c r="K395" s="17" t="s">
        <v>3246</v>
      </c>
      <c r="L395" s="17" t="s">
        <v>3545</v>
      </c>
      <c r="M395" s="17" t="s">
        <v>2669</v>
      </c>
      <c r="N395" s="17" t="s">
        <v>3852</v>
      </c>
      <c r="O395" s="17" t="s">
        <v>7635</v>
      </c>
      <c r="P395" s="17" t="s">
        <v>3853</v>
      </c>
      <c r="Q395" s="17"/>
      <c r="R395" s="17"/>
      <c r="S395" s="17"/>
      <c r="T395" s="17"/>
      <c r="U395" s="17"/>
      <c r="V395" s="17"/>
      <c r="W395" s="17"/>
      <c r="X395" s="17"/>
      <c r="Y395" s="17"/>
    </row>
    <row r="396" spans="1:25">
      <c r="A396" s="17" t="s">
        <v>3854</v>
      </c>
      <c r="B396" s="17" t="s">
        <v>3854</v>
      </c>
      <c r="C396" s="17" t="s">
        <v>3855</v>
      </c>
      <c r="D396" s="17" t="s">
        <v>2669</v>
      </c>
      <c r="E396" s="17" t="s">
        <v>3543</v>
      </c>
      <c r="F396" s="17" t="s">
        <v>3854</v>
      </c>
      <c r="G396" s="17" t="s">
        <v>2671</v>
      </c>
      <c r="H396" s="17" t="s">
        <v>4312</v>
      </c>
      <c r="I396" s="17" t="s">
        <v>4237</v>
      </c>
      <c r="J396" s="17" t="s">
        <v>3544</v>
      </c>
      <c r="K396" s="17" t="s">
        <v>3252</v>
      </c>
      <c r="L396" s="17" t="s">
        <v>3545</v>
      </c>
      <c r="M396" s="17" t="s">
        <v>2669</v>
      </c>
      <c r="N396" s="17" t="s">
        <v>3854</v>
      </c>
      <c r="O396" s="17" t="s">
        <v>7635</v>
      </c>
      <c r="P396" s="17" t="s">
        <v>3856</v>
      </c>
      <c r="Q396" s="17"/>
      <c r="R396" s="17"/>
      <c r="S396" s="17"/>
      <c r="T396" s="17"/>
      <c r="U396" s="17"/>
      <c r="V396" s="17"/>
      <c r="W396" s="17"/>
      <c r="X396" s="17"/>
      <c r="Y396" s="17"/>
    </row>
    <row r="397" spans="1:25">
      <c r="A397" s="17" t="s">
        <v>3857</v>
      </c>
      <c r="B397" s="17" t="s">
        <v>3857</v>
      </c>
      <c r="C397" s="17" t="s">
        <v>3855</v>
      </c>
      <c r="D397" s="17" t="s">
        <v>2669</v>
      </c>
      <c r="E397" s="17" t="s">
        <v>3543</v>
      </c>
      <c r="F397" s="17" t="s">
        <v>3857</v>
      </c>
      <c r="G397" s="17" t="s">
        <v>2671</v>
      </c>
      <c r="H397" s="17" t="s">
        <v>6835</v>
      </c>
      <c r="I397" s="17" t="s">
        <v>4237</v>
      </c>
      <c r="J397" s="17" t="s">
        <v>3544</v>
      </c>
      <c r="K397" s="17" t="s">
        <v>3252</v>
      </c>
      <c r="L397" s="17" t="s">
        <v>3545</v>
      </c>
      <c r="M397" s="17" t="s">
        <v>2669</v>
      </c>
      <c r="N397" s="17" t="s">
        <v>3857</v>
      </c>
      <c r="O397" s="17" t="s">
        <v>7635</v>
      </c>
      <c r="P397" s="17" t="s">
        <v>3858</v>
      </c>
      <c r="Q397" s="17"/>
      <c r="R397" s="17"/>
      <c r="S397" s="17"/>
      <c r="T397" s="17"/>
      <c r="U397" s="17"/>
      <c r="V397" s="17"/>
      <c r="W397" s="17"/>
      <c r="X397" s="17"/>
      <c r="Y397" s="17"/>
    </row>
    <row r="398" spans="1:25">
      <c r="A398" s="17" t="s">
        <v>3871</v>
      </c>
      <c r="B398" s="17" t="s">
        <v>3871</v>
      </c>
      <c r="C398" s="17" t="s">
        <v>3872</v>
      </c>
      <c r="D398" s="17" t="s">
        <v>2669</v>
      </c>
      <c r="E398" s="17" t="s">
        <v>3543</v>
      </c>
      <c r="F398" s="17" t="s">
        <v>3871</v>
      </c>
      <c r="G398" s="17" t="s">
        <v>2671</v>
      </c>
      <c r="H398" s="17" t="s">
        <v>4312</v>
      </c>
      <c r="I398" s="17" t="s">
        <v>4237</v>
      </c>
      <c r="J398" s="17" t="s">
        <v>3544</v>
      </c>
      <c r="K398" s="17" t="s">
        <v>2684</v>
      </c>
      <c r="L398" s="17" t="s">
        <v>3873</v>
      </c>
      <c r="M398" s="17" t="s">
        <v>2669</v>
      </c>
      <c r="N398" s="17" t="s">
        <v>3874</v>
      </c>
      <c r="O398" s="17" t="s">
        <v>7635</v>
      </c>
      <c r="P398" s="17" t="s">
        <v>3875</v>
      </c>
      <c r="Q398" s="17"/>
      <c r="R398" s="17"/>
      <c r="S398" s="17"/>
      <c r="T398" s="17"/>
      <c r="U398" s="17"/>
      <c r="V398" s="17"/>
      <c r="W398" s="17"/>
      <c r="X398" s="17"/>
      <c r="Y398" s="17"/>
    </row>
    <row r="399" spans="1:25">
      <c r="A399" s="17" t="s">
        <v>3876</v>
      </c>
      <c r="B399" s="17" t="s">
        <v>3876</v>
      </c>
      <c r="C399" s="17" t="s">
        <v>3872</v>
      </c>
      <c r="D399" s="17" t="s">
        <v>2669</v>
      </c>
      <c r="E399" s="17" t="s">
        <v>3543</v>
      </c>
      <c r="F399" s="17" t="s">
        <v>3876</v>
      </c>
      <c r="G399" s="17" t="s">
        <v>2671</v>
      </c>
      <c r="H399" s="17" t="s">
        <v>6835</v>
      </c>
      <c r="I399" s="17" t="s">
        <v>4237</v>
      </c>
      <c r="J399" s="17" t="s">
        <v>3544</v>
      </c>
      <c r="K399" s="17" t="s">
        <v>2684</v>
      </c>
      <c r="L399" s="17" t="s">
        <v>3873</v>
      </c>
      <c r="M399" s="17" t="s">
        <v>2669</v>
      </c>
      <c r="N399" s="17" t="s">
        <v>3877</v>
      </c>
      <c r="O399" s="17" t="s">
        <v>7635</v>
      </c>
      <c r="P399" s="17" t="s">
        <v>3878</v>
      </c>
      <c r="Q399" s="17"/>
      <c r="R399" s="17"/>
      <c r="S399" s="17"/>
      <c r="T399" s="17"/>
      <c r="U399" s="17"/>
      <c r="V399" s="17"/>
      <c r="W399" s="17"/>
      <c r="X399" s="17"/>
      <c r="Y399" s="17"/>
    </row>
    <row r="400" spans="1:25">
      <c r="A400" s="17" t="s">
        <v>3879</v>
      </c>
      <c r="B400" s="17" t="s">
        <v>3879</v>
      </c>
      <c r="C400" s="17" t="s">
        <v>3880</v>
      </c>
      <c r="D400" s="17" t="s">
        <v>2669</v>
      </c>
      <c r="E400" s="17" t="s">
        <v>3543</v>
      </c>
      <c r="F400" s="17" t="s">
        <v>3879</v>
      </c>
      <c r="G400" s="17" t="s">
        <v>2671</v>
      </c>
      <c r="H400" s="17" t="s">
        <v>4312</v>
      </c>
      <c r="I400" s="17" t="s">
        <v>4237</v>
      </c>
      <c r="J400" s="17" t="s">
        <v>3544</v>
      </c>
      <c r="K400" s="17" t="s">
        <v>2693</v>
      </c>
      <c r="L400" s="17" t="s">
        <v>3873</v>
      </c>
      <c r="M400" s="17" t="s">
        <v>2669</v>
      </c>
      <c r="N400" s="17" t="s">
        <v>3881</v>
      </c>
      <c r="O400" s="17" t="s">
        <v>7635</v>
      </c>
      <c r="P400" s="17" t="s">
        <v>3882</v>
      </c>
      <c r="Q400" s="17"/>
      <c r="R400" s="17"/>
      <c r="S400" s="17"/>
      <c r="T400" s="17"/>
      <c r="U400" s="17"/>
      <c r="V400" s="17"/>
      <c r="W400" s="17"/>
      <c r="X400" s="17"/>
      <c r="Y400" s="17"/>
    </row>
    <row r="401" spans="1:25">
      <c r="A401" s="17" t="s">
        <v>3883</v>
      </c>
      <c r="B401" s="17" t="s">
        <v>3883</v>
      </c>
      <c r="C401" s="17" t="s">
        <v>3880</v>
      </c>
      <c r="D401" s="17" t="s">
        <v>2669</v>
      </c>
      <c r="E401" s="17" t="s">
        <v>3543</v>
      </c>
      <c r="F401" s="17" t="s">
        <v>3883</v>
      </c>
      <c r="G401" s="17" t="s">
        <v>2671</v>
      </c>
      <c r="H401" s="17" t="s">
        <v>6835</v>
      </c>
      <c r="I401" s="17" t="s">
        <v>4237</v>
      </c>
      <c r="J401" s="17" t="s">
        <v>3544</v>
      </c>
      <c r="K401" s="17" t="s">
        <v>2693</v>
      </c>
      <c r="L401" s="17" t="s">
        <v>3873</v>
      </c>
      <c r="M401" s="17" t="s">
        <v>2669</v>
      </c>
      <c r="N401" s="17" t="s">
        <v>3884</v>
      </c>
      <c r="O401" s="17" t="s">
        <v>7635</v>
      </c>
      <c r="P401" s="17" t="s">
        <v>3885</v>
      </c>
      <c r="Q401" s="17"/>
      <c r="R401" s="17"/>
      <c r="S401" s="17"/>
      <c r="T401" s="17"/>
      <c r="U401" s="17"/>
      <c r="V401" s="17"/>
      <c r="W401" s="17"/>
      <c r="X401" s="17"/>
      <c r="Y401" s="17"/>
    </row>
    <row r="402" spans="1:25">
      <c r="A402" s="17" t="s">
        <v>3886</v>
      </c>
      <c r="B402" s="17" t="s">
        <v>3886</v>
      </c>
      <c r="C402" s="17" t="s">
        <v>3887</v>
      </c>
      <c r="D402" s="17" t="s">
        <v>2669</v>
      </c>
      <c r="E402" s="17" t="s">
        <v>3543</v>
      </c>
      <c r="F402" s="17" t="s">
        <v>3886</v>
      </c>
      <c r="G402" s="17" t="s">
        <v>2671</v>
      </c>
      <c r="H402" s="17" t="s">
        <v>4312</v>
      </c>
      <c r="I402" s="17" t="s">
        <v>4237</v>
      </c>
      <c r="J402" s="17" t="s">
        <v>3544</v>
      </c>
      <c r="K402" s="17" t="s">
        <v>2699</v>
      </c>
      <c r="L402" s="17" t="s">
        <v>3873</v>
      </c>
      <c r="M402" s="17" t="s">
        <v>2669</v>
      </c>
      <c r="N402" s="17" t="s">
        <v>3888</v>
      </c>
      <c r="O402" s="17" t="s">
        <v>7635</v>
      </c>
      <c r="P402" s="17" t="s">
        <v>3889</v>
      </c>
      <c r="Q402" s="17"/>
      <c r="R402" s="17"/>
      <c r="S402" s="17"/>
      <c r="T402" s="17"/>
      <c r="U402" s="17"/>
      <c r="V402" s="17"/>
      <c r="W402" s="17"/>
      <c r="X402" s="17"/>
      <c r="Y402" s="17"/>
    </row>
    <row r="403" spans="1:25">
      <c r="A403" s="17" t="s">
        <v>3890</v>
      </c>
      <c r="B403" s="17" t="s">
        <v>3890</v>
      </c>
      <c r="C403" s="17" t="s">
        <v>3887</v>
      </c>
      <c r="D403" s="17" t="s">
        <v>2669</v>
      </c>
      <c r="E403" s="17" t="s">
        <v>3543</v>
      </c>
      <c r="F403" s="17" t="s">
        <v>3890</v>
      </c>
      <c r="G403" s="17" t="s">
        <v>2671</v>
      </c>
      <c r="H403" s="17" t="s">
        <v>6835</v>
      </c>
      <c r="I403" s="17" t="s">
        <v>4237</v>
      </c>
      <c r="J403" s="17" t="s">
        <v>3544</v>
      </c>
      <c r="K403" s="17" t="s">
        <v>2699</v>
      </c>
      <c r="L403" s="17" t="s">
        <v>3873</v>
      </c>
      <c r="M403" s="17" t="s">
        <v>2669</v>
      </c>
      <c r="N403" s="17" t="s">
        <v>3891</v>
      </c>
      <c r="O403" s="17" t="s">
        <v>7635</v>
      </c>
      <c r="P403" s="17" t="s">
        <v>3892</v>
      </c>
      <c r="Q403" s="17"/>
      <c r="R403" s="17"/>
      <c r="S403" s="17"/>
      <c r="T403" s="17"/>
      <c r="U403" s="17"/>
      <c r="V403" s="17"/>
      <c r="W403" s="17"/>
      <c r="X403" s="17"/>
      <c r="Y403" s="17"/>
    </row>
    <row r="404" spans="1:25">
      <c r="A404" s="17" t="s">
        <v>3893</v>
      </c>
      <c r="B404" s="17" t="s">
        <v>3893</v>
      </c>
      <c r="C404" s="17" t="s">
        <v>3894</v>
      </c>
      <c r="D404" s="17" t="s">
        <v>2669</v>
      </c>
      <c r="E404" s="17" t="s">
        <v>3543</v>
      </c>
      <c r="F404" s="17" t="s">
        <v>3893</v>
      </c>
      <c r="G404" s="17" t="s">
        <v>2671</v>
      </c>
      <c r="H404" s="17" t="s">
        <v>4312</v>
      </c>
      <c r="I404" s="17" t="s">
        <v>4237</v>
      </c>
      <c r="J404" s="17" t="s">
        <v>3544</v>
      </c>
      <c r="K404" s="17" t="s">
        <v>2703</v>
      </c>
      <c r="L404" s="17" t="s">
        <v>3873</v>
      </c>
      <c r="M404" s="17" t="s">
        <v>2669</v>
      </c>
      <c r="N404" s="17" t="s">
        <v>3895</v>
      </c>
      <c r="O404" s="17" t="s">
        <v>7635</v>
      </c>
      <c r="P404" s="17" t="s">
        <v>3896</v>
      </c>
      <c r="Q404" s="17"/>
      <c r="R404" s="17"/>
      <c r="S404" s="17"/>
      <c r="T404" s="17"/>
      <c r="U404" s="17"/>
      <c r="V404" s="17"/>
      <c r="W404" s="17"/>
      <c r="X404" s="17"/>
      <c r="Y404" s="17"/>
    </row>
    <row r="405" spans="1:25">
      <c r="A405" s="17" t="s">
        <v>3897</v>
      </c>
      <c r="B405" s="17" t="s">
        <v>3897</v>
      </c>
      <c r="C405" s="17" t="s">
        <v>3894</v>
      </c>
      <c r="D405" s="17" t="s">
        <v>2669</v>
      </c>
      <c r="E405" s="17" t="s">
        <v>3543</v>
      </c>
      <c r="F405" s="17" t="s">
        <v>3897</v>
      </c>
      <c r="G405" s="17" t="s">
        <v>2671</v>
      </c>
      <c r="H405" s="17" t="s">
        <v>6835</v>
      </c>
      <c r="I405" s="17" t="s">
        <v>4237</v>
      </c>
      <c r="J405" s="17" t="s">
        <v>3544</v>
      </c>
      <c r="K405" s="17" t="s">
        <v>2703</v>
      </c>
      <c r="L405" s="17" t="s">
        <v>3873</v>
      </c>
      <c r="M405" s="17" t="s">
        <v>2669</v>
      </c>
      <c r="N405" s="17" t="s">
        <v>3898</v>
      </c>
      <c r="O405" s="17" t="s">
        <v>7635</v>
      </c>
      <c r="P405" s="17" t="s">
        <v>3899</v>
      </c>
      <c r="Q405" s="17"/>
      <c r="R405" s="17"/>
      <c r="S405" s="17"/>
      <c r="T405" s="17"/>
      <c r="U405" s="17"/>
      <c r="V405" s="17"/>
      <c r="W405" s="17"/>
      <c r="X405" s="17"/>
      <c r="Y405" s="17"/>
    </row>
    <row r="406" spans="1:25">
      <c r="A406" s="17" t="s">
        <v>3900</v>
      </c>
      <c r="B406" s="17" t="s">
        <v>3900</v>
      </c>
      <c r="C406" s="17" t="s">
        <v>3901</v>
      </c>
      <c r="D406" s="17" t="s">
        <v>2669</v>
      </c>
      <c r="E406" s="17" t="s">
        <v>3543</v>
      </c>
      <c r="F406" s="17" t="s">
        <v>3900</v>
      </c>
      <c r="G406" s="17" t="s">
        <v>2671</v>
      </c>
      <c r="H406" s="17" t="s">
        <v>4312</v>
      </c>
      <c r="I406" s="17" t="s">
        <v>4237</v>
      </c>
      <c r="J406" s="17" t="s">
        <v>3544</v>
      </c>
      <c r="K406" s="17" t="s">
        <v>2707</v>
      </c>
      <c r="L406" s="17" t="s">
        <v>3873</v>
      </c>
      <c r="M406" s="17" t="s">
        <v>2669</v>
      </c>
      <c r="N406" s="17" t="s">
        <v>3902</v>
      </c>
      <c r="O406" s="17" t="s">
        <v>7635</v>
      </c>
      <c r="P406" s="17" t="s">
        <v>3903</v>
      </c>
      <c r="Q406" s="17"/>
      <c r="R406" s="17"/>
      <c r="S406" s="17"/>
      <c r="T406" s="17"/>
      <c r="U406" s="17"/>
      <c r="V406" s="17"/>
      <c r="W406" s="17"/>
      <c r="X406" s="17"/>
      <c r="Y406" s="17"/>
    </row>
    <row r="407" spans="1:25">
      <c r="A407" s="17" t="s">
        <v>3904</v>
      </c>
      <c r="B407" s="17" t="s">
        <v>3904</v>
      </c>
      <c r="C407" s="17" t="s">
        <v>3901</v>
      </c>
      <c r="D407" s="17" t="s">
        <v>2669</v>
      </c>
      <c r="E407" s="17" t="s">
        <v>3543</v>
      </c>
      <c r="F407" s="17" t="s">
        <v>3904</v>
      </c>
      <c r="G407" s="17" t="s">
        <v>2671</v>
      </c>
      <c r="H407" s="17" t="s">
        <v>6835</v>
      </c>
      <c r="I407" s="17" t="s">
        <v>4237</v>
      </c>
      <c r="J407" s="17" t="s">
        <v>3544</v>
      </c>
      <c r="K407" s="17" t="s">
        <v>2707</v>
      </c>
      <c r="L407" s="17" t="s">
        <v>3873</v>
      </c>
      <c r="M407" s="17" t="s">
        <v>2669</v>
      </c>
      <c r="N407" s="17" t="s">
        <v>3905</v>
      </c>
      <c r="O407" s="17" t="s">
        <v>7635</v>
      </c>
      <c r="P407" s="17" t="s">
        <v>3906</v>
      </c>
      <c r="Q407" s="17"/>
      <c r="R407" s="17"/>
      <c r="S407" s="17"/>
      <c r="T407" s="17"/>
      <c r="U407" s="17"/>
      <c r="V407" s="17"/>
      <c r="W407" s="17"/>
      <c r="X407" s="17"/>
      <c r="Y407" s="17"/>
    </row>
    <row r="408" spans="1:25">
      <c r="A408" s="17" t="s">
        <v>3907</v>
      </c>
      <c r="B408" s="17" t="s">
        <v>3907</v>
      </c>
      <c r="C408" s="17" t="s">
        <v>3908</v>
      </c>
      <c r="D408" s="17" t="s">
        <v>2669</v>
      </c>
      <c r="E408" s="17" t="s">
        <v>3543</v>
      </c>
      <c r="F408" s="17" t="s">
        <v>3907</v>
      </c>
      <c r="G408" s="17" t="s">
        <v>2671</v>
      </c>
      <c r="H408" s="17" t="s">
        <v>4312</v>
      </c>
      <c r="I408" s="17" t="s">
        <v>4237</v>
      </c>
      <c r="J408" s="17" t="s">
        <v>3544</v>
      </c>
      <c r="K408" s="17" t="s">
        <v>2713</v>
      </c>
      <c r="L408" s="17" t="s">
        <v>3873</v>
      </c>
      <c r="M408" s="17" t="s">
        <v>2669</v>
      </c>
      <c r="N408" s="17" t="s">
        <v>3909</v>
      </c>
      <c r="O408" s="17" t="s">
        <v>7635</v>
      </c>
      <c r="P408" s="17" t="s">
        <v>3910</v>
      </c>
      <c r="Q408" s="17"/>
      <c r="R408" s="17"/>
      <c r="S408" s="17"/>
      <c r="T408" s="17"/>
      <c r="U408" s="17"/>
      <c r="V408" s="17"/>
      <c r="W408" s="17"/>
      <c r="X408" s="17"/>
      <c r="Y408" s="17"/>
    </row>
    <row r="409" spans="1:25">
      <c r="A409" s="17" t="s">
        <v>3911</v>
      </c>
      <c r="B409" s="17" t="s">
        <v>3911</v>
      </c>
      <c r="C409" s="17" t="s">
        <v>3908</v>
      </c>
      <c r="D409" s="17" t="s">
        <v>2669</v>
      </c>
      <c r="E409" s="17" t="s">
        <v>3543</v>
      </c>
      <c r="F409" s="17" t="s">
        <v>3911</v>
      </c>
      <c r="G409" s="17" t="s">
        <v>2671</v>
      </c>
      <c r="H409" s="17" t="s">
        <v>6835</v>
      </c>
      <c r="I409" s="17" t="s">
        <v>4237</v>
      </c>
      <c r="J409" s="17" t="s">
        <v>3544</v>
      </c>
      <c r="K409" s="17" t="s">
        <v>2713</v>
      </c>
      <c r="L409" s="17" t="s">
        <v>3873</v>
      </c>
      <c r="M409" s="17" t="s">
        <v>2669</v>
      </c>
      <c r="N409" s="17" t="s">
        <v>3912</v>
      </c>
      <c r="O409" s="17" t="s">
        <v>7635</v>
      </c>
      <c r="P409" s="17" t="s">
        <v>3913</v>
      </c>
      <c r="Q409" s="17"/>
      <c r="R409" s="17"/>
      <c r="S409" s="17"/>
      <c r="T409" s="17"/>
      <c r="U409" s="17"/>
      <c r="V409" s="17"/>
      <c r="W409" s="17"/>
      <c r="X409" s="17"/>
      <c r="Y409" s="17"/>
    </row>
    <row r="410" spans="1:25">
      <c r="A410" s="17" t="s">
        <v>3914</v>
      </c>
      <c r="B410" s="17" t="s">
        <v>3914</v>
      </c>
      <c r="C410" s="17" t="s">
        <v>3915</v>
      </c>
      <c r="D410" s="17" t="s">
        <v>2669</v>
      </c>
      <c r="E410" s="17" t="s">
        <v>3543</v>
      </c>
      <c r="F410" s="17" t="s">
        <v>3914</v>
      </c>
      <c r="G410" s="17" t="s">
        <v>2671</v>
      </c>
      <c r="H410" s="17" t="s">
        <v>4312</v>
      </c>
      <c r="I410" s="17" t="s">
        <v>4237</v>
      </c>
      <c r="J410" s="17" t="s">
        <v>3544</v>
      </c>
      <c r="K410" s="17" t="s">
        <v>2720</v>
      </c>
      <c r="L410" s="17" t="s">
        <v>3873</v>
      </c>
      <c r="M410" s="17" t="s">
        <v>2669</v>
      </c>
      <c r="N410" s="17" t="s">
        <v>3916</v>
      </c>
      <c r="O410" s="17" t="s">
        <v>7635</v>
      </c>
      <c r="P410" s="17" t="s">
        <v>3917</v>
      </c>
      <c r="Q410" s="17"/>
      <c r="R410" s="17"/>
      <c r="S410" s="17"/>
      <c r="T410" s="17"/>
      <c r="U410" s="17"/>
      <c r="V410" s="17"/>
      <c r="W410" s="17"/>
      <c r="X410" s="17"/>
      <c r="Y410" s="17"/>
    </row>
    <row r="411" spans="1:25">
      <c r="A411" s="17" t="s">
        <v>3918</v>
      </c>
      <c r="B411" s="17" t="s">
        <v>3918</v>
      </c>
      <c r="C411" s="17" t="s">
        <v>3915</v>
      </c>
      <c r="D411" s="17" t="s">
        <v>2669</v>
      </c>
      <c r="E411" s="17" t="s">
        <v>3543</v>
      </c>
      <c r="F411" s="17" t="s">
        <v>3918</v>
      </c>
      <c r="G411" s="17" t="s">
        <v>2671</v>
      </c>
      <c r="H411" s="17" t="s">
        <v>6835</v>
      </c>
      <c r="I411" s="17" t="s">
        <v>4237</v>
      </c>
      <c r="J411" s="17" t="s">
        <v>3544</v>
      </c>
      <c r="K411" s="17" t="s">
        <v>2720</v>
      </c>
      <c r="L411" s="17" t="s">
        <v>3873</v>
      </c>
      <c r="M411" s="17" t="s">
        <v>2669</v>
      </c>
      <c r="N411" s="17" t="s">
        <v>3919</v>
      </c>
      <c r="O411" s="17" t="s">
        <v>7635</v>
      </c>
      <c r="P411" s="17" t="s">
        <v>3920</v>
      </c>
      <c r="Q411" s="17"/>
      <c r="R411" s="17"/>
      <c r="S411" s="17"/>
      <c r="T411" s="17"/>
      <c r="U411" s="17"/>
      <c r="V411" s="17"/>
      <c r="W411" s="17"/>
      <c r="X411" s="17"/>
      <c r="Y411" s="17"/>
    </row>
    <row r="412" spans="1:25">
      <c r="A412" s="17" t="s">
        <v>3921</v>
      </c>
      <c r="B412" s="17" t="s">
        <v>3921</v>
      </c>
      <c r="C412" s="17" t="s">
        <v>3922</v>
      </c>
      <c r="D412" s="17" t="s">
        <v>2669</v>
      </c>
      <c r="E412" s="17" t="s">
        <v>3543</v>
      </c>
      <c r="F412" s="17" t="s">
        <v>3921</v>
      </c>
      <c r="G412" s="17" t="s">
        <v>2671</v>
      </c>
      <c r="H412" s="17" t="s">
        <v>4312</v>
      </c>
      <c r="I412" s="17" t="s">
        <v>4237</v>
      </c>
      <c r="J412" s="17" t="s">
        <v>3544</v>
      </c>
      <c r="K412" s="17" t="s">
        <v>2729</v>
      </c>
      <c r="L412" s="17" t="s">
        <v>3873</v>
      </c>
      <c r="M412" s="17" t="s">
        <v>2669</v>
      </c>
      <c r="N412" s="17" t="s">
        <v>3923</v>
      </c>
      <c r="O412" s="17" t="s">
        <v>7635</v>
      </c>
      <c r="P412" s="17" t="s">
        <v>3924</v>
      </c>
      <c r="Q412" s="17"/>
      <c r="R412" s="17"/>
      <c r="S412" s="17"/>
      <c r="T412" s="17"/>
      <c r="U412" s="17"/>
      <c r="V412" s="17"/>
      <c r="W412" s="17"/>
      <c r="X412" s="17"/>
      <c r="Y412" s="17"/>
    </row>
    <row r="413" spans="1:25">
      <c r="A413" s="17" t="s">
        <v>3925</v>
      </c>
      <c r="B413" s="17" t="s">
        <v>3925</v>
      </c>
      <c r="C413" s="17" t="s">
        <v>3922</v>
      </c>
      <c r="D413" s="17" t="s">
        <v>2669</v>
      </c>
      <c r="E413" s="17" t="s">
        <v>3543</v>
      </c>
      <c r="F413" s="17" t="s">
        <v>3925</v>
      </c>
      <c r="G413" s="17" t="s">
        <v>2671</v>
      </c>
      <c r="H413" s="17" t="s">
        <v>6835</v>
      </c>
      <c r="I413" s="17" t="s">
        <v>4237</v>
      </c>
      <c r="J413" s="17" t="s">
        <v>3544</v>
      </c>
      <c r="K413" s="17" t="s">
        <v>2729</v>
      </c>
      <c r="L413" s="17" t="s">
        <v>3873</v>
      </c>
      <c r="M413" s="17" t="s">
        <v>2669</v>
      </c>
      <c r="N413" s="17" t="s">
        <v>3926</v>
      </c>
      <c r="O413" s="17" t="s">
        <v>7635</v>
      </c>
      <c r="P413" s="17" t="s">
        <v>3927</v>
      </c>
      <c r="Q413" s="17"/>
      <c r="R413" s="17"/>
      <c r="S413" s="17"/>
      <c r="T413" s="17"/>
      <c r="U413" s="17"/>
      <c r="V413" s="17"/>
      <c r="W413" s="17"/>
      <c r="X413" s="17"/>
      <c r="Y413" s="17"/>
    </row>
    <row r="414" spans="1:25">
      <c r="A414" s="17" t="s">
        <v>3928</v>
      </c>
      <c r="B414" s="17" t="s">
        <v>3928</v>
      </c>
      <c r="C414" s="17" t="s">
        <v>3929</v>
      </c>
      <c r="D414" s="17" t="s">
        <v>2669</v>
      </c>
      <c r="E414" s="17" t="s">
        <v>3543</v>
      </c>
      <c r="F414" s="17" t="s">
        <v>3928</v>
      </c>
      <c r="G414" s="17" t="s">
        <v>2671</v>
      </c>
      <c r="H414" s="17" t="s">
        <v>4312</v>
      </c>
      <c r="I414" s="17" t="s">
        <v>4237</v>
      </c>
      <c r="J414" s="17" t="s">
        <v>3544</v>
      </c>
      <c r="K414" s="17" t="s">
        <v>2738</v>
      </c>
      <c r="L414" s="17" t="s">
        <v>3873</v>
      </c>
      <c r="M414" s="17" t="s">
        <v>2669</v>
      </c>
      <c r="N414" s="17" t="s">
        <v>3930</v>
      </c>
      <c r="O414" s="17" t="s">
        <v>7635</v>
      </c>
      <c r="P414" s="17" t="s">
        <v>3931</v>
      </c>
      <c r="Q414" s="17"/>
      <c r="R414" s="17"/>
      <c r="S414" s="17"/>
      <c r="T414" s="17"/>
      <c r="U414" s="17"/>
      <c r="V414" s="17"/>
      <c r="W414" s="17"/>
      <c r="X414" s="17"/>
      <c r="Y414" s="17"/>
    </row>
    <row r="415" spans="1:25">
      <c r="A415" s="17" t="s">
        <v>3932</v>
      </c>
      <c r="B415" s="17" t="s">
        <v>3932</v>
      </c>
      <c r="C415" s="17" t="s">
        <v>3929</v>
      </c>
      <c r="D415" s="17" t="s">
        <v>2669</v>
      </c>
      <c r="E415" s="17" t="s">
        <v>3543</v>
      </c>
      <c r="F415" s="17" t="s">
        <v>3932</v>
      </c>
      <c r="G415" s="17" t="s">
        <v>2671</v>
      </c>
      <c r="H415" s="17" t="s">
        <v>6835</v>
      </c>
      <c r="I415" s="17" t="s">
        <v>4237</v>
      </c>
      <c r="J415" s="17" t="s">
        <v>3544</v>
      </c>
      <c r="K415" s="17" t="s">
        <v>2738</v>
      </c>
      <c r="L415" s="17" t="s">
        <v>3873</v>
      </c>
      <c r="M415" s="17" t="s">
        <v>2669</v>
      </c>
      <c r="N415" s="17" t="s">
        <v>3933</v>
      </c>
      <c r="O415" s="17" t="s">
        <v>7635</v>
      </c>
      <c r="P415" s="17" t="s">
        <v>3934</v>
      </c>
      <c r="Q415" s="17"/>
      <c r="R415" s="17"/>
      <c r="S415" s="17"/>
      <c r="T415" s="17"/>
      <c r="U415" s="17"/>
      <c r="V415" s="17"/>
      <c r="W415" s="17"/>
      <c r="X415" s="17"/>
      <c r="Y415" s="17"/>
    </row>
    <row r="416" spans="1:25">
      <c r="A416" s="17" t="s">
        <v>3935</v>
      </c>
      <c r="B416" s="17" t="s">
        <v>3935</v>
      </c>
      <c r="C416" s="17" t="s">
        <v>3936</v>
      </c>
      <c r="D416" s="17" t="s">
        <v>2669</v>
      </c>
      <c r="E416" s="17" t="s">
        <v>3543</v>
      </c>
      <c r="F416" s="17" t="s">
        <v>3935</v>
      </c>
      <c r="G416" s="17" t="s">
        <v>2671</v>
      </c>
      <c r="H416" s="17" t="s">
        <v>4312</v>
      </c>
      <c r="I416" s="17" t="s">
        <v>4237</v>
      </c>
      <c r="J416" s="17" t="s">
        <v>3544</v>
      </c>
      <c r="K416" s="17" t="s">
        <v>2742</v>
      </c>
      <c r="L416" s="17" t="s">
        <v>3873</v>
      </c>
      <c r="M416" s="17" t="s">
        <v>2669</v>
      </c>
      <c r="N416" s="17" t="s">
        <v>3937</v>
      </c>
      <c r="O416" s="17" t="s">
        <v>7635</v>
      </c>
      <c r="P416" s="17" t="s">
        <v>3938</v>
      </c>
      <c r="Q416" s="17" t="s">
        <v>2669</v>
      </c>
      <c r="R416" s="17" t="s">
        <v>3935</v>
      </c>
      <c r="S416" s="17" t="s">
        <v>7635</v>
      </c>
      <c r="T416" s="17" t="s">
        <v>3939</v>
      </c>
      <c r="U416" s="17"/>
      <c r="V416" s="17"/>
      <c r="W416" s="17"/>
      <c r="X416" s="17"/>
      <c r="Y416" s="17"/>
    </row>
    <row r="417" spans="1:25">
      <c r="A417" s="17" t="s">
        <v>3940</v>
      </c>
      <c r="B417" s="17" t="s">
        <v>3940</v>
      </c>
      <c r="C417" s="17" t="s">
        <v>3936</v>
      </c>
      <c r="D417" s="17" t="s">
        <v>2669</v>
      </c>
      <c r="E417" s="17" t="s">
        <v>3543</v>
      </c>
      <c r="F417" s="17" t="s">
        <v>3940</v>
      </c>
      <c r="G417" s="17" t="s">
        <v>2671</v>
      </c>
      <c r="H417" s="17" t="s">
        <v>6835</v>
      </c>
      <c r="I417" s="17" t="s">
        <v>4237</v>
      </c>
      <c r="J417" s="17" t="s">
        <v>3544</v>
      </c>
      <c r="K417" s="17" t="s">
        <v>2742</v>
      </c>
      <c r="L417" s="17" t="s">
        <v>3873</v>
      </c>
      <c r="M417" s="17" t="s">
        <v>2669</v>
      </c>
      <c r="N417" s="17" t="s">
        <v>3941</v>
      </c>
      <c r="O417" s="17" t="s">
        <v>7635</v>
      </c>
      <c r="P417" s="17" t="s">
        <v>3942</v>
      </c>
      <c r="Q417" s="17" t="s">
        <v>2669</v>
      </c>
      <c r="R417" s="17" t="s">
        <v>3940</v>
      </c>
      <c r="S417" s="17" t="s">
        <v>7635</v>
      </c>
      <c r="T417" s="17" t="s">
        <v>3943</v>
      </c>
      <c r="U417" s="17"/>
      <c r="V417" s="17"/>
      <c r="W417" s="17"/>
      <c r="X417" s="17"/>
      <c r="Y417" s="17"/>
    </row>
    <row r="418" spans="1:25">
      <c r="A418" s="17" t="s">
        <v>3944</v>
      </c>
      <c r="B418" s="17" t="s">
        <v>3944</v>
      </c>
      <c r="C418" s="17" t="s">
        <v>3945</v>
      </c>
      <c r="D418" s="17" t="s">
        <v>2669</v>
      </c>
      <c r="E418" s="17" t="s">
        <v>3543</v>
      </c>
      <c r="F418" s="17" t="s">
        <v>3944</v>
      </c>
      <c r="G418" s="17" t="s">
        <v>2671</v>
      </c>
      <c r="H418" s="17" t="s">
        <v>4312</v>
      </c>
      <c r="I418" s="17" t="s">
        <v>4237</v>
      </c>
      <c r="J418" s="17" t="s">
        <v>3544</v>
      </c>
      <c r="K418" s="17" t="s">
        <v>2751</v>
      </c>
      <c r="L418" s="17" t="s">
        <v>3873</v>
      </c>
      <c r="M418" s="17" t="s">
        <v>2669</v>
      </c>
      <c r="N418" s="17" t="s">
        <v>3946</v>
      </c>
      <c r="O418" s="17" t="s">
        <v>7635</v>
      </c>
      <c r="P418" s="17" t="s">
        <v>3947</v>
      </c>
      <c r="Q418" s="17" t="s">
        <v>2669</v>
      </c>
      <c r="R418" s="17" t="s">
        <v>3944</v>
      </c>
      <c r="S418" s="17" t="s">
        <v>7635</v>
      </c>
      <c r="T418" s="17" t="s">
        <v>3948</v>
      </c>
      <c r="U418" s="17"/>
      <c r="V418" s="17"/>
      <c r="W418" s="17"/>
      <c r="X418" s="17"/>
      <c r="Y418" s="17"/>
    </row>
    <row r="419" spans="1:25">
      <c r="A419" s="17" t="s">
        <v>3949</v>
      </c>
      <c r="B419" s="17" t="s">
        <v>3949</v>
      </c>
      <c r="C419" s="17" t="s">
        <v>3945</v>
      </c>
      <c r="D419" s="17" t="s">
        <v>2669</v>
      </c>
      <c r="E419" s="17" t="s">
        <v>3543</v>
      </c>
      <c r="F419" s="17" t="s">
        <v>3949</v>
      </c>
      <c r="G419" s="17" t="s">
        <v>2671</v>
      </c>
      <c r="H419" s="17" t="s">
        <v>6835</v>
      </c>
      <c r="I419" s="17" t="s">
        <v>4237</v>
      </c>
      <c r="J419" s="17" t="s">
        <v>3544</v>
      </c>
      <c r="K419" s="17" t="s">
        <v>2751</v>
      </c>
      <c r="L419" s="17" t="s">
        <v>3873</v>
      </c>
      <c r="M419" s="17" t="s">
        <v>2669</v>
      </c>
      <c r="N419" s="17" t="s">
        <v>3950</v>
      </c>
      <c r="O419" s="17" t="s">
        <v>7635</v>
      </c>
      <c r="P419" s="17" t="s">
        <v>3951</v>
      </c>
      <c r="Q419" s="17" t="s">
        <v>2669</v>
      </c>
      <c r="R419" s="17" t="s">
        <v>3949</v>
      </c>
      <c r="S419" s="17" t="s">
        <v>7635</v>
      </c>
      <c r="T419" s="17" t="s">
        <v>3952</v>
      </c>
      <c r="U419" s="17"/>
      <c r="V419" s="17"/>
      <c r="W419" s="17"/>
      <c r="X419" s="17"/>
      <c r="Y419" s="17"/>
    </row>
    <row r="420" spans="1:25">
      <c r="A420" s="17" t="s">
        <v>3953</v>
      </c>
      <c r="B420" s="17" t="s">
        <v>3953</v>
      </c>
      <c r="C420" s="17" t="s">
        <v>3954</v>
      </c>
      <c r="D420" s="17" t="s">
        <v>2669</v>
      </c>
      <c r="E420" s="17" t="s">
        <v>3543</v>
      </c>
      <c r="F420" s="17" t="s">
        <v>3953</v>
      </c>
      <c r="G420" s="17" t="s">
        <v>2671</v>
      </c>
      <c r="H420" s="17" t="s">
        <v>4312</v>
      </c>
      <c r="I420" s="17" t="s">
        <v>4237</v>
      </c>
      <c r="J420" s="17" t="s">
        <v>3544</v>
      </c>
      <c r="K420" s="17" t="s">
        <v>2760</v>
      </c>
      <c r="L420" s="17" t="s">
        <v>3873</v>
      </c>
      <c r="M420" s="17" t="s">
        <v>2669</v>
      </c>
      <c r="N420" s="17" t="s">
        <v>3955</v>
      </c>
      <c r="O420" s="17" t="s">
        <v>7635</v>
      </c>
      <c r="P420" s="17" t="s">
        <v>3956</v>
      </c>
      <c r="Q420" s="17" t="s">
        <v>2669</v>
      </c>
      <c r="R420" s="17" t="s">
        <v>3953</v>
      </c>
      <c r="S420" s="17" t="s">
        <v>7635</v>
      </c>
      <c r="T420" s="17" t="s">
        <v>3957</v>
      </c>
      <c r="U420" s="17"/>
      <c r="V420" s="17"/>
      <c r="W420" s="17"/>
      <c r="X420" s="17"/>
      <c r="Y420" s="17"/>
    </row>
    <row r="421" spans="1:25">
      <c r="A421" s="17" t="s">
        <v>3958</v>
      </c>
      <c r="B421" s="17" t="s">
        <v>3958</v>
      </c>
      <c r="C421" s="17" t="s">
        <v>3954</v>
      </c>
      <c r="D421" s="17" t="s">
        <v>2669</v>
      </c>
      <c r="E421" s="17" t="s">
        <v>3543</v>
      </c>
      <c r="F421" s="17" t="s">
        <v>3958</v>
      </c>
      <c r="G421" s="17" t="s">
        <v>2671</v>
      </c>
      <c r="H421" s="17" t="s">
        <v>6835</v>
      </c>
      <c r="I421" s="17" t="s">
        <v>4237</v>
      </c>
      <c r="J421" s="17" t="s">
        <v>3544</v>
      </c>
      <c r="K421" s="17" t="s">
        <v>2760</v>
      </c>
      <c r="L421" s="17" t="s">
        <v>3873</v>
      </c>
      <c r="M421" s="17" t="s">
        <v>2669</v>
      </c>
      <c r="N421" s="17" t="s">
        <v>3959</v>
      </c>
      <c r="O421" s="17" t="s">
        <v>7635</v>
      </c>
      <c r="P421" s="17" t="s">
        <v>3960</v>
      </c>
      <c r="Q421" s="17" t="s">
        <v>2669</v>
      </c>
      <c r="R421" s="17" t="s">
        <v>3958</v>
      </c>
      <c r="S421" s="17" t="s">
        <v>7635</v>
      </c>
      <c r="T421" s="17" t="s">
        <v>3961</v>
      </c>
      <c r="U421" s="17"/>
      <c r="V421" s="17"/>
      <c r="W421" s="17"/>
      <c r="X421" s="17"/>
      <c r="Y421" s="17"/>
    </row>
    <row r="422" spans="1:25">
      <c r="A422" s="17" t="s">
        <v>3962</v>
      </c>
      <c r="B422" s="17" t="s">
        <v>3962</v>
      </c>
      <c r="C422" s="17" t="s">
        <v>3963</v>
      </c>
      <c r="D422" s="17" t="s">
        <v>2669</v>
      </c>
      <c r="E422" s="17" t="s">
        <v>3543</v>
      </c>
      <c r="F422" s="17" t="s">
        <v>3962</v>
      </c>
      <c r="G422" s="17" t="s">
        <v>2671</v>
      </c>
      <c r="H422" s="17" t="s">
        <v>4312</v>
      </c>
      <c r="I422" s="17" t="s">
        <v>4237</v>
      </c>
      <c r="J422" s="17" t="s">
        <v>3544</v>
      </c>
      <c r="K422" s="17" t="s">
        <v>2769</v>
      </c>
      <c r="L422" s="17" t="s">
        <v>3873</v>
      </c>
      <c r="M422" s="17" t="s">
        <v>2669</v>
      </c>
      <c r="N422" s="17" t="s">
        <v>3964</v>
      </c>
      <c r="O422" s="17" t="s">
        <v>7635</v>
      </c>
      <c r="P422" s="17" t="s">
        <v>3965</v>
      </c>
      <c r="Q422" s="17" t="s">
        <v>2669</v>
      </c>
      <c r="R422" s="17" t="s">
        <v>3962</v>
      </c>
      <c r="S422" s="17" t="s">
        <v>7635</v>
      </c>
      <c r="T422" s="17" t="s">
        <v>3966</v>
      </c>
      <c r="U422" s="17"/>
      <c r="V422" s="17"/>
      <c r="W422" s="17"/>
      <c r="X422" s="17"/>
      <c r="Y422" s="17"/>
    </row>
    <row r="423" spans="1:25">
      <c r="A423" s="17" t="s">
        <v>3967</v>
      </c>
      <c r="B423" s="17" t="s">
        <v>3967</v>
      </c>
      <c r="C423" s="17" t="s">
        <v>3963</v>
      </c>
      <c r="D423" s="17" t="s">
        <v>2669</v>
      </c>
      <c r="E423" s="17" t="s">
        <v>3543</v>
      </c>
      <c r="F423" s="17" t="s">
        <v>3967</v>
      </c>
      <c r="G423" s="17" t="s">
        <v>2671</v>
      </c>
      <c r="H423" s="17" t="s">
        <v>6835</v>
      </c>
      <c r="I423" s="17" t="s">
        <v>4237</v>
      </c>
      <c r="J423" s="17" t="s">
        <v>3544</v>
      </c>
      <c r="K423" s="17" t="s">
        <v>2769</v>
      </c>
      <c r="L423" s="17" t="s">
        <v>3873</v>
      </c>
      <c r="M423" s="17" t="s">
        <v>2669</v>
      </c>
      <c r="N423" s="17" t="s">
        <v>3968</v>
      </c>
      <c r="O423" s="17" t="s">
        <v>7635</v>
      </c>
      <c r="P423" s="17" t="s">
        <v>3969</v>
      </c>
      <c r="Q423" s="17" t="s">
        <v>2669</v>
      </c>
      <c r="R423" s="17" t="s">
        <v>3967</v>
      </c>
      <c r="S423" s="17" t="s">
        <v>7635</v>
      </c>
      <c r="T423" s="17" t="s">
        <v>3970</v>
      </c>
      <c r="U423" s="17"/>
      <c r="V423" s="17"/>
      <c r="W423" s="17"/>
      <c r="X423" s="17"/>
      <c r="Y423" s="17"/>
    </row>
    <row r="424" spans="1:25">
      <c r="A424" s="17" t="s">
        <v>3971</v>
      </c>
      <c r="B424" s="17" t="s">
        <v>3971</v>
      </c>
      <c r="C424" s="17" t="s">
        <v>3630</v>
      </c>
      <c r="D424" s="17" t="s">
        <v>2669</v>
      </c>
      <c r="E424" s="17" t="s">
        <v>3543</v>
      </c>
      <c r="F424" s="17" t="s">
        <v>3971</v>
      </c>
      <c r="G424" s="17" t="s">
        <v>2671</v>
      </c>
      <c r="H424" s="17" t="s">
        <v>4312</v>
      </c>
      <c r="I424" s="17" t="s">
        <v>4237</v>
      </c>
      <c r="J424" s="17" t="s">
        <v>3544</v>
      </c>
      <c r="K424" s="17" t="s">
        <v>2778</v>
      </c>
      <c r="L424" s="17" t="s">
        <v>3972</v>
      </c>
      <c r="M424" s="17" t="s">
        <v>2669</v>
      </c>
      <c r="N424" s="17" t="s">
        <v>3971</v>
      </c>
      <c r="O424" s="17" t="s">
        <v>7635</v>
      </c>
      <c r="P424" s="17" t="s">
        <v>3973</v>
      </c>
      <c r="Q424" s="17"/>
      <c r="R424" s="17"/>
      <c r="S424" s="17"/>
      <c r="T424" s="17"/>
      <c r="U424" s="17"/>
      <c r="V424" s="17"/>
      <c r="W424" s="17"/>
      <c r="X424" s="17"/>
      <c r="Y424" s="17"/>
    </row>
    <row r="425" spans="1:25">
      <c r="A425" s="17" t="s">
        <v>3974</v>
      </c>
      <c r="B425" s="17" t="s">
        <v>3974</v>
      </c>
      <c r="C425" s="17" t="s">
        <v>3975</v>
      </c>
      <c r="D425" s="17" t="s">
        <v>2669</v>
      </c>
      <c r="E425" s="17" t="s">
        <v>3543</v>
      </c>
      <c r="F425" s="17" t="s">
        <v>3974</v>
      </c>
      <c r="G425" s="17" t="s">
        <v>2671</v>
      </c>
      <c r="H425" s="17" t="s">
        <v>6835</v>
      </c>
      <c r="I425" s="17" t="s">
        <v>4237</v>
      </c>
      <c r="J425" s="17" t="s">
        <v>3544</v>
      </c>
      <c r="K425" s="17" t="s">
        <v>2778</v>
      </c>
      <c r="L425" s="17" t="s">
        <v>3873</v>
      </c>
      <c r="M425" s="17" t="s">
        <v>2669</v>
      </c>
      <c r="N425" s="17" t="s">
        <v>3976</v>
      </c>
      <c r="O425" s="17" t="s">
        <v>7635</v>
      </c>
      <c r="P425" s="17" t="s">
        <v>3977</v>
      </c>
      <c r="Q425" s="17" t="s">
        <v>2669</v>
      </c>
      <c r="R425" s="17" t="s">
        <v>3974</v>
      </c>
      <c r="S425" s="17" t="s">
        <v>7635</v>
      </c>
      <c r="T425" s="17" t="s">
        <v>3978</v>
      </c>
      <c r="U425" s="17"/>
      <c r="V425" s="17"/>
      <c r="W425" s="17"/>
      <c r="X425" s="17"/>
      <c r="Y425" s="17"/>
    </row>
    <row r="426" spans="1:25">
      <c r="A426" s="17" t="s">
        <v>3979</v>
      </c>
      <c r="B426" s="17" t="s">
        <v>3979</v>
      </c>
      <c r="C426" s="17" t="s">
        <v>3980</v>
      </c>
      <c r="D426" s="17" t="s">
        <v>2669</v>
      </c>
      <c r="E426" s="17" t="s">
        <v>3543</v>
      </c>
      <c r="F426" s="17" t="s">
        <v>3979</v>
      </c>
      <c r="G426" s="17" t="s">
        <v>2671</v>
      </c>
      <c r="H426" s="17" t="s">
        <v>4312</v>
      </c>
      <c r="I426" s="17" t="s">
        <v>4237</v>
      </c>
      <c r="J426" s="17" t="s">
        <v>3544</v>
      </c>
      <c r="K426" s="17" t="s">
        <v>2787</v>
      </c>
      <c r="L426" s="17" t="s">
        <v>3873</v>
      </c>
      <c r="M426" s="17" t="s">
        <v>2669</v>
      </c>
      <c r="N426" s="17" t="s">
        <v>3981</v>
      </c>
      <c r="O426" s="17" t="s">
        <v>7635</v>
      </c>
      <c r="P426" s="17" t="s">
        <v>3982</v>
      </c>
      <c r="Q426" s="17" t="s">
        <v>2669</v>
      </c>
      <c r="R426" s="17" t="s">
        <v>3979</v>
      </c>
      <c r="S426" s="17" t="s">
        <v>7635</v>
      </c>
      <c r="T426" s="17" t="s">
        <v>3983</v>
      </c>
      <c r="U426" s="17"/>
      <c r="V426" s="17"/>
      <c r="W426" s="17"/>
      <c r="X426" s="17"/>
      <c r="Y426" s="17"/>
    </row>
    <row r="427" spans="1:25">
      <c r="A427" s="17" t="s">
        <v>3984</v>
      </c>
      <c r="B427" s="17" t="s">
        <v>3984</v>
      </c>
      <c r="C427" s="17" t="s">
        <v>3980</v>
      </c>
      <c r="D427" s="17" t="s">
        <v>2669</v>
      </c>
      <c r="E427" s="17" t="s">
        <v>3543</v>
      </c>
      <c r="F427" s="17" t="s">
        <v>3984</v>
      </c>
      <c r="G427" s="17" t="s">
        <v>2671</v>
      </c>
      <c r="H427" s="17" t="s">
        <v>6835</v>
      </c>
      <c r="I427" s="17" t="s">
        <v>4237</v>
      </c>
      <c r="J427" s="17" t="s">
        <v>3544</v>
      </c>
      <c r="K427" s="17" t="s">
        <v>2787</v>
      </c>
      <c r="L427" s="17" t="s">
        <v>3873</v>
      </c>
      <c r="M427" s="17" t="s">
        <v>2669</v>
      </c>
      <c r="N427" s="17" t="s">
        <v>3985</v>
      </c>
      <c r="O427" s="17" t="s">
        <v>7635</v>
      </c>
      <c r="P427" s="17" t="s">
        <v>3986</v>
      </c>
      <c r="Q427" s="17" t="s">
        <v>2669</v>
      </c>
      <c r="R427" s="17" t="s">
        <v>3984</v>
      </c>
      <c r="S427" s="17" t="s">
        <v>7635</v>
      </c>
      <c r="T427" s="17" t="s">
        <v>3987</v>
      </c>
      <c r="U427" s="17"/>
      <c r="V427" s="17"/>
      <c r="W427" s="17"/>
      <c r="X427" s="17"/>
      <c r="Y427" s="17"/>
    </row>
    <row r="428" spans="1:25">
      <c r="A428" s="17" t="s">
        <v>3988</v>
      </c>
      <c r="B428" s="17" t="s">
        <v>3988</v>
      </c>
      <c r="C428" s="17" t="s">
        <v>3989</v>
      </c>
      <c r="D428" s="17" t="s">
        <v>2669</v>
      </c>
      <c r="E428" s="17" t="s">
        <v>3543</v>
      </c>
      <c r="F428" s="17" t="s">
        <v>3988</v>
      </c>
      <c r="G428" s="17" t="s">
        <v>2671</v>
      </c>
      <c r="H428" s="17" t="s">
        <v>4312</v>
      </c>
      <c r="I428" s="17" t="s">
        <v>4237</v>
      </c>
      <c r="J428" s="17" t="s">
        <v>3544</v>
      </c>
      <c r="K428" s="17" t="s">
        <v>2791</v>
      </c>
      <c r="L428" s="17" t="s">
        <v>3873</v>
      </c>
      <c r="M428" s="17" t="s">
        <v>2669</v>
      </c>
      <c r="N428" s="17" t="s">
        <v>3990</v>
      </c>
      <c r="O428" s="17" t="s">
        <v>7635</v>
      </c>
      <c r="P428" s="17" t="s">
        <v>3991</v>
      </c>
      <c r="Q428" s="17" t="s">
        <v>2669</v>
      </c>
      <c r="R428" s="17" t="s">
        <v>3988</v>
      </c>
      <c r="S428" s="17" t="s">
        <v>7635</v>
      </c>
      <c r="T428" s="17" t="s">
        <v>3992</v>
      </c>
      <c r="U428" s="17"/>
      <c r="V428" s="17"/>
      <c r="W428" s="17"/>
      <c r="X428" s="17"/>
      <c r="Y428" s="17"/>
    </row>
    <row r="429" spans="1:25">
      <c r="A429" s="17" t="s">
        <v>3993</v>
      </c>
      <c r="B429" s="17" t="s">
        <v>3993</v>
      </c>
      <c r="C429" s="17" t="s">
        <v>3989</v>
      </c>
      <c r="D429" s="17" t="s">
        <v>2669</v>
      </c>
      <c r="E429" s="17" t="s">
        <v>3543</v>
      </c>
      <c r="F429" s="17" t="s">
        <v>3993</v>
      </c>
      <c r="G429" s="17" t="s">
        <v>2671</v>
      </c>
      <c r="H429" s="17" t="s">
        <v>6835</v>
      </c>
      <c r="I429" s="17" t="s">
        <v>4237</v>
      </c>
      <c r="J429" s="17" t="s">
        <v>3544</v>
      </c>
      <c r="K429" s="17" t="s">
        <v>2791</v>
      </c>
      <c r="L429" s="17" t="s">
        <v>3873</v>
      </c>
      <c r="M429" s="17" t="s">
        <v>2669</v>
      </c>
      <c r="N429" s="17" t="s">
        <v>3994</v>
      </c>
      <c r="O429" s="17" t="s">
        <v>7635</v>
      </c>
      <c r="P429" s="17" t="s">
        <v>3995</v>
      </c>
      <c r="Q429" s="17" t="s">
        <v>2669</v>
      </c>
      <c r="R429" s="17" t="s">
        <v>3993</v>
      </c>
      <c r="S429" s="17" t="s">
        <v>7635</v>
      </c>
      <c r="T429" s="17" t="s">
        <v>3996</v>
      </c>
      <c r="U429" s="17"/>
      <c r="V429" s="17"/>
      <c r="W429" s="17"/>
      <c r="X429" s="17"/>
      <c r="Y429" s="17"/>
    </row>
    <row r="430" spans="1:25">
      <c r="A430" s="17" t="s">
        <v>3997</v>
      </c>
      <c r="B430" s="17" t="s">
        <v>3997</v>
      </c>
      <c r="C430" s="17" t="s">
        <v>3998</v>
      </c>
      <c r="D430" s="17" t="s">
        <v>2669</v>
      </c>
      <c r="E430" s="17" t="s">
        <v>3543</v>
      </c>
      <c r="F430" s="17" t="s">
        <v>3997</v>
      </c>
      <c r="G430" s="17" t="s">
        <v>2671</v>
      </c>
      <c r="H430" s="17" t="s">
        <v>4312</v>
      </c>
      <c r="I430" s="17" t="s">
        <v>4237</v>
      </c>
      <c r="J430" s="17" t="s">
        <v>3544</v>
      </c>
      <c r="K430" s="17" t="s">
        <v>2800</v>
      </c>
      <c r="L430" s="17" t="s">
        <v>3873</v>
      </c>
      <c r="M430" s="17" t="s">
        <v>2669</v>
      </c>
      <c r="N430" s="17" t="s">
        <v>3999</v>
      </c>
      <c r="O430" s="17" t="s">
        <v>7635</v>
      </c>
      <c r="P430" s="17" t="s">
        <v>4000</v>
      </c>
      <c r="Q430" s="17" t="s">
        <v>2669</v>
      </c>
      <c r="R430" s="17" t="s">
        <v>3997</v>
      </c>
      <c r="S430" s="17" t="s">
        <v>7635</v>
      </c>
      <c r="T430" s="17" t="s">
        <v>4001</v>
      </c>
      <c r="U430" s="17"/>
      <c r="V430" s="17"/>
      <c r="W430" s="17"/>
      <c r="X430" s="17"/>
      <c r="Y430" s="17"/>
    </row>
    <row r="431" spans="1:25">
      <c r="A431" s="17" t="s">
        <v>4002</v>
      </c>
      <c r="B431" s="17" t="s">
        <v>4002</v>
      </c>
      <c r="C431" s="17" t="s">
        <v>3998</v>
      </c>
      <c r="D431" s="17" t="s">
        <v>2669</v>
      </c>
      <c r="E431" s="17" t="s">
        <v>3543</v>
      </c>
      <c r="F431" s="17" t="s">
        <v>4002</v>
      </c>
      <c r="G431" s="17" t="s">
        <v>2671</v>
      </c>
      <c r="H431" s="17" t="s">
        <v>6835</v>
      </c>
      <c r="I431" s="17" t="s">
        <v>4237</v>
      </c>
      <c r="J431" s="17" t="s">
        <v>3544</v>
      </c>
      <c r="K431" s="17" t="s">
        <v>2800</v>
      </c>
      <c r="L431" s="17" t="s">
        <v>3873</v>
      </c>
      <c r="M431" s="17" t="s">
        <v>2669</v>
      </c>
      <c r="N431" s="17" t="s">
        <v>4003</v>
      </c>
      <c r="O431" s="17" t="s">
        <v>7635</v>
      </c>
      <c r="P431" s="17" t="s">
        <v>4004</v>
      </c>
      <c r="Q431" s="17" t="s">
        <v>2669</v>
      </c>
      <c r="R431" s="17" t="s">
        <v>4002</v>
      </c>
      <c r="S431" s="17" t="s">
        <v>7635</v>
      </c>
      <c r="T431" s="17" t="s">
        <v>4005</v>
      </c>
      <c r="U431" s="17"/>
      <c r="V431" s="17"/>
      <c r="W431" s="17"/>
      <c r="X431" s="17"/>
      <c r="Y431" s="17"/>
    </row>
    <row r="432" spans="1:25">
      <c r="A432" s="17" t="s">
        <v>4006</v>
      </c>
      <c r="B432" s="17" t="s">
        <v>4006</v>
      </c>
      <c r="C432" s="17" t="s">
        <v>4007</v>
      </c>
      <c r="D432" s="17" t="s">
        <v>2669</v>
      </c>
      <c r="E432" s="17" t="s">
        <v>3543</v>
      </c>
      <c r="F432" s="17" t="s">
        <v>4006</v>
      </c>
      <c r="G432" s="17" t="s">
        <v>2671</v>
      </c>
      <c r="H432" s="17" t="s">
        <v>4312</v>
      </c>
      <c r="I432" s="17" t="s">
        <v>4237</v>
      </c>
      <c r="J432" s="17" t="s">
        <v>3544</v>
      </c>
      <c r="K432" s="17" t="s">
        <v>2809</v>
      </c>
      <c r="L432" s="17" t="s">
        <v>3873</v>
      </c>
      <c r="M432" s="17" t="s">
        <v>2669</v>
      </c>
      <c r="N432" s="17" t="s">
        <v>4008</v>
      </c>
      <c r="O432" s="17" t="s">
        <v>7635</v>
      </c>
      <c r="P432" s="17" t="s">
        <v>4009</v>
      </c>
      <c r="Q432" s="17" t="s">
        <v>2669</v>
      </c>
      <c r="R432" s="17" t="s">
        <v>4006</v>
      </c>
      <c r="S432" s="17" t="s">
        <v>7635</v>
      </c>
      <c r="T432" s="17" t="s">
        <v>4010</v>
      </c>
      <c r="U432" s="17"/>
      <c r="V432" s="17"/>
      <c r="W432" s="17"/>
      <c r="X432" s="17"/>
      <c r="Y432" s="17"/>
    </row>
    <row r="433" spans="1:25">
      <c r="A433" s="17" t="s">
        <v>4011</v>
      </c>
      <c r="B433" s="17" t="s">
        <v>4011</v>
      </c>
      <c r="C433" s="17" t="s">
        <v>4007</v>
      </c>
      <c r="D433" s="17" t="s">
        <v>2669</v>
      </c>
      <c r="E433" s="17" t="s">
        <v>3543</v>
      </c>
      <c r="F433" s="17" t="s">
        <v>4011</v>
      </c>
      <c r="G433" s="17" t="s">
        <v>2671</v>
      </c>
      <c r="H433" s="17" t="s">
        <v>6835</v>
      </c>
      <c r="I433" s="17" t="s">
        <v>4237</v>
      </c>
      <c r="J433" s="17" t="s">
        <v>3544</v>
      </c>
      <c r="K433" s="17" t="s">
        <v>2809</v>
      </c>
      <c r="L433" s="17" t="s">
        <v>3873</v>
      </c>
      <c r="M433" s="17" t="s">
        <v>2669</v>
      </c>
      <c r="N433" s="17" t="s">
        <v>4012</v>
      </c>
      <c r="O433" s="17" t="s">
        <v>7635</v>
      </c>
      <c r="P433" s="17" t="s">
        <v>4013</v>
      </c>
      <c r="Q433" s="17" t="s">
        <v>2669</v>
      </c>
      <c r="R433" s="17" t="s">
        <v>4011</v>
      </c>
      <c r="S433" s="17" t="s">
        <v>7635</v>
      </c>
      <c r="T433" s="17" t="s">
        <v>4014</v>
      </c>
      <c r="U433" s="17"/>
      <c r="V433" s="17"/>
      <c r="W433" s="17"/>
      <c r="X433" s="17"/>
      <c r="Y433" s="17"/>
    </row>
    <row r="434" spans="1:25">
      <c r="A434" s="17" t="s">
        <v>4015</v>
      </c>
      <c r="B434" s="17" t="s">
        <v>4015</v>
      </c>
      <c r="C434" s="17" t="s">
        <v>4016</v>
      </c>
      <c r="D434" s="17" t="s">
        <v>2669</v>
      </c>
      <c r="E434" s="17" t="s">
        <v>3543</v>
      </c>
      <c r="F434" s="17" t="s">
        <v>4015</v>
      </c>
      <c r="G434" s="17" t="s">
        <v>2671</v>
      </c>
      <c r="H434" s="17" t="s">
        <v>4312</v>
      </c>
      <c r="I434" s="17" t="s">
        <v>4237</v>
      </c>
      <c r="J434" s="17" t="s">
        <v>3544</v>
      </c>
      <c r="K434" s="17" t="s">
        <v>2818</v>
      </c>
      <c r="L434" s="17" t="s">
        <v>3873</v>
      </c>
      <c r="M434" s="17" t="s">
        <v>2669</v>
      </c>
      <c r="N434" s="17" t="s">
        <v>4017</v>
      </c>
      <c r="O434" s="17" t="s">
        <v>7635</v>
      </c>
      <c r="P434" s="17" t="s">
        <v>4018</v>
      </c>
      <c r="Q434" s="17" t="s">
        <v>2669</v>
      </c>
      <c r="R434" s="17" t="s">
        <v>4015</v>
      </c>
      <c r="S434" s="17" t="s">
        <v>7635</v>
      </c>
      <c r="T434" s="17" t="s">
        <v>4019</v>
      </c>
      <c r="U434" s="17"/>
      <c r="V434" s="17"/>
      <c r="W434" s="17"/>
      <c r="X434" s="17"/>
      <c r="Y434" s="17"/>
    </row>
    <row r="435" spans="1:25">
      <c r="A435" s="17" t="s">
        <v>4020</v>
      </c>
      <c r="B435" s="17" t="s">
        <v>4020</v>
      </c>
      <c r="C435" s="17" t="s">
        <v>4016</v>
      </c>
      <c r="D435" s="17" t="s">
        <v>2669</v>
      </c>
      <c r="E435" s="17" t="s">
        <v>3543</v>
      </c>
      <c r="F435" s="17" t="s">
        <v>4020</v>
      </c>
      <c r="G435" s="17" t="s">
        <v>2671</v>
      </c>
      <c r="H435" s="17" t="s">
        <v>6835</v>
      </c>
      <c r="I435" s="17" t="s">
        <v>4237</v>
      </c>
      <c r="J435" s="17" t="s">
        <v>3544</v>
      </c>
      <c r="K435" s="17" t="s">
        <v>2818</v>
      </c>
      <c r="L435" s="17" t="s">
        <v>3873</v>
      </c>
      <c r="M435" s="17" t="s">
        <v>2669</v>
      </c>
      <c r="N435" s="17" t="s">
        <v>4021</v>
      </c>
      <c r="O435" s="17" t="s">
        <v>7635</v>
      </c>
      <c r="P435" s="17" t="s">
        <v>4022</v>
      </c>
      <c r="Q435" s="17" t="s">
        <v>2669</v>
      </c>
      <c r="R435" s="17" t="s">
        <v>4020</v>
      </c>
      <c r="S435" s="17" t="s">
        <v>7635</v>
      </c>
      <c r="T435" s="17" t="s">
        <v>4023</v>
      </c>
      <c r="U435" s="17"/>
      <c r="V435" s="17"/>
      <c r="W435" s="17"/>
      <c r="X435" s="17"/>
      <c r="Y435" s="17"/>
    </row>
    <row r="436" spans="1:25">
      <c r="A436" s="17" t="s">
        <v>4024</v>
      </c>
      <c r="B436" s="17" t="s">
        <v>4024</v>
      </c>
      <c r="C436" s="17" t="s">
        <v>4025</v>
      </c>
      <c r="D436" s="17" t="s">
        <v>2669</v>
      </c>
      <c r="E436" s="17" t="s">
        <v>3543</v>
      </c>
      <c r="F436" s="17" t="s">
        <v>4024</v>
      </c>
      <c r="G436" s="17" t="s">
        <v>2671</v>
      </c>
      <c r="H436" s="17" t="s">
        <v>4312</v>
      </c>
      <c r="I436" s="17" t="s">
        <v>4237</v>
      </c>
      <c r="J436" s="17" t="s">
        <v>3544</v>
      </c>
      <c r="K436" s="17" t="s">
        <v>2827</v>
      </c>
      <c r="L436" s="17" t="s">
        <v>3873</v>
      </c>
      <c r="M436" s="17" t="s">
        <v>2669</v>
      </c>
      <c r="N436" s="17" t="s">
        <v>4026</v>
      </c>
      <c r="O436" s="17" t="s">
        <v>7635</v>
      </c>
      <c r="P436" s="17" t="s">
        <v>4027</v>
      </c>
      <c r="Q436" s="17" t="s">
        <v>2669</v>
      </c>
      <c r="R436" s="17" t="s">
        <v>4024</v>
      </c>
      <c r="S436" s="17" t="s">
        <v>7635</v>
      </c>
      <c r="T436" s="17" t="s">
        <v>4028</v>
      </c>
      <c r="U436" s="17"/>
      <c r="V436" s="17"/>
      <c r="W436" s="17"/>
      <c r="X436" s="17"/>
      <c r="Y436" s="17"/>
    </row>
    <row r="437" spans="1:25">
      <c r="A437" s="17" t="s">
        <v>4029</v>
      </c>
      <c r="B437" s="17" t="s">
        <v>4029</v>
      </c>
      <c r="C437" s="17" t="s">
        <v>4025</v>
      </c>
      <c r="D437" s="17" t="s">
        <v>2669</v>
      </c>
      <c r="E437" s="17" t="s">
        <v>3543</v>
      </c>
      <c r="F437" s="17" t="s">
        <v>4029</v>
      </c>
      <c r="G437" s="17" t="s">
        <v>2671</v>
      </c>
      <c r="H437" s="17" t="s">
        <v>6835</v>
      </c>
      <c r="I437" s="17" t="s">
        <v>4237</v>
      </c>
      <c r="J437" s="17" t="s">
        <v>3544</v>
      </c>
      <c r="K437" s="17" t="s">
        <v>2827</v>
      </c>
      <c r="L437" s="17" t="s">
        <v>3873</v>
      </c>
      <c r="M437" s="17" t="s">
        <v>2669</v>
      </c>
      <c r="N437" s="17" t="s">
        <v>4030</v>
      </c>
      <c r="O437" s="17" t="s">
        <v>7635</v>
      </c>
      <c r="P437" s="17" t="s">
        <v>4031</v>
      </c>
      <c r="Q437" s="17" t="s">
        <v>2669</v>
      </c>
      <c r="R437" s="17" t="s">
        <v>4029</v>
      </c>
      <c r="S437" s="17" t="s">
        <v>7635</v>
      </c>
      <c r="T437" s="17" t="s">
        <v>4032</v>
      </c>
      <c r="U437" s="17"/>
      <c r="V437" s="17"/>
      <c r="W437" s="17"/>
      <c r="X437" s="17"/>
      <c r="Y437" s="17"/>
    </row>
    <row r="438" spans="1:25">
      <c r="A438" s="17" t="s">
        <v>4033</v>
      </c>
      <c r="B438" s="17" t="s">
        <v>4033</v>
      </c>
      <c r="C438" s="17" t="s">
        <v>4034</v>
      </c>
      <c r="D438" s="17" t="s">
        <v>2669</v>
      </c>
      <c r="E438" s="17" t="s">
        <v>3543</v>
      </c>
      <c r="F438" s="17" t="s">
        <v>4033</v>
      </c>
      <c r="G438" s="17" t="s">
        <v>2671</v>
      </c>
      <c r="H438" s="17" t="s">
        <v>4312</v>
      </c>
      <c r="I438" s="17" t="s">
        <v>4237</v>
      </c>
      <c r="J438" s="17" t="s">
        <v>3544</v>
      </c>
      <c r="K438" s="17" t="s">
        <v>2836</v>
      </c>
      <c r="L438" s="17" t="s">
        <v>3873</v>
      </c>
      <c r="M438" s="17" t="s">
        <v>2669</v>
      </c>
      <c r="N438" s="17" t="s">
        <v>4035</v>
      </c>
      <c r="O438" s="17" t="s">
        <v>7635</v>
      </c>
      <c r="P438" s="17" t="s">
        <v>4036</v>
      </c>
      <c r="Q438" s="17" t="s">
        <v>2669</v>
      </c>
      <c r="R438" s="17" t="s">
        <v>4033</v>
      </c>
      <c r="S438" s="17" t="s">
        <v>7635</v>
      </c>
      <c r="T438" s="17" t="s">
        <v>4037</v>
      </c>
      <c r="U438" s="17"/>
      <c r="V438" s="17"/>
      <c r="W438" s="17"/>
      <c r="X438" s="17"/>
      <c r="Y438" s="17"/>
    </row>
    <row r="439" spans="1:25">
      <c r="A439" s="17" t="s">
        <v>4038</v>
      </c>
      <c r="B439" s="17" t="s">
        <v>4038</v>
      </c>
      <c r="C439" s="17" t="s">
        <v>4034</v>
      </c>
      <c r="D439" s="17" t="s">
        <v>2669</v>
      </c>
      <c r="E439" s="17" t="s">
        <v>3543</v>
      </c>
      <c r="F439" s="17" t="s">
        <v>4038</v>
      </c>
      <c r="G439" s="17" t="s">
        <v>2671</v>
      </c>
      <c r="H439" s="17" t="s">
        <v>6835</v>
      </c>
      <c r="I439" s="17" t="s">
        <v>4237</v>
      </c>
      <c r="J439" s="17" t="s">
        <v>3544</v>
      </c>
      <c r="K439" s="17" t="s">
        <v>2836</v>
      </c>
      <c r="L439" s="17" t="s">
        <v>3873</v>
      </c>
      <c r="M439" s="17" t="s">
        <v>2669</v>
      </c>
      <c r="N439" s="17" t="s">
        <v>4039</v>
      </c>
      <c r="O439" s="17" t="s">
        <v>7635</v>
      </c>
      <c r="P439" s="17" t="s">
        <v>4040</v>
      </c>
      <c r="Q439" s="17" t="s">
        <v>2669</v>
      </c>
      <c r="R439" s="17" t="s">
        <v>4038</v>
      </c>
      <c r="S439" s="17" t="s">
        <v>7635</v>
      </c>
      <c r="T439" s="17" t="s">
        <v>4041</v>
      </c>
      <c r="U439" s="17"/>
      <c r="V439" s="17"/>
      <c r="W439" s="17"/>
      <c r="X439" s="17"/>
      <c r="Y439" s="17"/>
    </row>
    <row r="440" spans="1:25">
      <c r="A440" s="17" t="s">
        <v>4042</v>
      </c>
      <c r="B440" s="17" t="s">
        <v>4042</v>
      </c>
      <c r="C440" s="17" t="s">
        <v>4043</v>
      </c>
      <c r="D440" s="17" t="s">
        <v>2669</v>
      </c>
      <c r="E440" s="17" t="s">
        <v>3543</v>
      </c>
      <c r="F440" s="17" t="s">
        <v>4042</v>
      </c>
      <c r="G440" s="17" t="s">
        <v>2671</v>
      </c>
      <c r="H440" s="17" t="s">
        <v>4312</v>
      </c>
      <c r="I440" s="17" t="s">
        <v>4237</v>
      </c>
      <c r="J440" s="17" t="s">
        <v>3544</v>
      </c>
      <c r="K440" s="17" t="s">
        <v>2845</v>
      </c>
      <c r="L440" s="17" t="s">
        <v>3873</v>
      </c>
      <c r="M440" s="17" t="s">
        <v>2669</v>
      </c>
      <c r="N440" s="17" t="s">
        <v>4044</v>
      </c>
      <c r="O440" s="17" t="s">
        <v>7635</v>
      </c>
      <c r="P440" s="17" t="s">
        <v>4045</v>
      </c>
      <c r="Q440" s="17" t="s">
        <v>2669</v>
      </c>
      <c r="R440" s="17" t="s">
        <v>4042</v>
      </c>
      <c r="S440" s="17" t="s">
        <v>7635</v>
      </c>
      <c r="T440" s="17" t="s">
        <v>4046</v>
      </c>
      <c r="U440" s="17"/>
      <c r="V440" s="17"/>
      <c r="W440" s="17"/>
      <c r="X440" s="17"/>
      <c r="Y440" s="17"/>
    </row>
    <row r="441" spans="1:25">
      <c r="A441" s="17" t="s">
        <v>4047</v>
      </c>
      <c r="B441" s="17" t="s">
        <v>4047</v>
      </c>
      <c r="C441" s="17" t="s">
        <v>3680</v>
      </c>
      <c r="D441" s="17" t="s">
        <v>2669</v>
      </c>
      <c r="E441" s="17" t="s">
        <v>3543</v>
      </c>
      <c r="F441" s="17" t="s">
        <v>4047</v>
      </c>
      <c r="G441" s="17" t="s">
        <v>2671</v>
      </c>
      <c r="H441" s="17" t="s">
        <v>6835</v>
      </c>
      <c r="I441" s="17" t="s">
        <v>4237</v>
      </c>
      <c r="J441" s="17" t="s">
        <v>3544</v>
      </c>
      <c r="K441" s="17" t="s">
        <v>2845</v>
      </c>
      <c r="L441" s="17" t="s">
        <v>3873</v>
      </c>
      <c r="M441" s="17" t="s">
        <v>2669</v>
      </c>
      <c r="N441" s="17" t="s">
        <v>4048</v>
      </c>
      <c r="O441" s="17" t="s">
        <v>7635</v>
      </c>
      <c r="P441" s="17" t="s">
        <v>4049</v>
      </c>
      <c r="Q441" s="17" t="s">
        <v>2669</v>
      </c>
      <c r="R441" s="17" t="s">
        <v>4047</v>
      </c>
      <c r="S441" s="17" t="s">
        <v>7635</v>
      </c>
      <c r="T441" s="17" t="s">
        <v>4050</v>
      </c>
      <c r="U441" s="17"/>
      <c r="V441" s="17"/>
      <c r="W441" s="17"/>
      <c r="X441" s="17"/>
      <c r="Y441" s="17"/>
    </row>
    <row r="442" spans="1:25">
      <c r="A442" s="17" t="s">
        <v>4051</v>
      </c>
      <c r="B442" s="17" t="s">
        <v>4051</v>
      </c>
      <c r="C442" s="17" t="s">
        <v>3689</v>
      </c>
      <c r="D442" s="17" t="s">
        <v>2669</v>
      </c>
      <c r="E442" s="17" t="s">
        <v>3543</v>
      </c>
      <c r="F442" s="17" t="s">
        <v>4051</v>
      </c>
      <c r="G442" s="17" t="s">
        <v>2671</v>
      </c>
      <c r="H442" s="17" t="s">
        <v>4312</v>
      </c>
      <c r="I442" s="17" t="s">
        <v>4237</v>
      </c>
      <c r="J442" s="17" t="s">
        <v>3544</v>
      </c>
      <c r="K442" s="17" t="s">
        <v>2854</v>
      </c>
      <c r="L442" s="17" t="s">
        <v>3873</v>
      </c>
      <c r="M442" s="17" t="s">
        <v>2669</v>
      </c>
      <c r="N442" s="17" t="s">
        <v>4052</v>
      </c>
      <c r="O442" s="17" t="s">
        <v>7635</v>
      </c>
      <c r="P442" s="17" t="s">
        <v>4053</v>
      </c>
      <c r="Q442" s="17" t="s">
        <v>2669</v>
      </c>
      <c r="R442" s="17" t="s">
        <v>4051</v>
      </c>
      <c r="S442" s="17" t="s">
        <v>7635</v>
      </c>
      <c r="T442" s="17" t="s">
        <v>4054</v>
      </c>
      <c r="U442" s="17"/>
      <c r="V442" s="17"/>
      <c r="W442" s="17"/>
      <c r="X442" s="17"/>
      <c r="Y442" s="17"/>
    </row>
    <row r="443" spans="1:25">
      <c r="A443" s="17" t="s">
        <v>4055</v>
      </c>
      <c r="B443" s="17" t="s">
        <v>4055</v>
      </c>
      <c r="C443" s="17" t="s">
        <v>3689</v>
      </c>
      <c r="D443" s="17" t="s">
        <v>2669</v>
      </c>
      <c r="E443" s="17" t="s">
        <v>3543</v>
      </c>
      <c r="F443" s="17" t="s">
        <v>4055</v>
      </c>
      <c r="G443" s="17" t="s">
        <v>2671</v>
      </c>
      <c r="H443" s="17" t="s">
        <v>6835</v>
      </c>
      <c r="I443" s="17" t="s">
        <v>4237</v>
      </c>
      <c r="J443" s="17" t="s">
        <v>3544</v>
      </c>
      <c r="K443" s="17" t="s">
        <v>2854</v>
      </c>
      <c r="L443" s="17" t="s">
        <v>3873</v>
      </c>
      <c r="M443" s="17" t="s">
        <v>2669</v>
      </c>
      <c r="N443" s="17" t="s">
        <v>4056</v>
      </c>
      <c r="O443" s="17" t="s">
        <v>7635</v>
      </c>
      <c r="P443" s="17" t="s">
        <v>4057</v>
      </c>
      <c r="Q443" s="17" t="s">
        <v>2669</v>
      </c>
      <c r="R443" s="17" t="s">
        <v>4055</v>
      </c>
      <c r="S443" s="17" t="s">
        <v>7635</v>
      </c>
      <c r="T443" s="17" t="s">
        <v>4058</v>
      </c>
      <c r="U443" s="17"/>
      <c r="V443" s="17"/>
      <c r="W443" s="17"/>
      <c r="X443" s="17"/>
      <c r="Y443" s="17"/>
    </row>
    <row r="444" spans="1:25">
      <c r="A444" s="17" t="s">
        <v>4059</v>
      </c>
      <c r="B444" s="17" t="s">
        <v>4059</v>
      </c>
      <c r="C444" s="17" t="s">
        <v>3696</v>
      </c>
      <c r="D444" s="17" t="s">
        <v>2669</v>
      </c>
      <c r="E444" s="17" t="s">
        <v>3543</v>
      </c>
      <c r="F444" s="17" t="s">
        <v>4059</v>
      </c>
      <c r="G444" s="17" t="s">
        <v>2671</v>
      </c>
      <c r="H444" s="17" t="s">
        <v>4312</v>
      </c>
      <c r="I444" s="17" t="s">
        <v>4237</v>
      </c>
      <c r="J444" s="17" t="s">
        <v>3544</v>
      </c>
      <c r="K444" s="17" t="s">
        <v>2864</v>
      </c>
      <c r="L444" s="17" t="s">
        <v>3873</v>
      </c>
      <c r="M444" s="17" t="s">
        <v>2669</v>
      </c>
      <c r="N444" s="17" t="s">
        <v>4060</v>
      </c>
      <c r="O444" s="17" t="s">
        <v>7635</v>
      </c>
      <c r="P444" s="17" t="s">
        <v>4061</v>
      </c>
      <c r="Q444" s="17" t="s">
        <v>2669</v>
      </c>
      <c r="R444" s="17" t="s">
        <v>4059</v>
      </c>
      <c r="S444" s="17" t="s">
        <v>7635</v>
      </c>
      <c r="T444" s="17" t="s">
        <v>4062</v>
      </c>
      <c r="U444" s="17"/>
      <c r="V444" s="17"/>
      <c r="W444" s="17"/>
      <c r="X444" s="17"/>
      <c r="Y444" s="17"/>
    </row>
    <row r="445" spans="1:25">
      <c r="A445" s="17" t="s">
        <v>4063</v>
      </c>
      <c r="B445" s="17" t="s">
        <v>4063</v>
      </c>
      <c r="C445" s="17" t="s">
        <v>3696</v>
      </c>
      <c r="D445" s="17" t="s">
        <v>2669</v>
      </c>
      <c r="E445" s="17" t="s">
        <v>3543</v>
      </c>
      <c r="F445" s="17" t="s">
        <v>4063</v>
      </c>
      <c r="G445" s="17" t="s">
        <v>2671</v>
      </c>
      <c r="H445" s="17" t="s">
        <v>6835</v>
      </c>
      <c r="I445" s="17" t="s">
        <v>4237</v>
      </c>
      <c r="J445" s="17" t="s">
        <v>3544</v>
      </c>
      <c r="K445" s="17" t="s">
        <v>2864</v>
      </c>
      <c r="L445" s="17" t="s">
        <v>3873</v>
      </c>
      <c r="M445" s="17" t="s">
        <v>2669</v>
      </c>
      <c r="N445" s="17" t="s">
        <v>4064</v>
      </c>
      <c r="O445" s="17" t="s">
        <v>7635</v>
      </c>
      <c r="P445" s="17" t="s">
        <v>4065</v>
      </c>
      <c r="Q445" s="17" t="s">
        <v>2669</v>
      </c>
      <c r="R445" s="17" t="s">
        <v>4063</v>
      </c>
      <c r="S445" s="17" t="s">
        <v>7635</v>
      </c>
      <c r="T445" s="17" t="s">
        <v>4066</v>
      </c>
      <c r="U445" s="17"/>
      <c r="V445" s="17"/>
      <c r="W445" s="17"/>
      <c r="X445" s="17"/>
      <c r="Y445" s="17"/>
    </row>
    <row r="446" spans="1:25">
      <c r="A446" s="17" t="s">
        <v>4067</v>
      </c>
      <c r="B446" s="17" t="s">
        <v>4067</v>
      </c>
      <c r="C446" s="17" t="s">
        <v>3705</v>
      </c>
      <c r="D446" s="17" t="s">
        <v>2669</v>
      </c>
      <c r="E446" s="17" t="s">
        <v>3543</v>
      </c>
      <c r="F446" s="17" t="s">
        <v>4067</v>
      </c>
      <c r="G446" s="17" t="s">
        <v>2671</v>
      </c>
      <c r="H446" s="17" t="s">
        <v>4312</v>
      </c>
      <c r="I446" s="17" t="s">
        <v>4237</v>
      </c>
      <c r="J446" s="17" t="s">
        <v>3544</v>
      </c>
      <c r="K446" s="17" t="s">
        <v>2873</v>
      </c>
      <c r="L446" s="17" t="s">
        <v>3873</v>
      </c>
      <c r="M446" s="17" t="s">
        <v>2669</v>
      </c>
      <c r="N446" s="17" t="s">
        <v>4068</v>
      </c>
      <c r="O446" s="17" t="s">
        <v>7635</v>
      </c>
      <c r="P446" s="17" t="s">
        <v>4069</v>
      </c>
      <c r="Q446" s="17" t="s">
        <v>2669</v>
      </c>
      <c r="R446" s="17" t="s">
        <v>4067</v>
      </c>
      <c r="S446" s="17" t="s">
        <v>7635</v>
      </c>
      <c r="T446" s="17" t="s">
        <v>4070</v>
      </c>
      <c r="U446" s="17"/>
      <c r="V446" s="17"/>
      <c r="W446" s="17"/>
      <c r="X446" s="17"/>
      <c r="Y446" s="17"/>
    </row>
    <row r="447" spans="1:25">
      <c r="A447" s="17" t="s">
        <v>4071</v>
      </c>
      <c r="B447" s="17" t="s">
        <v>4071</v>
      </c>
      <c r="C447" s="17" t="s">
        <v>3705</v>
      </c>
      <c r="D447" s="17" t="s">
        <v>2669</v>
      </c>
      <c r="E447" s="17" t="s">
        <v>3543</v>
      </c>
      <c r="F447" s="17" t="s">
        <v>4071</v>
      </c>
      <c r="G447" s="17" t="s">
        <v>2671</v>
      </c>
      <c r="H447" s="17" t="s">
        <v>6835</v>
      </c>
      <c r="I447" s="17" t="s">
        <v>4237</v>
      </c>
      <c r="J447" s="17" t="s">
        <v>3544</v>
      </c>
      <c r="K447" s="17" t="s">
        <v>2873</v>
      </c>
      <c r="L447" s="17" t="s">
        <v>3873</v>
      </c>
      <c r="M447" s="17" t="s">
        <v>2669</v>
      </c>
      <c r="N447" s="17" t="s">
        <v>4072</v>
      </c>
      <c r="O447" s="17" t="s">
        <v>7635</v>
      </c>
      <c r="P447" s="17" t="s">
        <v>4073</v>
      </c>
      <c r="Q447" s="17" t="s">
        <v>2669</v>
      </c>
      <c r="R447" s="17" t="s">
        <v>4071</v>
      </c>
      <c r="S447" s="17" t="s">
        <v>7635</v>
      </c>
      <c r="T447" s="17" t="s">
        <v>4074</v>
      </c>
      <c r="U447" s="17"/>
      <c r="V447" s="17"/>
      <c r="W447" s="17"/>
      <c r="X447" s="17"/>
      <c r="Y447" s="17"/>
    </row>
    <row r="448" spans="1:25">
      <c r="A448" s="17" t="s">
        <v>4075</v>
      </c>
      <c r="B448" s="17" t="s">
        <v>4075</v>
      </c>
      <c r="C448" s="17" t="s">
        <v>3714</v>
      </c>
      <c r="D448" s="17" t="s">
        <v>2669</v>
      </c>
      <c r="E448" s="17" t="s">
        <v>3543</v>
      </c>
      <c r="F448" s="17" t="s">
        <v>4075</v>
      </c>
      <c r="G448" s="17" t="s">
        <v>2671</v>
      </c>
      <c r="H448" s="17" t="s">
        <v>4312</v>
      </c>
      <c r="I448" s="17" t="s">
        <v>4237</v>
      </c>
      <c r="J448" s="17" t="s">
        <v>3544</v>
      </c>
      <c r="K448" s="17" t="s">
        <v>2882</v>
      </c>
      <c r="L448" s="17" t="s">
        <v>3873</v>
      </c>
      <c r="M448" s="17" t="s">
        <v>2669</v>
      </c>
      <c r="N448" s="17" t="s">
        <v>4076</v>
      </c>
      <c r="O448" s="17" t="s">
        <v>7635</v>
      </c>
      <c r="P448" s="17" t="s">
        <v>4077</v>
      </c>
      <c r="Q448" s="17" t="s">
        <v>2669</v>
      </c>
      <c r="R448" s="17" t="s">
        <v>4075</v>
      </c>
      <c r="S448" s="17" t="s">
        <v>7635</v>
      </c>
      <c r="T448" s="17" t="s">
        <v>4078</v>
      </c>
      <c r="U448" s="17"/>
      <c r="V448" s="17"/>
      <c r="W448" s="17"/>
      <c r="X448" s="17"/>
      <c r="Y448" s="17"/>
    </row>
    <row r="449" spans="1:25">
      <c r="A449" s="17" t="s">
        <v>4079</v>
      </c>
      <c r="B449" s="17" t="s">
        <v>4079</v>
      </c>
      <c r="C449" s="17" t="s">
        <v>3714</v>
      </c>
      <c r="D449" s="17" t="s">
        <v>2669</v>
      </c>
      <c r="E449" s="17" t="s">
        <v>3543</v>
      </c>
      <c r="F449" s="17" t="s">
        <v>4079</v>
      </c>
      <c r="G449" s="17" t="s">
        <v>2671</v>
      </c>
      <c r="H449" s="17" t="s">
        <v>6835</v>
      </c>
      <c r="I449" s="17" t="s">
        <v>4237</v>
      </c>
      <c r="J449" s="17" t="s">
        <v>3544</v>
      </c>
      <c r="K449" s="17" t="s">
        <v>2882</v>
      </c>
      <c r="L449" s="17" t="s">
        <v>3873</v>
      </c>
      <c r="M449" s="17" t="s">
        <v>2669</v>
      </c>
      <c r="N449" s="17" t="s">
        <v>4080</v>
      </c>
      <c r="O449" s="17" t="s">
        <v>7635</v>
      </c>
      <c r="P449" s="17" t="s">
        <v>4081</v>
      </c>
      <c r="Q449" s="17" t="s">
        <v>2669</v>
      </c>
      <c r="R449" s="17" t="s">
        <v>4079</v>
      </c>
      <c r="S449" s="17" t="s">
        <v>7635</v>
      </c>
      <c r="T449" s="17" t="s">
        <v>4082</v>
      </c>
      <c r="U449" s="17"/>
      <c r="V449" s="17"/>
      <c r="W449" s="17"/>
      <c r="X449" s="17"/>
      <c r="Y449" s="17"/>
    </row>
    <row r="450" spans="1:25">
      <c r="A450" s="17" t="s">
        <v>4083</v>
      </c>
      <c r="B450" s="17" t="s">
        <v>4083</v>
      </c>
      <c r="C450" s="17" t="s">
        <v>3719</v>
      </c>
      <c r="D450" s="17" t="s">
        <v>2669</v>
      </c>
      <c r="E450" s="17" t="s">
        <v>3543</v>
      </c>
      <c r="F450" s="17" t="s">
        <v>4083</v>
      </c>
      <c r="G450" s="17" t="s">
        <v>2671</v>
      </c>
      <c r="H450" s="17" t="s">
        <v>4312</v>
      </c>
      <c r="I450" s="17" t="s">
        <v>4237</v>
      </c>
      <c r="J450" s="17" t="s">
        <v>3544</v>
      </c>
      <c r="K450" s="17" t="s">
        <v>2889</v>
      </c>
      <c r="L450" s="17" t="s">
        <v>3873</v>
      </c>
      <c r="M450" s="17" t="s">
        <v>2669</v>
      </c>
      <c r="N450" s="17" t="s">
        <v>4084</v>
      </c>
      <c r="O450" s="17" t="s">
        <v>7635</v>
      </c>
      <c r="P450" s="17" t="s">
        <v>4085</v>
      </c>
      <c r="Q450" s="17" t="s">
        <v>2669</v>
      </c>
      <c r="R450" s="17" t="s">
        <v>4083</v>
      </c>
      <c r="S450" s="17" t="s">
        <v>7635</v>
      </c>
      <c r="T450" s="17" t="s">
        <v>4086</v>
      </c>
      <c r="U450" s="17"/>
      <c r="V450" s="17"/>
      <c r="W450" s="17"/>
      <c r="X450" s="17"/>
      <c r="Y450" s="17"/>
    </row>
    <row r="451" spans="1:25">
      <c r="A451" s="17" t="s">
        <v>4087</v>
      </c>
      <c r="B451" s="17" t="s">
        <v>4087</v>
      </c>
      <c r="C451" s="17" t="s">
        <v>3719</v>
      </c>
      <c r="D451" s="17" t="s">
        <v>2669</v>
      </c>
      <c r="E451" s="17" t="s">
        <v>3543</v>
      </c>
      <c r="F451" s="17" t="s">
        <v>4087</v>
      </c>
      <c r="G451" s="17" t="s">
        <v>2671</v>
      </c>
      <c r="H451" s="17" t="s">
        <v>6835</v>
      </c>
      <c r="I451" s="17" t="s">
        <v>4237</v>
      </c>
      <c r="J451" s="17" t="s">
        <v>3544</v>
      </c>
      <c r="K451" s="17" t="s">
        <v>2889</v>
      </c>
      <c r="L451" s="17" t="s">
        <v>3972</v>
      </c>
      <c r="M451" s="17" t="s">
        <v>2669</v>
      </c>
      <c r="N451" s="17" t="s">
        <v>4087</v>
      </c>
      <c r="O451" s="17" t="s">
        <v>7635</v>
      </c>
      <c r="P451" s="17" t="s">
        <v>4088</v>
      </c>
      <c r="Q451" s="17" t="s">
        <v>2669</v>
      </c>
      <c r="R451" s="17" t="s">
        <v>4089</v>
      </c>
      <c r="S451" s="17" t="s">
        <v>7635</v>
      </c>
      <c r="T451" s="17" t="s">
        <v>4090</v>
      </c>
      <c r="U451" s="17"/>
      <c r="V451" s="17"/>
      <c r="W451" s="17"/>
      <c r="X451" s="17"/>
      <c r="Y451" s="17"/>
    </row>
    <row r="452" spans="1:25">
      <c r="A452" s="17" t="s">
        <v>4091</v>
      </c>
      <c r="B452" s="17" t="s">
        <v>4091</v>
      </c>
      <c r="C452" s="17" t="s">
        <v>3724</v>
      </c>
      <c r="D452" s="17" t="s">
        <v>2669</v>
      </c>
      <c r="E452" s="17" t="s">
        <v>3543</v>
      </c>
      <c r="F452" s="17" t="s">
        <v>4091</v>
      </c>
      <c r="G452" s="17" t="s">
        <v>2671</v>
      </c>
      <c r="H452" s="17" t="s">
        <v>4312</v>
      </c>
      <c r="I452" s="17" t="s">
        <v>4237</v>
      </c>
      <c r="J452" s="17" t="s">
        <v>3544</v>
      </c>
      <c r="K452" s="17" t="s">
        <v>2893</v>
      </c>
      <c r="L452" s="17" t="s">
        <v>3873</v>
      </c>
      <c r="M452" s="17" t="s">
        <v>2669</v>
      </c>
      <c r="N452" s="17" t="s">
        <v>4092</v>
      </c>
      <c r="O452" s="17" t="s">
        <v>7635</v>
      </c>
      <c r="P452" s="17" t="s">
        <v>4093</v>
      </c>
      <c r="Q452" s="17" t="s">
        <v>2669</v>
      </c>
      <c r="R452" s="17" t="s">
        <v>4091</v>
      </c>
      <c r="S452" s="17" t="s">
        <v>7635</v>
      </c>
      <c r="T452" s="17" t="s">
        <v>4094</v>
      </c>
      <c r="U452" s="17"/>
      <c r="V452" s="17"/>
      <c r="W452" s="17"/>
      <c r="X452" s="17"/>
      <c r="Y452" s="17"/>
    </row>
    <row r="453" spans="1:25">
      <c r="A453" s="17" t="s">
        <v>4095</v>
      </c>
      <c r="B453" s="17" t="s">
        <v>4095</v>
      </c>
      <c r="C453" s="17" t="s">
        <v>3724</v>
      </c>
      <c r="D453" s="17" t="s">
        <v>2669</v>
      </c>
      <c r="E453" s="17" t="s">
        <v>3543</v>
      </c>
      <c r="F453" s="17" t="s">
        <v>4095</v>
      </c>
      <c r="G453" s="17" t="s">
        <v>2671</v>
      </c>
      <c r="H453" s="17" t="s">
        <v>6835</v>
      </c>
      <c r="I453" s="17" t="s">
        <v>4237</v>
      </c>
      <c r="J453" s="17" t="s">
        <v>3544</v>
      </c>
      <c r="K453" s="17" t="s">
        <v>2893</v>
      </c>
      <c r="L453" s="17" t="s">
        <v>3873</v>
      </c>
      <c r="M453" s="17" t="s">
        <v>2669</v>
      </c>
      <c r="N453" s="17" t="s">
        <v>4096</v>
      </c>
      <c r="O453" s="17" t="s">
        <v>7635</v>
      </c>
      <c r="P453" s="17" t="s">
        <v>4097</v>
      </c>
      <c r="Q453" s="17" t="s">
        <v>2669</v>
      </c>
      <c r="R453" s="17" t="s">
        <v>4098</v>
      </c>
      <c r="S453" s="17" t="s">
        <v>7635</v>
      </c>
      <c r="T453" s="17" t="s">
        <v>4099</v>
      </c>
      <c r="U453" s="17"/>
      <c r="V453" s="17"/>
      <c r="W453" s="17"/>
      <c r="X453" s="17"/>
      <c r="Y453" s="17"/>
    </row>
    <row r="454" spans="1:25">
      <c r="A454" s="17" t="s">
        <v>4100</v>
      </c>
      <c r="B454" s="17" t="s">
        <v>4100</v>
      </c>
      <c r="C454" s="17" t="s">
        <v>3731</v>
      </c>
      <c r="D454" s="17" t="s">
        <v>2669</v>
      </c>
      <c r="E454" s="17" t="s">
        <v>3543</v>
      </c>
      <c r="F454" s="17" t="s">
        <v>4100</v>
      </c>
      <c r="G454" s="17" t="s">
        <v>2671</v>
      </c>
      <c r="H454" s="17" t="s">
        <v>4312</v>
      </c>
      <c r="I454" s="17" t="s">
        <v>4237</v>
      </c>
      <c r="J454" s="17" t="s">
        <v>3544</v>
      </c>
      <c r="K454" s="17" t="s">
        <v>2902</v>
      </c>
      <c r="L454" s="17" t="s">
        <v>3873</v>
      </c>
      <c r="M454" s="17" t="s">
        <v>2669</v>
      </c>
      <c r="N454" s="17" t="s">
        <v>4101</v>
      </c>
      <c r="O454" s="17" t="s">
        <v>7635</v>
      </c>
      <c r="P454" s="17" t="s">
        <v>4102</v>
      </c>
      <c r="Q454" s="17" t="s">
        <v>2669</v>
      </c>
      <c r="R454" s="17" t="s">
        <v>4100</v>
      </c>
      <c r="S454" s="17" t="s">
        <v>7635</v>
      </c>
      <c r="T454" s="17" t="s">
        <v>4103</v>
      </c>
      <c r="U454" s="17"/>
      <c r="V454" s="17"/>
      <c r="W454" s="17"/>
      <c r="X454" s="17"/>
      <c r="Y454" s="17"/>
    </row>
    <row r="455" spans="1:25">
      <c r="A455" s="17" t="s">
        <v>4104</v>
      </c>
      <c r="B455" s="17" t="s">
        <v>4104</v>
      </c>
      <c r="C455" s="17" t="s">
        <v>3731</v>
      </c>
      <c r="D455" s="17" t="s">
        <v>2669</v>
      </c>
      <c r="E455" s="17" t="s">
        <v>3543</v>
      </c>
      <c r="F455" s="17" t="s">
        <v>4104</v>
      </c>
      <c r="G455" s="17" t="s">
        <v>2671</v>
      </c>
      <c r="H455" s="17" t="s">
        <v>6835</v>
      </c>
      <c r="I455" s="17" t="s">
        <v>4237</v>
      </c>
      <c r="J455" s="17" t="s">
        <v>3544</v>
      </c>
      <c r="K455" s="17" t="s">
        <v>2902</v>
      </c>
      <c r="L455" s="17" t="s">
        <v>3873</v>
      </c>
      <c r="M455" s="17" t="s">
        <v>2669</v>
      </c>
      <c r="N455" s="17" t="s">
        <v>4105</v>
      </c>
      <c r="O455" s="17" t="s">
        <v>7635</v>
      </c>
      <c r="P455" s="17" t="s">
        <v>4106</v>
      </c>
      <c r="Q455" s="17" t="s">
        <v>2669</v>
      </c>
      <c r="R455" s="17" t="s">
        <v>4104</v>
      </c>
      <c r="S455" s="17" t="s">
        <v>7635</v>
      </c>
      <c r="T455" s="17" t="s">
        <v>4107</v>
      </c>
      <c r="U455" s="17"/>
      <c r="V455" s="17"/>
      <c r="W455" s="17"/>
      <c r="X455" s="17"/>
      <c r="Y455" s="17"/>
    </row>
    <row r="456" spans="1:25">
      <c r="A456" s="17" t="s">
        <v>4108</v>
      </c>
      <c r="B456" s="17" t="s">
        <v>4108</v>
      </c>
      <c r="C456" s="17" t="s">
        <v>3738</v>
      </c>
      <c r="D456" s="17" t="s">
        <v>2669</v>
      </c>
      <c r="E456" s="17" t="s">
        <v>3543</v>
      </c>
      <c r="F456" s="17" t="s">
        <v>4108</v>
      </c>
      <c r="G456" s="17" t="s">
        <v>2671</v>
      </c>
      <c r="H456" s="17" t="s">
        <v>4312</v>
      </c>
      <c r="I456" s="17" t="s">
        <v>4237</v>
      </c>
      <c r="J456" s="17" t="s">
        <v>3544</v>
      </c>
      <c r="K456" s="17" t="s">
        <v>2909</v>
      </c>
      <c r="L456" s="17" t="s">
        <v>3873</v>
      </c>
      <c r="M456" s="17" t="s">
        <v>2669</v>
      </c>
      <c r="N456" s="17" t="s">
        <v>4109</v>
      </c>
      <c r="O456" s="17" t="s">
        <v>7635</v>
      </c>
      <c r="P456" s="17" t="s">
        <v>4110</v>
      </c>
      <c r="Q456" s="17" t="s">
        <v>2669</v>
      </c>
      <c r="R456" s="17" t="s">
        <v>4108</v>
      </c>
      <c r="S456" s="17" t="s">
        <v>7635</v>
      </c>
      <c r="T456" s="17" t="s">
        <v>4111</v>
      </c>
      <c r="U456" s="17"/>
      <c r="V456" s="17"/>
      <c r="W456" s="17"/>
      <c r="X456" s="17"/>
      <c r="Y456" s="17"/>
    </row>
    <row r="457" spans="1:25">
      <c r="A457" s="17" t="s">
        <v>4112</v>
      </c>
      <c r="B457" s="17" t="s">
        <v>4112</v>
      </c>
      <c r="C457" s="17" t="s">
        <v>3738</v>
      </c>
      <c r="D457" s="17" t="s">
        <v>2669</v>
      </c>
      <c r="E457" s="17" t="s">
        <v>3543</v>
      </c>
      <c r="F457" s="17" t="s">
        <v>4112</v>
      </c>
      <c r="G457" s="17" t="s">
        <v>2671</v>
      </c>
      <c r="H457" s="17" t="s">
        <v>6835</v>
      </c>
      <c r="I457" s="17" t="s">
        <v>4237</v>
      </c>
      <c r="J457" s="17" t="s">
        <v>3544</v>
      </c>
      <c r="K457" s="17" t="s">
        <v>2909</v>
      </c>
      <c r="L457" s="17" t="s">
        <v>3873</v>
      </c>
      <c r="M457" s="17" t="s">
        <v>2669</v>
      </c>
      <c r="N457" s="17" t="s">
        <v>4113</v>
      </c>
      <c r="O457" s="17" t="s">
        <v>7635</v>
      </c>
      <c r="P457" s="17" t="s">
        <v>4114</v>
      </c>
      <c r="Q457" s="17" t="s">
        <v>2669</v>
      </c>
      <c r="R457" s="17" t="s">
        <v>4112</v>
      </c>
      <c r="S457" s="17" t="s">
        <v>7635</v>
      </c>
      <c r="T457" s="17" t="s">
        <v>4115</v>
      </c>
      <c r="U457" s="17"/>
      <c r="V457" s="17"/>
      <c r="W457" s="17"/>
      <c r="X457" s="17"/>
      <c r="Y457" s="17"/>
    </row>
    <row r="458" spans="1:25">
      <c r="A458" s="17" t="s">
        <v>4116</v>
      </c>
      <c r="B458" s="17" t="s">
        <v>4116</v>
      </c>
      <c r="C458" s="17" t="s">
        <v>3743</v>
      </c>
      <c r="D458" s="17" t="s">
        <v>2669</v>
      </c>
      <c r="E458" s="17" t="s">
        <v>3543</v>
      </c>
      <c r="F458" s="17" t="s">
        <v>4116</v>
      </c>
      <c r="G458" s="17" t="s">
        <v>2671</v>
      </c>
      <c r="H458" s="17" t="s">
        <v>4312</v>
      </c>
      <c r="I458" s="17" t="s">
        <v>4237</v>
      </c>
      <c r="J458" s="17" t="s">
        <v>3544</v>
      </c>
      <c r="K458" s="17" t="s">
        <v>2916</v>
      </c>
      <c r="L458" s="17" t="s">
        <v>3873</v>
      </c>
      <c r="M458" s="17" t="s">
        <v>2669</v>
      </c>
      <c r="N458" s="17" t="s">
        <v>4117</v>
      </c>
      <c r="O458" s="17" t="s">
        <v>7635</v>
      </c>
      <c r="P458" s="17" t="s">
        <v>4118</v>
      </c>
      <c r="Q458" s="17" t="s">
        <v>2669</v>
      </c>
      <c r="R458" s="17" t="s">
        <v>4116</v>
      </c>
      <c r="S458" s="17" t="s">
        <v>7635</v>
      </c>
      <c r="T458" s="17" t="s">
        <v>4119</v>
      </c>
      <c r="U458" s="17"/>
      <c r="V458" s="17"/>
      <c r="W458" s="17"/>
      <c r="X458" s="17"/>
      <c r="Y458" s="17"/>
    </row>
    <row r="459" spans="1:25">
      <c r="A459" s="17" t="s">
        <v>4120</v>
      </c>
      <c r="B459" s="17" t="s">
        <v>4120</v>
      </c>
      <c r="C459" s="17" t="s">
        <v>3743</v>
      </c>
      <c r="D459" s="17" t="s">
        <v>2669</v>
      </c>
      <c r="E459" s="17" t="s">
        <v>3543</v>
      </c>
      <c r="F459" s="17" t="s">
        <v>4120</v>
      </c>
      <c r="G459" s="17" t="s">
        <v>2671</v>
      </c>
      <c r="H459" s="17" t="s">
        <v>6835</v>
      </c>
      <c r="I459" s="17" t="s">
        <v>4237</v>
      </c>
      <c r="J459" s="17" t="s">
        <v>3544</v>
      </c>
      <c r="K459" s="17" t="s">
        <v>2916</v>
      </c>
      <c r="L459" s="17" t="s">
        <v>3972</v>
      </c>
      <c r="M459" s="17" t="s">
        <v>2669</v>
      </c>
      <c r="N459" s="17" t="s">
        <v>4120</v>
      </c>
      <c r="O459" s="17" t="s">
        <v>7635</v>
      </c>
      <c r="P459" s="17" t="s">
        <v>4121</v>
      </c>
      <c r="Q459" s="17" t="s">
        <v>2669</v>
      </c>
      <c r="R459" s="17" t="s">
        <v>4122</v>
      </c>
      <c r="S459" s="17" t="s">
        <v>7635</v>
      </c>
      <c r="T459" s="17" t="s">
        <v>4123</v>
      </c>
      <c r="U459" s="17"/>
      <c r="V459" s="17"/>
      <c r="W459" s="17"/>
      <c r="X459" s="17"/>
      <c r="Y459" s="17"/>
    </row>
    <row r="460" spans="1:25">
      <c r="A460" s="17" t="s">
        <v>4124</v>
      </c>
      <c r="B460" s="17" t="s">
        <v>4124</v>
      </c>
      <c r="C460" s="17" t="s">
        <v>4125</v>
      </c>
      <c r="D460" s="17" t="s">
        <v>2669</v>
      </c>
      <c r="E460" s="17" t="s">
        <v>3543</v>
      </c>
      <c r="F460" s="17" t="s">
        <v>4124</v>
      </c>
      <c r="G460" s="17" t="s">
        <v>2671</v>
      </c>
      <c r="H460" s="17" t="s">
        <v>4312</v>
      </c>
      <c r="I460" s="17" t="s">
        <v>4237</v>
      </c>
      <c r="J460" s="17" t="s">
        <v>3544</v>
      </c>
      <c r="K460" s="17" t="s">
        <v>2923</v>
      </c>
      <c r="L460" s="17" t="s">
        <v>3873</v>
      </c>
      <c r="M460" s="17" t="s">
        <v>2669</v>
      </c>
      <c r="N460" s="17" t="s">
        <v>4126</v>
      </c>
      <c r="O460" s="17" t="s">
        <v>7635</v>
      </c>
      <c r="P460" s="17" t="s">
        <v>4127</v>
      </c>
      <c r="Q460" s="17" t="s">
        <v>2669</v>
      </c>
      <c r="R460" s="17" t="s">
        <v>4124</v>
      </c>
      <c r="S460" s="17" t="s">
        <v>7635</v>
      </c>
      <c r="T460" s="17" t="s">
        <v>4128</v>
      </c>
      <c r="U460" s="17"/>
      <c r="V460" s="17"/>
      <c r="W460" s="17"/>
      <c r="X460" s="17"/>
      <c r="Y460" s="17"/>
    </row>
    <row r="461" spans="1:25">
      <c r="A461" s="17" t="s">
        <v>4129</v>
      </c>
      <c r="B461" s="17" t="s">
        <v>4129</v>
      </c>
      <c r="C461" s="17" t="s">
        <v>3750</v>
      </c>
      <c r="D461" s="17" t="s">
        <v>2669</v>
      </c>
      <c r="E461" s="17" t="s">
        <v>3543</v>
      </c>
      <c r="F461" s="17" t="s">
        <v>4129</v>
      </c>
      <c r="G461" s="17" t="s">
        <v>2671</v>
      </c>
      <c r="H461" s="17" t="s">
        <v>6835</v>
      </c>
      <c r="I461" s="17" t="s">
        <v>4237</v>
      </c>
      <c r="J461" s="17" t="s">
        <v>3544</v>
      </c>
      <c r="K461" s="17" t="s">
        <v>2923</v>
      </c>
      <c r="L461" s="17" t="s">
        <v>3972</v>
      </c>
      <c r="M461" s="17" t="s">
        <v>2669</v>
      </c>
      <c r="N461" s="17" t="s">
        <v>4129</v>
      </c>
      <c r="O461" s="17" t="s">
        <v>7635</v>
      </c>
      <c r="P461" s="17" t="s">
        <v>4130</v>
      </c>
      <c r="Q461" s="17" t="s">
        <v>2669</v>
      </c>
      <c r="R461" s="17" t="s">
        <v>4131</v>
      </c>
      <c r="S461" s="17" t="s">
        <v>7635</v>
      </c>
      <c r="T461" s="17" t="s">
        <v>4132</v>
      </c>
      <c r="U461" s="17"/>
      <c r="V461" s="17"/>
      <c r="W461" s="17"/>
      <c r="X461" s="17"/>
      <c r="Y461" s="17"/>
    </row>
    <row r="462" spans="1:25">
      <c r="A462" s="17" t="s">
        <v>4133</v>
      </c>
      <c r="B462" s="17" t="s">
        <v>4133</v>
      </c>
      <c r="C462" s="17" t="s">
        <v>3755</v>
      </c>
      <c r="D462" s="17" t="s">
        <v>2669</v>
      </c>
      <c r="E462" s="17" t="s">
        <v>3543</v>
      </c>
      <c r="F462" s="17" t="s">
        <v>4133</v>
      </c>
      <c r="G462" s="17" t="s">
        <v>2671</v>
      </c>
      <c r="H462" s="17" t="s">
        <v>4312</v>
      </c>
      <c r="I462" s="17" t="s">
        <v>4237</v>
      </c>
      <c r="J462" s="17" t="s">
        <v>3544</v>
      </c>
      <c r="K462" s="17" t="s">
        <v>2930</v>
      </c>
      <c r="L462" s="17" t="s">
        <v>3972</v>
      </c>
      <c r="M462" s="17" t="s">
        <v>2669</v>
      </c>
      <c r="N462" s="17" t="s">
        <v>4133</v>
      </c>
      <c r="O462" s="17" t="s">
        <v>7635</v>
      </c>
      <c r="P462" s="17" t="s">
        <v>4134</v>
      </c>
      <c r="Q462" s="17" t="s">
        <v>2669</v>
      </c>
      <c r="R462" s="17" t="s">
        <v>4135</v>
      </c>
      <c r="S462" s="17" t="s">
        <v>7635</v>
      </c>
      <c r="T462" s="17" t="s">
        <v>4136</v>
      </c>
      <c r="U462" s="17"/>
      <c r="V462" s="17"/>
      <c r="W462" s="17"/>
      <c r="X462" s="17"/>
      <c r="Y462" s="17"/>
    </row>
    <row r="463" spans="1:25">
      <c r="A463" s="17" t="s">
        <v>4137</v>
      </c>
      <c r="B463" s="17" t="s">
        <v>4137</v>
      </c>
      <c r="C463" s="17" t="s">
        <v>3755</v>
      </c>
      <c r="D463" s="17" t="s">
        <v>2669</v>
      </c>
      <c r="E463" s="17" t="s">
        <v>3543</v>
      </c>
      <c r="F463" s="17" t="s">
        <v>4137</v>
      </c>
      <c r="G463" s="17" t="s">
        <v>2671</v>
      </c>
      <c r="H463" s="17" t="s">
        <v>6835</v>
      </c>
      <c r="I463" s="17" t="s">
        <v>4237</v>
      </c>
      <c r="J463" s="17" t="s">
        <v>3544</v>
      </c>
      <c r="K463" s="17" t="s">
        <v>2930</v>
      </c>
      <c r="L463" s="17" t="s">
        <v>3972</v>
      </c>
      <c r="M463" s="17" t="s">
        <v>2669</v>
      </c>
      <c r="N463" s="17" t="s">
        <v>4137</v>
      </c>
      <c r="O463" s="17" t="s">
        <v>7635</v>
      </c>
      <c r="P463" s="17" t="s">
        <v>4138</v>
      </c>
      <c r="Q463" s="17" t="s">
        <v>2669</v>
      </c>
      <c r="R463" s="17" t="s">
        <v>4139</v>
      </c>
      <c r="S463" s="17" t="s">
        <v>7635</v>
      </c>
      <c r="T463" s="17" t="s">
        <v>4140</v>
      </c>
      <c r="U463" s="17"/>
      <c r="V463" s="17"/>
      <c r="W463" s="17"/>
      <c r="X463" s="17"/>
      <c r="Y463" s="17"/>
    </row>
    <row r="464" spans="1:25">
      <c r="A464" s="17" t="s">
        <v>4141</v>
      </c>
      <c r="B464" s="17" t="s">
        <v>4141</v>
      </c>
      <c r="C464" s="17" t="s">
        <v>3760</v>
      </c>
      <c r="D464" s="17" t="s">
        <v>2669</v>
      </c>
      <c r="E464" s="17" t="s">
        <v>3543</v>
      </c>
      <c r="F464" s="17" t="s">
        <v>4141</v>
      </c>
      <c r="G464" s="17" t="s">
        <v>2671</v>
      </c>
      <c r="H464" s="17" t="s">
        <v>4312</v>
      </c>
      <c r="I464" s="17" t="s">
        <v>4237</v>
      </c>
      <c r="J464" s="17" t="s">
        <v>3544</v>
      </c>
      <c r="K464" s="17" t="s">
        <v>2934</v>
      </c>
      <c r="L464" s="17" t="s">
        <v>3972</v>
      </c>
      <c r="M464" s="17" t="s">
        <v>2669</v>
      </c>
      <c r="N464" s="17" t="s">
        <v>4141</v>
      </c>
      <c r="O464" s="17" t="s">
        <v>7635</v>
      </c>
      <c r="P464" s="17" t="s">
        <v>4142</v>
      </c>
      <c r="Q464" s="17" t="s">
        <v>2669</v>
      </c>
      <c r="R464" s="17" t="s">
        <v>4143</v>
      </c>
      <c r="S464" s="17" t="s">
        <v>7635</v>
      </c>
      <c r="T464" s="17" t="s">
        <v>4144</v>
      </c>
      <c r="U464" s="17"/>
      <c r="V464" s="17"/>
      <c r="W464" s="17"/>
      <c r="X464" s="17"/>
      <c r="Y464" s="17"/>
    </row>
    <row r="465" spans="1:25">
      <c r="A465" s="17" t="s">
        <v>4145</v>
      </c>
      <c r="B465" s="17" t="s">
        <v>4145</v>
      </c>
      <c r="C465" s="17" t="s">
        <v>3760</v>
      </c>
      <c r="D465" s="17" t="s">
        <v>2669</v>
      </c>
      <c r="E465" s="17" t="s">
        <v>3543</v>
      </c>
      <c r="F465" s="17" t="s">
        <v>4145</v>
      </c>
      <c r="G465" s="17" t="s">
        <v>2671</v>
      </c>
      <c r="H465" s="17" t="s">
        <v>6835</v>
      </c>
      <c r="I465" s="17" t="s">
        <v>4237</v>
      </c>
      <c r="J465" s="17" t="s">
        <v>3544</v>
      </c>
      <c r="K465" s="17" t="s">
        <v>2934</v>
      </c>
      <c r="L465" s="17" t="s">
        <v>3972</v>
      </c>
      <c r="M465" s="17" t="s">
        <v>2669</v>
      </c>
      <c r="N465" s="17" t="s">
        <v>4145</v>
      </c>
      <c r="O465" s="17" t="s">
        <v>7635</v>
      </c>
      <c r="P465" s="17" t="s">
        <v>4146</v>
      </c>
      <c r="Q465" s="17" t="s">
        <v>2669</v>
      </c>
      <c r="R465" s="17" t="s">
        <v>4147</v>
      </c>
      <c r="S465" s="17" t="s">
        <v>7635</v>
      </c>
      <c r="T465" s="17" t="s">
        <v>4148</v>
      </c>
      <c r="U465" s="17"/>
      <c r="V465" s="17"/>
      <c r="W465" s="17"/>
      <c r="X465" s="17"/>
      <c r="Y465" s="17"/>
    </row>
    <row r="466" spans="1:25">
      <c r="A466" s="17" t="s">
        <v>4149</v>
      </c>
      <c r="B466" s="17" t="s">
        <v>4149</v>
      </c>
      <c r="C466" s="17" t="s">
        <v>3765</v>
      </c>
      <c r="D466" s="17" t="s">
        <v>2669</v>
      </c>
      <c r="E466" s="17" t="s">
        <v>3543</v>
      </c>
      <c r="F466" s="17" t="s">
        <v>4149</v>
      </c>
      <c r="G466" s="17" t="s">
        <v>2671</v>
      </c>
      <c r="H466" s="17" t="s">
        <v>4312</v>
      </c>
      <c r="I466" s="17" t="s">
        <v>4237</v>
      </c>
      <c r="J466" s="17" t="s">
        <v>3544</v>
      </c>
      <c r="K466" s="17" t="s">
        <v>2938</v>
      </c>
      <c r="L466" s="17" t="s">
        <v>3972</v>
      </c>
      <c r="M466" s="17" t="s">
        <v>2669</v>
      </c>
      <c r="N466" s="17" t="s">
        <v>4149</v>
      </c>
      <c r="O466" s="17" t="s">
        <v>7635</v>
      </c>
      <c r="P466" s="17" t="s">
        <v>4150</v>
      </c>
      <c r="Q466" s="17" t="s">
        <v>2669</v>
      </c>
      <c r="R466" s="17" t="s">
        <v>4151</v>
      </c>
      <c r="S466" s="17" t="s">
        <v>7635</v>
      </c>
      <c r="T466" s="17" t="s">
        <v>4152</v>
      </c>
      <c r="U466" s="17"/>
      <c r="V466" s="17"/>
      <c r="W466" s="17"/>
      <c r="X466" s="17"/>
      <c r="Y466" s="17"/>
    </row>
    <row r="467" spans="1:25">
      <c r="A467" s="17" t="s">
        <v>4153</v>
      </c>
      <c r="B467" s="17" t="s">
        <v>4153</v>
      </c>
      <c r="C467" s="17" t="s">
        <v>3765</v>
      </c>
      <c r="D467" s="17" t="s">
        <v>2669</v>
      </c>
      <c r="E467" s="17" t="s">
        <v>3543</v>
      </c>
      <c r="F467" s="17" t="s">
        <v>4153</v>
      </c>
      <c r="G467" s="17" t="s">
        <v>2671</v>
      </c>
      <c r="H467" s="17" t="s">
        <v>6835</v>
      </c>
      <c r="I467" s="17" t="s">
        <v>4237</v>
      </c>
      <c r="J467" s="17" t="s">
        <v>3544</v>
      </c>
      <c r="K467" s="17" t="s">
        <v>2938</v>
      </c>
      <c r="L467" s="17" t="s">
        <v>3972</v>
      </c>
      <c r="M467" s="17" t="s">
        <v>2669</v>
      </c>
      <c r="N467" s="17" t="s">
        <v>4153</v>
      </c>
      <c r="O467" s="17" t="s">
        <v>7635</v>
      </c>
      <c r="P467" s="17" t="s">
        <v>4154</v>
      </c>
      <c r="Q467" s="17" t="s">
        <v>2669</v>
      </c>
      <c r="R467" s="17" t="s">
        <v>4155</v>
      </c>
      <c r="S467" s="17" t="s">
        <v>7635</v>
      </c>
      <c r="T467" s="17" t="s">
        <v>4156</v>
      </c>
      <c r="U467" s="17"/>
      <c r="V467" s="17"/>
      <c r="W467" s="17"/>
      <c r="X467" s="17"/>
      <c r="Y467" s="17"/>
    </row>
    <row r="468" spans="1:25">
      <c r="A468" s="17" t="s">
        <v>4157</v>
      </c>
      <c r="B468" s="17" t="s">
        <v>4157</v>
      </c>
      <c r="C468" s="17" t="s">
        <v>3770</v>
      </c>
      <c r="D468" s="17" t="s">
        <v>2669</v>
      </c>
      <c r="E468" s="17" t="s">
        <v>3543</v>
      </c>
      <c r="F468" s="17" t="s">
        <v>4157</v>
      </c>
      <c r="G468" s="17" t="s">
        <v>2671</v>
      </c>
      <c r="H468" s="17" t="s">
        <v>4312</v>
      </c>
      <c r="I468" s="17" t="s">
        <v>4237</v>
      </c>
      <c r="J468" s="17" t="s">
        <v>3544</v>
      </c>
      <c r="K468" s="17" t="s">
        <v>3151</v>
      </c>
      <c r="L468" s="17" t="s">
        <v>3972</v>
      </c>
      <c r="M468" s="17" t="s">
        <v>2669</v>
      </c>
      <c r="N468" s="17" t="s">
        <v>4157</v>
      </c>
      <c r="O468" s="17" t="s">
        <v>7635</v>
      </c>
      <c r="P468" s="17" t="s">
        <v>4158</v>
      </c>
      <c r="Q468" s="17" t="s">
        <v>2669</v>
      </c>
      <c r="R468" s="17" t="s">
        <v>4159</v>
      </c>
      <c r="S468" s="17" t="s">
        <v>7635</v>
      </c>
      <c r="T468" s="17" t="s">
        <v>4160</v>
      </c>
      <c r="U468" s="17"/>
      <c r="V468" s="17"/>
      <c r="W468" s="17"/>
      <c r="X468" s="17"/>
      <c r="Y468" s="17"/>
    </row>
    <row r="469" spans="1:25">
      <c r="A469" s="17" t="s">
        <v>4161</v>
      </c>
      <c r="B469" s="17" t="s">
        <v>4161</v>
      </c>
      <c r="C469" s="17" t="s">
        <v>3770</v>
      </c>
      <c r="D469" s="17" t="s">
        <v>2669</v>
      </c>
      <c r="E469" s="17" t="s">
        <v>3543</v>
      </c>
      <c r="F469" s="17" t="s">
        <v>4161</v>
      </c>
      <c r="G469" s="17" t="s">
        <v>2671</v>
      </c>
      <c r="H469" s="17" t="s">
        <v>6835</v>
      </c>
      <c r="I469" s="17" t="s">
        <v>4237</v>
      </c>
      <c r="J469" s="17" t="s">
        <v>3544</v>
      </c>
      <c r="K469" s="17" t="s">
        <v>3151</v>
      </c>
      <c r="L469" s="17" t="s">
        <v>3972</v>
      </c>
      <c r="M469" s="17" t="s">
        <v>2669</v>
      </c>
      <c r="N469" s="17" t="s">
        <v>4161</v>
      </c>
      <c r="O469" s="17" t="s">
        <v>7635</v>
      </c>
      <c r="P469" s="17" t="s">
        <v>4162</v>
      </c>
      <c r="Q469" s="17" t="s">
        <v>2669</v>
      </c>
      <c r="R469" s="17" t="s">
        <v>4163</v>
      </c>
      <c r="S469" s="17" t="s">
        <v>7635</v>
      </c>
      <c r="T469" s="17" t="s">
        <v>4164</v>
      </c>
      <c r="U469" s="17"/>
      <c r="V469" s="17"/>
      <c r="W469" s="17"/>
      <c r="X469" s="17"/>
      <c r="Y469" s="17"/>
    </row>
    <row r="470" spans="1:25">
      <c r="A470" s="17" t="s">
        <v>4165</v>
      </c>
      <c r="B470" s="17" t="s">
        <v>4165</v>
      </c>
      <c r="C470" s="17" t="s">
        <v>3775</v>
      </c>
      <c r="D470" s="17" t="s">
        <v>2669</v>
      </c>
      <c r="E470" s="17" t="s">
        <v>3543</v>
      </c>
      <c r="F470" s="17" t="s">
        <v>4165</v>
      </c>
      <c r="G470" s="17" t="s">
        <v>2671</v>
      </c>
      <c r="H470" s="17" t="s">
        <v>4312</v>
      </c>
      <c r="I470" s="17" t="s">
        <v>4237</v>
      </c>
      <c r="J470" s="17" t="s">
        <v>3544</v>
      </c>
      <c r="K470" s="17" t="s">
        <v>2945</v>
      </c>
      <c r="L470" s="17" t="s">
        <v>3972</v>
      </c>
      <c r="M470" s="17" t="s">
        <v>2669</v>
      </c>
      <c r="N470" s="17" t="s">
        <v>4165</v>
      </c>
      <c r="O470" s="17" t="s">
        <v>7635</v>
      </c>
      <c r="P470" s="17" t="s">
        <v>4166</v>
      </c>
      <c r="Q470" s="17" t="s">
        <v>2669</v>
      </c>
      <c r="R470" s="17" t="s">
        <v>4167</v>
      </c>
      <c r="S470" s="17" t="s">
        <v>7635</v>
      </c>
      <c r="T470" s="17" t="s">
        <v>4168</v>
      </c>
      <c r="U470" s="17"/>
      <c r="V470" s="17"/>
      <c r="W470" s="17"/>
      <c r="X470" s="17"/>
      <c r="Y470" s="17"/>
    </row>
    <row r="471" spans="1:25">
      <c r="A471" s="17" t="s">
        <v>4169</v>
      </c>
      <c r="B471" s="17" t="s">
        <v>4169</v>
      </c>
      <c r="C471" s="17" t="s">
        <v>3775</v>
      </c>
      <c r="D471" s="17" t="s">
        <v>2669</v>
      </c>
      <c r="E471" s="17" t="s">
        <v>3543</v>
      </c>
      <c r="F471" s="17" t="s">
        <v>4169</v>
      </c>
      <c r="G471" s="17" t="s">
        <v>2671</v>
      </c>
      <c r="H471" s="17" t="s">
        <v>6835</v>
      </c>
      <c r="I471" s="17" t="s">
        <v>4237</v>
      </c>
      <c r="J471" s="17" t="s">
        <v>3544</v>
      </c>
      <c r="K471" s="17" t="s">
        <v>2945</v>
      </c>
      <c r="L471" s="17" t="s">
        <v>3972</v>
      </c>
      <c r="M471" s="17" t="s">
        <v>2669</v>
      </c>
      <c r="N471" s="17" t="s">
        <v>4169</v>
      </c>
      <c r="O471" s="17" t="s">
        <v>7635</v>
      </c>
      <c r="P471" s="17" t="s">
        <v>4170</v>
      </c>
      <c r="Q471" s="17" t="s">
        <v>2669</v>
      </c>
      <c r="R471" s="17" t="s">
        <v>4171</v>
      </c>
      <c r="S471" s="17" t="s">
        <v>7635</v>
      </c>
      <c r="T471" s="17" t="s">
        <v>4172</v>
      </c>
      <c r="U471" s="17"/>
      <c r="V471" s="17"/>
      <c r="W471" s="17"/>
      <c r="X471" s="17"/>
      <c r="Y471" s="17"/>
    </row>
    <row r="472" spans="1:25">
      <c r="A472" s="17" t="s">
        <v>4173</v>
      </c>
      <c r="B472" s="17" t="s">
        <v>4173</v>
      </c>
      <c r="C472" s="17" t="s">
        <v>3780</v>
      </c>
      <c r="D472" s="17" t="s">
        <v>2669</v>
      </c>
      <c r="E472" s="17" t="s">
        <v>3543</v>
      </c>
      <c r="F472" s="17" t="s">
        <v>4173</v>
      </c>
      <c r="G472" s="17" t="s">
        <v>2671</v>
      </c>
      <c r="H472" s="17" t="s">
        <v>4312</v>
      </c>
      <c r="I472" s="17" t="s">
        <v>4237</v>
      </c>
      <c r="J472" s="17" t="s">
        <v>3544</v>
      </c>
      <c r="K472" s="17" t="s">
        <v>3162</v>
      </c>
      <c r="L472" s="17" t="s">
        <v>3972</v>
      </c>
      <c r="M472" s="17" t="s">
        <v>2669</v>
      </c>
      <c r="N472" s="17" t="s">
        <v>4173</v>
      </c>
      <c r="O472" s="17" t="s">
        <v>7635</v>
      </c>
      <c r="P472" s="17" t="s">
        <v>4174</v>
      </c>
      <c r="Q472" s="17" t="s">
        <v>2669</v>
      </c>
      <c r="R472" s="17" t="s">
        <v>4175</v>
      </c>
      <c r="S472" s="17" t="s">
        <v>7635</v>
      </c>
      <c r="T472" s="17" t="s">
        <v>4176</v>
      </c>
      <c r="U472" s="17"/>
      <c r="V472" s="17"/>
      <c r="W472" s="17"/>
      <c r="X472" s="17"/>
      <c r="Y472" s="17"/>
    </row>
    <row r="473" spans="1:25">
      <c r="A473" s="17" t="s">
        <v>4177</v>
      </c>
      <c r="B473" s="17" t="s">
        <v>4177</v>
      </c>
      <c r="C473" s="17" t="s">
        <v>3780</v>
      </c>
      <c r="D473" s="17" t="s">
        <v>2669</v>
      </c>
      <c r="E473" s="17" t="s">
        <v>3543</v>
      </c>
      <c r="F473" s="17" t="s">
        <v>4177</v>
      </c>
      <c r="G473" s="17" t="s">
        <v>2671</v>
      </c>
      <c r="H473" s="17" t="s">
        <v>6835</v>
      </c>
      <c r="I473" s="17" t="s">
        <v>4237</v>
      </c>
      <c r="J473" s="17" t="s">
        <v>3544</v>
      </c>
      <c r="K473" s="17" t="s">
        <v>3162</v>
      </c>
      <c r="L473" s="17" t="s">
        <v>3972</v>
      </c>
      <c r="M473" s="17" t="s">
        <v>2669</v>
      </c>
      <c r="N473" s="17" t="s">
        <v>4177</v>
      </c>
      <c r="O473" s="17" t="s">
        <v>7635</v>
      </c>
      <c r="P473" s="17" t="s">
        <v>4178</v>
      </c>
      <c r="Q473" s="17" t="s">
        <v>2669</v>
      </c>
      <c r="R473" s="17" t="s">
        <v>4179</v>
      </c>
      <c r="S473" s="17" t="s">
        <v>7635</v>
      </c>
      <c r="T473" s="17" t="s">
        <v>4180</v>
      </c>
      <c r="U473" s="17"/>
      <c r="V473" s="17"/>
      <c r="W473" s="17"/>
      <c r="X473" s="17"/>
      <c r="Y473" s="17"/>
    </row>
    <row r="474" spans="1:25">
      <c r="A474" s="17" t="s">
        <v>4181</v>
      </c>
      <c r="B474" s="17" t="s">
        <v>4181</v>
      </c>
      <c r="C474" s="17" t="s">
        <v>3785</v>
      </c>
      <c r="D474" s="17" t="s">
        <v>2669</v>
      </c>
      <c r="E474" s="17" t="s">
        <v>3543</v>
      </c>
      <c r="F474" s="17" t="s">
        <v>4181</v>
      </c>
      <c r="G474" s="17" t="s">
        <v>2671</v>
      </c>
      <c r="H474" s="17" t="s">
        <v>4312</v>
      </c>
      <c r="I474" s="17" t="s">
        <v>4237</v>
      </c>
      <c r="J474" s="17" t="s">
        <v>3544</v>
      </c>
      <c r="K474" s="17" t="s">
        <v>3168</v>
      </c>
      <c r="L474" s="17" t="s">
        <v>3972</v>
      </c>
      <c r="M474" s="17" t="s">
        <v>2669</v>
      </c>
      <c r="N474" s="17" t="s">
        <v>4181</v>
      </c>
      <c r="O474" s="17" t="s">
        <v>7635</v>
      </c>
      <c r="P474" s="17" t="s">
        <v>4182</v>
      </c>
      <c r="Q474" s="17" t="s">
        <v>2669</v>
      </c>
      <c r="R474" s="17" t="s">
        <v>4183</v>
      </c>
      <c r="S474" s="17" t="s">
        <v>7635</v>
      </c>
      <c r="T474" s="17" t="s">
        <v>4184</v>
      </c>
      <c r="U474" s="17"/>
      <c r="V474" s="17"/>
      <c r="W474" s="17"/>
      <c r="X474" s="17"/>
      <c r="Y474" s="17"/>
    </row>
    <row r="475" spans="1:25">
      <c r="A475" s="17" t="s">
        <v>4185</v>
      </c>
      <c r="B475" s="17" t="s">
        <v>4185</v>
      </c>
      <c r="C475" s="17" t="s">
        <v>3785</v>
      </c>
      <c r="D475" s="17" t="s">
        <v>2669</v>
      </c>
      <c r="E475" s="17" t="s">
        <v>3543</v>
      </c>
      <c r="F475" s="17" t="s">
        <v>4185</v>
      </c>
      <c r="G475" s="17" t="s">
        <v>2671</v>
      </c>
      <c r="H475" s="17" t="s">
        <v>6835</v>
      </c>
      <c r="I475" s="17" t="s">
        <v>4237</v>
      </c>
      <c r="J475" s="17" t="s">
        <v>3544</v>
      </c>
      <c r="K475" s="17" t="s">
        <v>3168</v>
      </c>
      <c r="L475" s="17" t="s">
        <v>3972</v>
      </c>
      <c r="M475" s="17" t="s">
        <v>2669</v>
      </c>
      <c r="N475" s="17" t="s">
        <v>4185</v>
      </c>
      <c r="O475" s="17" t="s">
        <v>7635</v>
      </c>
      <c r="P475" s="17" t="s">
        <v>4186</v>
      </c>
      <c r="Q475" s="17" t="s">
        <v>2669</v>
      </c>
      <c r="R475" s="17" t="s">
        <v>4187</v>
      </c>
      <c r="S475" s="17" t="s">
        <v>7635</v>
      </c>
      <c r="T475" s="17" t="s">
        <v>4188</v>
      </c>
      <c r="U475" s="17"/>
      <c r="V475" s="17"/>
      <c r="W475" s="17"/>
      <c r="X475" s="17"/>
      <c r="Y475" s="17"/>
    </row>
    <row r="476" spans="1:25">
      <c r="A476" s="17" t="s">
        <v>4189</v>
      </c>
      <c r="B476" s="17" t="s">
        <v>4189</v>
      </c>
      <c r="C476" s="17" t="s">
        <v>3790</v>
      </c>
      <c r="D476" s="17" t="s">
        <v>2669</v>
      </c>
      <c r="E476" s="17" t="s">
        <v>3543</v>
      </c>
      <c r="F476" s="17" t="s">
        <v>4189</v>
      </c>
      <c r="G476" s="17" t="s">
        <v>2671</v>
      </c>
      <c r="H476" s="17" t="s">
        <v>4312</v>
      </c>
      <c r="I476" s="17" t="s">
        <v>4237</v>
      </c>
      <c r="J476" s="17" t="s">
        <v>3544</v>
      </c>
      <c r="K476" s="17" t="s">
        <v>3174</v>
      </c>
      <c r="L476" s="17" t="s">
        <v>3972</v>
      </c>
      <c r="M476" s="17" t="s">
        <v>2669</v>
      </c>
      <c r="N476" s="17" t="s">
        <v>4189</v>
      </c>
      <c r="O476" s="17" t="s">
        <v>7635</v>
      </c>
      <c r="P476" s="17" t="s">
        <v>4190</v>
      </c>
      <c r="Q476" s="17" t="s">
        <v>2669</v>
      </c>
      <c r="R476" s="17" t="s">
        <v>4191</v>
      </c>
      <c r="S476" s="17" t="s">
        <v>7635</v>
      </c>
      <c r="T476" s="17" t="s">
        <v>4192</v>
      </c>
      <c r="U476" s="17"/>
      <c r="V476" s="17"/>
      <c r="W476" s="17"/>
      <c r="X476" s="17"/>
      <c r="Y476" s="17"/>
    </row>
    <row r="477" spans="1:25">
      <c r="A477" s="17" t="s">
        <v>4193</v>
      </c>
      <c r="B477" s="17" t="s">
        <v>4193</v>
      </c>
      <c r="C477" s="17" t="s">
        <v>3790</v>
      </c>
      <c r="D477" s="17" t="s">
        <v>2669</v>
      </c>
      <c r="E477" s="17" t="s">
        <v>3543</v>
      </c>
      <c r="F477" s="17" t="s">
        <v>4193</v>
      </c>
      <c r="G477" s="17" t="s">
        <v>2671</v>
      </c>
      <c r="H477" s="17" t="s">
        <v>6835</v>
      </c>
      <c r="I477" s="17" t="s">
        <v>4237</v>
      </c>
      <c r="J477" s="17" t="s">
        <v>3544</v>
      </c>
      <c r="K477" s="17" t="s">
        <v>3174</v>
      </c>
      <c r="L477" s="17" t="s">
        <v>3972</v>
      </c>
      <c r="M477" s="17" t="s">
        <v>2669</v>
      </c>
      <c r="N477" s="17" t="s">
        <v>4193</v>
      </c>
      <c r="O477" s="17" t="s">
        <v>7635</v>
      </c>
      <c r="P477" s="17" t="s">
        <v>4194</v>
      </c>
      <c r="Q477" s="17" t="s">
        <v>2669</v>
      </c>
      <c r="R477" s="17" t="s">
        <v>4195</v>
      </c>
      <c r="S477" s="17" t="s">
        <v>7635</v>
      </c>
      <c r="T477" s="17" t="s">
        <v>4196</v>
      </c>
      <c r="U477" s="17"/>
      <c r="V477" s="17"/>
      <c r="W477" s="17"/>
      <c r="X477" s="17"/>
      <c r="Y477" s="17"/>
    </row>
    <row r="478" spans="1:25">
      <c r="A478" s="17" t="s">
        <v>4197</v>
      </c>
      <c r="B478" s="17" t="s">
        <v>4197</v>
      </c>
      <c r="C478" s="17" t="s">
        <v>3795</v>
      </c>
      <c r="D478" s="17" t="s">
        <v>2669</v>
      </c>
      <c r="E478" s="17" t="s">
        <v>3543</v>
      </c>
      <c r="F478" s="17" t="s">
        <v>4197</v>
      </c>
      <c r="G478" s="17" t="s">
        <v>2671</v>
      </c>
      <c r="H478" s="17" t="s">
        <v>4312</v>
      </c>
      <c r="I478" s="17" t="s">
        <v>4237</v>
      </c>
      <c r="J478" s="17" t="s">
        <v>3544</v>
      </c>
      <c r="K478" s="17" t="s">
        <v>3180</v>
      </c>
      <c r="L478" s="17" t="s">
        <v>3972</v>
      </c>
      <c r="M478" s="17" t="s">
        <v>2669</v>
      </c>
      <c r="N478" s="17" t="s">
        <v>4197</v>
      </c>
      <c r="O478" s="17" t="s">
        <v>7635</v>
      </c>
      <c r="P478" s="17" t="s">
        <v>4198</v>
      </c>
      <c r="Q478" s="17" t="s">
        <v>2669</v>
      </c>
      <c r="R478" s="17" t="s">
        <v>4199</v>
      </c>
      <c r="S478" s="17" t="s">
        <v>7635</v>
      </c>
      <c r="T478" s="17" t="s">
        <v>4200</v>
      </c>
      <c r="U478" s="17"/>
      <c r="V478" s="17"/>
      <c r="W478" s="17"/>
      <c r="X478" s="17"/>
      <c r="Y478" s="17"/>
    </row>
    <row r="479" spans="1:25">
      <c r="A479" s="17" t="s">
        <v>4201</v>
      </c>
      <c r="B479" s="17" t="s">
        <v>4201</v>
      </c>
      <c r="C479" s="17" t="s">
        <v>3795</v>
      </c>
      <c r="D479" s="17" t="s">
        <v>2669</v>
      </c>
      <c r="E479" s="17" t="s">
        <v>3543</v>
      </c>
      <c r="F479" s="17" t="s">
        <v>4201</v>
      </c>
      <c r="G479" s="17" t="s">
        <v>2671</v>
      </c>
      <c r="H479" s="17" t="s">
        <v>6835</v>
      </c>
      <c r="I479" s="17" t="s">
        <v>4237</v>
      </c>
      <c r="J479" s="17" t="s">
        <v>3544</v>
      </c>
      <c r="K479" s="17" t="s">
        <v>3180</v>
      </c>
      <c r="L479" s="17" t="s">
        <v>3972</v>
      </c>
      <c r="M479" s="17" t="s">
        <v>2669</v>
      </c>
      <c r="N479" s="17" t="s">
        <v>4201</v>
      </c>
      <c r="O479" s="17" t="s">
        <v>7635</v>
      </c>
      <c r="P479" s="17" t="s">
        <v>4202</v>
      </c>
      <c r="Q479" s="17" t="s">
        <v>2669</v>
      </c>
      <c r="R479" s="17" t="s">
        <v>4203</v>
      </c>
      <c r="S479" s="17" t="s">
        <v>7635</v>
      </c>
      <c r="T479" s="17" t="s">
        <v>4204</v>
      </c>
      <c r="U479" s="17"/>
      <c r="V479" s="17"/>
      <c r="W479" s="17"/>
      <c r="X479" s="17"/>
      <c r="Y479" s="17"/>
    </row>
    <row r="480" spans="1:25">
      <c r="A480" s="17" t="s">
        <v>4205</v>
      </c>
      <c r="B480" s="17" t="s">
        <v>4205</v>
      </c>
      <c r="C480" s="17" t="s">
        <v>3800</v>
      </c>
      <c r="D480" s="17" t="s">
        <v>2669</v>
      </c>
      <c r="E480" s="17" t="s">
        <v>3543</v>
      </c>
      <c r="F480" s="17" t="s">
        <v>4205</v>
      </c>
      <c r="G480" s="17" t="s">
        <v>2671</v>
      </c>
      <c r="H480" s="17" t="s">
        <v>4312</v>
      </c>
      <c r="I480" s="17" t="s">
        <v>4237</v>
      </c>
      <c r="J480" s="17" t="s">
        <v>3544</v>
      </c>
      <c r="K480" s="17" t="s">
        <v>3186</v>
      </c>
      <c r="L480" s="17" t="s">
        <v>3972</v>
      </c>
      <c r="M480" s="17" t="s">
        <v>2669</v>
      </c>
      <c r="N480" s="17" t="s">
        <v>4205</v>
      </c>
      <c r="O480" s="17" t="s">
        <v>7635</v>
      </c>
      <c r="P480" s="17" t="s">
        <v>4206</v>
      </c>
      <c r="Q480" s="17" t="s">
        <v>2669</v>
      </c>
      <c r="R480" s="17" t="s">
        <v>4207</v>
      </c>
      <c r="S480" s="17" t="s">
        <v>7635</v>
      </c>
      <c r="T480" s="17" t="s">
        <v>4208</v>
      </c>
      <c r="U480" s="17"/>
      <c r="V480" s="17"/>
      <c r="W480" s="17"/>
      <c r="X480" s="17"/>
      <c r="Y480" s="17"/>
    </row>
    <row r="481" spans="1:25">
      <c r="A481" s="17" t="s">
        <v>4209</v>
      </c>
      <c r="B481" s="17" t="s">
        <v>4209</v>
      </c>
      <c r="C481" s="17" t="s">
        <v>3800</v>
      </c>
      <c r="D481" s="17" t="s">
        <v>2669</v>
      </c>
      <c r="E481" s="17" t="s">
        <v>3543</v>
      </c>
      <c r="F481" s="17" t="s">
        <v>4209</v>
      </c>
      <c r="G481" s="17" t="s">
        <v>2671</v>
      </c>
      <c r="H481" s="17" t="s">
        <v>6835</v>
      </c>
      <c r="I481" s="17" t="s">
        <v>4237</v>
      </c>
      <c r="J481" s="17" t="s">
        <v>3544</v>
      </c>
      <c r="K481" s="17" t="s">
        <v>3186</v>
      </c>
      <c r="L481" s="17" t="s">
        <v>3972</v>
      </c>
      <c r="M481" s="17" t="s">
        <v>2669</v>
      </c>
      <c r="N481" s="17" t="s">
        <v>4209</v>
      </c>
      <c r="O481" s="17" t="s">
        <v>7635</v>
      </c>
      <c r="P481" s="17" t="s">
        <v>4210</v>
      </c>
      <c r="Q481" s="17" t="s">
        <v>2669</v>
      </c>
      <c r="R481" s="17" t="s">
        <v>4211</v>
      </c>
      <c r="S481" s="17" t="s">
        <v>7635</v>
      </c>
      <c r="T481" s="17" t="s">
        <v>4212</v>
      </c>
      <c r="U481" s="17"/>
      <c r="V481" s="17"/>
      <c r="W481" s="17"/>
      <c r="X481" s="17"/>
      <c r="Y481" s="17"/>
    </row>
    <row r="482" spans="1:25">
      <c r="A482" s="17" t="s">
        <v>4213</v>
      </c>
      <c r="B482" s="17" t="s">
        <v>4213</v>
      </c>
      <c r="C482" s="17" t="s">
        <v>3805</v>
      </c>
      <c r="D482" s="17" t="s">
        <v>2669</v>
      </c>
      <c r="E482" s="17" t="s">
        <v>3543</v>
      </c>
      <c r="F482" s="17" t="s">
        <v>4213</v>
      </c>
      <c r="G482" s="17" t="s">
        <v>2671</v>
      </c>
      <c r="H482" s="17" t="s">
        <v>4312</v>
      </c>
      <c r="I482" s="17" t="s">
        <v>4237</v>
      </c>
      <c r="J482" s="17" t="s">
        <v>3544</v>
      </c>
      <c r="K482" s="17" t="s">
        <v>2952</v>
      </c>
      <c r="L482" s="17" t="s">
        <v>3972</v>
      </c>
      <c r="M482" s="17" t="s">
        <v>2669</v>
      </c>
      <c r="N482" s="17" t="s">
        <v>4213</v>
      </c>
      <c r="O482" s="17" t="s">
        <v>7635</v>
      </c>
      <c r="P482" s="17" t="s">
        <v>4214</v>
      </c>
      <c r="Q482" s="17" t="s">
        <v>2669</v>
      </c>
      <c r="R482" s="17" t="s">
        <v>4215</v>
      </c>
      <c r="S482" s="17" t="s">
        <v>7635</v>
      </c>
      <c r="T482" s="17" t="s">
        <v>4216</v>
      </c>
      <c r="U482" s="17"/>
      <c r="V482" s="17"/>
      <c r="W482" s="17"/>
      <c r="X482" s="17"/>
      <c r="Y482" s="17"/>
    </row>
    <row r="483" spans="1:25">
      <c r="A483" s="17" t="s">
        <v>4217</v>
      </c>
      <c r="B483" s="17" t="s">
        <v>4217</v>
      </c>
      <c r="C483" s="17" t="s">
        <v>3805</v>
      </c>
      <c r="D483" s="17" t="s">
        <v>2669</v>
      </c>
      <c r="E483" s="17" t="s">
        <v>3543</v>
      </c>
      <c r="F483" s="17" t="s">
        <v>4217</v>
      </c>
      <c r="G483" s="17" t="s">
        <v>2671</v>
      </c>
      <c r="H483" s="17" t="s">
        <v>6835</v>
      </c>
      <c r="I483" s="17" t="s">
        <v>4237</v>
      </c>
      <c r="J483" s="17" t="s">
        <v>3544</v>
      </c>
      <c r="K483" s="17" t="s">
        <v>2952</v>
      </c>
      <c r="L483" s="17" t="s">
        <v>3972</v>
      </c>
      <c r="M483" s="17" t="s">
        <v>2669</v>
      </c>
      <c r="N483" s="17" t="s">
        <v>4217</v>
      </c>
      <c r="O483" s="17" t="s">
        <v>7635</v>
      </c>
      <c r="P483" s="17" t="s">
        <v>4218</v>
      </c>
      <c r="Q483" s="17" t="s">
        <v>2669</v>
      </c>
      <c r="R483" s="17" t="s">
        <v>4219</v>
      </c>
      <c r="S483" s="17" t="s">
        <v>7635</v>
      </c>
      <c r="T483" s="17" t="s">
        <v>4220</v>
      </c>
      <c r="U483" s="17"/>
      <c r="V483" s="17"/>
      <c r="W483" s="17"/>
      <c r="X483" s="17"/>
      <c r="Y483" s="17"/>
    </row>
    <row r="484" spans="1:25">
      <c r="A484" s="17" t="s">
        <v>4221</v>
      </c>
      <c r="B484" s="17" t="s">
        <v>4221</v>
      </c>
      <c r="C484" s="17" t="s">
        <v>3810</v>
      </c>
      <c r="D484" s="17" t="s">
        <v>2669</v>
      </c>
      <c r="E484" s="17" t="s">
        <v>3543</v>
      </c>
      <c r="F484" s="17" t="s">
        <v>4221</v>
      </c>
      <c r="G484" s="17" t="s">
        <v>2671</v>
      </c>
      <c r="H484" s="17" t="s">
        <v>4312</v>
      </c>
      <c r="I484" s="17" t="s">
        <v>4237</v>
      </c>
      <c r="J484" s="17" t="s">
        <v>3544</v>
      </c>
      <c r="K484" s="17" t="s">
        <v>3197</v>
      </c>
      <c r="L484" s="17" t="s">
        <v>3972</v>
      </c>
      <c r="M484" s="17" t="s">
        <v>2669</v>
      </c>
      <c r="N484" s="17" t="s">
        <v>4221</v>
      </c>
      <c r="O484" s="17" t="s">
        <v>7635</v>
      </c>
      <c r="P484" s="17" t="s">
        <v>4222</v>
      </c>
      <c r="Q484" s="17" t="s">
        <v>2669</v>
      </c>
      <c r="R484" s="17" t="s">
        <v>4223</v>
      </c>
      <c r="S484" s="17" t="s">
        <v>7635</v>
      </c>
      <c r="T484" s="17" t="s">
        <v>4224</v>
      </c>
      <c r="U484" s="17"/>
      <c r="V484" s="17"/>
      <c r="W484" s="17"/>
      <c r="X484" s="17"/>
      <c r="Y484" s="17"/>
    </row>
    <row r="485" spans="1:25">
      <c r="A485" s="17" t="s">
        <v>4225</v>
      </c>
      <c r="B485" s="17" t="s">
        <v>4225</v>
      </c>
      <c r="C485" s="17" t="s">
        <v>3810</v>
      </c>
      <c r="D485" s="17" t="s">
        <v>2669</v>
      </c>
      <c r="E485" s="17" t="s">
        <v>3543</v>
      </c>
      <c r="F485" s="17" t="s">
        <v>4225</v>
      </c>
      <c r="G485" s="17" t="s">
        <v>2671</v>
      </c>
      <c r="H485" s="17" t="s">
        <v>6835</v>
      </c>
      <c r="I485" s="17" t="s">
        <v>4237</v>
      </c>
      <c r="J485" s="17" t="s">
        <v>3544</v>
      </c>
      <c r="K485" s="17" t="s">
        <v>3197</v>
      </c>
      <c r="L485" s="17" t="s">
        <v>3972</v>
      </c>
      <c r="M485" s="17" t="s">
        <v>2669</v>
      </c>
      <c r="N485" s="17" t="s">
        <v>4225</v>
      </c>
      <c r="O485" s="17" t="s">
        <v>7635</v>
      </c>
      <c r="P485" s="17" t="s">
        <v>4226</v>
      </c>
      <c r="Q485" s="17" t="s">
        <v>2669</v>
      </c>
      <c r="R485" s="17" t="s">
        <v>4227</v>
      </c>
      <c r="S485" s="17" t="s">
        <v>7635</v>
      </c>
      <c r="T485" s="17" t="s">
        <v>4228</v>
      </c>
      <c r="U485" s="17"/>
      <c r="V485" s="17"/>
      <c r="W485" s="17"/>
      <c r="X485" s="17"/>
      <c r="Y485" s="17"/>
    </row>
    <row r="486" spans="1:25">
      <c r="A486" s="17" t="s">
        <v>4229</v>
      </c>
      <c r="B486" s="17" t="s">
        <v>4229</v>
      </c>
      <c r="C486" s="17" t="s">
        <v>3815</v>
      </c>
      <c r="D486" s="17" t="s">
        <v>2669</v>
      </c>
      <c r="E486" s="17" t="s">
        <v>3543</v>
      </c>
      <c r="F486" s="17" t="s">
        <v>4229</v>
      </c>
      <c r="G486" s="17" t="s">
        <v>2671</v>
      </c>
      <c r="H486" s="17" t="s">
        <v>4312</v>
      </c>
      <c r="I486" s="17" t="s">
        <v>4237</v>
      </c>
      <c r="J486" s="17" t="s">
        <v>3544</v>
      </c>
      <c r="K486" s="17" t="s">
        <v>3203</v>
      </c>
      <c r="L486" s="17" t="s">
        <v>3972</v>
      </c>
      <c r="M486" s="17" t="s">
        <v>2669</v>
      </c>
      <c r="N486" s="17" t="s">
        <v>4229</v>
      </c>
      <c r="O486" s="17" t="s">
        <v>7635</v>
      </c>
      <c r="P486" s="17" t="s">
        <v>4230</v>
      </c>
      <c r="Q486" s="17" t="s">
        <v>2669</v>
      </c>
      <c r="R486" s="17" t="s">
        <v>4231</v>
      </c>
      <c r="S486" s="17" t="s">
        <v>7635</v>
      </c>
      <c r="T486" s="17" t="s">
        <v>4232</v>
      </c>
      <c r="U486" s="17"/>
      <c r="V486" s="17"/>
      <c r="W486" s="17"/>
      <c r="X486" s="17"/>
      <c r="Y486" s="17"/>
    </row>
    <row r="487" spans="1:25">
      <c r="A487" s="17" t="s">
        <v>4233</v>
      </c>
      <c r="B487" s="17" t="s">
        <v>4233</v>
      </c>
      <c r="C487" s="17" t="s">
        <v>3815</v>
      </c>
      <c r="D487" s="17" t="s">
        <v>2669</v>
      </c>
      <c r="E487" s="17" t="s">
        <v>3543</v>
      </c>
      <c r="F487" s="17" t="s">
        <v>4233</v>
      </c>
      <c r="G487" s="17" t="s">
        <v>2671</v>
      </c>
      <c r="H487" s="17" t="s">
        <v>6835</v>
      </c>
      <c r="I487" s="17" t="s">
        <v>4237</v>
      </c>
      <c r="J487" s="17" t="s">
        <v>3544</v>
      </c>
      <c r="K487" s="17" t="s">
        <v>3203</v>
      </c>
      <c r="L487" s="17" t="s">
        <v>3972</v>
      </c>
      <c r="M487" s="17" t="s">
        <v>2669</v>
      </c>
      <c r="N487" s="17" t="s">
        <v>4233</v>
      </c>
      <c r="O487" s="17" t="s">
        <v>7635</v>
      </c>
      <c r="P487" s="17" t="s">
        <v>4234</v>
      </c>
      <c r="Q487" s="17" t="s">
        <v>2669</v>
      </c>
      <c r="R487" s="17" t="s">
        <v>4235</v>
      </c>
      <c r="S487" s="17" t="s">
        <v>7635</v>
      </c>
      <c r="T487" s="17" t="s">
        <v>4236</v>
      </c>
      <c r="U487" s="17"/>
      <c r="V487" s="17"/>
      <c r="W487" s="17"/>
      <c r="X487" s="17"/>
      <c r="Y487" s="17"/>
    </row>
    <row r="488" spans="1:25">
      <c r="A488" s="17" t="s">
        <v>4253</v>
      </c>
      <c r="B488" s="17" t="s">
        <v>4253</v>
      </c>
      <c r="C488" s="17" t="s">
        <v>4249</v>
      </c>
      <c r="D488" s="17" t="s">
        <v>2659</v>
      </c>
      <c r="E488" s="17" t="s">
        <v>2968</v>
      </c>
      <c r="F488" s="17" t="s">
        <v>4253</v>
      </c>
      <c r="G488" s="17" t="s">
        <v>2671</v>
      </c>
      <c r="H488" s="17" t="s">
        <v>4247</v>
      </c>
      <c r="I488" s="17" t="s">
        <v>4237</v>
      </c>
      <c r="J488" s="17" t="s">
        <v>2969</v>
      </c>
      <c r="K488" s="17" t="s">
        <v>2873</v>
      </c>
      <c r="L488" s="17" t="s">
        <v>4607</v>
      </c>
      <c r="M488" s="17" t="s">
        <v>4638</v>
      </c>
      <c r="N488" s="17" t="s">
        <v>4253</v>
      </c>
      <c r="O488" s="17" t="s">
        <v>7635</v>
      </c>
      <c r="P488" s="17" t="s">
        <v>4637</v>
      </c>
      <c r="Q488" s="17" t="s">
        <v>4252</v>
      </c>
      <c r="R488" s="17" t="s">
        <v>4253</v>
      </c>
      <c r="S488" s="17" t="s">
        <v>4559</v>
      </c>
      <c r="T488" s="17" t="s">
        <v>4251</v>
      </c>
      <c r="U488" s="17" t="s">
        <v>2659</v>
      </c>
      <c r="V488" s="17" t="s">
        <v>4248</v>
      </c>
      <c r="W488" s="17" t="s">
        <v>4559</v>
      </c>
      <c r="X488" s="17" t="s">
        <v>4250</v>
      </c>
      <c r="Y488" s="17" t="s">
        <v>4727</v>
      </c>
    </row>
    <row r="489" spans="1:25">
      <c r="A489" s="17" t="s">
        <v>4254</v>
      </c>
      <c r="B489" s="17" t="s">
        <v>4254</v>
      </c>
      <c r="C489" s="17" t="s">
        <v>4249</v>
      </c>
      <c r="D489" s="17" t="s">
        <v>2659</v>
      </c>
      <c r="E489" s="17" t="s">
        <v>2968</v>
      </c>
      <c r="F489" s="17" t="s">
        <v>4254</v>
      </c>
      <c r="G489" s="17" t="s">
        <v>2671</v>
      </c>
      <c r="H489" s="17" t="s">
        <v>4247</v>
      </c>
      <c r="I489" s="17" t="s">
        <v>4237</v>
      </c>
      <c r="J489" s="17" t="s">
        <v>2969</v>
      </c>
      <c r="K489" s="17" t="s">
        <v>2923</v>
      </c>
      <c r="L489" s="17" t="s">
        <v>4607</v>
      </c>
      <c r="M489" s="17" t="s">
        <v>4638</v>
      </c>
      <c r="N489" s="17" t="s">
        <v>4254</v>
      </c>
      <c r="O489" s="17" t="s">
        <v>7635</v>
      </c>
      <c r="P489" s="17" t="s">
        <v>4639</v>
      </c>
      <c r="Q489" s="17" t="s">
        <v>4257</v>
      </c>
      <c r="R489" s="17" t="s">
        <v>4254</v>
      </c>
      <c r="S489" s="17" t="s">
        <v>4559</v>
      </c>
      <c r="T489" s="17" t="s">
        <v>4256</v>
      </c>
      <c r="U489" s="17" t="s">
        <v>4252</v>
      </c>
      <c r="V489" s="17"/>
      <c r="W489" s="17" t="s">
        <v>4559</v>
      </c>
      <c r="X489" s="17" t="s">
        <v>4255</v>
      </c>
      <c r="Y489" s="17"/>
    </row>
    <row r="490" spans="1:25">
      <c r="A490" s="17" t="s">
        <v>4714</v>
      </c>
      <c r="B490" s="17" t="s">
        <v>4714</v>
      </c>
      <c r="C490" s="17" t="s">
        <v>4715</v>
      </c>
      <c r="D490" s="17" t="s">
        <v>21</v>
      </c>
      <c r="E490" s="17" t="s">
        <v>2968</v>
      </c>
      <c r="F490" s="17"/>
      <c r="G490" s="17" t="s">
        <v>2671</v>
      </c>
      <c r="H490" s="17" t="s">
        <v>4247</v>
      </c>
      <c r="I490" s="17" t="s">
        <v>4237</v>
      </c>
      <c r="J490" s="17" t="s">
        <v>2969</v>
      </c>
      <c r="K490" s="17"/>
      <c r="L490" s="17" t="s">
        <v>4716</v>
      </c>
      <c r="M490" s="17"/>
      <c r="N490" s="17"/>
      <c r="O490" s="17"/>
      <c r="P490" s="17"/>
      <c r="Q490" s="17"/>
      <c r="R490" s="17"/>
      <c r="S490" s="17"/>
      <c r="T490" s="17"/>
      <c r="U490" s="48" t="s">
        <v>4717</v>
      </c>
      <c r="V490" s="48" t="s">
        <v>4714</v>
      </c>
      <c r="W490" s="17" t="s">
        <v>4559</v>
      </c>
      <c r="X490" s="48" t="s">
        <v>4718</v>
      </c>
      <c r="Y490" s="48" t="s">
        <v>4728</v>
      </c>
    </row>
    <row r="491" spans="1:25">
      <c r="A491" s="17" t="s">
        <v>4640</v>
      </c>
      <c r="B491" s="17" t="s">
        <v>4258</v>
      </c>
      <c r="C491" s="17" t="s">
        <v>4645</v>
      </c>
      <c r="D491" s="17" t="s">
        <v>21</v>
      </c>
      <c r="E491" s="17">
        <v>603</v>
      </c>
      <c r="F491" s="17" t="s">
        <v>4263</v>
      </c>
      <c r="G491" s="17" t="s">
        <v>2671</v>
      </c>
      <c r="H491" s="17" t="s">
        <v>4269</v>
      </c>
      <c r="I491" s="17" t="s">
        <v>3870</v>
      </c>
      <c r="J491" s="17" t="s">
        <v>4274</v>
      </c>
      <c r="K491" s="17" t="s">
        <v>4263</v>
      </c>
      <c r="L491" s="17" t="s">
        <v>4288</v>
      </c>
      <c r="M491" s="17" t="s">
        <v>4279</v>
      </c>
      <c r="N491" s="17" t="s">
        <v>4287</v>
      </c>
      <c r="O491" s="17" t="s">
        <v>7635</v>
      </c>
      <c r="P491" s="17" t="s">
        <v>4289</v>
      </c>
      <c r="Q491" s="17"/>
      <c r="R491" s="17"/>
      <c r="S491" s="17"/>
      <c r="T491" s="17"/>
      <c r="U491" s="48" t="s">
        <v>4681</v>
      </c>
      <c r="V491" s="48" t="s">
        <v>4689</v>
      </c>
      <c r="W491" s="17" t="s">
        <v>4559</v>
      </c>
      <c r="X491" s="48" t="s">
        <v>4690</v>
      </c>
      <c r="Y491" s="48" t="s">
        <v>4728</v>
      </c>
    </row>
    <row r="492" spans="1:25">
      <c r="A492" s="17" t="s">
        <v>4641</v>
      </c>
      <c r="B492" s="17" t="s">
        <v>4259</v>
      </c>
      <c r="C492" s="17" t="s">
        <v>4646</v>
      </c>
      <c r="D492" s="17" t="s">
        <v>21</v>
      </c>
      <c r="E492" s="17">
        <v>603</v>
      </c>
      <c r="F492" s="17" t="s">
        <v>4264</v>
      </c>
      <c r="G492" s="17" t="s">
        <v>2671</v>
      </c>
      <c r="H492" s="17" t="s">
        <v>4268</v>
      </c>
      <c r="I492" s="17" t="s">
        <v>3870</v>
      </c>
      <c r="J492" s="17" t="s">
        <v>4273</v>
      </c>
      <c r="K492" s="17" t="s">
        <v>4264</v>
      </c>
      <c r="L492" s="17" t="s">
        <v>4285</v>
      </c>
      <c r="M492" s="17" t="s">
        <v>4279</v>
      </c>
      <c r="N492" s="17" t="s">
        <v>4284</v>
      </c>
      <c r="O492" s="17" t="s">
        <v>7635</v>
      </c>
      <c r="P492" s="17" t="s">
        <v>4286</v>
      </c>
      <c r="Q492" s="17"/>
      <c r="R492" s="17"/>
      <c r="S492" s="17"/>
      <c r="T492" s="17"/>
      <c r="U492" s="17" t="s">
        <v>4692</v>
      </c>
      <c r="V492" s="17" t="s">
        <v>4691</v>
      </c>
      <c r="W492" s="17" t="s">
        <v>4559</v>
      </c>
      <c r="X492" s="48" t="s">
        <v>4693</v>
      </c>
      <c r="Y492" s="17" t="s">
        <v>4728</v>
      </c>
    </row>
    <row r="493" spans="1:25">
      <c r="A493" s="17" t="s">
        <v>4642</v>
      </c>
      <c r="B493" s="17" t="s">
        <v>4260</v>
      </c>
      <c r="C493" s="17" t="s">
        <v>4647</v>
      </c>
      <c r="D493" s="17" t="s">
        <v>21</v>
      </c>
      <c r="E493" s="17">
        <v>603</v>
      </c>
      <c r="F493" s="17" t="s">
        <v>4265</v>
      </c>
      <c r="G493" s="17" t="s">
        <v>2671</v>
      </c>
      <c r="H493" s="17" t="s">
        <v>4270</v>
      </c>
      <c r="I493" s="17" t="s">
        <v>3870</v>
      </c>
      <c r="J493" s="17" t="s">
        <v>4275</v>
      </c>
      <c r="K493" s="17" t="s">
        <v>4265</v>
      </c>
      <c r="L493" s="17" t="s">
        <v>4282</v>
      </c>
      <c r="M493" s="17" t="s">
        <v>4279</v>
      </c>
      <c r="N493" s="17" t="s">
        <v>4281</v>
      </c>
      <c r="O493" s="17" t="s">
        <v>7635</v>
      </c>
      <c r="P493" s="17" t="s">
        <v>4283</v>
      </c>
      <c r="Q493" s="17"/>
      <c r="R493" s="17"/>
      <c r="S493" s="17"/>
      <c r="T493" s="17"/>
      <c r="U493" s="17" t="s">
        <v>4692</v>
      </c>
      <c r="V493" s="17" t="s">
        <v>4694</v>
      </c>
      <c r="W493" s="17" t="s">
        <v>4559</v>
      </c>
      <c r="X493" s="48" t="s">
        <v>4695</v>
      </c>
      <c r="Y493" s="17" t="s">
        <v>4728</v>
      </c>
    </row>
    <row r="494" spans="1:25">
      <c r="A494" s="17" t="s">
        <v>4643</v>
      </c>
      <c r="B494" s="17" t="s">
        <v>4261</v>
      </c>
      <c r="C494" s="17" t="s">
        <v>4648</v>
      </c>
      <c r="D494" s="17" t="s">
        <v>21</v>
      </c>
      <c r="E494" s="17">
        <v>603</v>
      </c>
      <c r="F494" s="17" t="s">
        <v>4266</v>
      </c>
      <c r="G494" s="17" t="s">
        <v>2671</v>
      </c>
      <c r="H494" s="17" t="s">
        <v>4271</v>
      </c>
      <c r="I494" s="17" t="s">
        <v>3870</v>
      </c>
      <c r="J494" s="17" t="s">
        <v>4276</v>
      </c>
      <c r="K494" s="17" t="s">
        <v>4266</v>
      </c>
      <c r="L494" s="17" t="s">
        <v>4290</v>
      </c>
      <c r="M494" s="17" t="s">
        <v>4279</v>
      </c>
      <c r="N494" s="17" t="s">
        <v>4278</v>
      </c>
      <c r="O494" s="17" t="s">
        <v>7635</v>
      </c>
      <c r="P494" s="17" t="s">
        <v>4280</v>
      </c>
      <c r="Q494" s="17"/>
      <c r="R494" s="17"/>
      <c r="S494" s="17"/>
      <c r="T494" s="17"/>
      <c r="U494" s="48" t="s">
        <v>4692</v>
      </c>
      <c r="V494" s="48" t="s">
        <v>4698</v>
      </c>
      <c r="W494" s="17" t="s">
        <v>4559</v>
      </c>
      <c r="X494" s="48" t="s">
        <v>4699</v>
      </c>
      <c r="Y494" s="48" t="s">
        <v>4728</v>
      </c>
    </row>
    <row r="495" spans="1:25">
      <c r="A495" s="17" t="s">
        <v>4644</v>
      </c>
      <c r="B495" s="17" t="s">
        <v>4262</v>
      </c>
      <c r="C495" s="17" t="s">
        <v>4649</v>
      </c>
      <c r="D495" s="17" t="s">
        <v>21</v>
      </c>
      <c r="E495" s="17">
        <v>603</v>
      </c>
      <c r="F495" s="17" t="s">
        <v>4267</v>
      </c>
      <c r="G495" s="17" t="s">
        <v>2671</v>
      </c>
      <c r="H495" s="17" t="s">
        <v>4272</v>
      </c>
      <c r="I495" s="17" t="s">
        <v>3870</v>
      </c>
      <c r="J495" s="17" t="s">
        <v>4277</v>
      </c>
      <c r="K495" s="17" t="s">
        <v>4267</v>
      </c>
      <c r="L495" s="17" t="s">
        <v>4294</v>
      </c>
      <c r="M495" s="17" t="s">
        <v>4293</v>
      </c>
      <c r="N495" s="17" t="s">
        <v>4292</v>
      </c>
      <c r="O495" s="17" t="s">
        <v>7635</v>
      </c>
      <c r="P495" s="17" t="s">
        <v>4291</v>
      </c>
      <c r="Q495" s="17"/>
      <c r="R495" s="17"/>
      <c r="S495" s="17"/>
      <c r="T495" s="17"/>
      <c r="U495" s="48" t="s">
        <v>4681</v>
      </c>
      <c r="V495" s="48" t="s">
        <v>4696</v>
      </c>
      <c r="W495" s="17" t="s">
        <v>4559</v>
      </c>
      <c r="X495" s="48" t="s">
        <v>4697</v>
      </c>
      <c r="Y495" s="48" t="s">
        <v>4728</v>
      </c>
    </row>
    <row r="496" spans="1:25">
      <c r="A496" s="17" t="s">
        <v>4411</v>
      </c>
      <c r="B496" s="17" t="s">
        <v>4411</v>
      </c>
      <c r="C496" s="17" t="s">
        <v>4413</v>
      </c>
      <c r="D496" s="17" t="s">
        <v>4414</v>
      </c>
      <c r="E496" s="17" t="s">
        <v>4415</v>
      </c>
      <c r="F496" s="17" t="s">
        <v>4416</v>
      </c>
      <c r="G496" s="17" t="s">
        <v>2671</v>
      </c>
      <c r="H496" s="17" t="s">
        <v>4247</v>
      </c>
      <c r="I496" s="17" t="s">
        <v>2672</v>
      </c>
      <c r="J496" s="17" t="s">
        <v>4412</v>
      </c>
      <c r="K496" s="17" t="s">
        <v>2934</v>
      </c>
      <c r="L496" s="17" t="s">
        <v>4417</v>
      </c>
      <c r="M496" s="17" t="s">
        <v>4418</v>
      </c>
      <c r="N496" s="17" t="s">
        <v>4411</v>
      </c>
      <c r="O496" s="17" t="s">
        <v>7635</v>
      </c>
      <c r="P496" s="17" t="s">
        <v>4419</v>
      </c>
      <c r="Q496" s="17"/>
      <c r="R496" s="17"/>
      <c r="S496" s="17"/>
      <c r="T496" s="17"/>
      <c r="U496" s="17" t="s">
        <v>4420</v>
      </c>
      <c r="V496" s="17" t="s">
        <v>4411</v>
      </c>
      <c r="W496" s="17" t="s">
        <v>4559</v>
      </c>
      <c r="X496" s="17" t="s">
        <v>4421</v>
      </c>
      <c r="Y496" s="17" t="s">
        <v>4727</v>
      </c>
    </row>
    <row r="497" spans="1:25">
      <c r="A497" s="17" t="s">
        <v>4650</v>
      </c>
      <c r="B497" s="17" t="s">
        <v>4258</v>
      </c>
      <c r="C497" s="17" t="s">
        <v>4655</v>
      </c>
      <c r="D497" s="17" t="s">
        <v>21</v>
      </c>
      <c r="E497" s="17">
        <v>805</v>
      </c>
      <c r="F497" s="17" t="s">
        <v>4263</v>
      </c>
      <c r="G497" s="17" t="s">
        <v>2671</v>
      </c>
      <c r="H497" s="17" t="s">
        <v>4269</v>
      </c>
      <c r="I497" s="17" t="s">
        <v>3870</v>
      </c>
      <c r="J497" s="17" t="s">
        <v>4660</v>
      </c>
      <c r="K497" s="17" t="s">
        <v>4263</v>
      </c>
      <c r="L497" s="17" t="s">
        <v>4288</v>
      </c>
      <c r="M497" s="17" t="s">
        <v>4279</v>
      </c>
      <c r="N497" s="17" t="s">
        <v>4666</v>
      </c>
      <c r="O497" s="17" t="s">
        <v>7635</v>
      </c>
      <c r="P497" s="17" t="s">
        <v>4670</v>
      </c>
      <c r="Q497" s="17"/>
      <c r="R497" s="17"/>
      <c r="S497" s="17"/>
      <c r="T497" s="17"/>
      <c r="U497" s="17" t="s">
        <v>4678</v>
      </c>
      <c r="V497" s="17" t="s">
        <v>4677</v>
      </c>
      <c r="W497" s="17" t="s">
        <v>4559</v>
      </c>
      <c r="X497" s="17" t="s">
        <v>4676</v>
      </c>
      <c r="Y497" s="17" t="s">
        <v>4728</v>
      </c>
    </row>
    <row r="498" spans="1:25">
      <c r="A498" s="17" t="s">
        <v>4651</v>
      </c>
      <c r="B498" s="17" t="s">
        <v>4259</v>
      </c>
      <c r="C498" s="17" t="s">
        <v>4656</v>
      </c>
      <c r="D498" s="17" t="s">
        <v>21</v>
      </c>
      <c r="E498" s="17">
        <v>805</v>
      </c>
      <c r="F498" s="17" t="s">
        <v>4264</v>
      </c>
      <c r="G498" s="17" t="s">
        <v>2671</v>
      </c>
      <c r="H498" s="17" t="s">
        <v>4268</v>
      </c>
      <c r="I498" s="17" t="s">
        <v>3870</v>
      </c>
      <c r="J498" s="17" t="s">
        <v>4661</v>
      </c>
      <c r="K498" s="17" t="s">
        <v>4264</v>
      </c>
      <c r="L498" s="17" t="s">
        <v>4285</v>
      </c>
      <c r="M498" s="17" t="s">
        <v>4279</v>
      </c>
      <c r="N498" s="17" t="s">
        <v>4665</v>
      </c>
      <c r="O498" s="17" t="s">
        <v>7635</v>
      </c>
      <c r="P498" s="17" t="s">
        <v>4669</v>
      </c>
      <c r="Q498" s="17"/>
      <c r="R498" s="17"/>
      <c r="S498" s="17"/>
      <c r="T498" s="17"/>
      <c r="U498" s="48" t="s">
        <v>4687</v>
      </c>
      <c r="V498" s="48" t="s">
        <v>4688</v>
      </c>
      <c r="W498" s="17" t="s">
        <v>4559</v>
      </c>
      <c r="X498" s="48" t="s">
        <v>4686</v>
      </c>
      <c r="Y498" s="48" t="s">
        <v>4727</v>
      </c>
    </row>
    <row r="499" spans="1:25">
      <c r="A499" s="17" t="s">
        <v>4652</v>
      </c>
      <c r="B499" s="17" t="s">
        <v>4260</v>
      </c>
      <c r="C499" s="17" t="s">
        <v>4657</v>
      </c>
      <c r="D499" s="17" t="s">
        <v>21</v>
      </c>
      <c r="E499" s="17">
        <v>805</v>
      </c>
      <c r="F499" s="17" t="s">
        <v>4265</v>
      </c>
      <c r="G499" s="17" t="s">
        <v>2671</v>
      </c>
      <c r="H499" s="17" t="s">
        <v>4270</v>
      </c>
      <c r="I499" s="17" t="s">
        <v>3870</v>
      </c>
      <c r="J499" s="17" t="s">
        <v>4662</v>
      </c>
      <c r="K499" s="17" t="s">
        <v>4265</v>
      </c>
      <c r="L499" s="17" t="s">
        <v>4282</v>
      </c>
      <c r="M499" s="17" t="s">
        <v>4279</v>
      </c>
      <c r="N499" s="17" t="s">
        <v>4667</v>
      </c>
      <c r="O499" s="17" t="s">
        <v>7635</v>
      </c>
      <c r="P499" s="17" t="s">
        <v>4671</v>
      </c>
      <c r="Q499" s="17"/>
      <c r="R499" s="17"/>
      <c r="S499" s="17"/>
      <c r="T499" s="17"/>
      <c r="U499" s="17" t="s">
        <v>4681</v>
      </c>
      <c r="V499" s="48" t="s">
        <v>4682</v>
      </c>
      <c r="W499" s="17" t="s">
        <v>4559</v>
      </c>
      <c r="X499" s="48" t="s">
        <v>4683</v>
      </c>
      <c r="Y499" s="48" t="s">
        <v>4728</v>
      </c>
    </row>
    <row r="500" spans="1:25">
      <c r="A500" s="17" t="s">
        <v>4653</v>
      </c>
      <c r="B500" s="17" t="s">
        <v>4261</v>
      </c>
      <c r="C500" s="17" t="s">
        <v>4659</v>
      </c>
      <c r="D500" s="17" t="s">
        <v>21</v>
      </c>
      <c r="E500" s="17">
        <v>805</v>
      </c>
      <c r="F500" s="17" t="s">
        <v>4266</v>
      </c>
      <c r="G500" s="17" t="s">
        <v>2671</v>
      </c>
      <c r="H500" s="17" t="s">
        <v>4271</v>
      </c>
      <c r="I500" s="17" t="s">
        <v>3870</v>
      </c>
      <c r="J500" s="17" t="s">
        <v>4663</v>
      </c>
      <c r="K500" s="17" t="s">
        <v>4266</v>
      </c>
      <c r="L500" s="17" t="s">
        <v>4290</v>
      </c>
      <c r="M500" s="17" t="s">
        <v>4279</v>
      </c>
      <c r="N500" s="17" t="s">
        <v>4668</v>
      </c>
      <c r="O500" s="17" t="s">
        <v>7635</v>
      </c>
      <c r="P500" s="17" t="s">
        <v>4672</v>
      </c>
      <c r="Q500" s="17"/>
      <c r="R500" s="17"/>
      <c r="S500" s="17"/>
      <c r="T500" s="17"/>
      <c r="U500" s="17" t="s">
        <v>4681</v>
      </c>
      <c r="V500" s="48" t="s">
        <v>4680</v>
      </c>
      <c r="W500" s="17" t="s">
        <v>4559</v>
      </c>
      <c r="X500" s="48" t="s">
        <v>4679</v>
      </c>
      <c r="Y500" s="48" t="s">
        <v>4728</v>
      </c>
    </row>
    <row r="501" spans="1:25">
      <c r="A501" s="17" t="s">
        <v>4654</v>
      </c>
      <c r="B501" s="17" t="s">
        <v>4262</v>
      </c>
      <c r="C501" s="17" t="s">
        <v>4658</v>
      </c>
      <c r="D501" s="17" t="s">
        <v>21</v>
      </c>
      <c r="E501" s="17">
        <v>805</v>
      </c>
      <c r="F501" s="17" t="s">
        <v>4267</v>
      </c>
      <c r="G501" s="17" t="s">
        <v>2671</v>
      </c>
      <c r="H501" s="17" t="s">
        <v>4272</v>
      </c>
      <c r="I501" s="17" t="s">
        <v>3870</v>
      </c>
      <c r="J501" s="17" t="s">
        <v>4664</v>
      </c>
      <c r="K501" s="17" t="s">
        <v>4267</v>
      </c>
      <c r="L501" s="17" t="s">
        <v>4294</v>
      </c>
      <c r="M501" s="17" t="s">
        <v>4675</v>
      </c>
      <c r="N501" s="17" t="s">
        <v>4674</v>
      </c>
      <c r="O501" s="17" t="s">
        <v>7635</v>
      </c>
      <c r="P501" s="17" t="s">
        <v>4673</v>
      </c>
      <c r="Q501" s="17"/>
      <c r="R501" s="17"/>
      <c r="S501" s="17"/>
      <c r="T501" s="17"/>
      <c r="U501" s="17" t="s">
        <v>4681</v>
      </c>
      <c r="V501" s="48" t="s">
        <v>4684</v>
      </c>
      <c r="W501" s="17" t="s">
        <v>4559</v>
      </c>
      <c r="X501" s="48" t="s">
        <v>4685</v>
      </c>
      <c r="Y501" s="48" t="s">
        <v>4728</v>
      </c>
    </row>
    <row r="502" spans="1:25">
      <c r="A502" s="48" t="s">
        <v>4700</v>
      </c>
      <c r="B502" s="48" t="s">
        <v>4700</v>
      </c>
      <c r="C502" s="48" t="s">
        <v>4701</v>
      </c>
      <c r="D502" s="17" t="s">
        <v>21</v>
      </c>
      <c r="E502" s="48" t="s">
        <v>4702</v>
      </c>
      <c r="F502" s="48" t="s">
        <v>4700</v>
      </c>
      <c r="G502" s="17" t="s">
        <v>2671</v>
      </c>
      <c r="H502" s="17" t="s">
        <v>4247</v>
      </c>
      <c r="I502" s="17" t="s">
        <v>2672</v>
      </c>
      <c r="J502" s="17" t="s">
        <v>4722</v>
      </c>
      <c r="K502" s="17" t="s">
        <v>2873</v>
      </c>
      <c r="L502" s="17" t="s">
        <v>4703</v>
      </c>
      <c r="M502" s="17"/>
      <c r="N502" s="17"/>
      <c r="O502" s="17"/>
      <c r="P502" s="17"/>
      <c r="Q502" s="17"/>
      <c r="R502" s="17"/>
      <c r="S502" s="17"/>
      <c r="T502" s="17"/>
      <c r="U502" s="17" t="s">
        <v>4704</v>
      </c>
      <c r="V502" s="48" t="s">
        <v>4700</v>
      </c>
      <c r="W502" s="17" t="s">
        <v>4559</v>
      </c>
      <c r="X502" s="48" t="s">
        <v>4705</v>
      </c>
      <c r="Y502" s="48" t="s">
        <v>4728</v>
      </c>
    </row>
    <row r="503" spans="1:25">
      <c r="A503" s="17" t="s">
        <v>4706</v>
      </c>
      <c r="B503" s="17" t="s">
        <v>4706</v>
      </c>
      <c r="C503" s="48" t="s">
        <v>4707</v>
      </c>
      <c r="D503" s="17" t="s">
        <v>2669</v>
      </c>
      <c r="E503" s="48" t="s">
        <v>4708</v>
      </c>
      <c r="F503" s="17" t="s">
        <v>4706</v>
      </c>
      <c r="G503" s="17" t="s">
        <v>2671</v>
      </c>
      <c r="H503" s="17" t="s">
        <v>4312</v>
      </c>
      <c r="I503" s="17" t="s">
        <v>4237</v>
      </c>
      <c r="J503" s="17" t="s">
        <v>3259</v>
      </c>
      <c r="K503" s="17" t="s">
        <v>4709</v>
      </c>
      <c r="L503" s="17" t="s">
        <v>4710</v>
      </c>
      <c r="M503" s="17"/>
      <c r="N503" s="17"/>
      <c r="O503" s="17"/>
      <c r="P503" s="17"/>
      <c r="Q503" s="17"/>
      <c r="R503" s="17"/>
      <c r="S503" s="17"/>
      <c r="T503" s="17"/>
      <c r="U503" s="48" t="s">
        <v>4712</v>
      </c>
      <c r="V503" s="17" t="s">
        <v>4713</v>
      </c>
      <c r="W503" s="17" t="s">
        <v>4559</v>
      </c>
      <c r="X503" s="48" t="s">
        <v>4711</v>
      </c>
      <c r="Y503" s="48" t="s">
        <v>4728</v>
      </c>
    </row>
    <row r="504" spans="1:25">
      <c r="A504" s="48" t="s">
        <v>4719</v>
      </c>
      <c r="B504" s="48" t="s">
        <v>4719</v>
      </c>
      <c r="C504" s="48" t="s">
        <v>4720</v>
      </c>
      <c r="D504" s="17" t="s">
        <v>21</v>
      </c>
      <c r="E504" s="48" t="s">
        <v>4721</v>
      </c>
      <c r="F504" s="48" t="s">
        <v>4719</v>
      </c>
      <c r="G504" s="17" t="s">
        <v>2671</v>
      </c>
      <c r="H504" s="17" t="s">
        <v>4247</v>
      </c>
      <c r="I504" s="17" t="s">
        <v>2672</v>
      </c>
      <c r="J504" s="17" t="s">
        <v>4723</v>
      </c>
      <c r="K504" s="17" t="s">
        <v>2873</v>
      </c>
      <c r="L504" s="17" t="s">
        <v>4724</v>
      </c>
      <c r="M504" s="17" t="s">
        <v>6343</v>
      </c>
      <c r="N504" s="17" t="s">
        <v>12638</v>
      </c>
      <c r="O504" s="17" t="s">
        <v>7635</v>
      </c>
      <c r="P504" s="17" t="s">
        <v>12639</v>
      </c>
      <c r="Q504" s="17"/>
      <c r="R504" s="17"/>
      <c r="S504" s="17"/>
      <c r="T504" s="17"/>
      <c r="U504" s="17" t="s">
        <v>4396</v>
      </c>
      <c r="V504" s="17" t="s">
        <v>4719</v>
      </c>
      <c r="W504" s="17" t="s">
        <v>4559</v>
      </c>
      <c r="X504" s="48" t="s">
        <v>4725</v>
      </c>
      <c r="Y504" s="48" t="s">
        <v>4728</v>
      </c>
    </row>
    <row r="505" spans="1:25">
      <c r="A505" s="17" t="s">
        <v>6197</v>
      </c>
      <c r="B505" s="17" t="s">
        <v>6197</v>
      </c>
      <c r="C505" s="48" t="s">
        <v>6198</v>
      </c>
      <c r="D505" s="17" t="s">
        <v>21</v>
      </c>
      <c r="E505" s="48" t="s">
        <v>6199</v>
      </c>
      <c r="F505" s="17" t="s">
        <v>6197</v>
      </c>
      <c r="G505" s="17" t="s">
        <v>2671</v>
      </c>
      <c r="H505" s="17" t="s">
        <v>4247</v>
      </c>
      <c r="I505" s="17" t="s">
        <v>2672</v>
      </c>
      <c r="J505" s="17" t="s">
        <v>6200</v>
      </c>
      <c r="K505" s="17" t="s">
        <v>3168</v>
      </c>
      <c r="L505" s="17" t="s">
        <v>6201</v>
      </c>
      <c r="M505" s="17" t="s">
        <v>4418</v>
      </c>
      <c r="N505" s="17" t="s">
        <v>6197</v>
      </c>
      <c r="O505" s="17" t="s">
        <v>7635</v>
      </c>
      <c r="P505" s="17" t="s">
        <v>6202</v>
      </c>
      <c r="Q505" s="17"/>
      <c r="R505" s="17"/>
      <c r="S505" s="17"/>
      <c r="T505" s="17"/>
      <c r="U505" s="17"/>
      <c r="V505" s="17"/>
      <c r="W505" s="17"/>
      <c r="X505" s="17"/>
      <c r="Y505" s="17"/>
    </row>
    <row r="506" spans="1:25">
      <c r="A506" s="50" t="s">
        <v>6204</v>
      </c>
      <c r="B506" s="50" t="s">
        <v>6204</v>
      </c>
      <c r="C506" s="17" t="s">
        <v>6205</v>
      </c>
      <c r="D506" s="17" t="s">
        <v>21</v>
      </c>
      <c r="E506" s="17" t="s">
        <v>3258</v>
      </c>
      <c r="F506" s="50" t="s">
        <v>6204</v>
      </c>
      <c r="G506" s="17" t="s">
        <v>2671</v>
      </c>
      <c r="H506" s="17" t="s">
        <v>4247</v>
      </c>
      <c r="I506" s="17" t="s">
        <v>4237</v>
      </c>
      <c r="J506" s="17" t="s">
        <v>3259</v>
      </c>
      <c r="K506" s="17" t="s">
        <v>3168</v>
      </c>
      <c r="L506" s="17" t="s">
        <v>6209</v>
      </c>
      <c r="M506" s="17" t="s">
        <v>4638</v>
      </c>
      <c r="N506" s="17" t="s">
        <v>6204</v>
      </c>
      <c r="O506" s="17" t="s">
        <v>7635</v>
      </c>
      <c r="P506" s="17" t="s">
        <v>6208</v>
      </c>
      <c r="Q506" s="17"/>
      <c r="R506" s="17"/>
      <c r="S506" s="17"/>
      <c r="T506" s="17"/>
      <c r="U506" s="17" t="s">
        <v>6207</v>
      </c>
      <c r="V506" s="50" t="s">
        <v>6203</v>
      </c>
      <c r="W506" s="17" t="s">
        <v>4559</v>
      </c>
      <c r="X506" s="17" t="s">
        <v>6206</v>
      </c>
      <c r="Y506" s="17"/>
    </row>
    <row r="507" spans="1:25">
      <c r="A507" s="17" t="s">
        <v>6216</v>
      </c>
      <c r="B507" s="17" t="s">
        <v>6216</v>
      </c>
      <c r="C507" s="17" t="s">
        <v>6220</v>
      </c>
      <c r="D507" s="17" t="s">
        <v>6216</v>
      </c>
      <c r="E507" s="17" t="s">
        <v>3258</v>
      </c>
      <c r="F507" s="17" t="s">
        <v>6216</v>
      </c>
      <c r="G507" s="17" t="s">
        <v>2671</v>
      </c>
      <c r="H507" s="17" t="s">
        <v>4247</v>
      </c>
      <c r="I507" s="17" t="s">
        <v>4237</v>
      </c>
      <c r="J507" s="17" t="s">
        <v>3259</v>
      </c>
      <c r="K507" s="17" t="s">
        <v>3168</v>
      </c>
      <c r="L507" s="17" t="s">
        <v>6219</v>
      </c>
      <c r="M507" s="17" t="s">
        <v>6218</v>
      </c>
      <c r="N507" s="17" t="s">
        <v>6216</v>
      </c>
      <c r="O507" s="17" t="s">
        <v>7635</v>
      </c>
      <c r="P507" s="17" t="s">
        <v>6217</v>
      </c>
      <c r="Q507" s="17"/>
      <c r="R507" s="17"/>
      <c r="S507" s="17"/>
      <c r="T507" s="17"/>
      <c r="U507" s="17"/>
      <c r="V507" s="17"/>
      <c r="W507" s="17"/>
      <c r="X507" s="17"/>
      <c r="Y507" s="17"/>
    </row>
    <row r="508" spans="1:25">
      <c r="A508" s="17" t="s">
        <v>6210</v>
      </c>
      <c r="B508" s="17" t="s">
        <v>6210</v>
      </c>
      <c r="C508" s="17" t="s">
        <v>6211</v>
      </c>
      <c r="D508" s="17" t="s">
        <v>21</v>
      </c>
      <c r="E508" s="17" t="s">
        <v>3258</v>
      </c>
      <c r="F508" s="17" t="s">
        <v>6210</v>
      </c>
      <c r="G508" s="17" t="s">
        <v>2671</v>
      </c>
      <c r="H508" s="17" t="s">
        <v>4247</v>
      </c>
      <c r="I508" s="17" t="s">
        <v>4237</v>
      </c>
      <c r="J508" s="17" t="s">
        <v>3259</v>
      </c>
      <c r="K508" s="17" t="s">
        <v>3168</v>
      </c>
      <c r="L508" s="17" t="s">
        <v>6212</v>
      </c>
      <c r="M508" s="17" t="s">
        <v>4393</v>
      </c>
      <c r="N508" s="17" t="s">
        <v>6210</v>
      </c>
      <c r="O508" s="17" t="s">
        <v>7635</v>
      </c>
      <c r="P508" s="17" t="s">
        <v>6213</v>
      </c>
      <c r="Q508" s="17"/>
      <c r="R508" s="17"/>
      <c r="S508" s="17"/>
      <c r="T508" s="17"/>
      <c r="U508" s="17" t="s">
        <v>6214</v>
      </c>
      <c r="V508" s="50" t="s">
        <v>6213</v>
      </c>
      <c r="W508" s="17" t="s">
        <v>4559</v>
      </c>
      <c r="X508" s="50" t="s">
        <v>6215</v>
      </c>
      <c r="Y508" s="17"/>
    </row>
    <row r="509" spans="1:25">
      <c r="A509" s="17" t="s">
        <v>6221</v>
      </c>
      <c r="B509" s="17" t="s">
        <v>6221</v>
      </c>
      <c r="C509" s="17" t="s">
        <v>6222</v>
      </c>
      <c r="D509" s="17" t="s">
        <v>6223</v>
      </c>
      <c r="E509" s="17" t="s">
        <v>6228</v>
      </c>
      <c r="F509" s="17" t="s">
        <v>6221</v>
      </c>
      <c r="G509" s="17" t="s">
        <v>2671</v>
      </c>
      <c r="H509" s="17" t="s">
        <v>6227</v>
      </c>
      <c r="I509" s="17" t="s">
        <v>3870</v>
      </c>
      <c r="J509" s="17" t="s">
        <v>6228</v>
      </c>
      <c r="K509" s="17" t="s">
        <v>6226</v>
      </c>
      <c r="L509" s="17" t="s">
        <v>6225</v>
      </c>
      <c r="M509" s="17" t="s">
        <v>6223</v>
      </c>
      <c r="N509" s="17" t="s">
        <v>6221</v>
      </c>
      <c r="O509" s="17" t="s">
        <v>7635</v>
      </c>
      <c r="P509" s="17" t="s">
        <v>6224</v>
      </c>
      <c r="Q509" s="17"/>
      <c r="R509" s="17"/>
      <c r="S509" s="17"/>
      <c r="T509" s="17"/>
      <c r="U509" s="17" t="s">
        <v>6231</v>
      </c>
      <c r="V509" s="17" t="s">
        <v>6229</v>
      </c>
      <c r="W509" s="17" t="s">
        <v>4559</v>
      </c>
      <c r="X509" s="17" t="s">
        <v>6230</v>
      </c>
      <c r="Y509" s="17"/>
    </row>
    <row r="510" spans="1:25">
      <c r="A510" s="17" t="s">
        <v>6271</v>
      </c>
      <c r="B510" s="17" t="s">
        <v>6271</v>
      </c>
      <c r="C510" s="17" t="s">
        <v>6275</v>
      </c>
      <c r="D510" s="17" t="s">
        <v>6273</v>
      </c>
      <c r="E510" s="17" t="s">
        <v>4372</v>
      </c>
      <c r="F510" s="17" t="s">
        <v>6271</v>
      </c>
      <c r="G510" s="17" t="s">
        <v>2671</v>
      </c>
      <c r="H510" s="17" t="s">
        <v>6278</v>
      </c>
      <c r="I510" s="17" t="s">
        <v>4376</v>
      </c>
      <c r="J510" s="17" t="s">
        <v>4798</v>
      </c>
      <c r="K510" s="17" t="s">
        <v>2938</v>
      </c>
      <c r="L510" s="17" t="s">
        <v>6274</v>
      </c>
      <c r="M510" s="17" t="s">
        <v>6273</v>
      </c>
      <c r="N510" s="17" t="s">
        <v>6271</v>
      </c>
      <c r="O510" s="17" t="s">
        <v>7635</v>
      </c>
      <c r="P510" s="17" t="s">
        <v>6272</v>
      </c>
      <c r="Q510" s="17"/>
      <c r="R510" s="17"/>
      <c r="S510" s="17"/>
      <c r="T510" s="17"/>
      <c r="U510" s="17" t="s">
        <v>4396</v>
      </c>
      <c r="V510" s="50" t="s">
        <v>6277</v>
      </c>
      <c r="W510" s="17" t="s">
        <v>4559</v>
      </c>
      <c r="X510" s="50" t="s">
        <v>6276</v>
      </c>
      <c r="Y510" s="17"/>
    </row>
    <row r="511" spans="1:25">
      <c r="A511" s="17" t="s">
        <v>6291</v>
      </c>
      <c r="B511" s="17" t="s">
        <v>6291</v>
      </c>
      <c r="C511" s="17" t="s">
        <v>6292</v>
      </c>
      <c r="D511" s="17" t="s">
        <v>6273</v>
      </c>
      <c r="E511" s="17" t="s">
        <v>6296</v>
      </c>
      <c r="F511" s="17" t="s">
        <v>6291</v>
      </c>
      <c r="G511" s="17" t="s">
        <v>2671</v>
      </c>
      <c r="H511" s="17" t="s">
        <v>6341</v>
      </c>
      <c r="I511" s="17" t="s">
        <v>4376</v>
      </c>
      <c r="J511" s="17" t="s">
        <v>6654</v>
      </c>
      <c r="K511" s="17" t="s">
        <v>2818</v>
      </c>
      <c r="L511" s="17" t="s">
        <v>6294</v>
      </c>
      <c r="M511" s="17" t="s">
        <v>6273</v>
      </c>
      <c r="N511" s="17" t="s">
        <v>6291</v>
      </c>
      <c r="O511" s="17" t="s">
        <v>7635</v>
      </c>
      <c r="P511" s="17" t="s">
        <v>6293</v>
      </c>
      <c r="Q511" s="17"/>
      <c r="R511" s="17"/>
      <c r="S511" s="17"/>
      <c r="T511" s="17"/>
      <c r="U511" s="17" t="s">
        <v>4401</v>
      </c>
      <c r="V511" s="13" t="s">
        <v>6291</v>
      </c>
      <c r="W511" s="17" t="s">
        <v>4559</v>
      </c>
      <c r="X511" s="50" t="s">
        <v>6295</v>
      </c>
      <c r="Y511" s="17"/>
    </row>
    <row r="512" spans="1:25">
      <c r="A512" s="17" t="s">
        <v>6349</v>
      </c>
      <c r="B512" s="17" t="s">
        <v>6349</v>
      </c>
      <c r="C512" s="17" t="s">
        <v>6344</v>
      </c>
      <c r="D512" s="17" t="s">
        <v>21</v>
      </c>
      <c r="E512" s="17" t="s">
        <v>6346</v>
      </c>
      <c r="F512" s="17" t="s">
        <v>6342</v>
      </c>
      <c r="G512" s="17" t="s">
        <v>2671</v>
      </c>
      <c r="H512" s="17" t="s">
        <v>6345</v>
      </c>
      <c r="I512" s="17" t="s">
        <v>6347</v>
      </c>
      <c r="J512" s="17" t="s">
        <v>6658</v>
      </c>
      <c r="K512" s="17" t="s">
        <v>3168</v>
      </c>
      <c r="L512" s="17" t="s">
        <v>6348</v>
      </c>
      <c r="M512" s="17" t="s">
        <v>6343</v>
      </c>
      <c r="N512" s="17" t="s">
        <v>6342</v>
      </c>
      <c r="O512" s="17" t="s">
        <v>7635</v>
      </c>
      <c r="P512" s="17" t="s">
        <v>6352</v>
      </c>
      <c r="Q512" s="17"/>
      <c r="R512" s="17"/>
      <c r="S512" s="17"/>
      <c r="T512" s="17"/>
      <c r="U512" s="17" t="s">
        <v>6351</v>
      </c>
      <c r="V512" s="50" t="s">
        <v>6349</v>
      </c>
      <c r="W512" s="17" t="s">
        <v>4559</v>
      </c>
      <c r="X512" s="50" t="s">
        <v>6350</v>
      </c>
      <c r="Y512" s="17"/>
    </row>
    <row r="513" spans="1:25">
      <c r="A513" s="17" t="s">
        <v>7030</v>
      </c>
      <c r="B513" s="17" t="s">
        <v>7030</v>
      </c>
      <c r="C513" s="17" t="s">
        <v>7031</v>
      </c>
      <c r="D513" s="17" t="s">
        <v>7032</v>
      </c>
      <c r="E513" s="17" t="s">
        <v>7033</v>
      </c>
      <c r="F513" s="17" t="s">
        <v>7030</v>
      </c>
      <c r="G513" s="17" t="s">
        <v>2671</v>
      </c>
      <c r="H513" s="17" t="s">
        <v>4312</v>
      </c>
      <c r="I513" s="17" t="s">
        <v>2672</v>
      </c>
      <c r="J513" s="17" t="s">
        <v>4412</v>
      </c>
      <c r="K513" s="17" t="s">
        <v>7034</v>
      </c>
      <c r="L513" s="17" t="s">
        <v>7035</v>
      </c>
      <c r="M513" s="17" t="s">
        <v>7032</v>
      </c>
      <c r="N513" s="17" t="s">
        <v>7036</v>
      </c>
      <c r="O513" s="17" t="s">
        <v>7635</v>
      </c>
      <c r="P513" s="17" t="s">
        <v>7037</v>
      </c>
      <c r="Q513" s="17" t="s">
        <v>6218</v>
      </c>
      <c r="R513" s="17" t="s">
        <v>7038</v>
      </c>
      <c r="S513" s="17" t="s">
        <v>7635</v>
      </c>
      <c r="T513" s="17" t="s">
        <v>7039</v>
      </c>
      <c r="U513" s="17"/>
      <c r="V513" s="17"/>
      <c r="W513" s="17"/>
      <c r="X513" s="17"/>
      <c r="Y513" s="17"/>
    </row>
    <row r="514" spans="1:25">
      <c r="A514" s="17" t="s">
        <v>7040</v>
      </c>
      <c r="B514" s="17" t="s">
        <v>7040</v>
      </c>
      <c r="C514" s="17" t="s">
        <v>7341</v>
      </c>
      <c r="D514" s="17" t="s">
        <v>6218</v>
      </c>
      <c r="E514" s="17" t="s">
        <v>7033</v>
      </c>
      <c r="F514" s="17" t="s">
        <v>7040</v>
      </c>
      <c r="G514" s="17" t="s">
        <v>2671</v>
      </c>
      <c r="H514" s="17" t="s">
        <v>4312</v>
      </c>
      <c r="I514" s="17" t="s">
        <v>2672</v>
      </c>
      <c r="J514" s="17" t="s">
        <v>4412</v>
      </c>
      <c r="K514" s="17" t="s">
        <v>7042</v>
      </c>
      <c r="L514" s="17" t="s">
        <v>7113</v>
      </c>
      <c r="M514" s="17" t="s">
        <v>6218</v>
      </c>
      <c r="N514" s="17" t="s">
        <v>7046</v>
      </c>
      <c r="O514" s="17" t="s">
        <v>7635</v>
      </c>
      <c r="P514" s="17" t="s">
        <v>7047</v>
      </c>
      <c r="Q514" s="17" t="s">
        <v>7032</v>
      </c>
      <c r="R514" s="17" t="s">
        <v>7342</v>
      </c>
      <c r="S514" s="17" t="s">
        <v>7635</v>
      </c>
      <c r="T514" s="17" t="s">
        <v>7343</v>
      </c>
      <c r="U514" s="17"/>
      <c r="V514" s="17"/>
      <c r="W514" s="17"/>
      <c r="X514" s="17"/>
      <c r="Y514" s="17"/>
    </row>
    <row r="515" spans="1:25">
      <c r="A515" s="17" t="s">
        <v>7048</v>
      </c>
      <c r="B515" s="17" t="s">
        <v>7048</v>
      </c>
      <c r="C515" s="17" t="s">
        <v>7344</v>
      </c>
      <c r="D515" s="17" t="s">
        <v>7032</v>
      </c>
      <c r="E515" s="17" t="s">
        <v>7033</v>
      </c>
      <c r="F515" s="17" t="s">
        <v>7048</v>
      </c>
      <c r="G515" s="17" t="s">
        <v>2671</v>
      </c>
      <c r="H515" s="17" t="s">
        <v>4312</v>
      </c>
      <c r="I515" s="17" t="s">
        <v>2672</v>
      </c>
      <c r="J515" s="17" t="s">
        <v>4412</v>
      </c>
      <c r="K515" s="17" t="s">
        <v>7050</v>
      </c>
      <c r="L515" s="17" t="s">
        <v>7035</v>
      </c>
      <c r="M515" s="17" t="s">
        <v>7032</v>
      </c>
      <c r="N515" s="17" t="s">
        <v>7345</v>
      </c>
      <c r="O515" s="17" t="s">
        <v>7635</v>
      </c>
      <c r="P515" s="17" t="s">
        <v>7346</v>
      </c>
      <c r="Q515" s="17" t="s">
        <v>6218</v>
      </c>
      <c r="R515" s="17" t="s">
        <v>7053</v>
      </c>
      <c r="S515" s="17" t="s">
        <v>7635</v>
      </c>
      <c r="T515" s="17" t="s">
        <v>7054</v>
      </c>
      <c r="U515" s="17"/>
      <c r="V515" s="17"/>
      <c r="W515" s="17"/>
      <c r="X515" s="17"/>
      <c r="Y515" s="17"/>
    </row>
    <row r="516" spans="1:25">
      <c r="A516" s="17" t="s">
        <v>7055</v>
      </c>
      <c r="B516" s="17" t="s">
        <v>7055</v>
      </c>
      <c r="C516" s="17" t="s">
        <v>7347</v>
      </c>
      <c r="D516" s="17" t="s">
        <v>6218</v>
      </c>
      <c r="E516" s="17" t="s">
        <v>7033</v>
      </c>
      <c r="F516" s="17" t="s">
        <v>7055</v>
      </c>
      <c r="G516" s="17" t="s">
        <v>2671</v>
      </c>
      <c r="H516" s="17" t="s">
        <v>4312</v>
      </c>
      <c r="I516" s="17" t="s">
        <v>2672</v>
      </c>
      <c r="J516" s="17" t="s">
        <v>4412</v>
      </c>
      <c r="K516" s="17" t="s">
        <v>7056</v>
      </c>
      <c r="L516" s="17" t="s">
        <v>7113</v>
      </c>
      <c r="M516" s="17" t="s">
        <v>6218</v>
      </c>
      <c r="N516" s="17" t="s">
        <v>7057</v>
      </c>
      <c r="O516" s="17" t="s">
        <v>7635</v>
      </c>
      <c r="P516" s="17" t="s">
        <v>7058</v>
      </c>
      <c r="Q516" s="17" t="s">
        <v>7032</v>
      </c>
      <c r="R516" s="17" t="s">
        <v>7348</v>
      </c>
      <c r="S516" s="17" t="s">
        <v>7635</v>
      </c>
      <c r="T516" s="17" t="s">
        <v>7349</v>
      </c>
      <c r="U516" s="17" t="s">
        <v>13571</v>
      </c>
      <c r="V516" s="48" t="s">
        <v>7055</v>
      </c>
      <c r="W516" s="17" t="s">
        <v>4559</v>
      </c>
      <c r="X516" s="48" t="s">
        <v>13570</v>
      </c>
      <c r="Y516" s="17"/>
    </row>
    <row r="517" spans="1:25">
      <c r="A517" s="17" t="s">
        <v>7059</v>
      </c>
      <c r="B517" s="17" t="s">
        <v>7059</v>
      </c>
      <c r="C517" s="17" t="s">
        <v>7350</v>
      </c>
      <c r="D517" s="17" t="s">
        <v>7032</v>
      </c>
      <c r="E517" s="17" t="s">
        <v>7033</v>
      </c>
      <c r="F517" s="17" t="s">
        <v>7059</v>
      </c>
      <c r="G517" s="17" t="s">
        <v>2671</v>
      </c>
      <c r="H517" s="17" t="s">
        <v>4312</v>
      </c>
      <c r="I517" s="17" t="s">
        <v>2672</v>
      </c>
      <c r="J517" s="17" t="s">
        <v>4412</v>
      </c>
      <c r="K517" s="17" t="s">
        <v>7060</v>
      </c>
      <c r="L517" s="17" t="s">
        <v>7035</v>
      </c>
      <c r="M517" s="17" t="s">
        <v>7032</v>
      </c>
      <c r="N517" s="17" t="s">
        <v>7061</v>
      </c>
      <c r="O517" s="17" t="s">
        <v>7635</v>
      </c>
      <c r="P517" s="17" t="s">
        <v>7062</v>
      </c>
      <c r="Q517" s="17" t="s">
        <v>6218</v>
      </c>
      <c r="R517" s="17" t="s">
        <v>7351</v>
      </c>
      <c r="S517" s="17" t="s">
        <v>7635</v>
      </c>
      <c r="T517" s="17" t="s">
        <v>7352</v>
      </c>
      <c r="U517" s="17"/>
      <c r="V517" s="17"/>
      <c r="W517" s="17"/>
      <c r="X517" s="17"/>
      <c r="Y517" s="17"/>
    </row>
    <row r="518" spans="1:25">
      <c r="A518" s="17" t="s">
        <v>7063</v>
      </c>
      <c r="B518" s="17" t="s">
        <v>7063</v>
      </c>
      <c r="C518" s="17" t="s">
        <v>7353</v>
      </c>
      <c r="D518" s="17" t="s">
        <v>7032</v>
      </c>
      <c r="E518" s="17" t="s">
        <v>7033</v>
      </c>
      <c r="F518" s="17" t="s">
        <v>7063</v>
      </c>
      <c r="G518" s="17" t="s">
        <v>2671</v>
      </c>
      <c r="H518" s="17" t="s">
        <v>4312</v>
      </c>
      <c r="I518" s="17" t="s">
        <v>2672</v>
      </c>
      <c r="J518" s="17" t="s">
        <v>4412</v>
      </c>
      <c r="K518" s="17" t="s">
        <v>7065</v>
      </c>
      <c r="L518" s="17" t="s">
        <v>7035</v>
      </c>
      <c r="M518" s="17" t="s">
        <v>7032</v>
      </c>
      <c r="N518" s="17" t="s">
        <v>7354</v>
      </c>
      <c r="O518" s="17" t="s">
        <v>7635</v>
      </c>
      <c r="P518" s="17" t="s">
        <v>7355</v>
      </c>
      <c r="Q518" s="17" t="s">
        <v>6218</v>
      </c>
      <c r="R518" s="17" t="s">
        <v>7356</v>
      </c>
      <c r="S518" s="17" t="s">
        <v>7635</v>
      </c>
      <c r="T518" s="17" t="s">
        <v>7357</v>
      </c>
      <c r="U518" s="17"/>
      <c r="V518" s="17"/>
      <c r="W518" s="17"/>
      <c r="X518" s="17"/>
      <c r="Y518" s="17"/>
    </row>
    <row r="519" spans="1:25">
      <c r="A519" s="17" t="s">
        <v>7069</v>
      </c>
      <c r="B519" s="17" t="s">
        <v>7069</v>
      </c>
      <c r="C519" s="17" t="s">
        <v>7358</v>
      </c>
      <c r="D519" s="17" t="s">
        <v>6218</v>
      </c>
      <c r="E519" s="17" t="s">
        <v>7033</v>
      </c>
      <c r="F519" s="17" t="s">
        <v>7069</v>
      </c>
      <c r="G519" s="17" t="s">
        <v>2671</v>
      </c>
      <c r="H519" s="17" t="s">
        <v>4312</v>
      </c>
      <c r="I519" s="17" t="s">
        <v>2672</v>
      </c>
      <c r="J519" s="17" t="s">
        <v>4412</v>
      </c>
      <c r="K519" s="17" t="s">
        <v>7071</v>
      </c>
      <c r="L519" s="17" t="s">
        <v>7113</v>
      </c>
      <c r="M519" s="17" t="s">
        <v>6218</v>
      </c>
      <c r="N519" s="17" t="s">
        <v>7074</v>
      </c>
      <c r="O519" s="17" t="s">
        <v>7635</v>
      </c>
      <c r="P519" s="17" t="s">
        <v>7075</v>
      </c>
      <c r="Q519" s="17" t="s">
        <v>7032</v>
      </c>
      <c r="R519" s="17" t="s">
        <v>7359</v>
      </c>
      <c r="S519" s="17" t="s">
        <v>7635</v>
      </c>
      <c r="T519" s="17" t="s">
        <v>7360</v>
      </c>
      <c r="U519" s="17"/>
      <c r="V519" s="17"/>
      <c r="W519" s="17"/>
      <c r="X519" s="17"/>
      <c r="Y519" s="17"/>
    </row>
    <row r="520" spans="1:25">
      <c r="A520" s="17" t="s">
        <v>7076</v>
      </c>
      <c r="B520" s="17" t="s">
        <v>7076</v>
      </c>
      <c r="C520" s="17" t="s">
        <v>7361</v>
      </c>
      <c r="D520" s="17" t="s">
        <v>7032</v>
      </c>
      <c r="E520" s="17" t="s">
        <v>7033</v>
      </c>
      <c r="F520" s="17" t="s">
        <v>7076</v>
      </c>
      <c r="G520" s="17" t="s">
        <v>2671</v>
      </c>
      <c r="H520" s="17" t="s">
        <v>4312</v>
      </c>
      <c r="I520" s="17" t="s">
        <v>2672</v>
      </c>
      <c r="J520" s="17" t="s">
        <v>4412</v>
      </c>
      <c r="K520" s="17" t="s">
        <v>7078</v>
      </c>
      <c r="L520" s="17" t="s">
        <v>7035</v>
      </c>
      <c r="M520" s="17" t="s">
        <v>7032</v>
      </c>
      <c r="N520" s="17" t="s">
        <v>7081</v>
      </c>
      <c r="O520" s="17" t="s">
        <v>7635</v>
      </c>
      <c r="P520" s="17" t="s">
        <v>7082</v>
      </c>
      <c r="Q520" s="17" t="s">
        <v>6218</v>
      </c>
      <c r="R520" s="17" t="s">
        <v>7362</v>
      </c>
      <c r="S520" s="17" t="s">
        <v>7635</v>
      </c>
      <c r="T520" s="17" t="s">
        <v>7363</v>
      </c>
      <c r="U520" s="17"/>
      <c r="V520" s="17"/>
      <c r="W520" s="17"/>
      <c r="X520" s="17"/>
      <c r="Y520" s="17"/>
    </row>
    <row r="521" spans="1:25">
      <c r="A521" s="17" t="s">
        <v>7083</v>
      </c>
      <c r="B521" s="17" t="s">
        <v>7083</v>
      </c>
      <c r="C521" s="17" t="s">
        <v>7364</v>
      </c>
      <c r="D521" s="17" t="s">
        <v>7032</v>
      </c>
      <c r="E521" s="17" t="s">
        <v>7033</v>
      </c>
      <c r="F521" s="17" t="s">
        <v>7083</v>
      </c>
      <c r="G521" s="17" t="s">
        <v>2671</v>
      </c>
      <c r="H521" s="17" t="s">
        <v>4312</v>
      </c>
      <c r="I521" s="17" t="s">
        <v>2672</v>
      </c>
      <c r="J521" s="17" t="s">
        <v>4412</v>
      </c>
      <c r="K521" s="17" t="s">
        <v>7085</v>
      </c>
      <c r="L521" s="17" t="s">
        <v>7035</v>
      </c>
      <c r="M521" s="17" t="s">
        <v>7032</v>
      </c>
      <c r="N521" s="17" t="s">
        <v>7088</v>
      </c>
      <c r="O521" s="17" t="s">
        <v>7635</v>
      </c>
      <c r="P521" s="17" t="s">
        <v>7089</v>
      </c>
      <c r="Q521" s="17" t="s">
        <v>6218</v>
      </c>
      <c r="R521" s="17" t="s">
        <v>7365</v>
      </c>
      <c r="S521" s="17" t="s">
        <v>7635</v>
      </c>
      <c r="T521" s="17" t="s">
        <v>7366</v>
      </c>
      <c r="U521" s="17"/>
      <c r="V521" s="17"/>
      <c r="W521" s="17"/>
      <c r="X521" s="17"/>
      <c r="Y521" s="17"/>
    </row>
    <row r="522" spans="1:25">
      <c r="A522" s="17" t="s">
        <v>7090</v>
      </c>
      <c r="B522" s="17" t="s">
        <v>7090</v>
      </c>
      <c r="C522" s="17" t="s">
        <v>7367</v>
      </c>
      <c r="D522" s="17" t="s">
        <v>7032</v>
      </c>
      <c r="E522" s="17" t="s">
        <v>7033</v>
      </c>
      <c r="F522" s="17" t="s">
        <v>7090</v>
      </c>
      <c r="G522" s="17" t="s">
        <v>2671</v>
      </c>
      <c r="H522" s="17" t="s">
        <v>4312</v>
      </c>
      <c r="I522" s="17" t="s">
        <v>2672</v>
      </c>
      <c r="J522" s="17" t="s">
        <v>4412</v>
      </c>
      <c r="K522" s="17" t="s">
        <v>7092</v>
      </c>
      <c r="L522" s="17" t="s">
        <v>7035</v>
      </c>
      <c r="M522" s="17" t="s">
        <v>7032</v>
      </c>
      <c r="N522" s="17" t="s">
        <v>7368</v>
      </c>
      <c r="O522" s="17" t="s">
        <v>7635</v>
      </c>
      <c r="P522" s="17" t="s">
        <v>7369</v>
      </c>
      <c r="Q522" s="17" t="s">
        <v>6218</v>
      </c>
      <c r="R522" s="17" t="s">
        <v>7370</v>
      </c>
      <c r="S522" s="17" t="s">
        <v>7635</v>
      </c>
      <c r="T522" s="17" t="s">
        <v>7371</v>
      </c>
      <c r="U522" s="17"/>
      <c r="V522" s="17"/>
      <c r="W522" s="17"/>
      <c r="X522" s="17"/>
      <c r="Y522" s="17"/>
    </row>
    <row r="523" spans="1:25">
      <c r="A523" s="17" t="s">
        <v>7096</v>
      </c>
      <c r="B523" s="17" t="s">
        <v>7096</v>
      </c>
      <c r="C523" s="17" t="s">
        <v>7372</v>
      </c>
      <c r="D523" s="17" t="s">
        <v>7032</v>
      </c>
      <c r="E523" s="17" t="s">
        <v>7033</v>
      </c>
      <c r="F523" s="17" t="s">
        <v>7096</v>
      </c>
      <c r="G523" s="17" t="s">
        <v>2671</v>
      </c>
      <c r="H523" s="17" t="s">
        <v>4312</v>
      </c>
      <c r="I523" s="17" t="s">
        <v>2672</v>
      </c>
      <c r="J523" s="17" t="s">
        <v>4412</v>
      </c>
      <c r="K523" s="17" t="s">
        <v>7098</v>
      </c>
      <c r="L523" s="17" t="s">
        <v>7035</v>
      </c>
      <c r="M523" s="17" t="s">
        <v>7032</v>
      </c>
      <c r="N523" s="17" t="s">
        <v>7101</v>
      </c>
      <c r="O523" s="17" t="s">
        <v>7635</v>
      </c>
      <c r="P523" s="17" t="s">
        <v>7102</v>
      </c>
      <c r="Q523" s="17" t="s">
        <v>6218</v>
      </c>
      <c r="R523" s="17" t="s">
        <v>7373</v>
      </c>
      <c r="S523" s="17" t="s">
        <v>7635</v>
      </c>
      <c r="T523" s="17" t="s">
        <v>7374</v>
      </c>
      <c r="U523" s="17"/>
      <c r="V523" s="17"/>
      <c r="W523" s="17"/>
      <c r="X523" s="17"/>
      <c r="Y523" s="17"/>
    </row>
    <row r="524" spans="1:25">
      <c r="A524" s="17" t="s">
        <v>7103</v>
      </c>
      <c r="B524" s="17" t="s">
        <v>7103</v>
      </c>
      <c r="C524" s="17" t="s">
        <v>7375</v>
      </c>
      <c r="D524" s="17" t="s">
        <v>7032</v>
      </c>
      <c r="E524" s="17" t="s">
        <v>7033</v>
      </c>
      <c r="F524" s="17" t="s">
        <v>7103</v>
      </c>
      <c r="G524" s="17" t="s">
        <v>2671</v>
      </c>
      <c r="H524" s="17" t="s">
        <v>4312</v>
      </c>
      <c r="I524" s="17" t="s">
        <v>2672</v>
      </c>
      <c r="J524" s="17" t="s">
        <v>4412</v>
      </c>
      <c r="K524" s="17" t="s">
        <v>7105</v>
      </c>
      <c r="L524" s="17" t="s">
        <v>7035</v>
      </c>
      <c r="M524" s="17" t="s">
        <v>7032</v>
      </c>
      <c r="N524" s="17" t="s">
        <v>7108</v>
      </c>
      <c r="O524" s="17" t="s">
        <v>7635</v>
      </c>
      <c r="P524" s="17" t="s">
        <v>7109</v>
      </c>
      <c r="Q524" s="17" t="s">
        <v>6218</v>
      </c>
      <c r="R524" s="17" t="s">
        <v>7250</v>
      </c>
      <c r="S524" s="17" t="s">
        <v>7635</v>
      </c>
      <c r="T524" s="17" t="s">
        <v>7251</v>
      </c>
      <c r="U524" s="17"/>
      <c r="V524" s="17"/>
      <c r="W524" s="17"/>
      <c r="X524" s="17"/>
      <c r="Y524" s="17"/>
    </row>
    <row r="525" spans="1:25">
      <c r="A525" s="17" t="s">
        <v>7110</v>
      </c>
      <c r="B525" s="17" t="s">
        <v>7110</v>
      </c>
      <c r="C525" s="17" t="s">
        <v>7111</v>
      </c>
      <c r="D525" s="17" t="s">
        <v>6218</v>
      </c>
      <c r="E525" s="17" t="s">
        <v>7033</v>
      </c>
      <c r="F525" s="17" t="s">
        <v>7110</v>
      </c>
      <c r="G525" s="17" t="s">
        <v>2671</v>
      </c>
      <c r="H525" s="17" t="s">
        <v>4312</v>
      </c>
      <c r="I525" s="17" t="s">
        <v>2672</v>
      </c>
      <c r="J525" s="17" t="s">
        <v>4412</v>
      </c>
      <c r="K525" s="17" t="s">
        <v>7112</v>
      </c>
      <c r="L525" s="17" t="s">
        <v>7113</v>
      </c>
      <c r="M525" s="17" t="s">
        <v>6218</v>
      </c>
      <c r="N525" s="17" t="s">
        <v>7114</v>
      </c>
      <c r="O525" s="17" t="s">
        <v>7635</v>
      </c>
      <c r="P525" s="17" t="s">
        <v>7115</v>
      </c>
      <c r="Q525" s="17" t="s">
        <v>7032</v>
      </c>
      <c r="R525" s="17" t="s">
        <v>7116</v>
      </c>
      <c r="S525" s="17" t="s">
        <v>7635</v>
      </c>
      <c r="T525" s="17" t="s">
        <v>7117</v>
      </c>
      <c r="U525" s="17"/>
      <c r="V525" s="17"/>
      <c r="W525" s="17"/>
      <c r="X525" s="17"/>
      <c r="Y525" s="17"/>
    </row>
    <row r="526" spans="1:25">
      <c r="A526" s="17" t="s">
        <v>7118</v>
      </c>
      <c r="B526" s="17" t="s">
        <v>7118</v>
      </c>
      <c r="C526" s="17" t="s">
        <v>7376</v>
      </c>
      <c r="D526" s="17" t="s">
        <v>7032</v>
      </c>
      <c r="E526" s="17" t="s">
        <v>7033</v>
      </c>
      <c r="F526" s="17" t="s">
        <v>7118</v>
      </c>
      <c r="G526" s="17" t="s">
        <v>2671</v>
      </c>
      <c r="H526" s="17" t="s">
        <v>4312</v>
      </c>
      <c r="I526" s="17" t="s">
        <v>2672</v>
      </c>
      <c r="J526" s="17" t="s">
        <v>4412</v>
      </c>
      <c r="K526" s="17" t="s">
        <v>7119</v>
      </c>
      <c r="L526" s="17" t="s">
        <v>7035</v>
      </c>
      <c r="M526" s="17" t="s">
        <v>7032</v>
      </c>
      <c r="N526" s="17" t="s">
        <v>7377</v>
      </c>
      <c r="O526" s="17" t="s">
        <v>7635</v>
      </c>
      <c r="P526" s="17" t="s">
        <v>7378</v>
      </c>
      <c r="Q526" s="17" t="s">
        <v>6218</v>
      </c>
      <c r="R526" s="17" t="s">
        <v>7120</v>
      </c>
      <c r="S526" s="17" t="s">
        <v>7635</v>
      </c>
      <c r="T526" s="17" t="s">
        <v>7121</v>
      </c>
      <c r="U526" s="17"/>
      <c r="V526" s="17"/>
      <c r="W526" s="17"/>
      <c r="X526" s="17"/>
      <c r="Y526" s="17"/>
    </row>
    <row r="527" spans="1:25">
      <c r="A527" s="17" t="s">
        <v>7122</v>
      </c>
      <c r="B527" s="17" t="s">
        <v>7122</v>
      </c>
      <c r="C527" s="17" t="s">
        <v>7379</v>
      </c>
      <c r="D527" s="17" t="s">
        <v>6218</v>
      </c>
      <c r="E527" s="17" t="s">
        <v>7033</v>
      </c>
      <c r="F527" s="17" t="s">
        <v>7122</v>
      </c>
      <c r="G527" s="17" t="s">
        <v>2671</v>
      </c>
      <c r="H527" s="17" t="s">
        <v>4312</v>
      </c>
      <c r="I527" s="17" t="s">
        <v>2672</v>
      </c>
      <c r="J527" s="17" t="s">
        <v>4412</v>
      </c>
      <c r="K527" s="17" t="s">
        <v>7124</v>
      </c>
      <c r="L527" s="17" t="s">
        <v>7113</v>
      </c>
      <c r="M527" s="17" t="s">
        <v>6218</v>
      </c>
      <c r="N527" s="17" t="s">
        <v>7127</v>
      </c>
      <c r="O527" s="17" t="s">
        <v>7635</v>
      </c>
      <c r="P527" s="17" t="s">
        <v>7128</v>
      </c>
      <c r="Q527" s="17" t="s">
        <v>7032</v>
      </c>
      <c r="R527" s="17" t="s">
        <v>7380</v>
      </c>
      <c r="S527" s="17" t="s">
        <v>7635</v>
      </c>
      <c r="T527" s="17" t="s">
        <v>7381</v>
      </c>
      <c r="U527" s="17"/>
      <c r="V527" s="17"/>
      <c r="W527" s="17"/>
      <c r="X527" s="17"/>
      <c r="Y527" s="17"/>
    </row>
    <row r="528" spans="1:25">
      <c r="A528" s="17" t="s">
        <v>7129</v>
      </c>
      <c r="B528" s="17" t="s">
        <v>7129</v>
      </c>
      <c r="C528" s="17" t="s">
        <v>7382</v>
      </c>
      <c r="D528" s="17" t="s">
        <v>7032</v>
      </c>
      <c r="E528" s="17" t="s">
        <v>7033</v>
      </c>
      <c r="F528" s="17" t="s">
        <v>7129</v>
      </c>
      <c r="G528" s="17" t="s">
        <v>2671</v>
      </c>
      <c r="H528" s="17" t="s">
        <v>4312</v>
      </c>
      <c r="I528" s="17" t="s">
        <v>2672</v>
      </c>
      <c r="J528" s="17" t="s">
        <v>4412</v>
      </c>
      <c r="K528" s="17" t="s">
        <v>7131</v>
      </c>
      <c r="L528" s="17" t="s">
        <v>7035</v>
      </c>
      <c r="M528" s="17" t="s">
        <v>7032</v>
      </c>
      <c r="N528" s="17" t="s">
        <v>7134</v>
      </c>
      <c r="O528" s="17" t="s">
        <v>7635</v>
      </c>
      <c r="P528" s="17" t="s">
        <v>7135</v>
      </c>
      <c r="Q528" s="17" t="s">
        <v>6218</v>
      </c>
      <c r="R528" s="17" t="s">
        <v>7383</v>
      </c>
      <c r="S528" s="17" t="s">
        <v>7635</v>
      </c>
      <c r="T528" s="17" t="s">
        <v>7384</v>
      </c>
      <c r="U528" s="17"/>
      <c r="V528" s="17"/>
      <c r="W528" s="17"/>
      <c r="X528" s="17"/>
      <c r="Y528" s="17"/>
    </row>
    <row r="529" spans="1:25">
      <c r="A529" s="17" t="s">
        <v>7136</v>
      </c>
      <c r="B529" s="17" t="s">
        <v>7136</v>
      </c>
      <c r="C529" s="17" t="s">
        <v>7137</v>
      </c>
      <c r="D529" s="17" t="s">
        <v>7032</v>
      </c>
      <c r="E529" s="17" t="s">
        <v>7033</v>
      </c>
      <c r="F529" s="17" t="s">
        <v>7136</v>
      </c>
      <c r="G529" s="17" t="s">
        <v>2671</v>
      </c>
      <c r="H529" s="17" t="s">
        <v>4312</v>
      </c>
      <c r="I529" s="17" t="s">
        <v>2672</v>
      </c>
      <c r="J529" s="17" t="s">
        <v>4412</v>
      </c>
      <c r="K529" s="17" t="s">
        <v>7138</v>
      </c>
      <c r="L529" s="17" t="s">
        <v>7035</v>
      </c>
      <c r="M529" s="17" t="s">
        <v>7032</v>
      </c>
      <c r="N529" s="17" t="s">
        <v>7139</v>
      </c>
      <c r="O529" s="17" t="s">
        <v>7635</v>
      </c>
      <c r="P529" s="17" t="s">
        <v>7140</v>
      </c>
      <c r="Q529" s="17" t="s">
        <v>6218</v>
      </c>
      <c r="R529" s="17" t="s">
        <v>7141</v>
      </c>
      <c r="S529" s="17" t="s">
        <v>7635</v>
      </c>
      <c r="T529" s="17" t="s">
        <v>7142</v>
      </c>
      <c r="U529" s="17"/>
      <c r="V529" s="17"/>
      <c r="W529" s="17"/>
      <c r="X529" s="17"/>
      <c r="Y529" s="17"/>
    </row>
    <row r="530" spans="1:25">
      <c r="A530" s="17" t="s">
        <v>7143</v>
      </c>
      <c r="B530" s="17" t="s">
        <v>7143</v>
      </c>
      <c r="C530" s="17" t="s">
        <v>7385</v>
      </c>
      <c r="D530" s="17" t="s">
        <v>7032</v>
      </c>
      <c r="E530" s="17" t="s">
        <v>7033</v>
      </c>
      <c r="F530" s="17" t="s">
        <v>7143</v>
      </c>
      <c r="G530" s="17" t="s">
        <v>2671</v>
      </c>
      <c r="H530" s="17" t="s">
        <v>4312</v>
      </c>
      <c r="I530" s="17" t="s">
        <v>2672</v>
      </c>
      <c r="J530" s="17" t="s">
        <v>4412</v>
      </c>
      <c r="K530" s="17" t="s">
        <v>7145</v>
      </c>
      <c r="L530" s="17" t="s">
        <v>7035</v>
      </c>
      <c r="M530" s="17" t="s">
        <v>7032</v>
      </c>
      <c r="N530" s="17" t="s">
        <v>7148</v>
      </c>
      <c r="O530" s="17" t="s">
        <v>7635</v>
      </c>
      <c r="P530" s="17" t="s">
        <v>7149</v>
      </c>
      <c r="Q530" s="17" t="s">
        <v>6218</v>
      </c>
      <c r="R530" s="17" t="s">
        <v>7386</v>
      </c>
      <c r="S530" s="17" t="s">
        <v>7635</v>
      </c>
      <c r="T530" s="17" t="s">
        <v>7387</v>
      </c>
      <c r="U530" s="17"/>
      <c r="V530" s="17"/>
      <c r="W530" s="17"/>
      <c r="X530" s="17"/>
      <c r="Y530" s="17"/>
    </row>
    <row r="531" spans="1:25">
      <c r="A531" s="17" t="s">
        <v>7150</v>
      </c>
      <c r="B531" s="17" t="s">
        <v>7150</v>
      </c>
      <c r="C531" s="17" t="s">
        <v>7388</v>
      </c>
      <c r="D531" s="17" t="s">
        <v>7032</v>
      </c>
      <c r="E531" s="17" t="s">
        <v>7033</v>
      </c>
      <c r="F531" s="17" t="s">
        <v>7150</v>
      </c>
      <c r="G531" s="17" t="s">
        <v>2671</v>
      </c>
      <c r="H531" s="17" t="s">
        <v>4312</v>
      </c>
      <c r="I531" s="17" t="s">
        <v>2672</v>
      </c>
      <c r="J531" s="17" t="s">
        <v>4412</v>
      </c>
      <c r="K531" s="17" t="s">
        <v>7152</v>
      </c>
      <c r="L531" s="17" t="s">
        <v>7035</v>
      </c>
      <c r="M531" s="17" t="s">
        <v>7032</v>
      </c>
      <c r="N531" s="17" t="s">
        <v>7155</v>
      </c>
      <c r="O531" s="17" t="s">
        <v>7635</v>
      </c>
      <c r="P531" s="17" t="s">
        <v>7156</v>
      </c>
      <c r="Q531" s="17" t="s">
        <v>6218</v>
      </c>
      <c r="R531" s="17" t="s">
        <v>7272</v>
      </c>
      <c r="S531" s="17" t="s">
        <v>7635</v>
      </c>
      <c r="T531" s="17" t="s">
        <v>7273</v>
      </c>
      <c r="U531" s="17"/>
      <c r="V531" s="17"/>
      <c r="W531" s="17"/>
      <c r="X531" s="17"/>
      <c r="Y531" s="17"/>
    </row>
    <row r="532" spans="1:25">
      <c r="A532" s="17" t="s">
        <v>7157</v>
      </c>
      <c r="B532" s="17" t="s">
        <v>7157</v>
      </c>
      <c r="C532" s="17" t="s">
        <v>7158</v>
      </c>
      <c r="D532" s="17" t="s">
        <v>7032</v>
      </c>
      <c r="E532" s="17" t="s">
        <v>7033</v>
      </c>
      <c r="F532" s="17" t="s">
        <v>7157</v>
      </c>
      <c r="G532" s="17" t="s">
        <v>2671</v>
      </c>
      <c r="H532" s="17" t="s">
        <v>4312</v>
      </c>
      <c r="I532" s="17" t="s">
        <v>2672</v>
      </c>
      <c r="J532" s="17" t="s">
        <v>4412</v>
      </c>
      <c r="K532" s="17" t="s">
        <v>7159</v>
      </c>
      <c r="L532" s="17" t="s">
        <v>7035</v>
      </c>
      <c r="M532" s="17" t="s">
        <v>7032</v>
      </c>
      <c r="N532" s="17" t="s">
        <v>7160</v>
      </c>
      <c r="O532" s="17" t="s">
        <v>7635</v>
      </c>
      <c r="P532" s="17" t="s">
        <v>7161</v>
      </c>
      <c r="Q532" s="17" t="s">
        <v>6218</v>
      </c>
      <c r="R532" s="17" t="s">
        <v>7389</v>
      </c>
      <c r="S532" s="17" t="s">
        <v>7635</v>
      </c>
      <c r="T532" s="17" t="s">
        <v>7390</v>
      </c>
      <c r="U532" s="51" t="s">
        <v>6218</v>
      </c>
      <c r="V532" s="51" t="s">
        <v>7389</v>
      </c>
      <c r="W532" s="17" t="s">
        <v>4559</v>
      </c>
      <c r="X532" s="48" t="s">
        <v>13523</v>
      </c>
      <c r="Y532" s="17"/>
    </row>
    <row r="533" spans="1:25">
      <c r="A533" s="17" t="s">
        <v>7163</v>
      </c>
      <c r="B533" s="17" t="s">
        <v>7163</v>
      </c>
      <c r="C533" s="17" t="s">
        <v>7164</v>
      </c>
      <c r="D533" s="17" t="s">
        <v>6218</v>
      </c>
      <c r="E533" s="17" t="s">
        <v>7033</v>
      </c>
      <c r="F533" s="17" t="s">
        <v>7163</v>
      </c>
      <c r="G533" s="17" t="s">
        <v>2671</v>
      </c>
      <c r="H533" s="17" t="s">
        <v>4312</v>
      </c>
      <c r="I533" s="17" t="s">
        <v>2672</v>
      </c>
      <c r="J533" s="17" t="s">
        <v>4412</v>
      </c>
      <c r="K533" s="17" t="s">
        <v>7165</v>
      </c>
      <c r="L533" s="17" t="s">
        <v>7113</v>
      </c>
      <c r="M533" s="17" t="s">
        <v>6218</v>
      </c>
      <c r="N533" s="17" t="s">
        <v>7166</v>
      </c>
      <c r="O533" s="17" t="s">
        <v>7635</v>
      </c>
      <c r="P533" s="17" t="s">
        <v>7167</v>
      </c>
      <c r="Q533" s="17" t="s">
        <v>7032</v>
      </c>
      <c r="R533" s="17" t="s">
        <v>7168</v>
      </c>
      <c r="S533" s="17" t="s">
        <v>7635</v>
      </c>
      <c r="T533" s="17" t="s">
        <v>7169</v>
      </c>
      <c r="U533" s="17"/>
      <c r="V533" s="17"/>
      <c r="W533" s="17"/>
      <c r="X533" s="17"/>
      <c r="Y533" s="17"/>
    </row>
    <row r="534" spans="1:25">
      <c r="A534" s="17" t="s">
        <v>7170</v>
      </c>
      <c r="B534" s="17" t="s">
        <v>7170</v>
      </c>
      <c r="C534" s="17" t="s">
        <v>7391</v>
      </c>
      <c r="D534" s="17" t="s">
        <v>7032</v>
      </c>
      <c r="E534" s="17" t="s">
        <v>7033</v>
      </c>
      <c r="F534" s="17" t="s">
        <v>7170</v>
      </c>
      <c r="G534" s="17" t="s">
        <v>2671</v>
      </c>
      <c r="H534" s="17" t="s">
        <v>4312</v>
      </c>
      <c r="I534" s="17" t="s">
        <v>2672</v>
      </c>
      <c r="J534" s="17" t="s">
        <v>4412</v>
      </c>
      <c r="K534" s="17" t="s">
        <v>7172</v>
      </c>
      <c r="L534" s="17" t="s">
        <v>7035</v>
      </c>
      <c r="M534" s="17" t="s">
        <v>7032</v>
      </c>
      <c r="N534" s="17" t="s">
        <v>7175</v>
      </c>
      <c r="O534" s="17" t="s">
        <v>7635</v>
      </c>
      <c r="P534" s="17" t="s">
        <v>7176</v>
      </c>
      <c r="Q534" s="17" t="s">
        <v>6218</v>
      </c>
      <c r="R534" s="17" t="s">
        <v>7392</v>
      </c>
      <c r="S534" s="17" t="s">
        <v>7635</v>
      </c>
      <c r="T534" s="17" t="s">
        <v>7393</v>
      </c>
      <c r="U534" s="51" t="s">
        <v>6218</v>
      </c>
      <c r="V534" s="51" t="s">
        <v>7392</v>
      </c>
      <c r="W534" s="17" t="s">
        <v>4559</v>
      </c>
      <c r="X534" s="48" t="s">
        <v>13524</v>
      </c>
      <c r="Y534" s="17"/>
    </row>
    <row r="535" spans="1:25">
      <c r="A535" s="17" t="s">
        <v>7177</v>
      </c>
      <c r="B535" s="17" t="s">
        <v>7177</v>
      </c>
      <c r="C535" s="17" t="s">
        <v>7394</v>
      </c>
      <c r="D535" s="17" t="s">
        <v>7032</v>
      </c>
      <c r="E535" s="17" t="s">
        <v>7033</v>
      </c>
      <c r="F535" s="17" t="s">
        <v>7177</v>
      </c>
      <c r="G535" s="17" t="s">
        <v>2671</v>
      </c>
      <c r="H535" s="17" t="s">
        <v>4312</v>
      </c>
      <c r="I535" s="17" t="s">
        <v>2672</v>
      </c>
      <c r="J535" s="17" t="s">
        <v>4412</v>
      </c>
      <c r="K535" s="17" t="s">
        <v>7178</v>
      </c>
      <c r="L535" s="17" t="s">
        <v>7035</v>
      </c>
      <c r="M535" s="17" t="s">
        <v>7032</v>
      </c>
      <c r="N535" s="17" t="s">
        <v>7179</v>
      </c>
      <c r="O535" s="17" t="s">
        <v>7635</v>
      </c>
      <c r="P535" s="17" t="s">
        <v>7180</v>
      </c>
      <c r="Q535" s="17" t="s">
        <v>6218</v>
      </c>
      <c r="R535" s="17" t="s">
        <v>7395</v>
      </c>
      <c r="S535" s="17" t="s">
        <v>7635</v>
      </c>
      <c r="T535" s="17" t="s">
        <v>7396</v>
      </c>
      <c r="U535" s="17"/>
      <c r="V535" s="17"/>
      <c r="W535" s="17"/>
      <c r="X535" s="17"/>
      <c r="Y535" s="17"/>
    </row>
    <row r="536" spans="1:25">
      <c r="A536" s="17" t="s">
        <v>7181</v>
      </c>
      <c r="B536" s="17" t="s">
        <v>7181</v>
      </c>
      <c r="C536" s="17" t="s">
        <v>7397</v>
      </c>
      <c r="D536" s="17" t="s">
        <v>7032</v>
      </c>
      <c r="E536" s="17" t="s">
        <v>7033</v>
      </c>
      <c r="F536" s="17" t="s">
        <v>7181</v>
      </c>
      <c r="G536" s="17" t="s">
        <v>2671</v>
      </c>
      <c r="H536" s="17" t="s">
        <v>4312</v>
      </c>
      <c r="I536" s="17" t="s">
        <v>2672</v>
      </c>
      <c r="J536" s="17" t="s">
        <v>4412</v>
      </c>
      <c r="K536" s="17" t="s">
        <v>7182</v>
      </c>
      <c r="L536" s="17" t="s">
        <v>7035</v>
      </c>
      <c r="M536" s="17" t="s">
        <v>7032</v>
      </c>
      <c r="N536" s="17" t="s">
        <v>7183</v>
      </c>
      <c r="O536" s="17" t="s">
        <v>7635</v>
      </c>
      <c r="P536" s="17" t="s">
        <v>7184</v>
      </c>
      <c r="Q536" s="17" t="s">
        <v>6218</v>
      </c>
      <c r="R536" s="17" t="s">
        <v>7290</v>
      </c>
      <c r="S536" s="17" t="s">
        <v>7635</v>
      </c>
      <c r="T536" s="17" t="s">
        <v>7291</v>
      </c>
      <c r="U536" s="17"/>
      <c r="V536" s="17"/>
      <c r="W536" s="17"/>
      <c r="X536" s="17"/>
      <c r="Y536" s="17"/>
    </row>
    <row r="537" spans="1:25">
      <c r="A537" s="17" t="s">
        <v>7185</v>
      </c>
      <c r="B537" s="17" t="s">
        <v>7185</v>
      </c>
      <c r="C537" s="17" t="s">
        <v>7398</v>
      </c>
      <c r="D537" s="17" t="s">
        <v>6218</v>
      </c>
      <c r="E537" s="17" t="s">
        <v>7033</v>
      </c>
      <c r="F537" s="17" t="s">
        <v>7185</v>
      </c>
      <c r="G537" s="17" t="s">
        <v>2671</v>
      </c>
      <c r="H537" s="17" t="s">
        <v>4312</v>
      </c>
      <c r="I537" s="17" t="s">
        <v>2672</v>
      </c>
      <c r="J537" s="17" t="s">
        <v>4412</v>
      </c>
      <c r="K537" s="17" t="s">
        <v>7187</v>
      </c>
      <c r="L537" s="17" t="s">
        <v>7113</v>
      </c>
      <c r="M537" s="17" t="s">
        <v>6218</v>
      </c>
      <c r="N537" s="17" t="s">
        <v>7190</v>
      </c>
      <c r="O537" s="17" t="s">
        <v>7635</v>
      </c>
      <c r="P537" s="17" t="s">
        <v>7191</v>
      </c>
      <c r="Q537" s="17" t="s">
        <v>6218</v>
      </c>
      <c r="R537" s="17" t="s">
        <v>7399</v>
      </c>
      <c r="S537" s="17" t="s">
        <v>7635</v>
      </c>
      <c r="T537" s="17" t="s">
        <v>7400</v>
      </c>
      <c r="U537" s="17"/>
      <c r="V537" s="17"/>
      <c r="W537" s="17"/>
      <c r="X537" s="17"/>
      <c r="Y537" s="17"/>
    </row>
    <row r="538" spans="1:25">
      <c r="A538" s="17" t="s">
        <v>7204</v>
      </c>
      <c r="B538" s="17" t="s">
        <v>7204</v>
      </c>
      <c r="C538" s="17" t="s">
        <v>7401</v>
      </c>
      <c r="D538" s="17" t="s">
        <v>7032</v>
      </c>
      <c r="E538" s="17" t="s">
        <v>7033</v>
      </c>
      <c r="F538" s="17" t="s">
        <v>7204</v>
      </c>
      <c r="G538" s="17" t="s">
        <v>2671</v>
      </c>
      <c r="H538" s="17" t="s">
        <v>4312</v>
      </c>
      <c r="I538" s="17" t="s">
        <v>2672</v>
      </c>
      <c r="J538" s="17" t="s">
        <v>4412</v>
      </c>
      <c r="K538" s="17" t="s">
        <v>7205</v>
      </c>
      <c r="L538" s="17" t="s">
        <v>7035</v>
      </c>
      <c r="M538" s="17" t="s">
        <v>7032</v>
      </c>
      <c r="N538" s="17" t="s">
        <v>7206</v>
      </c>
      <c r="O538" s="17" t="s">
        <v>7635</v>
      </c>
      <c r="P538" s="17" t="s">
        <v>7207</v>
      </c>
      <c r="Q538" s="17" t="s">
        <v>6218</v>
      </c>
      <c r="R538" s="17" t="s">
        <v>7402</v>
      </c>
      <c r="S538" s="17" t="s">
        <v>7635</v>
      </c>
      <c r="T538" s="17" t="s">
        <v>7403</v>
      </c>
      <c r="U538" s="17"/>
      <c r="V538" s="17"/>
      <c r="W538" s="17"/>
      <c r="X538" s="17"/>
      <c r="Y538" s="17"/>
    </row>
    <row r="539" spans="1:25">
      <c r="A539" s="17" t="s">
        <v>7208</v>
      </c>
      <c r="B539" s="17" t="s">
        <v>7208</v>
      </c>
      <c r="C539" s="17" t="s">
        <v>7404</v>
      </c>
      <c r="D539" s="17" t="s">
        <v>7032</v>
      </c>
      <c r="E539" s="17" t="s">
        <v>7033</v>
      </c>
      <c r="F539" s="17" t="s">
        <v>7208</v>
      </c>
      <c r="G539" s="17" t="s">
        <v>2671</v>
      </c>
      <c r="H539" s="17" t="s">
        <v>4312</v>
      </c>
      <c r="I539" s="17" t="s">
        <v>2672</v>
      </c>
      <c r="J539" s="17" t="s">
        <v>4412</v>
      </c>
      <c r="K539" s="17" t="s">
        <v>7209</v>
      </c>
      <c r="L539" s="17" t="s">
        <v>7035</v>
      </c>
      <c r="M539" s="17" t="s">
        <v>7032</v>
      </c>
      <c r="N539" s="17" t="s">
        <v>7210</v>
      </c>
      <c r="O539" s="17" t="s">
        <v>7635</v>
      </c>
      <c r="P539" s="17" t="s">
        <v>7211</v>
      </c>
      <c r="Q539" s="17"/>
      <c r="R539" s="17"/>
      <c r="S539" s="17"/>
      <c r="T539" s="17"/>
      <c r="U539" s="17"/>
      <c r="V539" s="17"/>
      <c r="W539" s="17"/>
      <c r="X539" s="17"/>
      <c r="Y539" s="17"/>
    </row>
    <row r="540" spans="1:25">
      <c r="A540" s="17" t="s">
        <v>7212</v>
      </c>
      <c r="B540" s="17" t="s">
        <v>7212</v>
      </c>
      <c r="C540" s="17" t="s">
        <v>7300</v>
      </c>
      <c r="D540" s="17" t="s">
        <v>7221</v>
      </c>
      <c r="E540" s="17" t="s">
        <v>4721</v>
      </c>
      <c r="F540" s="17" t="s">
        <v>7212</v>
      </c>
      <c r="G540" s="17" t="s">
        <v>2671</v>
      </c>
      <c r="H540" s="17" t="s">
        <v>4312</v>
      </c>
      <c r="I540" s="17" t="s">
        <v>2672</v>
      </c>
      <c r="J540" s="17" t="s">
        <v>4723</v>
      </c>
      <c r="K540" s="17" t="s">
        <v>7034</v>
      </c>
      <c r="L540" s="17" t="s">
        <v>7222</v>
      </c>
      <c r="M540" s="17" t="s">
        <v>7221</v>
      </c>
      <c r="N540" s="17" t="s">
        <v>7405</v>
      </c>
      <c r="O540" s="17" t="s">
        <v>7635</v>
      </c>
      <c r="P540" s="17" t="s">
        <v>7406</v>
      </c>
      <c r="Q540" s="17" t="s">
        <v>6218</v>
      </c>
      <c r="R540" s="17" t="s">
        <v>7213</v>
      </c>
      <c r="S540" s="17" t="s">
        <v>7635</v>
      </c>
      <c r="T540" s="17" t="s">
        <v>7214</v>
      </c>
      <c r="U540" s="17"/>
      <c r="V540" s="17"/>
      <c r="W540" s="17"/>
      <c r="X540" s="17"/>
      <c r="Y540" s="17"/>
    </row>
    <row r="541" spans="1:25">
      <c r="A541" s="17" t="s">
        <v>7215</v>
      </c>
      <c r="B541" s="17" t="s">
        <v>7215</v>
      </c>
      <c r="C541" s="17" t="s">
        <v>7041</v>
      </c>
      <c r="D541" s="17" t="s">
        <v>7032</v>
      </c>
      <c r="E541" s="17" t="s">
        <v>4721</v>
      </c>
      <c r="F541" s="17" t="s">
        <v>7215</v>
      </c>
      <c r="G541" s="17" t="s">
        <v>2671</v>
      </c>
      <c r="H541" s="17" t="s">
        <v>4312</v>
      </c>
      <c r="I541" s="17" t="s">
        <v>2672</v>
      </c>
      <c r="J541" s="17" t="s">
        <v>4723</v>
      </c>
      <c r="K541" s="17" t="s">
        <v>7042</v>
      </c>
      <c r="L541" s="17" t="s">
        <v>7043</v>
      </c>
      <c r="M541" s="17" t="s">
        <v>7032</v>
      </c>
      <c r="N541" s="17" t="s">
        <v>7044</v>
      </c>
      <c r="O541" s="17" t="s">
        <v>7635</v>
      </c>
      <c r="P541" s="17" t="s">
        <v>7045</v>
      </c>
      <c r="Q541" s="17" t="s">
        <v>6218</v>
      </c>
      <c r="R541" s="17" t="s">
        <v>7407</v>
      </c>
      <c r="S541" s="17" t="s">
        <v>7635</v>
      </c>
      <c r="T541" s="17" t="s">
        <v>7408</v>
      </c>
      <c r="U541" s="17"/>
      <c r="V541" s="17"/>
      <c r="W541" s="17"/>
      <c r="X541" s="17"/>
      <c r="Y541" s="17"/>
    </row>
    <row r="542" spans="1:25">
      <c r="A542" s="17" t="s">
        <v>7216</v>
      </c>
      <c r="B542" s="17" t="s">
        <v>7216</v>
      </c>
      <c r="C542" s="17" t="s">
        <v>7049</v>
      </c>
      <c r="D542" s="17" t="s">
        <v>7032</v>
      </c>
      <c r="E542" s="17" t="s">
        <v>4721</v>
      </c>
      <c r="F542" s="17" t="s">
        <v>7216</v>
      </c>
      <c r="G542" s="17" t="s">
        <v>2671</v>
      </c>
      <c r="H542" s="17" t="s">
        <v>4312</v>
      </c>
      <c r="I542" s="17" t="s">
        <v>2672</v>
      </c>
      <c r="J542" s="17" t="s">
        <v>4723</v>
      </c>
      <c r="K542" s="17" t="s">
        <v>7050</v>
      </c>
      <c r="L542" s="17" t="s">
        <v>7043</v>
      </c>
      <c r="M542" s="17" t="s">
        <v>7032</v>
      </c>
      <c r="N542" s="17" t="s">
        <v>7051</v>
      </c>
      <c r="O542" s="17" t="s">
        <v>7635</v>
      </c>
      <c r="P542" s="17" t="s">
        <v>7052</v>
      </c>
      <c r="Q542" s="17" t="s">
        <v>6218</v>
      </c>
      <c r="R542" s="17" t="s">
        <v>7217</v>
      </c>
      <c r="S542" s="17" t="s">
        <v>7635</v>
      </c>
      <c r="T542" s="17" t="s">
        <v>7218</v>
      </c>
      <c r="U542" s="17"/>
      <c r="V542" s="17"/>
      <c r="W542" s="17"/>
      <c r="X542" s="17"/>
      <c r="Y542" s="17"/>
    </row>
    <row r="543" spans="1:25">
      <c r="A543" s="17" t="s">
        <v>7219</v>
      </c>
      <c r="B543" s="17" t="s">
        <v>7219</v>
      </c>
      <c r="C543" s="17" t="s">
        <v>7220</v>
      </c>
      <c r="D543" s="17" t="s">
        <v>7221</v>
      </c>
      <c r="E543" s="17" t="s">
        <v>4721</v>
      </c>
      <c r="F543" s="17" t="s">
        <v>7219</v>
      </c>
      <c r="G543" s="17" t="s">
        <v>2671</v>
      </c>
      <c r="H543" s="17" t="s">
        <v>4312</v>
      </c>
      <c r="I543" s="17" t="s">
        <v>2672</v>
      </c>
      <c r="J543" s="17" t="s">
        <v>4723</v>
      </c>
      <c r="K543" s="17" t="s">
        <v>7056</v>
      </c>
      <c r="L543" s="17" t="s">
        <v>7222</v>
      </c>
      <c r="M543" s="17" t="s">
        <v>7221</v>
      </c>
      <c r="N543" s="17" t="s">
        <v>7223</v>
      </c>
      <c r="O543" s="17" t="s">
        <v>7635</v>
      </c>
      <c r="P543" s="17" t="s">
        <v>7224</v>
      </c>
      <c r="Q543" s="17" t="s">
        <v>6273</v>
      </c>
      <c r="R543" s="17" t="s">
        <v>7225</v>
      </c>
      <c r="S543" s="17" t="s">
        <v>7635</v>
      </c>
      <c r="T543" s="17" t="s">
        <v>7226</v>
      </c>
      <c r="U543" s="17"/>
      <c r="V543" s="17"/>
      <c r="W543" s="17"/>
      <c r="X543" s="17"/>
      <c r="Y543" s="17"/>
    </row>
    <row r="544" spans="1:25">
      <c r="A544" s="17" t="s">
        <v>7227</v>
      </c>
      <c r="B544" s="17" t="s">
        <v>7227</v>
      </c>
      <c r="C544" s="17" t="s">
        <v>7228</v>
      </c>
      <c r="D544" s="17" t="s">
        <v>6273</v>
      </c>
      <c r="E544" s="17" t="s">
        <v>4721</v>
      </c>
      <c r="F544" s="17" t="s">
        <v>7227</v>
      </c>
      <c r="G544" s="17" t="s">
        <v>2671</v>
      </c>
      <c r="H544" s="17" t="s">
        <v>4312</v>
      </c>
      <c r="I544" s="17" t="s">
        <v>2672</v>
      </c>
      <c r="J544" s="17" t="s">
        <v>4723</v>
      </c>
      <c r="K544" s="17" t="s">
        <v>7060</v>
      </c>
      <c r="L544" s="17" t="s">
        <v>7229</v>
      </c>
      <c r="M544" s="17" t="s">
        <v>6273</v>
      </c>
      <c r="N544" s="17" t="s">
        <v>7230</v>
      </c>
      <c r="O544" s="17" t="s">
        <v>7635</v>
      </c>
      <c r="P544" s="17" t="s">
        <v>7231</v>
      </c>
      <c r="Q544" s="17" t="s">
        <v>6218</v>
      </c>
      <c r="R544" s="17" t="s">
        <v>7232</v>
      </c>
      <c r="S544" s="17" t="s">
        <v>7635</v>
      </c>
      <c r="T544" s="17" t="s">
        <v>7233</v>
      </c>
      <c r="U544" s="17"/>
      <c r="V544" s="17"/>
      <c r="W544" s="17"/>
      <c r="X544" s="17"/>
      <c r="Y544" s="17"/>
    </row>
    <row r="545" spans="1:25">
      <c r="A545" s="17" t="s">
        <v>7068</v>
      </c>
      <c r="B545" s="17" t="s">
        <v>7068</v>
      </c>
      <c r="C545" s="17" t="s">
        <v>7064</v>
      </c>
      <c r="D545" s="17" t="s">
        <v>7032</v>
      </c>
      <c r="E545" s="17" t="s">
        <v>4721</v>
      </c>
      <c r="F545" s="17" t="s">
        <v>7068</v>
      </c>
      <c r="G545" s="17" t="s">
        <v>2671</v>
      </c>
      <c r="H545" s="17" t="s">
        <v>4312</v>
      </c>
      <c r="I545" s="17" t="s">
        <v>2672</v>
      </c>
      <c r="J545" s="17" t="s">
        <v>4723</v>
      </c>
      <c r="K545" s="17" t="s">
        <v>7065</v>
      </c>
      <c r="L545" s="17" t="s">
        <v>7043</v>
      </c>
      <c r="M545" s="17" t="s">
        <v>7032</v>
      </c>
      <c r="N545" s="17" t="s">
        <v>7066</v>
      </c>
      <c r="O545" s="17" t="s">
        <v>7635</v>
      </c>
      <c r="P545" s="17" t="s">
        <v>7067</v>
      </c>
      <c r="Q545" s="17" t="s">
        <v>6218</v>
      </c>
      <c r="R545" s="17" t="s">
        <v>7234</v>
      </c>
      <c r="S545" s="17" t="s">
        <v>7635</v>
      </c>
      <c r="T545" s="17" t="s">
        <v>7235</v>
      </c>
      <c r="U545" s="17"/>
      <c r="V545" s="17"/>
      <c r="W545" s="17"/>
      <c r="X545" s="17"/>
      <c r="Y545" s="17"/>
    </row>
    <row r="546" spans="1:25">
      <c r="A546" s="17" t="s">
        <v>7236</v>
      </c>
      <c r="B546" s="17" t="s">
        <v>7236</v>
      </c>
      <c r="C546" s="17" t="s">
        <v>7070</v>
      </c>
      <c r="D546" s="17" t="s">
        <v>7032</v>
      </c>
      <c r="E546" s="17" t="s">
        <v>4721</v>
      </c>
      <c r="F546" s="17" t="s">
        <v>7236</v>
      </c>
      <c r="G546" s="17" t="s">
        <v>2671</v>
      </c>
      <c r="H546" s="17" t="s">
        <v>4312</v>
      </c>
      <c r="I546" s="17" t="s">
        <v>2672</v>
      </c>
      <c r="J546" s="17" t="s">
        <v>4723</v>
      </c>
      <c r="K546" s="17" t="s">
        <v>7071</v>
      </c>
      <c r="L546" s="17" t="s">
        <v>7043</v>
      </c>
      <c r="M546" s="17" t="s">
        <v>7032</v>
      </c>
      <c r="N546" s="17" t="s">
        <v>7072</v>
      </c>
      <c r="O546" s="17" t="s">
        <v>7635</v>
      </c>
      <c r="P546" s="17" t="s">
        <v>7073</v>
      </c>
      <c r="Q546" s="17" t="s">
        <v>6273</v>
      </c>
      <c r="R546" s="17" t="s">
        <v>7409</v>
      </c>
      <c r="S546" s="17" t="s">
        <v>7635</v>
      </c>
      <c r="T546" s="17" t="s">
        <v>7410</v>
      </c>
      <c r="U546" s="17"/>
      <c r="V546" s="17"/>
      <c r="W546" s="17"/>
      <c r="X546" s="17"/>
      <c r="Y546" s="17"/>
    </row>
    <row r="547" spans="1:25">
      <c r="A547" s="17" t="s">
        <v>7238</v>
      </c>
      <c r="B547" s="17" t="s">
        <v>7238</v>
      </c>
      <c r="C547" s="17" t="s">
        <v>7077</v>
      </c>
      <c r="D547" s="17" t="s">
        <v>7032</v>
      </c>
      <c r="E547" s="17" t="s">
        <v>4721</v>
      </c>
      <c r="F547" s="17" t="s">
        <v>7238</v>
      </c>
      <c r="G547" s="17" t="s">
        <v>2671</v>
      </c>
      <c r="H547" s="17" t="s">
        <v>4312</v>
      </c>
      <c r="I547" s="17" t="s">
        <v>2672</v>
      </c>
      <c r="J547" s="17" t="s">
        <v>4723</v>
      </c>
      <c r="K547" s="17" t="s">
        <v>7078</v>
      </c>
      <c r="L547" s="17" t="s">
        <v>7043</v>
      </c>
      <c r="M547" s="17" t="s">
        <v>7032</v>
      </c>
      <c r="N547" s="17" t="s">
        <v>7079</v>
      </c>
      <c r="O547" s="17" t="s">
        <v>7635</v>
      </c>
      <c r="P547" s="17" t="s">
        <v>7080</v>
      </c>
      <c r="Q547" s="17" t="s">
        <v>6218</v>
      </c>
      <c r="R547" s="17" t="s">
        <v>7239</v>
      </c>
      <c r="S547" s="17" t="s">
        <v>7635</v>
      </c>
      <c r="T547" s="17" t="s">
        <v>7240</v>
      </c>
      <c r="U547" s="17"/>
      <c r="V547" s="17"/>
      <c r="W547" s="17"/>
      <c r="X547" s="17"/>
      <c r="Y547" s="17"/>
    </row>
    <row r="548" spans="1:25">
      <c r="A548" s="17" t="s">
        <v>7241</v>
      </c>
      <c r="B548" s="17" t="s">
        <v>7241</v>
      </c>
      <c r="C548" s="17" t="s">
        <v>7084</v>
      </c>
      <c r="D548" s="17" t="s">
        <v>7032</v>
      </c>
      <c r="E548" s="17" t="s">
        <v>4721</v>
      </c>
      <c r="F548" s="17" t="s">
        <v>7241</v>
      </c>
      <c r="G548" s="17" t="s">
        <v>2671</v>
      </c>
      <c r="H548" s="17" t="s">
        <v>4312</v>
      </c>
      <c r="I548" s="17" t="s">
        <v>2672</v>
      </c>
      <c r="J548" s="17" t="s">
        <v>4723</v>
      </c>
      <c r="K548" s="17" t="s">
        <v>7085</v>
      </c>
      <c r="L548" s="17" t="s">
        <v>7043</v>
      </c>
      <c r="M548" s="17" t="s">
        <v>7032</v>
      </c>
      <c r="N548" s="17" t="s">
        <v>7086</v>
      </c>
      <c r="O548" s="17" t="s">
        <v>7635</v>
      </c>
      <c r="P548" s="17" t="s">
        <v>7087</v>
      </c>
      <c r="Q548" s="17" t="s">
        <v>7221</v>
      </c>
      <c r="R548" s="17" t="s">
        <v>7411</v>
      </c>
      <c r="S548" s="17" t="s">
        <v>7635</v>
      </c>
      <c r="T548" s="17" t="s">
        <v>7412</v>
      </c>
      <c r="U548" s="17"/>
      <c r="V548" s="17"/>
      <c r="W548" s="17"/>
      <c r="X548" s="17"/>
      <c r="Y548" s="17"/>
    </row>
    <row r="549" spans="1:25">
      <c r="A549" s="17" t="s">
        <v>7095</v>
      </c>
      <c r="B549" s="17" t="s">
        <v>7095</v>
      </c>
      <c r="C549" s="17" t="s">
        <v>7091</v>
      </c>
      <c r="D549" s="17" t="s">
        <v>7032</v>
      </c>
      <c r="E549" s="17" t="s">
        <v>4721</v>
      </c>
      <c r="F549" s="17" t="s">
        <v>7095</v>
      </c>
      <c r="G549" s="17" t="s">
        <v>2671</v>
      </c>
      <c r="H549" s="17" t="s">
        <v>4312</v>
      </c>
      <c r="I549" s="17" t="s">
        <v>2672</v>
      </c>
      <c r="J549" s="17" t="s">
        <v>4723</v>
      </c>
      <c r="K549" s="17" t="s">
        <v>7092</v>
      </c>
      <c r="L549" s="17" t="s">
        <v>7043</v>
      </c>
      <c r="M549" s="17" t="s">
        <v>7032</v>
      </c>
      <c r="N549" s="17" t="s">
        <v>7093</v>
      </c>
      <c r="O549" s="17" t="s">
        <v>7635</v>
      </c>
      <c r="P549" s="17" t="s">
        <v>7094</v>
      </c>
      <c r="Q549" s="17" t="s">
        <v>6218</v>
      </c>
      <c r="R549" s="17" t="s">
        <v>7242</v>
      </c>
      <c r="S549" s="17" t="s">
        <v>7635</v>
      </c>
      <c r="T549" s="17" t="s">
        <v>7243</v>
      </c>
      <c r="U549" s="17"/>
      <c r="V549" s="17"/>
      <c r="W549" s="17"/>
      <c r="X549" s="17"/>
      <c r="Y549" s="17"/>
    </row>
    <row r="550" spans="1:25">
      <c r="A550" s="17" t="s">
        <v>7244</v>
      </c>
      <c r="B550" s="17" t="s">
        <v>7244</v>
      </c>
      <c r="C550" s="17" t="s">
        <v>7097</v>
      </c>
      <c r="D550" s="17" t="s">
        <v>7032</v>
      </c>
      <c r="E550" s="17" t="s">
        <v>4721</v>
      </c>
      <c r="F550" s="17" t="s">
        <v>7244</v>
      </c>
      <c r="G550" s="17" t="s">
        <v>2671</v>
      </c>
      <c r="H550" s="17" t="s">
        <v>4312</v>
      </c>
      <c r="I550" s="17" t="s">
        <v>2672</v>
      </c>
      <c r="J550" s="17" t="s">
        <v>4723</v>
      </c>
      <c r="K550" s="17" t="s">
        <v>7098</v>
      </c>
      <c r="L550" s="17" t="s">
        <v>7043</v>
      </c>
      <c r="M550" s="17" t="s">
        <v>7032</v>
      </c>
      <c r="N550" s="17" t="s">
        <v>7099</v>
      </c>
      <c r="O550" s="17" t="s">
        <v>7635</v>
      </c>
      <c r="P550" s="17" t="s">
        <v>7100</v>
      </c>
      <c r="Q550" s="17" t="s">
        <v>7221</v>
      </c>
      <c r="R550" s="17" t="s">
        <v>7245</v>
      </c>
      <c r="S550" s="17" t="s">
        <v>7635</v>
      </c>
      <c r="T550" s="17" t="s">
        <v>7246</v>
      </c>
      <c r="U550" s="17"/>
      <c r="V550" s="17"/>
      <c r="W550" s="17"/>
      <c r="X550" s="17"/>
      <c r="Y550" s="17"/>
    </row>
    <row r="551" spans="1:25">
      <c r="A551" s="17" t="s">
        <v>7247</v>
      </c>
      <c r="B551" s="17" t="s">
        <v>7247</v>
      </c>
      <c r="C551" s="17" t="s">
        <v>7104</v>
      </c>
      <c r="D551" s="17" t="s">
        <v>7032</v>
      </c>
      <c r="E551" s="17" t="s">
        <v>4721</v>
      </c>
      <c r="F551" s="17" t="s">
        <v>7247</v>
      </c>
      <c r="G551" s="17" t="s">
        <v>2671</v>
      </c>
      <c r="H551" s="17" t="s">
        <v>4312</v>
      </c>
      <c r="I551" s="17" t="s">
        <v>2672</v>
      </c>
      <c r="J551" s="17" t="s">
        <v>4723</v>
      </c>
      <c r="K551" s="17" t="s">
        <v>7105</v>
      </c>
      <c r="L551" s="17" t="s">
        <v>7043</v>
      </c>
      <c r="M551" s="17" t="s">
        <v>7032</v>
      </c>
      <c r="N551" s="17" t="s">
        <v>7106</v>
      </c>
      <c r="O551" s="17" t="s">
        <v>7635</v>
      </c>
      <c r="P551" s="17" t="s">
        <v>7107</v>
      </c>
      <c r="Q551" s="17" t="s">
        <v>6218</v>
      </c>
      <c r="R551" s="17" t="s">
        <v>7248</v>
      </c>
      <c r="S551" s="17" t="s">
        <v>7635</v>
      </c>
      <c r="T551" s="17" t="s">
        <v>7249</v>
      </c>
      <c r="U551" s="17"/>
      <c r="V551" s="17"/>
      <c r="W551" s="17"/>
      <c r="X551" s="17"/>
      <c r="Y551" s="17"/>
    </row>
    <row r="552" spans="1:25">
      <c r="A552" s="17" t="s">
        <v>7252</v>
      </c>
      <c r="B552" s="17" t="s">
        <v>7252</v>
      </c>
      <c r="C552" s="17" t="s">
        <v>7300</v>
      </c>
      <c r="D552" s="17" t="s">
        <v>7221</v>
      </c>
      <c r="E552" s="17" t="s">
        <v>4721</v>
      </c>
      <c r="F552" s="17" t="s">
        <v>7252</v>
      </c>
      <c r="G552" s="17" t="s">
        <v>2671</v>
      </c>
      <c r="H552" s="17" t="s">
        <v>4312</v>
      </c>
      <c r="I552" s="17" t="s">
        <v>2672</v>
      </c>
      <c r="J552" s="17" t="s">
        <v>4723</v>
      </c>
      <c r="K552" s="17" t="s">
        <v>7112</v>
      </c>
      <c r="L552" s="17" t="s">
        <v>7222</v>
      </c>
      <c r="M552" s="17" t="s">
        <v>7221</v>
      </c>
      <c r="N552" s="17" t="s">
        <v>7413</v>
      </c>
      <c r="O552" s="17" t="s">
        <v>7635</v>
      </c>
      <c r="P552" s="17" t="s">
        <v>7414</v>
      </c>
      <c r="Q552" s="17" t="s">
        <v>6218</v>
      </c>
      <c r="R552" s="17" t="s">
        <v>7253</v>
      </c>
      <c r="S552" s="17" t="s">
        <v>7635</v>
      </c>
      <c r="T552" s="17" t="s">
        <v>7254</v>
      </c>
      <c r="U552" s="17"/>
      <c r="V552" s="17"/>
      <c r="W552" s="17"/>
      <c r="X552" s="17"/>
      <c r="Y552" s="17"/>
    </row>
    <row r="553" spans="1:25">
      <c r="A553" s="17" t="s">
        <v>7255</v>
      </c>
      <c r="B553" s="17" t="s">
        <v>7255</v>
      </c>
      <c r="C553" s="17" t="s">
        <v>7300</v>
      </c>
      <c r="D553" s="17" t="s">
        <v>7221</v>
      </c>
      <c r="E553" s="17" t="s">
        <v>4721</v>
      </c>
      <c r="F553" s="17" t="s">
        <v>7255</v>
      </c>
      <c r="G553" s="17" t="s">
        <v>2671</v>
      </c>
      <c r="H553" s="17" t="s">
        <v>4312</v>
      </c>
      <c r="I553" s="17" t="s">
        <v>2672</v>
      </c>
      <c r="J553" s="17" t="s">
        <v>4723</v>
      </c>
      <c r="K553" s="17" t="s">
        <v>7119</v>
      </c>
      <c r="L553" s="17" t="s">
        <v>7222</v>
      </c>
      <c r="M553" s="17" t="s">
        <v>7221</v>
      </c>
      <c r="N553" s="17" t="s">
        <v>7415</v>
      </c>
      <c r="O553" s="17" t="s">
        <v>7635</v>
      </c>
      <c r="P553" s="17" t="s">
        <v>7416</v>
      </c>
      <c r="Q553" s="17" t="s">
        <v>6218</v>
      </c>
      <c r="R553" s="17" t="s">
        <v>7256</v>
      </c>
      <c r="S553" s="17" t="s">
        <v>7635</v>
      </c>
      <c r="T553" s="17" t="s">
        <v>7257</v>
      </c>
      <c r="U553" s="17"/>
      <c r="V553" s="17"/>
      <c r="W553" s="17"/>
      <c r="X553" s="17"/>
      <c r="Y553" s="17"/>
    </row>
    <row r="554" spans="1:25">
      <c r="A554" s="17" t="s">
        <v>7258</v>
      </c>
      <c r="B554" s="17" t="s">
        <v>7258</v>
      </c>
      <c r="C554" s="17" t="s">
        <v>7123</v>
      </c>
      <c r="D554" s="17" t="s">
        <v>7032</v>
      </c>
      <c r="E554" s="17" t="s">
        <v>4721</v>
      </c>
      <c r="F554" s="17" t="s">
        <v>7258</v>
      </c>
      <c r="G554" s="17" t="s">
        <v>2671</v>
      </c>
      <c r="H554" s="17" t="s">
        <v>4312</v>
      </c>
      <c r="I554" s="17" t="s">
        <v>2672</v>
      </c>
      <c r="J554" s="17" t="s">
        <v>4723</v>
      </c>
      <c r="K554" s="17" t="s">
        <v>7124</v>
      </c>
      <c r="L554" s="17" t="s">
        <v>7043</v>
      </c>
      <c r="M554" s="17" t="s">
        <v>7032</v>
      </c>
      <c r="N554" s="17" t="s">
        <v>7125</v>
      </c>
      <c r="O554" s="17" t="s">
        <v>7635</v>
      </c>
      <c r="P554" s="17" t="s">
        <v>7126</v>
      </c>
      <c r="Q554" s="17" t="s">
        <v>6218</v>
      </c>
      <c r="R554" s="17" t="s">
        <v>7259</v>
      </c>
      <c r="S554" s="17" t="s">
        <v>7635</v>
      </c>
      <c r="T554" s="17" t="s">
        <v>7260</v>
      </c>
      <c r="U554" s="17"/>
      <c r="V554" s="17"/>
      <c r="W554" s="17"/>
      <c r="X554" s="17"/>
      <c r="Y554" s="17"/>
    </row>
    <row r="555" spans="1:25">
      <c r="A555" s="17" t="s">
        <v>7261</v>
      </c>
      <c r="B555" s="17" t="s">
        <v>7261</v>
      </c>
      <c r="C555" s="17" t="s">
        <v>7130</v>
      </c>
      <c r="D555" s="17" t="s">
        <v>7032</v>
      </c>
      <c r="E555" s="17" t="s">
        <v>4721</v>
      </c>
      <c r="F555" s="17" t="s">
        <v>7261</v>
      </c>
      <c r="G555" s="17" t="s">
        <v>2671</v>
      </c>
      <c r="H555" s="17" t="s">
        <v>4312</v>
      </c>
      <c r="I555" s="17" t="s">
        <v>2672</v>
      </c>
      <c r="J555" s="17" t="s">
        <v>4723</v>
      </c>
      <c r="K555" s="17" t="s">
        <v>7131</v>
      </c>
      <c r="L555" s="17" t="s">
        <v>7043</v>
      </c>
      <c r="M555" s="17" t="s">
        <v>7032</v>
      </c>
      <c r="N555" s="17" t="s">
        <v>7132</v>
      </c>
      <c r="O555" s="17" t="s">
        <v>7635</v>
      </c>
      <c r="P555" s="17" t="s">
        <v>7133</v>
      </c>
      <c r="Q555" s="17" t="s">
        <v>7221</v>
      </c>
      <c r="R555" s="17" t="s">
        <v>7262</v>
      </c>
      <c r="S555" s="17" t="s">
        <v>7635</v>
      </c>
      <c r="T555" s="17" t="s">
        <v>7263</v>
      </c>
      <c r="U555" s="17"/>
      <c r="V555" s="17"/>
      <c r="W555" s="17"/>
      <c r="X555" s="17"/>
      <c r="Y555" s="17"/>
    </row>
    <row r="556" spans="1:25">
      <c r="A556" s="17" t="s">
        <v>7264</v>
      </c>
      <c r="B556" s="17" t="s">
        <v>7264</v>
      </c>
      <c r="C556" s="17" t="s">
        <v>7265</v>
      </c>
      <c r="D556" s="17" t="s">
        <v>6218</v>
      </c>
      <c r="E556" s="17" t="s">
        <v>4721</v>
      </c>
      <c r="F556" s="17" t="s">
        <v>7264</v>
      </c>
      <c r="G556" s="17" t="s">
        <v>2671</v>
      </c>
      <c r="H556" s="17" t="s">
        <v>4312</v>
      </c>
      <c r="I556" s="17" t="s">
        <v>2672</v>
      </c>
      <c r="J556" s="17" t="s">
        <v>4723</v>
      </c>
      <c r="K556" s="17" t="s">
        <v>7138</v>
      </c>
      <c r="L556" s="17" t="s">
        <v>7237</v>
      </c>
      <c r="M556" s="17" t="s">
        <v>6218</v>
      </c>
      <c r="N556" s="17" t="s">
        <v>7266</v>
      </c>
      <c r="O556" s="17" t="s">
        <v>7635</v>
      </c>
      <c r="P556" s="17" t="s">
        <v>7267</v>
      </c>
      <c r="Q556" s="17" t="s">
        <v>7221</v>
      </c>
      <c r="R556" s="17" t="s">
        <v>7268</v>
      </c>
      <c r="S556" s="17" t="s">
        <v>7635</v>
      </c>
      <c r="T556" s="17" t="s">
        <v>7269</v>
      </c>
      <c r="U556" s="17"/>
      <c r="V556" s="17"/>
      <c r="W556" s="17"/>
      <c r="X556" s="17"/>
      <c r="Y556" s="17"/>
    </row>
    <row r="557" spans="1:25">
      <c r="A557" s="17" t="s">
        <v>7270</v>
      </c>
      <c r="B557" s="17" t="s">
        <v>7270</v>
      </c>
      <c r="C557" s="17" t="s">
        <v>7144</v>
      </c>
      <c r="D557" s="17" t="s">
        <v>7032</v>
      </c>
      <c r="E557" s="17" t="s">
        <v>4721</v>
      </c>
      <c r="F557" s="17" t="s">
        <v>7270</v>
      </c>
      <c r="G557" s="17" t="s">
        <v>2671</v>
      </c>
      <c r="H557" s="17" t="s">
        <v>4312</v>
      </c>
      <c r="I557" s="17" t="s">
        <v>2672</v>
      </c>
      <c r="J557" s="17" t="s">
        <v>4723</v>
      </c>
      <c r="K557" s="17" t="s">
        <v>7145</v>
      </c>
      <c r="L557" s="17" t="s">
        <v>7043</v>
      </c>
      <c r="M557" s="17" t="s">
        <v>7032</v>
      </c>
      <c r="N557" s="17" t="s">
        <v>7146</v>
      </c>
      <c r="O557" s="17" t="s">
        <v>7635</v>
      </c>
      <c r="P557" s="17" t="s">
        <v>7147</v>
      </c>
      <c r="Q557" s="17" t="s">
        <v>7221</v>
      </c>
      <c r="R557" s="17" t="s">
        <v>7417</v>
      </c>
      <c r="S557" s="17" t="s">
        <v>7635</v>
      </c>
      <c r="T557" s="17" t="s">
        <v>7418</v>
      </c>
      <c r="U557" s="17"/>
      <c r="V557" s="17"/>
      <c r="W557" s="17"/>
      <c r="X557" s="17"/>
      <c r="Y557" s="17"/>
    </row>
    <row r="558" spans="1:25">
      <c r="A558" s="17" t="s">
        <v>7271</v>
      </c>
      <c r="B558" s="17" t="s">
        <v>7271</v>
      </c>
      <c r="C558" s="17" t="s">
        <v>7151</v>
      </c>
      <c r="D558" s="17" t="s">
        <v>7032</v>
      </c>
      <c r="E558" s="17" t="s">
        <v>4721</v>
      </c>
      <c r="F558" s="17" t="s">
        <v>7271</v>
      </c>
      <c r="G558" s="17" t="s">
        <v>2671</v>
      </c>
      <c r="H558" s="17" t="s">
        <v>4312</v>
      </c>
      <c r="I558" s="17" t="s">
        <v>2672</v>
      </c>
      <c r="J558" s="17" t="s">
        <v>4723</v>
      </c>
      <c r="K558" s="17" t="s">
        <v>7152</v>
      </c>
      <c r="L558" s="17" t="s">
        <v>7043</v>
      </c>
      <c r="M558" s="17" t="s">
        <v>7032</v>
      </c>
      <c r="N558" s="17" t="s">
        <v>7153</v>
      </c>
      <c r="O558" s="17" t="s">
        <v>7635</v>
      </c>
      <c r="P558" s="17" t="s">
        <v>7154</v>
      </c>
      <c r="Q558" s="17" t="s">
        <v>7221</v>
      </c>
      <c r="R558" s="17" t="s">
        <v>7419</v>
      </c>
      <c r="S558" s="17" t="s">
        <v>7635</v>
      </c>
      <c r="T558" s="17" t="s">
        <v>7420</v>
      </c>
      <c r="U558" s="17"/>
      <c r="V558" s="17"/>
      <c r="W558" s="17"/>
      <c r="X558" s="17"/>
      <c r="Y558" s="17"/>
    </row>
    <row r="559" spans="1:25">
      <c r="A559" s="17" t="s">
        <v>7162</v>
      </c>
      <c r="B559" s="17" t="s">
        <v>7162</v>
      </c>
      <c r="C559" s="17" t="s">
        <v>7421</v>
      </c>
      <c r="D559" s="17" t="s">
        <v>6218</v>
      </c>
      <c r="E559" s="17" t="s">
        <v>4721</v>
      </c>
      <c r="F559" s="17" t="s">
        <v>7162</v>
      </c>
      <c r="G559" s="17" t="s">
        <v>2671</v>
      </c>
      <c r="H559" s="17" t="s">
        <v>4312</v>
      </c>
      <c r="I559" s="17" t="s">
        <v>2672</v>
      </c>
      <c r="J559" s="17" t="s">
        <v>4723</v>
      </c>
      <c r="K559" s="17" t="s">
        <v>7159</v>
      </c>
      <c r="L559" s="17" t="s">
        <v>7237</v>
      </c>
      <c r="M559" s="17" t="s">
        <v>6218</v>
      </c>
      <c r="N559" s="17" t="s">
        <v>7422</v>
      </c>
      <c r="O559" s="17" t="s">
        <v>7635</v>
      </c>
      <c r="P559" s="17" t="s">
        <v>7423</v>
      </c>
      <c r="Q559" s="17" t="s">
        <v>6218</v>
      </c>
      <c r="R559" s="17" t="s">
        <v>7274</v>
      </c>
      <c r="S559" s="17" t="s">
        <v>7635</v>
      </c>
      <c r="T559" s="17" t="s">
        <v>7275</v>
      </c>
      <c r="U559" s="17"/>
      <c r="V559" s="17"/>
      <c r="W559" s="17"/>
      <c r="X559" s="17"/>
      <c r="Y559" s="17"/>
    </row>
    <row r="560" spans="1:25">
      <c r="A560" s="17" t="s">
        <v>7276</v>
      </c>
      <c r="B560" s="17" t="s">
        <v>7276</v>
      </c>
      <c r="C560" s="17" t="s">
        <v>7277</v>
      </c>
      <c r="D560" s="17" t="s">
        <v>6218</v>
      </c>
      <c r="E560" s="17" t="s">
        <v>4721</v>
      </c>
      <c r="F560" s="17" t="s">
        <v>7276</v>
      </c>
      <c r="G560" s="17" t="s">
        <v>2671</v>
      </c>
      <c r="H560" s="17" t="s">
        <v>4312</v>
      </c>
      <c r="I560" s="17" t="s">
        <v>2672</v>
      </c>
      <c r="J560" s="17" t="s">
        <v>4723</v>
      </c>
      <c r="K560" s="17" t="s">
        <v>7165</v>
      </c>
      <c r="L560" s="17" t="s">
        <v>7237</v>
      </c>
      <c r="M560" s="17" t="s">
        <v>6218</v>
      </c>
      <c r="N560" s="17" t="s">
        <v>7278</v>
      </c>
      <c r="O560" s="17" t="s">
        <v>7635</v>
      </c>
      <c r="P560" s="17" t="s">
        <v>7279</v>
      </c>
      <c r="Q560" s="17" t="s">
        <v>6273</v>
      </c>
      <c r="R560" s="17" t="s">
        <v>7424</v>
      </c>
      <c r="S560" s="17" t="s">
        <v>7635</v>
      </c>
      <c r="T560" s="17" t="s">
        <v>7425</v>
      </c>
      <c r="U560" s="17"/>
      <c r="V560" s="17"/>
      <c r="W560" s="17"/>
      <c r="X560" s="17"/>
      <c r="Y560" s="17"/>
    </row>
    <row r="561" spans="1:25">
      <c r="A561" s="17" t="s">
        <v>7280</v>
      </c>
      <c r="B561" s="17" t="s">
        <v>7280</v>
      </c>
      <c r="C561" s="17" t="s">
        <v>7171</v>
      </c>
      <c r="D561" s="17" t="s">
        <v>7032</v>
      </c>
      <c r="E561" s="17" t="s">
        <v>4721</v>
      </c>
      <c r="F561" s="17" t="s">
        <v>7280</v>
      </c>
      <c r="G561" s="17" t="s">
        <v>2671</v>
      </c>
      <c r="H561" s="17" t="s">
        <v>4312</v>
      </c>
      <c r="I561" s="17" t="s">
        <v>2672</v>
      </c>
      <c r="J561" s="17" t="s">
        <v>4723</v>
      </c>
      <c r="K561" s="17" t="s">
        <v>7172</v>
      </c>
      <c r="L561" s="17" t="s">
        <v>7043</v>
      </c>
      <c r="M561" s="17" t="s">
        <v>7032</v>
      </c>
      <c r="N561" s="17" t="s">
        <v>7173</v>
      </c>
      <c r="O561" s="17" t="s">
        <v>7635</v>
      </c>
      <c r="P561" s="17" t="s">
        <v>7174</v>
      </c>
      <c r="Q561" s="17" t="s">
        <v>6218</v>
      </c>
      <c r="R561" s="17" t="s">
        <v>7281</v>
      </c>
      <c r="S561" s="17" t="s">
        <v>7635</v>
      </c>
      <c r="T561" s="17" t="s">
        <v>7282</v>
      </c>
      <c r="U561" s="17"/>
      <c r="V561" s="17"/>
      <c r="W561" s="17"/>
      <c r="X561" s="17"/>
      <c r="Y561" s="17"/>
    </row>
    <row r="562" spans="1:25">
      <c r="A562" s="17" t="s">
        <v>7283</v>
      </c>
      <c r="B562" s="17" t="s">
        <v>7283</v>
      </c>
      <c r="C562" s="17" t="s">
        <v>7284</v>
      </c>
      <c r="D562" s="17" t="s">
        <v>6273</v>
      </c>
      <c r="E562" s="17" t="s">
        <v>4721</v>
      </c>
      <c r="F562" s="17" t="s">
        <v>7283</v>
      </c>
      <c r="G562" s="17" t="s">
        <v>2671</v>
      </c>
      <c r="H562" s="17" t="s">
        <v>4312</v>
      </c>
      <c r="I562" s="17" t="s">
        <v>2672</v>
      </c>
      <c r="J562" s="17" t="s">
        <v>4723</v>
      </c>
      <c r="K562" s="17" t="s">
        <v>7178</v>
      </c>
      <c r="L562" s="17" t="s">
        <v>7229</v>
      </c>
      <c r="M562" s="17" t="s">
        <v>6273</v>
      </c>
      <c r="N562" s="17" t="s">
        <v>7285</v>
      </c>
      <c r="O562" s="17" t="s">
        <v>7635</v>
      </c>
      <c r="P562" s="17" t="s">
        <v>7286</v>
      </c>
      <c r="Q562" s="17" t="s">
        <v>6218</v>
      </c>
      <c r="R562" s="17" t="s">
        <v>7287</v>
      </c>
      <c r="S562" s="17" t="s">
        <v>7635</v>
      </c>
      <c r="T562" s="17" t="s">
        <v>7288</v>
      </c>
      <c r="U562" s="17"/>
      <c r="V562" s="17"/>
      <c r="W562" s="17"/>
      <c r="X562" s="17"/>
      <c r="Y562" s="17"/>
    </row>
    <row r="563" spans="1:25">
      <c r="A563" s="17" t="s">
        <v>7289</v>
      </c>
      <c r="B563" s="17" t="s">
        <v>7289</v>
      </c>
      <c r="C563" s="17" t="s">
        <v>7300</v>
      </c>
      <c r="D563" s="17" t="s">
        <v>7221</v>
      </c>
      <c r="E563" s="17" t="s">
        <v>4721</v>
      </c>
      <c r="F563" s="17" t="s">
        <v>7289</v>
      </c>
      <c r="G563" s="17" t="s">
        <v>2671</v>
      </c>
      <c r="H563" s="17" t="s">
        <v>4312</v>
      </c>
      <c r="I563" s="17" t="s">
        <v>2672</v>
      </c>
      <c r="J563" s="17" t="s">
        <v>4723</v>
      </c>
      <c r="K563" s="17" t="s">
        <v>7182</v>
      </c>
      <c r="L563" s="17" t="s">
        <v>7222</v>
      </c>
      <c r="M563" s="17" t="s">
        <v>7221</v>
      </c>
      <c r="N563" s="17" t="s">
        <v>7426</v>
      </c>
      <c r="O563" s="17" t="s">
        <v>7635</v>
      </c>
      <c r="P563" s="17" t="s">
        <v>7427</v>
      </c>
      <c r="Q563" s="17" t="s">
        <v>6273</v>
      </c>
      <c r="R563" s="17" t="s">
        <v>7428</v>
      </c>
      <c r="S563" s="17" t="s">
        <v>7635</v>
      </c>
      <c r="T563" s="17" t="s">
        <v>7429</v>
      </c>
      <c r="U563" s="17"/>
      <c r="V563" s="17"/>
      <c r="W563" s="17"/>
      <c r="X563" s="17"/>
      <c r="Y563" s="17"/>
    </row>
    <row r="564" spans="1:25">
      <c r="A564" s="17" t="s">
        <v>7292</v>
      </c>
      <c r="B564" s="17" t="s">
        <v>7292</v>
      </c>
      <c r="C564" s="17" t="s">
        <v>7186</v>
      </c>
      <c r="D564" s="17" t="s">
        <v>7032</v>
      </c>
      <c r="E564" s="17" t="s">
        <v>4721</v>
      </c>
      <c r="F564" s="17" t="s">
        <v>7292</v>
      </c>
      <c r="G564" s="17" t="s">
        <v>2671</v>
      </c>
      <c r="H564" s="17" t="s">
        <v>4312</v>
      </c>
      <c r="I564" s="17" t="s">
        <v>2672</v>
      </c>
      <c r="J564" s="17" t="s">
        <v>4723</v>
      </c>
      <c r="K564" s="17" t="s">
        <v>7187</v>
      </c>
      <c r="L564" s="17" t="s">
        <v>7043</v>
      </c>
      <c r="M564" s="17" t="s">
        <v>7032</v>
      </c>
      <c r="N564" s="17" t="s">
        <v>7188</v>
      </c>
      <c r="O564" s="17" t="s">
        <v>7635</v>
      </c>
      <c r="P564" s="17" t="s">
        <v>7189</v>
      </c>
      <c r="Q564" s="17" t="s">
        <v>6218</v>
      </c>
      <c r="R564" s="17" t="s">
        <v>7293</v>
      </c>
      <c r="S564" s="17" t="s">
        <v>7635</v>
      </c>
      <c r="T564" s="17" t="s">
        <v>7294</v>
      </c>
      <c r="U564" s="17"/>
      <c r="V564" s="17"/>
      <c r="W564" s="17"/>
      <c r="X564" s="17"/>
      <c r="Y564" s="17"/>
    </row>
    <row r="565" spans="1:25">
      <c r="A565" s="17" t="s">
        <v>7193</v>
      </c>
      <c r="B565" s="17" t="s">
        <v>7193</v>
      </c>
      <c r="C565" s="17" t="s">
        <v>7300</v>
      </c>
      <c r="D565" s="17" t="s">
        <v>7221</v>
      </c>
      <c r="E565" s="17" t="s">
        <v>4721</v>
      </c>
      <c r="F565" s="17" t="s">
        <v>7193</v>
      </c>
      <c r="G565" s="17" t="s">
        <v>2671</v>
      </c>
      <c r="H565" s="17" t="s">
        <v>4312</v>
      </c>
      <c r="I565" s="17" t="s">
        <v>2672</v>
      </c>
      <c r="J565" s="17" t="s">
        <v>4723</v>
      </c>
      <c r="K565" s="17" t="s">
        <v>7192</v>
      </c>
      <c r="L565" s="17" t="s">
        <v>7222</v>
      </c>
      <c r="M565" s="17" t="s">
        <v>7221</v>
      </c>
      <c r="N565" s="17" t="s">
        <v>7430</v>
      </c>
      <c r="O565" s="17" t="s">
        <v>7635</v>
      </c>
      <c r="P565" s="17" t="s">
        <v>7431</v>
      </c>
      <c r="Q565" s="17" t="s">
        <v>6218</v>
      </c>
      <c r="R565" s="17" t="s">
        <v>7295</v>
      </c>
      <c r="S565" s="17" t="s">
        <v>7635</v>
      </c>
      <c r="T565" s="17" t="s">
        <v>7296</v>
      </c>
      <c r="U565" s="17"/>
      <c r="V565" s="17"/>
      <c r="W565" s="17"/>
      <c r="X565" s="17"/>
      <c r="Y565" s="17"/>
    </row>
    <row r="566" spans="1:25">
      <c r="A566" s="17" t="s">
        <v>7198</v>
      </c>
      <c r="B566" s="17" t="s">
        <v>7198</v>
      </c>
      <c r="C566" s="17" t="s">
        <v>7194</v>
      </c>
      <c r="D566" s="17" t="s">
        <v>7032</v>
      </c>
      <c r="E566" s="17" t="s">
        <v>4721</v>
      </c>
      <c r="F566" s="17" t="s">
        <v>7198</v>
      </c>
      <c r="G566" s="17" t="s">
        <v>2671</v>
      </c>
      <c r="H566" s="17" t="s">
        <v>4312</v>
      </c>
      <c r="I566" s="17" t="s">
        <v>2672</v>
      </c>
      <c r="J566" s="17" t="s">
        <v>4723</v>
      </c>
      <c r="K566" s="17" t="s">
        <v>7195</v>
      </c>
      <c r="L566" s="17" t="s">
        <v>7043</v>
      </c>
      <c r="M566" s="17" t="s">
        <v>7032</v>
      </c>
      <c r="N566" s="17" t="s">
        <v>7196</v>
      </c>
      <c r="O566" s="17" t="s">
        <v>7635</v>
      </c>
      <c r="P566" s="17" t="s">
        <v>7197</v>
      </c>
      <c r="Q566" s="17" t="s">
        <v>7221</v>
      </c>
      <c r="R566" s="17" t="s">
        <v>7432</v>
      </c>
      <c r="S566" s="17" t="s">
        <v>7635</v>
      </c>
      <c r="T566" s="17" t="s">
        <v>7433</v>
      </c>
      <c r="U566" s="17"/>
      <c r="V566" s="17"/>
      <c r="W566" s="17"/>
      <c r="X566" s="17"/>
      <c r="Y566" s="17"/>
    </row>
    <row r="567" spans="1:25">
      <c r="A567" s="17" t="s">
        <v>7203</v>
      </c>
      <c r="B567" s="17" t="s">
        <v>7203</v>
      </c>
      <c r="C567" s="17" t="s">
        <v>7199</v>
      </c>
      <c r="D567" s="17" t="s">
        <v>7032</v>
      </c>
      <c r="E567" s="17" t="s">
        <v>4721</v>
      </c>
      <c r="F567" s="17" t="s">
        <v>7203</v>
      </c>
      <c r="G567" s="17" t="s">
        <v>2671</v>
      </c>
      <c r="H567" s="17" t="s">
        <v>4312</v>
      </c>
      <c r="I567" s="17" t="s">
        <v>2672</v>
      </c>
      <c r="J567" s="17" t="s">
        <v>4723</v>
      </c>
      <c r="K567" s="17" t="s">
        <v>7200</v>
      </c>
      <c r="L567" s="17" t="s">
        <v>7043</v>
      </c>
      <c r="M567" s="17" t="s">
        <v>7032</v>
      </c>
      <c r="N567" s="17" t="s">
        <v>7201</v>
      </c>
      <c r="O567" s="17" t="s">
        <v>7635</v>
      </c>
      <c r="P567" s="17" t="s">
        <v>7202</v>
      </c>
      <c r="Q567" s="17" t="s">
        <v>6273</v>
      </c>
      <c r="R567" s="17" t="s">
        <v>7297</v>
      </c>
      <c r="S567" s="17" t="s">
        <v>7635</v>
      </c>
      <c r="T567" s="17" t="s">
        <v>7298</v>
      </c>
      <c r="U567" s="17"/>
      <c r="V567" s="17"/>
      <c r="W567" s="17"/>
      <c r="X567" s="17"/>
      <c r="Y567" s="17"/>
    </row>
    <row r="568" spans="1:25">
      <c r="A568" s="17" t="s">
        <v>7299</v>
      </c>
      <c r="B568" s="17" t="s">
        <v>7299</v>
      </c>
      <c r="C568" s="17" t="s">
        <v>7300</v>
      </c>
      <c r="D568" s="17" t="s">
        <v>7221</v>
      </c>
      <c r="E568" s="17" t="s">
        <v>4721</v>
      </c>
      <c r="F568" s="17" t="s">
        <v>7299</v>
      </c>
      <c r="G568" s="17" t="s">
        <v>2671</v>
      </c>
      <c r="H568" s="17" t="s">
        <v>4312</v>
      </c>
      <c r="I568" s="17" t="s">
        <v>2672</v>
      </c>
      <c r="J568" s="17" t="s">
        <v>4723</v>
      </c>
      <c r="K568" s="17" t="s">
        <v>7205</v>
      </c>
      <c r="L568" s="17" t="s">
        <v>7222</v>
      </c>
      <c r="M568" s="17" t="s">
        <v>7221</v>
      </c>
      <c r="N568" s="17" t="s">
        <v>7301</v>
      </c>
      <c r="O568" s="17" t="s">
        <v>7635</v>
      </c>
      <c r="P568" s="17" t="s">
        <v>7302</v>
      </c>
      <c r="Q568" s="17" t="s">
        <v>6273</v>
      </c>
      <c r="R568" s="17" t="s">
        <v>7434</v>
      </c>
      <c r="S568" s="17" t="s">
        <v>7635</v>
      </c>
      <c r="T568" s="17" t="s">
        <v>7435</v>
      </c>
      <c r="U568" s="17"/>
      <c r="V568" s="17"/>
      <c r="W568" s="17"/>
      <c r="X568" s="17"/>
      <c r="Y568" s="17"/>
    </row>
    <row r="569" spans="1:25">
      <c r="A569" s="17" t="s">
        <v>7303</v>
      </c>
      <c r="B569" s="17" t="s">
        <v>7303</v>
      </c>
      <c r="C569" s="17" t="s">
        <v>7300</v>
      </c>
      <c r="D569" s="17" t="s">
        <v>7221</v>
      </c>
      <c r="E569" s="17" t="s">
        <v>4721</v>
      </c>
      <c r="F569" s="17" t="s">
        <v>7303</v>
      </c>
      <c r="G569" s="17" t="s">
        <v>2671</v>
      </c>
      <c r="H569" s="17" t="s">
        <v>4312</v>
      </c>
      <c r="I569" s="17" t="s">
        <v>2672</v>
      </c>
      <c r="J569" s="17" t="s">
        <v>4723</v>
      </c>
      <c r="K569" s="17" t="s">
        <v>7209</v>
      </c>
      <c r="L569" s="17" t="s">
        <v>7222</v>
      </c>
      <c r="M569" s="17" t="s">
        <v>7221</v>
      </c>
      <c r="N569" s="17" t="s">
        <v>7436</v>
      </c>
      <c r="O569" s="17" t="s">
        <v>7635</v>
      </c>
      <c r="P569" s="17" t="s">
        <v>7437</v>
      </c>
      <c r="Q569" s="17" t="s">
        <v>6273</v>
      </c>
      <c r="R569" s="17" t="s">
        <v>7304</v>
      </c>
      <c r="S569" s="17" t="s">
        <v>7635</v>
      </c>
      <c r="T569" s="17" t="s">
        <v>7305</v>
      </c>
      <c r="U569" s="17"/>
      <c r="V569" s="17"/>
      <c r="W569" s="17"/>
      <c r="X569" s="17"/>
      <c r="Y569" s="17"/>
    </row>
    <row r="570" spans="1:25">
      <c r="A570" s="17" t="s">
        <v>7306</v>
      </c>
      <c r="B570" s="17" t="s">
        <v>7306</v>
      </c>
      <c r="C570" s="17" t="s">
        <v>7300</v>
      </c>
      <c r="D570" s="17" t="s">
        <v>7221</v>
      </c>
      <c r="E570" s="17" t="s">
        <v>4721</v>
      </c>
      <c r="F570" s="17" t="s">
        <v>7306</v>
      </c>
      <c r="G570" s="17" t="s">
        <v>2671</v>
      </c>
      <c r="H570" s="17" t="s">
        <v>4312</v>
      </c>
      <c r="I570" s="17" t="s">
        <v>2672</v>
      </c>
      <c r="J570" s="17" t="s">
        <v>4723</v>
      </c>
      <c r="K570" s="17" t="s">
        <v>7307</v>
      </c>
      <c r="L570" s="17" t="s">
        <v>7308</v>
      </c>
      <c r="M570" s="17" t="s">
        <v>7221</v>
      </c>
      <c r="N570" s="17" t="s">
        <v>7309</v>
      </c>
      <c r="O570" s="17" t="s">
        <v>7635</v>
      </c>
      <c r="P570" s="17" t="s">
        <v>7310</v>
      </c>
      <c r="Q570" s="17" t="s">
        <v>6218</v>
      </c>
      <c r="R570" s="17" t="s">
        <v>7311</v>
      </c>
      <c r="S570" s="17" t="s">
        <v>7635</v>
      </c>
      <c r="T570" s="17" t="s">
        <v>7312</v>
      </c>
      <c r="U570" s="17"/>
      <c r="V570" s="17"/>
      <c r="W570" s="17"/>
      <c r="X570" s="17"/>
      <c r="Y570" s="17"/>
    </row>
    <row r="571" spans="1:25">
      <c r="A571" s="17" t="s">
        <v>7313</v>
      </c>
      <c r="B571" s="17" t="s">
        <v>7313</v>
      </c>
      <c r="C571" s="17" t="s">
        <v>7314</v>
      </c>
      <c r="D571" s="17" t="s">
        <v>6273</v>
      </c>
      <c r="E571" s="17" t="s">
        <v>4721</v>
      </c>
      <c r="F571" s="17" t="s">
        <v>7313</v>
      </c>
      <c r="G571" s="17" t="s">
        <v>2671</v>
      </c>
      <c r="H571" s="17" t="s">
        <v>4312</v>
      </c>
      <c r="I571" s="17" t="s">
        <v>2672</v>
      </c>
      <c r="J571" s="17" t="s">
        <v>4723</v>
      </c>
      <c r="K571" s="17" t="s">
        <v>7315</v>
      </c>
      <c r="L571" s="17" t="s">
        <v>7229</v>
      </c>
      <c r="M571" s="17" t="s">
        <v>6273</v>
      </c>
      <c r="N571" s="17" t="s">
        <v>7316</v>
      </c>
      <c r="O571" s="17" t="s">
        <v>7635</v>
      </c>
      <c r="P571" s="17" t="s">
        <v>7317</v>
      </c>
      <c r="Q571" s="17" t="s">
        <v>6218</v>
      </c>
      <c r="R571" s="17" t="s">
        <v>7438</v>
      </c>
      <c r="S571" s="17" t="s">
        <v>7635</v>
      </c>
      <c r="T571" s="17" t="s">
        <v>7439</v>
      </c>
      <c r="U571" s="17"/>
      <c r="V571" s="17"/>
      <c r="W571" s="17"/>
      <c r="X571" s="17"/>
      <c r="Y571" s="17"/>
    </row>
    <row r="572" spans="1:25">
      <c r="A572" s="17" t="s">
        <v>7318</v>
      </c>
      <c r="B572" s="17" t="s">
        <v>7318</v>
      </c>
      <c r="C572" s="17" t="s">
        <v>7300</v>
      </c>
      <c r="D572" s="17" t="s">
        <v>7221</v>
      </c>
      <c r="E572" s="17" t="s">
        <v>4721</v>
      </c>
      <c r="F572" s="17" t="s">
        <v>7318</v>
      </c>
      <c r="G572" s="17" t="s">
        <v>2671</v>
      </c>
      <c r="H572" s="17" t="s">
        <v>4312</v>
      </c>
      <c r="I572" s="17" t="s">
        <v>2672</v>
      </c>
      <c r="J572" s="17" t="s">
        <v>4723</v>
      </c>
      <c r="K572" s="17" t="s">
        <v>7319</v>
      </c>
      <c r="L572" s="17" t="s">
        <v>7222</v>
      </c>
      <c r="M572" s="17" t="s">
        <v>7221</v>
      </c>
      <c r="N572" s="17" t="s">
        <v>7320</v>
      </c>
      <c r="O572" s="17" t="s">
        <v>7635</v>
      </c>
      <c r="P572" s="17" t="s">
        <v>7321</v>
      </c>
      <c r="Q572" s="17" t="s">
        <v>7221</v>
      </c>
      <c r="R572" s="17" t="s">
        <v>7440</v>
      </c>
      <c r="S572" s="17" t="s">
        <v>7635</v>
      </c>
      <c r="T572" s="17" t="s">
        <v>7441</v>
      </c>
      <c r="U572" s="17"/>
      <c r="V572" s="17"/>
      <c r="W572" s="17"/>
      <c r="X572" s="17"/>
      <c r="Y572" s="17"/>
    </row>
    <row r="573" spans="1:25">
      <c r="A573" s="17" t="s">
        <v>7322</v>
      </c>
      <c r="B573" s="17" t="s">
        <v>7322</v>
      </c>
      <c r="C573" s="17" t="s">
        <v>7300</v>
      </c>
      <c r="D573" s="17" t="s">
        <v>7221</v>
      </c>
      <c r="E573" s="17" t="s">
        <v>4721</v>
      </c>
      <c r="F573" s="17" t="s">
        <v>7322</v>
      </c>
      <c r="G573" s="17" t="s">
        <v>2671</v>
      </c>
      <c r="H573" s="17" t="s">
        <v>4312</v>
      </c>
      <c r="I573" s="17" t="s">
        <v>2672</v>
      </c>
      <c r="J573" s="17" t="s">
        <v>4723</v>
      </c>
      <c r="K573" s="17" t="s">
        <v>7323</v>
      </c>
      <c r="L573" s="17" t="s">
        <v>7222</v>
      </c>
      <c r="M573" s="17" t="s">
        <v>7221</v>
      </c>
      <c r="N573" s="17" t="s">
        <v>7324</v>
      </c>
      <c r="O573" s="17" t="s">
        <v>7635</v>
      </c>
      <c r="P573" s="17" t="s">
        <v>7325</v>
      </c>
      <c r="Q573" s="17" t="s">
        <v>7221</v>
      </c>
      <c r="R573" s="17" t="s">
        <v>7442</v>
      </c>
      <c r="S573" s="17" t="s">
        <v>7635</v>
      </c>
      <c r="T573" s="17" t="s">
        <v>7443</v>
      </c>
      <c r="U573" s="17"/>
      <c r="V573" s="17"/>
      <c r="W573" s="17"/>
      <c r="X573" s="17"/>
      <c r="Y573" s="17"/>
    </row>
    <row r="574" spans="1:25">
      <c r="A574" s="17" t="s">
        <v>7326</v>
      </c>
      <c r="B574" s="17" t="s">
        <v>7326</v>
      </c>
      <c r="C574" s="17" t="s">
        <v>7300</v>
      </c>
      <c r="D574" s="17" t="s">
        <v>7221</v>
      </c>
      <c r="E574" s="17" t="s">
        <v>4721</v>
      </c>
      <c r="F574" s="17" t="s">
        <v>7326</v>
      </c>
      <c r="G574" s="17" t="s">
        <v>2671</v>
      </c>
      <c r="H574" s="17" t="s">
        <v>4312</v>
      </c>
      <c r="I574" s="17" t="s">
        <v>2672</v>
      </c>
      <c r="J574" s="17" t="s">
        <v>4723</v>
      </c>
      <c r="K574" s="17" t="s">
        <v>7327</v>
      </c>
      <c r="L574" s="17" t="s">
        <v>7222</v>
      </c>
      <c r="M574" s="17" t="s">
        <v>7221</v>
      </c>
      <c r="N574" s="17" t="s">
        <v>7328</v>
      </c>
      <c r="O574" s="17" t="s">
        <v>7635</v>
      </c>
      <c r="P574" s="17" t="s">
        <v>7329</v>
      </c>
      <c r="Q574" s="17" t="s">
        <v>6273</v>
      </c>
      <c r="R574" s="17" t="s">
        <v>7444</v>
      </c>
      <c r="S574" s="17" t="s">
        <v>7635</v>
      </c>
      <c r="T574" s="17" t="s">
        <v>7445</v>
      </c>
      <c r="U574" s="17"/>
      <c r="V574" s="17"/>
      <c r="W574" s="17"/>
      <c r="X574" s="17"/>
      <c r="Y574" s="17"/>
    </row>
    <row r="575" spans="1:25">
      <c r="A575" s="17" t="s">
        <v>7330</v>
      </c>
      <c r="B575" s="17" t="s">
        <v>7330</v>
      </c>
      <c r="C575" s="17" t="s">
        <v>7446</v>
      </c>
      <c r="D575" s="17" t="s">
        <v>6273</v>
      </c>
      <c r="E575" s="17" t="s">
        <v>4721</v>
      </c>
      <c r="F575" s="17" t="s">
        <v>7330</v>
      </c>
      <c r="G575" s="17" t="s">
        <v>2671</v>
      </c>
      <c r="H575" s="17" t="s">
        <v>4312</v>
      </c>
      <c r="I575" s="17" t="s">
        <v>2672</v>
      </c>
      <c r="J575" s="17" t="s">
        <v>4723</v>
      </c>
      <c r="K575" s="17" t="s">
        <v>7331</v>
      </c>
      <c r="L575" s="17" t="s">
        <v>7229</v>
      </c>
      <c r="M575" s="17" t="s">
        <v>6273</v>
      </c>
      <c r="N575" s="17" t="s">
        <v>7447</v>
      </c>
      <c r="O575" s="17" t="s">
        <v>7635</v>
      </c>
      <c r="P575" s="17" t="s">
        <v>7448</v>
      </c>
      <c r="Q575" s="17" t="s">
        <v>7221</v>
      </c>
      <c r="R575" s="17" t="s">
        <v>7332</v>
      </c>
      <c r="S575" s="17" t="s">
        <v>7635</v>
      </c>
      <c r="T575" s="17" t="s">
        <v>7333</v>
      </c>
      <c r="U575" s="17" t="s">
        <v>6207</v>
      </c>
      <c r="V575" s="17" t="s">
        <v>16658</v>
      </c>
      <c r="W575" s="17" t="s">
        <v>4559</v>
      </c>
      <c r="X575" s="17" t="s">
        <v>16659</v>
      </c>
      <c r="Y575" s="17" t="s">
        <v>4727</v>
      </c>
    </row>
    <row r="576" spans="1:25">
      <c r="A576" s="17" t="s">
        <v>7334</v>
      </c>
      <c r="B576" s="17" t="s">
        <v>7334</v>
      </c>
      <c r="C576" s="17" t="s">
        <v>7335</v>
      </c>
      <c r="D576" s="17" t="s">
        <v>6273</v>
      </c>
      <c r="E576" s="17" t="s">
        <v>4721</v>
      </c>
      <c r="F576" s="17" t="s">
        <v>7334</v>
      </c>
      <c r="G576" s="17" t="s">
        <v>2671</v>
      </c>
      <c r="H576" s="17" t="s">
        <v>4312</v>
      </c>
      <c r="I576" s="17" t="s">
        <v>2672</v>
      </c>
      <c r="J576" s="17" t="s">
        <v>4723</v>
      </c>
      <c r="K576" s="17" t="s">
        <v>7336</v>
      </c>
      <c r="L576" s="17" t="s">
        <v>7229</v>
      </c>
      <c r="M576" s="17" t="s">
        <v>6273</v>
      </c>
      <c r="N576" s="17" t="s">
        <v>7337</v>
      </c>
      <c r="O576" s="17" t="s">
        <v>7635</v>
      </c>
      <c r="P576" s="17" t="s">
        <v>7338</v>
      </c>
      <c r="Q576" s="17" t="s">
        <v>7221</v>
      </c>
      <c r="R576" s="17" t="s">
        <v>7339</v>
      </c>
      <c r="S576" s="17" t="s">
        <v>7635</v>
      </c>
      <c r="T576" s="17" t="s">
        <v>7340</v>
      </c>
      <c r="U576" s="17"/>
      <c r="V576" s="17"/>
      <c r="W576" s="17"/>
      <c r="X576" s="17"/>
      <c r="Y576" s="17"/>
    </row>
    <row r="577" spans="1:25">
      <c r="A577" s="17" t="s">
        <v>7485</v>
      </c>
      <c r="B577" s="17" t="s">
        <v>7485</v>
      </c>
      <c r="C577" s="17" t="s">
        <v>7488</v>
      </c>
      <c r="D577" s="17" t="s">
        <v>7032</v>
      </c>
      <c r="E577" s="17" t="s">
        <v>2863</v>
      </c>
      <c r="F577" s="17" t="s">
        <v>7485</v>
      </c>
      <c r="G577" s="17" t="s">
        <v>2671</v>
      </c>
      <c r="H577" s="17" t="s">
        <v>4247</v>
      </c>
      <c r="I577" s="17" t="s">
        <v>2672</v>
      </c>
      <c r="J577" s="17" t="s">
        <v>4723</v>
      </c>
      <c r="K577" s="17" t="s">
        <v>3168</v>
      </c>
      <c r="L577" s="17" t="s">
        <v>7487</v>
      </c>
      <c r="M577" s="17" t="s">
        <v>7032</v>
      </c>
      <c r="N577" s="17" t="s">
        <v>7485</v>
      </c>
      <c r="O577" s="17" t="s">
        <v>7635</v>
      </c>
      <c r="P577" s="17" t="s">
        <v>7486</v>
      </c>
      <c r="Q577" s="17"/>
      <c r="R577" s="17"/>
      <c r="S577" s="17"/>
      <c r="T577" s="17"/>
      <c r="U577" s="17"/>
      <c r="V577" s="17"/>
      <c r="W577" s="17"/>
      <c r="X577" s="17"/>
      <c r="Y577" s="17"/>
    </row>
    <row r="578" spans="1:25">
      <c r="A578" s="17" t="s">
        <v>7636</v>
      </c>
      <c r="B578" s="17" t="s">
        <v>7636</v>
      </c>
      <c r="C578" s="17" t="s">
        <v>7637</v>
      </c>
      <c r="D578" s="17" t="s">
        <v>6218</v>
      </c>
      <c r="E578" s="17" t="s">
        <v>7033</v>
      </c>
      <c r="F578" s="17" t="s">
        <v>7636</v>
      </c>
      <c r="G578" s="17" t="s">
        <v>2671</v>
      </c>
      <c r="H578" s="17" t="s">
        <v>4312</v>
      </c>
      <c r="I578" s="17" t="s">
        <v>2672</v>
      </c>
      <c r="J578" s="17" t="s">
        <v>4412</v>
      </c>
      <c r="K578" s="17" t="s">
        <v>7034</v>
      </c>
      <c r="L578" s="17" t="s">
        <v>7638</v>
      </c>
      <c r="M578" s="17" t="s">
        <v>6218</v>
      </c>
      <c r="N578" s="17" t="s">
        <v>7639</v>
      </c>
      <c r="O578" s="17" t="s">
        <v>7635</v>
      </c>
      <c r="P578" s="17" t="s">
        <v>7640</v>
      </c>
      <c r="Q578" s="17"/>
      <c r="R578" s="17"/>
      <c r="S578" s="17"/>
      <c r="T578" s="17"/>
      <c r="U578" s="17"/>
      <c r="V578" s="17"/>
      <c r="W578" s="17"/>
      <c r="X578" s="17"/>
      <c r="Y578" s="17"/>
    </row>
    <row r="579" spans="1:25">
      <c r="A579" s="17" t="s">
        <v>7641</v>
      </c>
      <c r="B579" s="17" t="s">
        <v>7641</v>
      </c>
      <c r="C579" s="17" t="s">
        <v>7642</v>
      </c>
      <c r="D579" s="17" t="s">
        <v>6218</v>
      </c>
      <c r="E579" s="17" t="s">
        <v>7033</v>
      </c>
      <c r="F579" s="17" t="s">
        <v>7641</v>
      </c>
      <c r="G579" s="17" t="s">
        <v>2671</v>
      </c>
      <c r="H579" s="17" t="s">
        <v>4312</v>
      </c>
      <c r="I579" s="17" t="s">
        <v>2672</v>
      </c>
      <c r="J579" s="17" t="s">
        <v>4412</v>
      </c>
      <c r="K579" s="17" t="s">
        <v>7042</v>
      </c>
      <c r="L579" s="17" t="s">
        <v>7638</v>
      </c>
      <c r="M579" s="17" t="s">
        <v>6218</v>
      </c>
      <c r="N579" s="17" t="s">
        <v>7643</v>
      </c>
      <c r="O579" s="17" t="s">
        <v>7635</v>
      </c>
      <c r="P579" s="17" t="s">
        <v>7644</v>
      </c>
      <c r="Q579" s="17"/>
      <c r="R579" s="17"/>
      <c r="S579" s="17"/>
      <c r="T579" s="17"/>
      <c r="U579" s="17"/>
      <c r="V579" s="17"/>
      <c r="W579" s="17"/>
      <c r="X579" s="17"/>
      <c r="Y579" s="17"/>
    </row>
    <row r="580" spans="1:25">
      <c r="A580" s="17" t="s">
        <v>7645</v>
      </c>
      <c r="B580" s="17" t="s">
        <v>7645</v>
      </c>
      <c r="C580" s="17" t="s">
        <v>7646</v>
      </c>
      <c r="D580" s="17" t="s">
        <v>6218</v>
      </c>
      <c r="E580" s="17" t="s">
        <v>7033</v>
      </c>
      <c r="F580" s="17" t="s">
        <v>7645</v>
      </c>
      <c r="G580" s="17" t="s">
        <v>2671</v>
      </c>
      <c r="H580" s="17" t="s">
        <v>4312</v>
      </c>
      <c r="I580" s="17" t="s">
        <v>2672</v>
      </c>
      <c r="J580" s="17" t="s">
        <v>4412</v>
      </c>
      <c r="K580" s="17" t="s">
        <v>7056</v>
      </c>
      <c r="L580" s="17" t="s">
        <v>7638</v>
      </c>
      <c r="M580" s="17" t="s">
        <v>6218</v>
      </c>
      <c r="N580" s="17" t="s">
        <v>7647</v>
      </c>
      <c r="O580" s="17" t="s">
        <v>7635</v>
      </c>
      <c r="P580" s="17" t="s">
        <v>7648</v>
      </c>
      <c r="Q580" s="17"/>
      <c r="R580" s="17"/>
      <c r="S580" s="17"/>
      <c r="T580" s="17"/>
      <c r="U580" s="17"/>
      <c r="V580" s="17"/>
      <c r="W580" s="17"/>
      <c r="X580" s="17"/>
      <c r="Y580" s="17"/>
    </row>
    <row r="581" spans="1:25">
      <c r="A581" s="17" t="s">
        <v>7649</v>
      </c>
      <c r="B581" s="17" t="s">
        <v>7649</v>
      </c>
      <c r="C581" s="17" t="s">
        <v>7650</v>
      </c>
      <c r="D581" s="17" t="s">
        <v>6218</v>
      </c>
      <c r="E581" s="17" t="s">
        <v>7033</v>
      </c>
      <c r="F581" s="17" t="s">
        <v>7649</v>
      </c>
      <c r="G581" s="17" t="s">
        <v>2671</v>
      </c>
      <c r="H581" s="17" t="s">
        <v>4312</v>
      </c>
      <c r="I581" s="17" t="s">
        <v>2672</v>
      </c>
      <c r="J581" s="17" t="s">
        <v>4412</v>
      </c>
      <c r="K581" s="17" t="s">
        <v>7060</v>
      </c>
      <c r="L581" s="17" t="s">
        <v>7638</v>
      </c>
      <c r="M581" s="17" t="s">
        <v>6218</v>
      </c>
      <c r="N581" s="17" t="s">
        <v>7651</v>
      </c>
      <c r="O581" s="17" t="s">
        <v>7635</v>
      </c>
      <c r="P581" s="17" t="s">
        <v>7652</v>
      </c>
      <c r="Q581" s="17" t="s">
        <v>6218</v>
      </c>
      <c r="R581" s="17" t="s">
        <v>7653</v>
      </c>
      <c r="S581" s="17" t="s">
        <v>7635</v>
      </c>
      <c r="T581" s="17" t="s">
        <v>7654</v>
      </c>
      <c r="U581" s="17"/>
      <c r="V581" s="17"/>
      <c r="W581" s="17"/>
      <c r="X581" s="17"/>
      <c r="Y581" s="17"/>
    </row>
    <row r="582" spans="1:25">
      <c r="A582" s="17" t="s">
        <v>7655</v>
      </c>
      <c r="B582" s="17" t="s">
        <v>7655</v>
      </c>
      <c r="C582" s="17" t="s">
        <v>7656</v>
      </c>
      <c r="D582" s="17" t="s">
        <v>6218</v>
      </c>
      <c r="E582" s="17" t="s">
        <v>7033</v>
      </c>
      <c r="F582" s="17" t="s">
        <v>7655</v>
      </c>
      <c r="G582" s="17" t="s">
        <v>2671</v>
      </c>
      <c r="H582" s="17" t="s">
        <v>4312</v>
      </c>
      <c r="I582" s="17" t="s">
        <v>2672</v>
      </c>
      <c r="J582" s="17" t="s">
        <v>4412</v>
      </c>
      <c r="K582" s="17" t="s">
        <v>7065</v>
      </c>
      <c r="L582" s="17" t="s">
        <v>7638</v>
      </c>
      <c r="M582" s="17" t="s">
        <v>6218</v>
      </c>
      <c r="N582" s="17" t="s">
        <v>7657</v>
      </c>
      <c r="O582" s="17" t="s">
        <v>7635</v>
      </c>
      <c r="P582" s="17" t="s">
        <v>7658</v>
      </c>
      <c r="Q582" s="17"/>
      <c r="R582" s="17"/>
      <c r="S582" s="17"/>
      <c r="T582" s="17"/>
      <c r="U582" s="17"/>
      <c r="V582" s="17"/>
      <c r="W582" s="17"/>
      <c r="X582" s="17"/>
      <c r="Y582" s="17"/>
    </row>
    <row r="583" spans="1:25">
      <c r="A583" s="17" t="s">
        <v>7659</v>
      </c>
      <c r="B583" s="17" t="s">
        <v>7659</v>
      </c>
      <c r="C583" s="17" t="s">
        <v>7660</v>
      </c>
      <c r="D583" s="17" t="s">
        <v>6218</v>
      </c>
      <c r="E583" s="17" t="s">
        <v>7033</v>
      </c>
      <c r="F583" s="17" t="s">
        <v>7659</v>
      </c>
      <c r="G583" s="17" t="s">
        <v>2671</v>
      </c>
      <c r="H583" s="17" t="s">
        <v>4312</v>
      </c>
      <c r="I583" s="17" t="s">
        <v>2672</v>
      </c>
      <c r="J583" s="17" t="s">
        <v>4412</v>
      </c>
      <c r="K583" s="17" t="s">
        <v>7071</v>
      </c>
      <c r="L583" s="17" t="s">
        <v>7638</v>
      </c>
      <c r="M583" s="17" t="s">
        <v>6218</v>
      </c>
      <c r="N583" s="17" t="s">
        <v>7661</v>
      </c>
      <c r="O583" s="17" t="s">
        <v>7635</v>
      </c>
      <c r="P583" s="17" t="s">
        <v>7662</v>
      </c>
      <c r="Q583" s="17"/>
      <c r="R583" s="17"/>
      <c r="S583" s="17"/>
      <c r="T583" s="17"/>
      <c r="U583" s="17"/>
      <c r="V583" s="17"/>
      <c r="W583" s="17"/>
      <c r="X583" s="17"/>
      <c r="Y583" s="17"/>
    </row>
    <row r="584" spans="1:25">
      <c r="A584" s="17" t="s">
        <v>7663</v>
      </c>
      <c r="B584" s="17" t="s">
        <v>7663</v>
      </c>
      <c r="C584" s="17" t="s">
        <v>7664</v>
      </c>
      <c r="D584" s="17" t="s">
        <v>6218</v>
      </c>
      <c r="E584" s="17" t="s">
        <v>7033</v>
      </c>
      <c r="F584" s="17" t="s">
        <v>7663</v>
      </c>
      <c r="G584" s="17" t="s">
        <v>2671</v>
      </c>
      <c r="H584" s="17" t="s">
        <v>4312</v>
      </c>
      <c r="I584" s="17" t="s">
        <v>2672</v>
      </c>
      <c r="J584" s="17" t="s">
        <v>4412</v>
      </c>
      <c r="K584" s="17" t="s">
        <v>7078</v>
      </c>
      <c r="L584" s="17" t="s">
        <v>7638</v>
      </c>
      <c r="M584" s="17" t="s">
        <v>6218</v>
      </c>
      <c r="N584" s="17" t="s">
        <v>7665</v>
      </c>
      <c r="O584" s="17" t="s">
        <v>7635</v>
      </c>
      <c r="P584" s="17" t="s">
        <v>7666</v>
      </c>
      <c r="Q584" s="17"/>
      <c r="R584" s="17"/>
      <c r="S584" s="17"/>
      <c r="T584" s="17"/>
      <c r="U584" s="17"/>
      <c r="V584" s="17"/>
      <c r="W584" s="17"/>
      <c r="X584" s="17"/>
      <c r="Y584" s="17"/>
    </row>
    <row r="585" spans="1:25">
      <c r="A585" s="17" t="s">
        <v>7667</v>
      </c>
      <c r="B585" s="17" t="s">
        <v>7667</v>
      </c>
      <c r="C585" s="17" t="s">
        <v>7668</v>
      </c>
      <c r="D585" s="17" t="s">
        <v>6218</v>
      </c>
      <c r="E585" s="17" t="s">
        <v>7033</v>
      </c>
      <c r="F585" s="17" t="s">
        <v>7667</v>
      </c>
      <c r="G585" s="17" t="s">
        <v>2671</v>
      </c>
      <c r="H585" s="17" t="s">
        <v>4312</v>
      </c>
      <c r="I585" s="17" t="s">
        <v>2672</v>
      </c>
      <c r="J585" s="17" t="s">
        <v>4412</v>
      </c>
      <c r="K585" s="17" t="s">
        <v>7085</v>
      </c>
      <c r="L585" s="17" t="s">
        <v>7638</v>
      </c>
      <c r="M585" s="17" t="s">
        <v>6218</v>
      </c>
      <c r="N585" s="17" t="s">
        <v>7669</v>
      </c>
      <c r="O585" s="17" t="s">
        <v>7635</v>
      </c>
      <c r="P585" s="17" t="s">
        <v>7670</v>
      </c>
      <c r="Q585" s="17" t="s">
        <v>6218</v>
      </c>
      <c r="R585" s="17" t="s">
        <v>7671</v>
      </c>
      <c r="S585" s="17" t="s">
        <v>7635</v>
      </c>
      <c r="T585" s="17" t="s">
        <v>7672</v>
      </c>
      <c r="U585" s="17"/>
      <c r="V585" s="17"/>
      <c r="W585" s="17"/>
      <c r="X585" s="17"/>
      <c r="Y585" s="17"/>
    </row>
    <row r="586" spans="1:25">
      <c r="A586" s="17" t="s">
        <v>7673</v>
      </c>
      <c r="B586" s="17" t="s">
        <v>7673</v>
      </c>
      <c r="C586" s="17" t="s">
        <v>7674</v>
      </c>
      <c r="D586" s="17" t="s">
        <v>6218</v>
      </c>
      <c r="E586" s="17" t="s">
        <v>7033</v>
      </c>
      <c r="F586" s="17" t="s">
        <v>7673</v>
      </c>
      <c r="G586" s="17" t="s">
        <v>2671</v>
      </c>
      <c r="H586" s="17" t="s">
        <v>4312</v>
      </c>
      <c r="I586" s="17" t="s">
        <v>2672</v>
      </c>
      <c r="J586" s="17" t="s">
        <v>4412</v>
      </c>
      <c r="K586" s="17" t="s">
        <v>7092</v>
      </c>
      <c r="L586" s="17" t="s">
        <v>7638</v>
      </c>
      <c r="M586" s="17" t="s">
        <v>6218</v>
      </c>
      <c r="N586" s="17" t="s">
        <v>7675</v>
      </c>
      <c r="O586" s="17" t="s">
        <v>7635</v>
      </c>
      <c r="P586" s="17" t="s">
        <v>7676</v>
      </c>
      <c r="Q586" s="17" t="s">
        <v>6218</v>
      </c>
      <c r="R586" s="17" t="s">
        <v>7677</v>
      </c>
      <c r="S586" s="17" t="s">
        <v>7635</v>
      </c>
      <c r="T586" s="17" t="s">
        <v>7678</v>
      </c>
      <c r="U586" s="17"/>
      <c r="V586" s="17"/>
      <c r="W586" s="17"/>
      <c r="X586" s="17"/>
      <c r="Y586" s="17"/>
    </row>
    <row r="587" spans="1:25">
      <c r="A587" s="17" t="s">
        <v>7679</v>
      </c>
      <c r="B587" s="17" t="s">
        <v>7679</v>
      </c>
      <c r="C587" s="17" t="s">
        <v>7680</v>
      </c>
      <c r="D587" s="17" t="s">
        <v>6218</v>
      </c>
      <c r="E587" s="17" t="s">
        <v>7033</v>
      </c>
      <c r="F587" s="17" t="s">
        <v>7679</v>
      </c>
      <c r="G587" s="17" t="s">
        <v>2671</v>
      </c>
      <c r="H587" s="17" t="s">
        <v>4312</v>
      </c>
      <c r="I587" s="17" t="s">
        <v>2672</v>
      </c>
      <c r="J587" s="17" t="s">
        <v>4412</v>
      </c>
      <c r="K587" s="17" t="s">
        <v>7098</v>
      </c>
      <c r="L587" s="17" t="s">
        <v>7638</v>
      </c>
      <c r="M587" s="17" t="s">
        <v>6218</v>
      </c>
      <c r="N587" s="17" t="s">
        <v>7681</v>
      </c>
      <c r="O587" s="17" t="s">
        <v>7635</v>
      </c>
      <c r="P587" s="17" t="s">
        <v>7682</v>
      </c>
      <c r="Q587" s="17" t="s">
        <v>6218</v>
      </c>
      <c r="R587" s="17" t="s">
        <v>7683</v>
      </c>
      <c r="S587" s="17" t="s">
        <v>7635</v>
      </c>
      <c r="T587" s="17" t="s">
        <v>7684</v>
      </c>
      <c r="U587" s="17"/>
      <c r="V587" s="17"/>
      <c r="W587" s="17"/>
      <c r="X587" s="17"/>
      <c r="Y587" s="17"/>
    </row>
    <row r="588" spans="1:25">
      <c r="A588" s="17" t="s">
        <v>7685</v>
      </c>
      <c r="B588" s="17" t="s">
        <v>7685</v>
      </c>
      <c r="C588" s="17" t="s">
        <v>7686</v>
      </c>
      <c r="D588" s="17" t="s">
        <v>6218</v>
      </c>
      <c r="E588" s="17" t="s">
        <v>7033</v>
      </c>
      <c r="F588" s="17" t="s">
        <v>7685</v>
      </c>
      <c r="G588" s="17" t="s">
        <v>2671</v>
      </c>
      <c r="H588" s="17" t="s">
        <v>4312</v>
      </c>
      <c r="I588" s="17" t="s">
        <v>2672</v>
      </c>
      <c r="J588" s="17" t="s">
        <v>4412</v>
      </c>
      <c r="K588" s="17" t="s">
        <v>7105</v>
      </c>
      <c r="L588" s="17" t="s">
        <v>7638</v>
      </c>
      <c r="M588" s="17" t="s">
        <v>6218</v>
      </c>
      <c r="N588" s="17" t="s">
        <v>7687</v>
      </c>
      <c r="O588" s="17" t="s">
        <v>7635</v>
      </c>
      <c r="P588" s="17" t="s">
        <v>7688</v>
      </c>
      <c r="Q588" s="17" t="s">
        <v>6218</v>
      </c>
      <c r="R588" s="17" t="s">
        <v>7689</v>
      </c>
      <c r="S588" s="17" t="s">
        <v>7635</v>
      </c>
      <c r="T588" s="17" t="s">
        <v>7690</v>
      </c>
      <c r="U588" s="17"/>
      <c r="V588" s="17"/>
      <c r="W588" s="17"/>
      <c r="X588" s="17"/>
      <c r="Y588" s="17"/>
    </row>
    <row r="589" spans="1:25">
      <c r="A589" s="17" t="s">
        <v>7691</v>
      </c>
      <c r="B589" s="17" t="s">
        <v>7691</v>
      </c>
      <c r="C589" s="17" t="s">
        <v>7692</v>
      </c>
      <c r="D589" s="17" t="s">
        <v>6218</v>
      </c>
      <c r="E589" s="17" t="s">
        <v>7033</v>
      </c>
      <c r="F589" s="17" t="s">
        <v>7691</v>
      </c>
      <c r="G589" s="17" t="s">
        <v>2671</v>
      </c>
      <c r="H589" s="17" t="s">
        <v>4312</v>
      </c>
      <c r="I589" s="17" t="s">
        <v>2672</v>
      </c>
      <c r="J589" s="17" t="s">
        <v>4412</v>
      </c>
      <c r="K589" s="17" t="s">
        <v>7112</v>
      </c>
      <c r="L589" s="17" t="s">
        <v>7638</v>
      </c>
      <c r="M589" s="17" t="s">
        <v>6218</v>
      </c>
      <c r="N589" s="17" t="s">
        <v>7693</v>
      </c>
      <c r="O589" s="17" t="s">
        <v>7635</v>
      </c>
      <c r="P589" s="17" t="s">
        <v>7694</v>
      </c>
      <c r="Q589" s="17"/>
      <c r="R589" s="17"/>
      <c r="S589" s="17"/>
      <c r="T589" s="17"/>
      <c r="U589" s="17"/>
      <c r="V589" s="17"/>
      <c r="W589" s="17"/>
      <c r="X589" s="17"/>
      <c r="Y589" s="17"/>
    </row>
    <row r="590" spans="1:25">
      <c r="A590" s="17" t="s">
        <v>7695</v>
      </c>
      <c r="B590" s="17" t="s">
        <v>7695</v>
      </c>
      <c r="C590" s="17" t="s">
        <v>7696</v>
      </c>
      <c r="D590" s="17" t="s">
        <v>6218</v>
      </c>
      <c r="E590" s="17" t="s">
        <v>7033</v>
      </c>
      <c r="F590" s="17" t="s">
        <v>7695</v>
      </c>
      <c r="G590" s="17" t="s">
        <v>2671</v>
      </c>
      <c r="H590" s="17" t="s">
        <v>4312</v>
      </c>
      <c r="I590" s="17" t="s">
        <v>2672</v>
      </c>
      <c r="J590" s="17" t="s">
        <v>4412</v>
      </c>
      <c r="K590" s="17" t="s">
        <v>7119</v>
      </c>
      <c r="L590" s="17" t="s">
        <v>7638</v>
      </c>
      <c r="M590" s="17" t="s">
        <v>6218</v>
      </c>
      <c r="N590" s="17" t="s">
        <v>7697</v>
      </c>
      <c r="O590" s="17" t="s">
        <v>7635</v>
      </c>
      <c r="P590" s="17" t="s">
        <v>7698</v>
      </c>
      <c r="Q590" s="17" t="s">
        <v>6218</v>
      </c>
      <c r="R590" s="17" t="s">
        <v>7699</v>
      </c>
      <c r="S590" s="17" t="s">
        <v>7635</v>
      </c>
      <c r="T590" s="17" t="s">
        <v>7700</v>
      </c>
      <c r="U590" s="17"/>
      <c r="V590" s="17"/>
      <c r="W590" s="17"/>
      <c r="X590" s="17"/>
      <c r="Y590" s="17"/>
    </row>
    <row r="591" spans="1:25">
      <c r="A591" s="17" t="s">
        <v>7701</v>
      </c>
      <c r="B591" s="17" t="s">
        <v>7701</v>
      </c>
      <c r="C591" s="17" t="s">
        <v>7702</v>
      </c>
      <c r="D591" s="17" t="s">
        <v>6218</v>
      </c>
      <c r="E591" s="17" t="s">
        <v>7033</v>
      </c>
      <c r="F591" s="17" t="s">
        <v>7701</v>
      </c>
      <c r="G591" s="17" t="s">
        <v>2671</v>
      </c>
      <c r="H591" s="17" t="s">
        <v>4312</v>
      </c>
      <c r="I591" s="17" t="s">
        <v>2672</v>
      </c>
      <c r="J591" s="17" t="s">
        <v>4412</v>
      </c>
      <c r="K591" s="17" t="s">
        <v>7124</v>
      </c>
      <c r="L591" s="17" t="s">
        <v>7638</v>
      </c>
      <c r="M591" s="17" t="s">
        <v>6218</v>
      </c>
      <c r="N591" s="17" t="s">
        <v>7703</v>
      </c>
      <c r="O591" s="17" t="s">
        <v>7635</v>
      </c>
      <c r="P591" s="17" t="s">
        <v>7704</v>
      </c>
      <c r="Q591" s="17" t="s">
        <v>6218</v>
      </c>
      <c r="R591" s="17" t="s">
        <v>7705</v>
      </c>
      <c r="S591" s="17" t="s">
        <v>7635</v>
      </c>
      <c r="T591" s="17" t="s">
        <v>7706</v>
      </c>
      <c r="U591" s="17"/>
      <c r="V591" s="17"/>
      <c r="W591" s="17"/>
      <c r="X591" s="17"/>
      <c r="Y591" s="17"/>
    </row>
    <row r="592" spans="1:25">
      <c r="A592" s="17" t="s">
        <v>7707</v>
      </c>
      <c r="B592" s="17" t="s">
        <v>7707</v>
      </c>
      <c r="C592" s="17" t="s">
        <v>7708</v>
      </c>
      <c r="D592" s="17" t="s">
        <v>6218</v>
      </c>
      <c r="E592" s="17" t="s">
        <v>7033</v>
      </c>
      <c r="F592" s="17" t="s">
        <v>7707</v>
      </c>
      <c r="G592" s="17" t="s">
        <v>2671</v>
      </c>
      <c r="H592" s="17" t="s">
        <v>4312</v>
      </c>
      <c r="I592" s="17" t="s">
        <v>2672</v>
      </c>
      <c r="J592" s="17" t="s">
        <v>4412</v>
      </c>
      <c r="K592" s="17" t="s">
        <v>7131</v>
      </c>
      <c r="L592" s="17" t="s">
        <v>7638</v>
      </c>
      <c r="M592" s="17" t="s">
        <v>6218</v>
      </c>
      <c r="N592" s="17" t="s">
        <v>7709</v>
      </c>
      <c r="O592" s="17" t="s">
        <v>7635</v>
      </c>
      <c r="P592" s="17" t="s">
        <v>7710</v>
      </c>
      <c r="Q592" s="17"/>
      <c r="R592" s="17"/>
      <c r="S592" s="17"/>
      <c r="T592" s="17"/>
      <c r="U592" s="17"/>
      <c r="V592" s="17"/>
      <c r="W592" s="17"/>
      <c r="X592" s="17"/>
      <c r="Y592" s="17"/>
    </row>
    <row r="593" spans="1:25">
      <c r="A593" s="17" t="s">
        <v>7711</v>
      </c>
      <c r="B593" s="17" t="s">
        <v>7711</v>
      </c>
      <c r="C593" s="17" t="s">
        <v>7712</v>
      </c>
      <c r="D593" s="17" t="s">
        <v>6218</v>
      </c>
      <c r="E593" s="17" t="s">
        <v>7033</v>
      </c>
      <c r="F593" s="17" t="s">
        <v>7711</v>
      </c>
      <c r="G593" s="17" t="s">
        <v>2671</v>
      </c>
      <c r="H593" s="17" t="s">
        <v>4312</v>
      </c>
      <c r="I593" s="17" t="s">
        <v>2672</v>
      </c>
      <c r="J593" s="17" t="s">
        <v>4412</v>
      </c>
      <c r="K593" s="17" t="s">
        <v>7138</v>
      </c>
      <c r="L593" s="17" t="s">
        <v>7638</v>
      </c>
      <c r="M593" s="17" t="s">
        <v>6218</v>
      </c>
      <c r="N593" s="17" t="s">
        <v>7713</v>
      </c>
      <c r="O593" s="17" t="s">
        <v>7635</v>
      </c>
      <c r="P593" s="17" t="s">
        <v>7714</v>
      </c>
      <c r="Q593" s="17"/>
      <c r="R593" s="17"/>
      <c r="S593" s="17"/>
      <c r="T593" s="17"/>
      <c r="U593" s="17"/>
      <c r="V593" s="17"/>
      <c r="W593" s="17"/>
      <c r="X593" s="17"/>
      <c r="Y593" s="17"/>
    </row>
    <row r="594" spans="1:25">
      <c r="A594" s="17" t="s">
        <v>7715</v>
      </c>
      <c r="B594" s="17" t="s">
        <v>7715</v>
      </c>
      <c r="C594" s="17" t="s">
        <v>7716</v>
      </c>
      <c r="D594" s="17" t="s">
        <v>6218</v>
      </c>
      <c r="E594" s="17" t="s">
        <v>7033</v>
      </c>
      <c r="F594" s="17" t="s">
        <v>7715</v>
      </c>
      <c r="G594" s="17" t="s">
        <v>2671</v>
      </c>
      <c r="H594" s="17" t="s">
        <v>4312</v>
      </c>
      <c r="I594" s="17" t="s">
        <v>2672</v>
      </c>
      <c r="J594" s="17" t="s">
        <v>4412</v>
      </c>
      <c r="K594" s="17" t="s">
        <v>7145</v>
      </c>
      <c r="L594" s="17" t="s">
        <v>7638</v>
      </c>
      <c r="M594" s="17" t="s">
        <v>6218</v>
      </c>
      <c r="N594" s="17" t="s">
        <v>7717</v>
      </c>
      <c r="O594" s="17" t="s">
        <v>7635</v>
      </c>
      <c r="P594" s="17" t="s">
        <v>7718</v>
      </c>
      <c r="Q594" s="17"/>
      <c r="R594" s="17"/>
      <c r="S594" s="17"/>
      <c r="T594" s="17"/>
      <c r="U594" s="17"/>
      <c r="V594" s="17"/>
      <c r="W594" s="17"/>
      <c r="X594" s="17"/>
      <c r="Y594" s="17"/>
    </row>
    <row r="595" spans="1:25">
      <c r="A595" s="17" t="s">
        <v>7719</v>
      </c>
      <c r="B595" s="17" t="s">
        <v>7719</v>
      </c>
      <c r="C595" s="17" t="s">
        <v>7720</v>
      </c>
      <c r="D595" s="17" t="s">
        <v>6218</v>
      </c>
      <c r="E595" s="17" t="s">
        <v>7033</v>
      </c>
      <c r="F595" s="17" t="s">
        <v>7719</v>
      </c>
      <c r="G595" s="17" t="s">
        <v>2671</v>
      </c>
      <c r="H595" s="17" t="s">
        <v>4312</v>
      </c>
      <c r="I595" s="17" t="s">
        <v>2672</v>
      </c>
      <c r="J595" s="17" t="s">
        <v>4412</v>
      </c>
      <c r="K595" s="17" t="s">
        <v>7152</v>
      </c>
      <c r="L595" s="17" t="s">
        <v>7638</v>
      </c>
      <c r="M595" s="17" t="s">
        <v>6218</v>
      </c>
      <c r="N595" s="17" t="s">
        <v>7721</v>
      </c>
      <c r="O595" s="17" t="s">
        <v>7635</v>
      </c>
      <c r="P595" s="17" t="s">
        <v>7722</v>
      </c>
      <c r="Q595" s="17" t="s">
        <v>6218</v>
      </c>
      <c r="R595" s="17" t="s">
        <v>7723</v>
      </c>
      <c r="S595" s="17" t="s">
        <v>7635</v>
      </c>
      <c r="T595" s="17" t="s">
        <v>7724</v>
      </c>
      <c r="U595" s="17"/>
      <c r="V595" s="17"/>
      <c r="W595" s="17"/>
      <c r="X595" s="17"/>
      <c r="Y595" s="17"/>
    </row>
    <row r="596" spans="1:25">
      <c r="A596" s="17" t="s">
        <v>7725</v>
      </c>
      <c r="B596" s="17" t="s">
        <v>7725</v>
      </c>
      <c r="C596" s="17" t="s">
        <v>7726</v>
      </c>
      <c r="D596" s="17" t="s">
        <v>6218</v>
      </c>
      <c r="E596" s="17" t="s">
        <v>7033</v>
      </c>
      <c r="F596" s="17" t="s">
        <v>7725</v>
      </c>
      <c r="G596" s="17" t="s">
        <v>2671</v>
      </c>
      <c r="H596" s="17" t="s">
        <v>4312</v>
      </c>
      <c r="I596" s="17" t="s">
        <v>2672</v>
      </c>
      <c r="J596" s="17" t="s">
        <v>4412</v>
      </c>
      <c r="K596" s="17" t="s">
        <v>7159</v>
      </c>
      <c r="L596" s="17" t="s">
        <v>7638</v>
      </c>
      <c r="M596" s="17" t="s">
        <v>6218</v>
      </c>
      <c r="N596" s="17" t="s">
        <v>7727</v>
      </c>
      <c r="O596" s="17" t="s">
        <v>7635</v>
      </c>
      <c r="P596" s="17" t="s">
        <v>7728</v>
      </c>
      <c r="Q596" s="17" t="s">
        <v>6218</v>
      </c>
      <c r="R596" s="17" t="s">
        <v>7729</v>
      </c>
      <c r="S596" s="17" t="s">
        <v>7635</v>
      </c>
      <c r="T596" s="17" t="s">
        <v>7730</v>
      </c>
      <c r="U596" s="17"/>
      <c r="V596" s="17"/>
      <c r="W596" s="17"/>
      <c r="X596" s="17"/>
      <c r="Y596" s="17"/>
    </row>
    <row r="597" spans="1:25">
      <c r="A597" s="17" t="s">
        <v>7731</v>
      </c>
      <c r="B597" s="17" t="s">
        <v>7731</v>
      </c>
      <c r="C597" s="17" t="s">
        <v>7732</v>
      </c>
      <c r="D597" s="17" t="s">
        <v>6218</v>
      </c>
      <c r="E597" s="17" t="s">
        <v>7033</v>
      </c>
      <c r="F597" s="17" t="s">
        <v>7731</v>
      </c>
      <c r="G597" s="17" t="s">
        <v>2671</v>
      </c>
      <c r="H597" s="17" t="s">
        <v>4312</v>
      </c>
      <c r="I597" s="17" t="s">
        <v>2672</v>
      </c>
      <c r="J597" s="17" t="s">
        <v>4412</v>
      </c>
      <c r="K597" s="17" t="s">
        <v>7165</v>
      </c>
      <c r="L597" s="17" t="s">
        <v>7638</v>
      </c>
      <c r="M597" s="17" t="s">
        <v>6218</v>
      </c>
      <c r="N597" s="17" t="s">
        <v>7733</v>
      </c>
      <c r="O597" s="17" t="s">
        <v>7635</v>
      </c>
      <c r="P597" s="17" t="s">
        <v>7734</v>
      </c>
      <c r="Q597" s="17"/>
      <c r="R597" s="17"/>
      <c r="S597" s="17"/>
      <c r="T597" s="17"/>
      <c r="U597" s="17"/>
      <c r="V597" s="17"/>
      <c r="W597" s="17"/>
      <c r="X597" s="17"/>
      <c r="Y597" s="17"/>
    </row>
    <row r="598" spans="1:25">
      <c r="A598" s="17" t="s">
        <v>7735</v>
      </c>
      <c r="B598" s="17" t="s">
        <v>7735</v>
      </c>
      <c r="C598" s="17" t="s">
        <v>7736</v>
      </c>
      <c r="D598" s="17" t="s">
        <v>6218</v>
      </c>
      <c r="E598" s="17" t="s">
        <v>7033</v>
      </c>
      <c r="F598" s="17" t="s">
        <v>7735</v>
      </c>
      <c r="G598" s="17" t="s">
        <v>2671</v>
      </c>
      <c r="H598" s="17" t="s">
        <v>4312</v>
      </c>
      <c r="I598" s="17" t="s">
        <v>2672</v>
      </c>
      <c r="J598" s="17" t="s">
        <v>4412</v>
      </c>
      <c r="K598" s="17" t="s">
        <v>7172</v>
      </c>
      <c r="L598" s="17" t="s">
        <v>7638</v>
      </c>
      <c r="M598" s="17" t="s">
        <v>6218</v>
      </c>
      <c r="N598" s="17" t="s">
        <v>7737</v>
      </c>
      <c r="O598" s="17" t="s">
        <v>7635</v>
      </c>
      <c r="P598" s="17" t="s">
        <v>7738</v>
      </c>
      <c r="Q598" s="17"/>
      <c r="R598" s="17"/>
      <c r="S598" s="17"/>
      <c r="T598" s="17"/>
      <c r="U598" s="17"/>
      <c r="V598" s="17"/>
      <c r="W598" s="17"/>
      <c r="X598" s="17"/>
      <c r="Y598" s="17"/>
    </row>
    <row r="599" spans="1:25">
      <c r="A599" s="17" t="s">
        <v>7739</v>
      </c>
      <c r="B599" s="17" t="s">
        <v>7739</v>
      </c>
      <c r="C599" s="17" t="s">
        <v>7740</v>
      </c>
      <c r="D599" s="17" t="s">
        <v>6218</v>
      </c>
      <c r="E599" s="17" t="s">
        <v>7033</v>
      </c>
      <c r="F599" s="17" t="s">
        <v>7739</v>
      </c>
      <c r="G599" s="17" t="s">
        <v>2671</v>
      </c>
      <c r="H599" s="17" t="s">
        <v>4312</v>
      </c>
      <c r="I599" s="17" t="s">
        <v>2672</v>
      </c>
      <c r="J599" s="17" t="s">
        <v>4412</v>
      </c>
      <c r="K599" s="17" t="s">
        <v>7178</v>
      </c>
      <c r="L599" s="17" t="s">
        <v>7638</v>
      </c>
      <c r="M599" s="17" t="s">
        <v>6218</v>
      </c>
      <c r="N599" s="17" t="s">
        <v>7741</v>
      </c>
      <c r="O599" s="17" t="s">
        <v>7635</v>
      </c>
      <c r="P599" s="17" t="s">
        <v>7742</v>
      </c>
      <c r="Q599" s="17"/>
      <c r="R599" s="17"/>
      <c r="S599" s="17"/>
      <c r="T599" s="17"/>
      <c r="U599" s="17"/>
      <c r="V599" s="17"/>
      <c r="W599" s="17"/>
      <c r="X599" s="17"/>
      <c r="Y599" s="17"/>
    </row>
    <row r="600" spans="1:25">
      <c r="A600" s="17" t="s">
        <v>7743</v>
      </c>
      <c r="B600" s="17" t="s">
        <v>7743</v>
      </c>
      <c r="C600" s="17" t="s">
        <v>7744</v>
      </c>
      <c r="D600" s="17" t="s">
        <v>6218</v>
      </c>
      <c r="E600" s="17" t="s">
        <v>7033</v>
      </c>
      <c r="F600" s="17" t="s">
        <v>7743</v>
      </c>
      <c r="G600" s="17" t="s">
        <v>2671</v>
      </c>
      <c r="H600" s="17" t="s">
        <v>4312</v>
      </c>
      <c r="I600" s="17" t="s">
        <v>2672</v>
      </c>
      <c r="J600" s="17" t="s">
        <v>4412</v>
      </c>
      <c r="K600" s="17" t="s">
        <v>7182</v>
      </c>
      <c r="L600" s="17" t="s">
        <v>7638</v>
      </c>
      <c r="M600" s="17" t="s">
        <v>6218</v>
      </c>
      <c r="N600" s="17" t="s">
        <v>7745</v>
      </c>
      <c r="O600" s="17" t="s">
        <v>7635</v>
      </c>
      <c r="P600" s="17" t="s">
        <v>7746</v>
      </c>
      <c r="Q600" s="17"/>
      <c r="R600" s="17"/>
      <c r="S600" s="17"/>
      <c r="T600" s="17"/>
      <c r="U600" s="17"/>
      <c r="V600" s="17"/>
      <c r="W600" s="17"/>
      <c r="X600" s="17"/>
      <c r="Y600" s="17"/>
    </row>
    <row r="601" spans="1:25">
      <c r="A601" s="17" t="s">
        <v>7747</v>
      </c>
      <c r="B601" s="17" t="s">
        <v>7747</v>
      </c>
      <c r="C601" s="17" t="s">
        <v>7748</v>
      </c>
      <c r="D601" s="17" t="s">
        <v>6218</v>
      </c>
      <c r="E601" s="17" t="s">
        <v>7033</v>
      </c>
      <c r="F601" s="17" t="s">
        <v>7747</v>
      </c>
      <c r="G601" s="17" t="s">
        <v>2671</v>
      </c>
      <c r="H601" s="17" t="s">
        <v>4312</v>
      </c>
      <c r="I601" s="17" t="s">
        <v>2672</v>
      </c>
      <c r="J601" s="17" t="s">
        <v>4412</v>
      </c>
      <c r="K601" s="17" t="s">
        <v>7187</v>
      </c>
      <c r="L601" s="17" t="s">
        <v>7638</v>
      </c>
      <c r="M601" s="17" t="s">
        <v>6218</v>
      </c>
      <c r="N601" s="17" t="s">
        <v>7749</v>
      </c>
      <c r="O601" s="17" t="s">
        <v>7635</v>
      </c>
      <c r="P601" s="17" t="s">
        <v>7750</v>
      </c>
      <c r="Q601" s="17"/>
      <c r="R601" s="17"/>
      <c r="S601" s="17"/>
      <c r="T601" s="17"/>
      <c r="U601" s="17"/>
      <c r="V601" s="17"/>
      <c r="W601" s="17"/>
      <c r="X601" s="17"/>
      <c r="Y601" s="17"/>
    </row>
    <row r="602" spans="1:25">
      <c r="A602" s="17" t="s">
        <v>7751</v>
      </c>
      <c r="B602" s="17" t="s">
        <v>7751</v>
      </c>
      <c r="C602" s="17" t="s">
        <v>7752</v>
      </c>
      <c r="D602" s="17" t="s">
        <v>6218</v>
      </c>
      <c r="E602" s="17" t="s">
        <v>7033</v>
      </c>
      <c r="F602" s="17" t="s">
        <v>7751</v>
      </c>
      <c r="G602" s="17" t="s">
        <v>2671</v>
      </c>
      <c r="H602" s="17" t="s">
        <v>4312</v>
      </c>
      <c r="I602" s="17" t="s">
        <v>2672</v>
      </c>
      <c r="J602" s="17" t="s">
        <v>4412</v>
      </c>
      <c r="K602" s="17" t="s">
        <v>7192</v>
      </c>
      <c r="L602" s="17" t="s">
        <v>7638</v>
      </c>
      <c r="M602" s="17" t="s">
        <v>6218</v>
      </c>
      <c r="N602" s="17" t="s">
        <v>7753</v>
      </c>
      <c r="O602" s="17" t="s">
        <v>7635</v>
      </c>
      <c r="P602" s="17" t="s">
        <v>7754</v>
      </c>
      <c r="Q602" s="17" t="s">
        <v>6218</v>
      </c>
      <c r="R602" s="17" t="s">
        <v>7755</v>
      </c>
      <c r="S602" s="17" t="s">
        <v>7635</v>
      </c>
      <c r="T602" s="17" t="s">
        <v>7756</v>
      </c>
      <c r="U602" s="17"/>
      <c r="V602" s="17"/>
      <c r="W602" s="17"/>
      <c r="X602" s="17"/>
      <c r="Y602" s="17"/>
    </row>
    <row r="603" spans="1:25">
      <c r="A603" s="17" t="s">
        <v>7757</v>
      </c>
      <c r="B603" s="17" t="s">
        <v>7757</v>
      </c>
      <c r="C603" s="17" t="s">
        <v>7758</v>
      </c>
      <c r="D603" s="17" t="s">
        <v>6218</v>
      </c>
      <c r="E603" s="17" t="s">
        <v>7033</v>
      </c>
      <c r="F603" s="17" t="s">
        <v>7757</v>
      </c>
      <c r="G603" s="17" t="s">
        <v>2671</v>
      </c>
      <c r="H603" s="17" t="s">
        <v>4312</v>
      </c>
      <c r="I603" s="17" t="s">
        <v>2672</v>
      </c>
      <c r="J603" s="17" t="s">
        <v>4412</v>
      </c>
      <c r="K603" s="17" t="s">
        <v>7195</v>
      </c>
      <c r="L603" s="17" t="s">
        <v>7638</v>
      </c>
      <c r="M603" s="17" t="s">
        <v>6218</v>
      </c>
      <c r="N603" s="17" t="s">
        <v>7759</v>
      </c>
      <c r="O603" s="17" t="s">
        <v>7635</v>
      </c>
      <c r="P603" s="17" t="s">
        <v>7760</v>
      </c>
      <c r="Q603" s="17" t="s">
        <v>6218</v>
      </c>
      <c r="R603" s="17" t="s">
        <v>7761</v>
      </c>
      <c r="S603" s="17" t="s">
        <v>7635</v>
      </c>
      <c r="T603" s="17" t="s">
        <v>7762</v>
      </c>
      <c r="U603" s="17"/>
      <c r="V603" s="17"/>
      <c r="W603" s="17"/>
      <c r="X603" s="17"/>
      <c r="Y603" s="17"/>
    </row>
    <row r="604" spans="1:25">
      <c r="A604" s="17" t="s">
        <v>7763</v>
      </c>
      <c r="B604" s="17" t="s">
        <v>7763</v>
      </c>
      <c r="C604" s="17" t="s">
        <v>7764</v>
      </c>
      <c r="D604" s="17" t="s">
        <v>6218</v>
      </c>
      <c r="E604" s="17" t="s">
        <v>7033</v>
      </c>
      <c r="F604" s="17" t="s">
        <v>7763</v>
      </c>
      <c r="G604" s="17" t="s">
        <v>2671</v>
      </c>
      <c r="H604" s="17" t="s">
        <v>4312</v>
      </c>
      <c r="I604" s="17" t="s">
        <v>2672</v>
      </c>
      <c r="J604" s="17" t="s">
        <v>4412</v>
      </c>
      <c r="K604" s="17" t="s">
        <v>7200</v>
      </c>
      <c r="L604" s="17" t="s">
        <v>7638</v>
      </c>
      <c r="M604" s="17" t="s">
        <v>6218</v>
      </c>
      <c r="N604" s="17" t="s">
        <v>7765</v>
      </c>
      <c r="O604" s="17" t="s">
        <v>7635</v>
      </c>
      <c r="P604" s="17" t="s">
        <v>7766</v>
      </c>
      <c r="Q604" s="17"/>
      <c r="R604" s="17"/>
      <c r="S604" s="17"/>
      <c r="T604" s="17"/>
      <c r="U604" s="17"/>
      <c r="V604" s="17"/>
      <c r="W604" s="17"/>
      <c r="X604" s="17"/>
      <c r="Y604" s="17"/>
    </row>
    <row r="605" spans="1:25">
      <c r="A605" s="17" t="s">
        <v>7767</v>
      </c>
      <c r="B605" s="17" t="s">
        <v>7767</v>
      </c>
      <c r="C605" s="17" t="s">
        <v>7768</v>
      </c>
      <c r="D605" s="17" t="s">
        <v>6218</v>
      </c>
      <c r="E605" s="17" t="s">
        <v>7033</v>
      </c>
      <c r="F605" s="17" t="s">
        <v>7767</v>
      </c>
      <c r="G605" s="17" t="s">
        <v>2671</v>
      </c>
      <c r="H605" s="17" t="s">
        <v>4312</v>
      </c>
      <c r="I605" s="17" t="s">
        <v>2672</v>
      </c>
      <c r="J605" s="17" t="s">
        <v>4412</v>
      </c>
      <c r="K605" s="17" t="s">
        <v>7205</v>
      </c>
      <c r="L605" s="17" t="s">
        <v>7638</v>
      </c>
      <c r="M605" s="17" t="s">
        <v>6218</v>
      </c>
      <c r="N605" s="17" t="s">
        <v>7769</v>
      </c>
      <c r="O605" s="17" t="s">
        <v>7635</v>
      </c>
      <c r="P605" s="17" t="s">
        <v>7770</v>
      </c>
      <c r="Q605" s="17"/>
      <c r="R605" s="17"/>
      <c r="S605" s="17"/>
      <c r="T605" s="17"/>
      <c r="U605" s="17"/>
      <c r="V605" s="17"/>
      <c r="W605" s="17"/>
      <c r="X605" s="17"/>
      <c r="Y605" s="17"/>
    </row>
    <row r="606" spans="1:25">
      <c r="A606" s="17" t="s">
        <v>7771</v>
      </c>
      <c r="B606" s="17" t="s">
        <v>7771</v>
      </c>
      <c r="C606" s="17" t="s">
        <v>7772</v>
      </c>
      <c r="D606" s="17" t="s">
        <v>6218</v>
      </c>
      <c r="E606" s="17" t="s">
        <v>7033</v>
      </c>
      <c r="F606" s="17" t="s">
        <v>7771</v>
      </c>
      <c r="G606" s="17" t="s">
        <v>2671</v>
      </c>
      <c r="H606" s="17" t="s">
        <v>4312</v>
      </c>
      <c r="I606" s="17" t="s">
        <v>2672</v>
      </c>
      <c r="J606" s="17" t="s">
        <v>4412</v>
      </c>
      <c r="K606" s="17" t="s">
        <v>7209</v>
      </c>
      <c r="L606" s="17" t="s">
        <v>7638</v>
      </c>
      <c r="M606" s="17" t="s">
        <v>6218</v>
      </c>
      <c r="N606" s="17" t="s">
        <v>7773</v>
      </c>
      <c r="O606" s="17" t="s">
        <v>7635</v>
      </c>
      <c r="P606" s="17" t="s">
        <v>7774</v>
      </c>
      <c r="Q606" s="17"/>
      <c r="R606" s="17"/>
      <c r="S606" s="17"/>
      <c r="T606" s="17"/>
      <c r="U606" s="17"/>
      <c r="V606" s="17"/>
      <c r="W606" s="17"/>
      <c r="X606" s="17"/>
      <c r="Y606" s="17"/>
    </row>
    <row r="607" spans="1:25">
      <c r="A607" s="17" t="s">
        <v>7775</v>
      </c>
      <c r="B607" s="17" t="s">
        <v>7775</v>
      </c>
      <c r="C607" s="17" t="s">
        <v>7776</v>
      </c>
      <c r="D607" s="17" t="s">
        <v>6218</v>
      </c>
      <c r="E607" s="17" t="s">
        <v>7033</v>
      </c>
      <c r="F607" s="17" t="s">
        <v>7775</v>
      </c>
      <c r="G607" s="17" t="s">
        <v>2671</v>
      </c>
      <c r="H607" s="17" t="s">
        <v>4312</v>
      </c>
      <c r="I607" s="17" t="s">
        <v>2672</v>
      </c>
      <c r="J607" s="17" t="s">
        <v>4412</v>
      </c>
      <c r="K607" s="17" t="s">
        <v>7307</v>
      </c>
      <c r="L607" s="17" t="s">
        <v>7638</v>
      </c>
      <c r="M607" s="17" t="s">
        <v>6218</v>
      </c>
      <c r="N607" s="17" t="s">
        <v>7777</v>
      </c>
      <c r="O607" s="17" t="s">
        <v>7635</v>
      </c>
      <c r="P607" s="17" t="s">
        <v>7778</v>
      </c>
      <c r="Q607" s="17" t="s">
        <v>6218</v>
      </c>
      <c r="R607" s="17" t="s">
        <v>7777</v>
      </c>
      <c r="S607" s="17" t="s">
        <v>7635</v>
      </c>
      <c r="T607" s="17" t="s">
        <v>7779</v>
      </c>
      <c r="U607" s="17"/>
      <c r="V607" s="17"/>
      <c r="W607" s="17"/>
      <c r="X607" s="17"/>
      <c r="Y607" s="17"/>
    </row>
    <row r="608" spans="1:25">
      <c r="A608" s="17" t="s">
        <v>7780</v>
      </c>
      <c r="B608" s="17" t="s">
        <v>7780</v>
      </c>
      <c r="C608" s="17" t="s">
        <v>7781</v>
      </c>
      <c r="D608" s="17" t="s">
        <v>4401</v>
      </c>
      <c r="E608" s="17" t="s">
        <v>7782</v>
      </c>
      <c r="F608" s="17" t="s">
        <v>7780</v>
      </c>
      <c r="G608" s="17" t="s">
        <v>2671</v>
      </c>
      <c r="H608" s="17" t="s">
        <v>7783</v>
      </c>
      <c r="I608" s="17" t="s">
        <v>4376</v>
      </c>
      <c r="J608" s="17" t="s">
        <v>4789</v>
      </c>
      <c r="K608" s="17" t="s">
        <v>2674</v>
      </c>
      <c r="L608" s="17" t="s">
        <v>7784</v>
      </c>
      <c r="M608" s="17" t="s">
        <v>6273</v>
      </c>
      <c r="N608" s="17" t="s">
        <v>7786</v>
      </c>
      <c r="O608" s="17" t="s">
        <v>7635</v>
      </c>
      <c r="P608" s="17" t="s">
        <v>7785</v>
      </c>
      <c r="Q608" s="17"/>
      <c r="R608" s="17"/>
      <c r="S608" s="17"/>
      <c r="T608" s="17"/>
      <c r="U608" s="17"/>
      <c r="V608" s="17"/>
      <c r="W608" s="17"/>
      <c r="X608" s="17"/>
      <c r="Y608" s="17"/>
    </row>
    <row r="609" spans="1:25">
      <c r="A609" s="17" t="s">
        <v>7926</v>
      </c>
      <c r="B609" s="17" t="s">
        <v>7926</v>
      </c>
      <c r="C609" s="17" t="s">
        <v>7930</v>
      </c>
      <c r="D609" s="17" t="s">
        <v>6273</v>
      </c>
      <c r="E609" s="17" t="s">
        <v>4372</v>
      </c>
      <c r="F609" s="17" t="s">
        <v>7926</v>
      </c>
      <c r="G609" s="17" t="s">
        <v>2671</v>
      </c>
      <c r="H609" s="17" t="s">
        <v>6341</v>
      </c>
      <c r="I609" s="17" t="s">
        <v>4376</v>
      </c>
      <c r="J609" s="17" t="s">
        <v>4798</v>
      </c>
      <c r="K609" s="17" t="s">
        <v>2818</v>
      </c>
      <c r="L609" s="17" t="s">
        <v>7929</v>
      </c>
      <c r="M609" s="17" t="s">
        <v>7928</v>
      </c>
      <c r="N609" s="17" t="s">
        <v>7926</v>
      </c>
      <c r="O609" s="17" t="s">
        <v>7635</v>
      </c>
      <c r="P609" s="17" t="s">
        <v>7927</v>
      </c>
      <c r="Q609" s="17"/>
      <c r="R609" s="17"/>
      <c r="S609" s="17"/>
      <c r="T609" s="17"/>
      <c r="U609" s="17"/>
      <c r="V609" s="13"/>
      <c r="W609" s="17"/>
      <c r="X609" s="50"/>
      <c r="Y609" s="17"/>
    </row>
    <row r="610" spans="1:25">
      <c r="A610" s="17" t="s">
        <v>8493</v>
      </c>
      <c r="B610" s="17" t="s">
        <v>8493</v>
      </c>
      <c r="C610" s="17" t="s">
        <v>8494</v>
      </c>
      <c r="D610" s="17" t="s">
        <v>8495</v>
      </c>
      <c r="E610" s="17">
        <v>3528</v>
      </c>
      <c r="F610" s="17" t="s">
        <v>8493</v>
      </c>
      <c r="G610" s="17" t="s">
        <v>2671</v>
      </c>
      <c r="H610" s="17" t="s">
        <v>4272</v>
      </c>
      <c r="I610" s="17" t="s">
        <v>3870</v>
      </c>
      <c r="J610" s="17" t="s">
        <v>8496</v>
      </c>
      <c r="K610" s="17" t="s">
        <v>8497</v>
      </c>
      <c r="L610" s="17" t="s">
        <v>8498</v>
      </c>
      <c r="M610" s="17" t="s">
        <v>8495</v>
      </c>
      <c r="N610" s="17" t="s">
        <v>8493</v>
      </c>
      <c r="O610" s="17" t="s">
        <v>7635</v>
      </c>
      <c r="P610" s="17" t="s">
        <v>8499</v>
      </c>
      <c r="Q610" s="17"/>
      <c r="R610" s="17"/>
      <c r="S610" s="17"/>
      <c r="T610" s="17"/>
      <c r="U610" s="17"/>
      <c r="V610" s="17"/>
      <c r="W610" s="17"/>
      <c r="X610" s="17"/>
      <c r="Y610" s="17"/>
    </row>
    <row r="611" spans="1:25">
      <c r="A611" s="17" t="s">
        <v>10746</v>
      </c>
      <c r="B611" s="17" t="s">
        <v>10746</v>
      </c>
      <c r="C611" s="17" t="s">
        <v>10747</v>
      </c>
      <c r="D611" s="17" t="s">
        <v>10664</v>
      </c>
      <c r="E611" s="17" t="s">
        <v>2968</v>
      </c>
      <c r="F611" s="17" t="s">
        <v>10746</v>
      </c>
      <c r="G611" s="17" t="s">
        <v>2671</v>
      </c>
      <c r="H611" s="17" t="s">
        <v>426</v>
      </c>
      <c r="I611" s="17" t="s">
        <v>4237</v>
      </c>
      <c r="J611" s="17" t="s">
        <v>2969</v>
      </c>
      <c r="K611" s="17" t="s">
        <v>10749</v>
      </c>
      <c r="L611" s="17" t="s">
        <v>10750</v>
      </c>
      <c r="M611" s="17" t="s">
        <v>7928</v>
      </c>
      <c r="N611" s="17" t="s">
        <v>10746</v>
      </c>
      <c r="O611" s="17" t="s">
        <v>7635</v>
      </c>
      <c r="P611" s="17" t="s">
        <v>10751</v>
      </c>
      <c r="Q611" s="17"/>
      <c r="R611" s="17"/>
      <c r="S611" s="17"/>
      <c r="T611" s="17"/>
      <c r="U611" s="17" t="s">
        <v>7928</v>
      </c>
      <c r="V611" s="17" t="s">
        <v>10746</v>
      </c>
      <c r="W611" s="17" t="s">
        <v>4559</v>
      </c>
      <c r="X611" s="17" t="s">
        <v>10752</v>
      </c>
      <c r="Y611" s="17" t="s">
        <v>4727</v>
      </c>
    </row>
    <row r="612" spans="1:25">
      <c r="A612" s="17" t="s">
        <v>10748</v>
      </c>
      <c r="B612" s="17" t="s">
        <v>10748</v>
      </c>
      <c r="C612" s="17" t="s">
        <v>10747</v>
      </c>
      <c r="D612" s="17" t="s">
        <v>10664</v>
      </c>
      <c r="E612" s="17" t="s">
        <v>3258</v>
      </c>
      <c r="F612" s="17" t="s">
        <v>10748</v>
      </c>
      <c r="G612" s="17" t="s">
        <v>2671</v>
      </c>
      <c r="H612" s="17" t="s">
        <v>426</v>
      </c>
      <c r="I612" s="17" t="s">
        <v>4237</v>
      </c>
      <c r="J612" s="17" t="s">
        <v>3259</v>
      </c>
      <c r="K612" s="17" t="s">
        <v>10749</v>
      </c>
      <c r="L612" s="17" t="s">
        <v>10750</v>
      </c>
      <c r="M612" s="17" t="s">
        <v>7928</v>
      </c>
      <c r="N612" s="17" t="s">
        <v>10748</v>
      </c>
      <c r="O612" s="17" t="s">
        <v>7635</v>
      </c>
      <c r="P612" s="17" t="s">
        <v>10753</v>
      </c>
      <c r="Q612" s="17"/>
      <c r="R612" s="17"/>
      <c r="S612" s="17"/>
      <c r="T612" s="17"/>
      <c r="U612" s="17" t="s">
        <v>7928</v>
      </c>
      <c r="V612" s="17" t="s">
        <v>10748</v>
      </c>
      <c r="W612" s="17" t="s">
        <v>4559</v>
      </c>
      <c r="X612" s="17" t="s">
        <v>10754</v>
      </c>
      <c r="Y612" s="17" t="s">
        <v>4727</v>
      </c>
    </row>
    <row r="613" spans="1:25">
      <c r="A613" s="17" t="s">
        <v>10763</v>
      </c>
      <c r="B613" s="17" t="s">
        <v>10763</v>
      </c>
      <c r="C613" s="17" t="s">
        <v>10764</v>
      </c>
      <c r="D613" s="17" t="s">
        <v>10765</v>
      </c>
      <c r="E613" s="17" t="s">
        <v>10766</v>
      </c>
      <c r="F613" s="17" t="s">
        <v>10767</v>
      </c>
      <c r="G613" s="17" t="s">
        <v>2671</v>
      </c>
      <c r="H613" s="17" t="s">
        <v>10768</v>
      </c>
      <c r="I613" s="17" t="s">
        <v>6700</v>
      </c>
      <c r="J613" s="17" t="s">
        <v>12488</v>
      </c>
      <c r="K613" s="17"/>
      <c r="L613" s="17" t="s">
        <v>14465</v>
      </c>
      <c r="M613" s="17" t="s">
        <v>10765</v>
      </c>
      <c r="N613" s="17" t="s">
        <v>10767</v>
      </c>
      <c r="O613" s="17" t="s">
        <v>7635</v>
      </c>
      <c r="P613" s="17" t="s">
        <v>10769</v>
      </c>
      <c r="Q613" s="17"/>
      <c r="R613" s="17"/>
      <c r="S613" s="17"/>
      <c r="T613" s="17"/>
      <c r="U613" s="17"/>
      <c r="V613" s="17"/>
      <c r="W613" s="17"/>
      <c r="X613" s="17"/>
      <c r="Y613" s="17"/>
    </row>
    <row r="614" spans="1:25">
      <c r="A614" s="17" t="s">
        <v>6277</v>
      </c>
      <c r="B614" s="17" t="s">
        <v>6277</v>
      </c>
      <c r="C614" s="17" t="s">
        <v>11112</v>
      </c>
      <c r="D614" s="17" t="s">
        <v>6732</v>
      </c>
      <c r="E614" s="17" t="s">
        <v>4372</v>
      </c>
      <c r="F614" s="17" t="s">
        <v>6277</v>
      </c>
      <c r="G614" s="17" t="s">
        <v>2671</v>
      </c>
      <c r="H614" s="17" t="s">
        <v>6278</v>
      </c>
      <c r="I614" s="17" t="s">
        <v>4376</v>
      </c>
      <c r="J614" s="17" t="s">
        <v>4798</v>
      </c>
      <c r="K614" s="17" t="s">
        <v>2945</v>
      </c>
      <c r="L614" s="17" t="s">
        <v>11114</v>
      </c>
      <c r="M614" s="17" t="s">
        <v>6732</v>
      </c>
      <c r="N614" s="17" t="s">
        <v>11111</v>
      </c>
      <c r="O614" s="17" t="s">
        <v>7635</v>
      </c>
      <c r="P614" s="17" t="s">
        <v>11113</v>
      </c>
      <c r="Q614" s="17"/>
      <c r="R614" s="17"/>
      <c r="S614" s="17"/>
      <c r="T614" s="17"/>
      <c r="U614" s="17" t="s">
        <v>11116</v>
      </c>
      <c r="V614" s="17" t="s">
        <v>11115</v>
      </c>
      <c r="W614" s="17" t="s">
        <v>4559</v>
      </c>
      <c r="X614" s="17" t="s">
        <v>11117</v>
      </c>
      <c r="Y614" s="17"/>
    </row>
    <row r="615" spans="1:25">
      <c r="A615" s="17" t="s">
        <v>13994</v>
      </c>
      <c r="B615" s="17" t="s">
        <v>13994</v>
      </c>
      <c r="C615" s="17" t="s">
        <v>13996</v>
      </c>
      <c r="D615" s="17" t="s">
        <v>6218</v>
      </c>
      <c r="E615" s="17" t="s">
        <v>4721</v>
      </c>
      <c r="F615" s="17" t="s">
        <v>13994</v>
      </c>
      <c r="G615" s="17" t="s">
        <v>2671</v>
      </c>
      <c r="H615" s="17" t="s">
        <v>426</v>
      </c>
      <c r="I615" s="17" t="s">
        <v>2672</v>
      </c>
      <c r="J615" s="17" t="s">
        <v>4723</v>
      </c>
      <c r="K615" s="17" t="s">
        <v>10749</v>
      </c>
      <c r="L615" s="17" t="s">
        <v>14000</v>
      </c>
      <c r="M615" s="17" t="s">
        <v>6218</v>
      </c>
      <c r="N615" s="17" t="s">
        <v>13994</v>
      </c>
      <c r="O615" s="17" t="s">
        <v>7635</v>
      </c>
      <c r="P615" s="17" t="s">
        <v>14002</v>
      </c>
      <c r="Q615" s="17"/>
      <c r="R615" s="17"/>
      <c r="S615" s="17"/>
      <c r="T615" s="17"/>
      <c r="U615" s="17" t="s">
        <v>14004</v>
      </c>
      <c r="V615" s="17" t="s">
        <v>13994</v>
      </c>
      <c r="W615" s="17" t="s">
        <v>4559</v>
      </c>
      <c r="X615" s="17" t="s">
        <v>14005</v>
      </c>
      <c r="Y615" s="17" t="s">
        <v>4727</v>
      </c>
    </row>
    <row r="616" spans="1:25">
      <c r="A616" s="17" t="s">
        <v>13995</v>
      </c>
      <c r="B616" s="17" t="s">
        <v>13995</v>
      </c>
      <c r="C616" s="17" t="s">
        <v>13997</v>
      </c>
      <c r="D616" s="17" t="s">
        <v>13998</v>
      </c>
      <c r="E616" s="17" t="s">
        <v>4721</v>
      </c>
      <c r="F616" s="17" t="s">
        <v>13995</v>
      </c>
      <c r="G616" s="17" t="s">
        <v>2671</v>
      </c>
      <c r="H616" s="17" t="s">
        <v>426</v>
      </c>
      <c r="I616" s="17" t="s">
        <v>2672</v>
      </c>
      <c r="J616" s="17" t="s">
        <v>4723</v>
      </c>
      <c r="K616" s="17" t="s">
        <v>13999</v>
      </c>
      <c r="L616" s="17" t="s">
        <v>14001</v>
      </c>
      <c r="M616" s="17" t="s">
        <v>6703</v>
      </c>
      <c r="N616" s="17" t="s">
        <v>13995</v>
      </c>
      <c r="O616" s="17" t="s">
        <v>7635</v>
      </c>
      <c r="P616" s="17" t="s">
        <v>14003</v>
      </c>
      <c r="Q616" s="17"/>
      <c r="R616" s="17"/>
      <c r="S616" s="17"/>
      <c r="T616" s="17"/>
      <c r="U616" s="17" t="s">
        <v>6703</v>
      </c>
      <c r="V616" s="17" t="s">
        <v>13995</v>
      </c>
      <c r="W616" s="17" t="s">
        <v>4559</v>
      </c>
      <c r="X616" s="17" t="s">
        <v>14006</v>
      </c>
      <c r="Y616" s="17" t="s">
        <v>4727</v>
      </c>
    </row>
    <row r="617" spans="1:25">
      <c r="A617" s="17" t="s">
        <v>14041</v>
      </c>
      <c r="B617" s="17" t="s">
        <v>14041</v>
      </c>
      <c r="C617" s="17" t="s">
        <v>14042</v>
      </c>
      <c r="D617" s="17" t="s">
        <v>21</v>
      </c>
      <c r="E617" s="17" t="s">
        <v>2968</v>
      </c>
      <c r="F617" s="17" t="s">
        <v>6204</v>
      </c>
      <c r="G617" s="17" t="s">
        <v>2671</v>
      </c>
      <c r="H617" s="17" t="s">
        <v>4247</v>
      </c>
      <c r="I617" s="17" t="s">
        <v>4237</v>
      </c>
      <c r="J617" s="17" t="s">
        <v>2969</v>
      </c>
      <c r="K617" s="17"/>
      <c r="L617" s="17" t="s">
        <v>14043</v>
      </c>
      <c r="M617" s="17"/>
      <c r="N617" s="17"/>
      <c r="O617" s="17"/>
      <c r="P617" s="17"/>
      <c r="Q617" s="17"/>
      <c r="R617" s="17"/>
      <c r="S617" s="17"/>
      <c r="T617" s="17"/>
      <c r="U617" s="17" t="s">
        <v>14044</v>
      </c>
      <c r="V617" s="17" t="s">
        <v>6204</v>
      </c>
      <c r="W617" s="17" t="s">
        <v>4559</v>
      </c>
      <c r="X617" s="17" t="s">
        <v>14045</v>
      </c>
      <c r="Y617" s="17" t="s">
        <v>4728</v>
      </c>
    </row>
    <row r="618" spans="1:25">
      <c r="A618" s="17" t="s">
        <v>14253</v>
      </c>
      <c r="B618" s="17" t="s">
        <v>14253</v>
      </c>
      <c r="C618" s="17" t="s">
        <v>14304</v>
      </c>
      <c r="D618" s="17" t="s">
        <v>6218</v>
      </c>
      <c r="E618" s="17" t="s">
        <v>4721</v>
      </c>
      <c r="F618" s="17" t="s">
        <v>14288</v>
      </c>
      <c r="G618" s="17" t="s">
        <v>2671</v>
      </c>
      <c r="H618" s="17" t="s">
        <v>4312</v>
      </c>
      <c r="I618" s="17" t="s">
        <v>2672</v>
      </c>
      <c r="J618" s="17" t="s">
        <v>4723</v>
      </c>
      <c r="K618" s="17" t="s">
        <v>14288</v>
      </c>
      <c r="L618" s="17" t="s">
        <v>14339</v>
      </c>
      <c r="M618" s="17" t="s">
        <v>6218</v>
      </c>
      <c r="N618" s="17" t="s">
        <v>14340</v>
      </c>
      <c r="O618" s="17" t="s">
        <v>7635</v>
      </c>
      <c r="P618" s="17" t="s">
        <v>14341</v>
      </c>
      <c r="Q618" s="17"/>
      <c r="R618" s="17"/>
      <c r="S618" s="17"/>
      <c r="T618" s="17"/>
      <c r="U618" s="17" t="s">
        <v>14004</v>
      </c>
      <c r="V618" s="17" t="s">
        <v>14340</v>
      </c>
      <c r="W618" s="17" t="s">
        <v>4559</v>
      </c>
      <c r="X618" s="17" t="s">
        <v>14408</v>
      </c>
      <c r="Y618" s="17" t="s">
        <v>4727</v>
      </c>
    </row>
    <row r="619" spans="1:25">
      <c r="A619" s="17" t="s">
        <v>14254</v>
      </c>
      <c r="B619" s="17" t="s">
        <v>14254</v>
      </c>
      <c r="C619" s="17" t="s">
        <v>14305</v>
      </c>
      <c r="D619" s="17" t="s">
        <v>6218</v>
      </c>
      <c r="E619" s="17" t="s">
        <v>4721</v>
      </c>
      <c r="F619" s="17" t="s">
        <v>14289</v>
      </c>
      <c r="G619" s="17" t="s">
        <v>2671</v>
      </c>
      <c r="H619" s="17" t="s">
        <v>4312</v>
      </c>
      <c r="I619" s="17" t="s">
        <v>2672</v>
      </c>
      <c r="J619" s="17" t="s">
        <v>4723</v>
      </c>
      <c r="K619" s="17" t="s">
        <v>14289</v>
      </c>
      <c r="L619" s="17" t="s">
        <v>14339</v>
      </c>
      <c r="M619" s="17" t="s">
        <v>6218</v>
      </c>
      <c r="N619" s="17" t="s">
        <v>14342</v>
      </c>
      <c r="O619" s="17" t="s">
        <v>7635</v>
      </c>
      <c r="P619" s="17" t="s">
        <v>14343</v>
      </c>
      <c r="Q619" s="17"/>
      <c r="R619" s="17"/>
      <c r="S619" s="17"/>
      <c r="T619" s="17"/>
      <c r="U619" s="17" t="s">
        <v>14004</v>
      </c>
      <c r="V619" s="17" t="s">
        <v>14342</v>
      </c>
      <c r="W619" s="17" t="s">
        <v>4559</v>
      </c>
      <c r="X619" s="17" t="s">
        <v>14409</v>
      </c>
      <c r="Y619" s="17" t="s">
        <v>4727</v>
      </c>
    </row>
    <row r="620" spans="1:25">
      <c r="A620" s="17" t="s">
        <v>14255</v>
      </c>
      <c r="B620" s="17" t="s">
        <v>14255</v>
      </c>
      <c r="C620" s="17" t="s">
        <v>14306</v>
      </c>
      <c r="D620" s="17" t="s">
        <v>6218</v>
      </c>
      <c r="E620" s="17" t="s">
        <v>4721</v>
      </c>
      <c r="F620" s="17" t="s">
        <v>14290</v>
      </c>
      <c r="G620" s="17" t="s">
        <v>2671</v>
      </c>
      <c r="H620" s="17" t="s">
        <v>4312</v>
      </c>
      <c r="I620" s="17" t="s">
        <v>2672</v>
      </c>
      <c r="J620" s="17" t="s">
        <v>4723</v>
      </c>
      <c r="K620" s="17" t="s">
        <v>14290</v>
      </c>
      <c r="L620" s="17" t="s">
        <v>14339</v>
      </c>
      <c r="M620" s="17" t="s">
        <v>6218</v>
      </c>
      <c r="N620" s="17" t="s">
        <v>14344</v>
      </c>
      <c r="O620" s="17" t="s">
        <v>7635</v>
      </c>
      <c r="P620" s="17" t="s">
        <v>14345</v>
      </c>
      <c r="Q620" s="17"/>
      <c r="R620" s="17"/>
      <c r="S620" s="17"/>
      <c r="T620" s="17"/>
      <c r="U620" s="17" t="s">
        <v>14004</v>
      </c>
      <c r="V620" s="17" t="s">
        <v>14344</v>
      </c>
      <c r="W620" s="17" t="s">
        <v>4559</v>
      </c>
      <c r="X620" s="17" t="s">
        <v>14410</v>
      </c>
      <c r="Y620" s="17" t="s">
        <v>4727</v>
      </c>
    </row>
    <row r="621" spans="1:25">
      <c r="A621" s="17" t="s">
        <v>14256</v>
      </c>
      <c r="B621" s="17" t="s">
        <v>14256</v>
      </c>
      <c r="C621" s="17" t="s">
        <v>14307</v>
      </c>
      <c r="D621" s="17" t="s">
        <v>6218</v>
      </c>
      <c r="E621" s="17" t="s">
        <v>4721</v>
      </c>
      <c r="F621" s="17" t="s">
        <v>14291</v>
      </c>
      <c r="G621" s="17" t="s">
        <v>2671</v>
      </c>
      <c r="H621" s="17" t="s">
        <v>4312</v>
      </c>
      <c r="I621" s="17" t="s">
        <v>2672</v>
      </c>
      <c r="J621" s="17" t="s">
        <v>4723</v>
      </c>
      <c r="K621" s="17" t="s">
        <v>14291</v>
      </c>
      <c r="L621" s="17" t="s">
        <v>14339</v>
      </c>
      <c r="M621" s="17" t="s">
        <v>6218</v>
      </c>
      <c r="N621" s="17" t="s">
        <v>14346</v>
      </c>
      <c r="O621" s="17" t="s">
        <v>7635</v>
      </c>
      <c r="P621" s="17" t="s">
        <v>14347</v>
      </c>
      <c r="Q621" s="17"/>
      <c r="R621" s="17"/>
      <c r="S621" s="17"/>
      <c r="T621" s="17"/>
      <c r="U621" s="17" t="s">
        <v>14004</v>
      </c>
      <c r="V621" s="17" t="s">
        <v>14346</v>
      </c>
      <c r="W621" s="17" t="s">
        <v>4559</v>
      </c>
      <c r="X621" s="17" t="s">
        <v>14411</v>
      </c>
      <c r="Y621" s="17" t="s">
        <v>4727</v>
      </c>
    </row>
    <row r="622" spans="1:25">
      <c r="A622" s="17" t="s">
        <v>14257</v>
      </c>
      <c r="B622" s="17" t="s">
        <v>14257</v>
      </c>
      <c r="C622" s="17" t="s">
        <v>14308</v>
      </c>
      <c r="D622" s="17" t="s">
        <v>6218</v>
      </c>
      <c r="E622" s="17" t="s">
        <v>4721</v>
      </c>
      <c r="F622" s="17" t="s">
        <v>14292</v>
      </c>
      <c r="G622" s="17" t="s">
        <v>2671</v>
      </c>
      <c r="H622" s="17" t="s">
        <v>4312</v>
      </c>
      <c r="I622" s="17" t="s">
        <v>2672</v>
      </c>
      <c r="J622" s="17" t="s">
        <v>4723</v>
      </c>
      <c r="K622" s="17" t="s">
        <v>14292</v>
      </c>
      <c r="L622" s="17" t="s">
        <v>14339</v>
      </c>
      <c r="M622" s="17" t="s">
        <v>6218</v>
      </c>
      <c r="N622" s="17" t="s">
        <v>14348</v>
      </c>
      <c r="O622" s="17" t="s">
        <v>7635</v>
      </c>
      <c r="P622" s="17" t="s">
        <v>14349</v>
      </c>
      <c r="Q622" s="17"/>
      <c r="R622" s="17"/>
      <c r="S622" s="17"/>
      <c r="T622" s="17"/>
      <c r="U622" s="17" t="s">
        <v>14004</v>
      </c>
      <c r="V622" s="17" t="s">
        <v>14348</v>
      </c>
      <c r="W622" s="17" t="s">
        <v>4559</v>
      </c>
      <c r="X622" s="17" t="s">
        <v>14412</v>
      </c>
      <c r="Y622" s="17" t="s">
        <v>4727</v>
      </c>
    </row>
    <row r="623" spans="1:25">
      <c r="A623" s="17" t="s">
        <v>14258</v>
      </c>
      <c r="B623" s="17" t="s">
        <v>14258</v>
      </c>
      <c r="C623" s="17" t="s">
        <v>14309</v>
      </c>
      <c r="D623" s="17" t="s">
        <v>6218</v>
      </c>
      <c r="E623" s="17" t="s">
        <v>4721</v>
      </c>
      <c r="F623" s="17" t="s">
        <v>14293</v>
      </c>
      <c r="G623" s="17" t="s">
        <v>2671</v>
      </c>
      <c r="H623" s="17" t="s">
        <v>4312</v>
      </c>
      <c r="I623" s="17" t="s">
        <v>2672</v>
      </c>
      <c r="J623" s="17" t="s">
        <v>4723</v>
      </c>
      <c r="K623" s="17" t="s">
        <v>14293</v>
      </c>
      <c r="L623" s="17" t="s">
        <v>14339</v>
      </c>
      <c r="M623" s="17" t="s">
        <v>6218</v>
      </c>
      <c r="N623" s="17" t="s">
        <v>14350</v>
      </c>
      <c r="O623" s="17" t="s">
        <v>7635</v>
      </c>
      <c r="P623" s="17" t="s">
        <v>14351</v>
      </c>
      <c r="Q623" s="17"/>
      <c r="R623" s="17"/>
      <c r="S623" s="17"/>
      <c r="T623" s="17"/>
      <c r="U623" s="17" t="s">
        <v>14004</v>
      </c>
      <c r="V623" s="17" t="s">
        <v>14350</v>
      </c>
      <c r="W623" s="17" t="s">
        <v>4559</v>
      </c>
      <c r="X623" s="17" t="s">
        <v>14413</v>
      </c>
      <c r="Y623" s="17" t="s">
        <v>4727</v>
      </c>
    </row>
    <row r="624" spans="1:25">
      <c r="A624" s="17" t="s">
        <v>14259</v>
      </c>
      <c r="B624" s="17" t="s">
        <v>14259</v>
      </c>
      <c r="C624" s="17" t="s">
        <v>14310</v>
      </c>
      <c r="D624" s="17" t="s">
        <v>6218</v>
      </c>
      <c r="E624" s="17" t="s">
        <v>4721</v>
      </c>
      <c r="F624" s="17" t="s">
        <v>14294</v>
      </c>
      <c r="G624" s="17" t="s">
        <v>2671</v>
      </c>
      <c r="H624" s="17" t="s">
        <v>4312</v>
      </c>
      <c r="I624" s="17" t="s">
        <v>2672</v>
      </c>
      <c r="J624" s="17" t="s">
        <v>4723</v>
      </c>
      <c r="K624" s="17" t="s">
        <v>14294</v>
      </c>
      <c r="L624" s="17" t="s">
        <v>14339</v>
      </c>
      <c r="M624" s="17" t="s">
        <v>6218</v>
      </c>
      <c r="N624" s="17" t="s">
        <v>14352</v>
      </c>
      <c r="O624" s="17" t="s">
        <v>7635</v>
      </c>
      <c r="P624" s="17" t="s">
        <v>14353</v>
      </c>
      <c r="Q624" s="17"/>
      <c r="R624" s="17"/>
      <c r="S624" s="17"/>
      <c r="T624" s="17"/>
      <c r="U624" s="17" t="s">
        <v>14004</v>
      </c>
      <c r="V624" s="17" t="s">
        <v>14352</v>
      </c>
      <c r="W624" s="17" t="s">
        <v>4559</v>
      </c>
      <c r="X624" s="17" t="s">
        <v>14414</v>
      </c>
      <c r="Y624" s="17" t="s">
        <v>4727</v>
      </c>
    </row>
    <row r="625" spans="1:25">
      <c r="A625" s="17" t="s">
        <v>14260</v>
      </c>
      <c r="B625" s="17" t="s">
        <v>14260</v>
      </c>
      <c r="C625" s="17" t="s">
        <v>14311</v>
      </c>
      <c r="D625" s="17" t="s">
        <v>6218</v>
      </c>
      <c r="E625" s="17" t="s">
        <v>4721</v>
      </c>
      <c r="F625" s="17" t="s">
        <v>14295</v>
      </c>
      <c r="G625" s="17" t="s">
        <v>2671</v>
      </c>
      <c r="H625" s="17" t="s">
        <v>4312</v>
      </c>
      <c r="I625" s="17" t="s">
        <v>2672</v>
      </c>
      <c r="J625" s="17" t="s">
        <v>4723</v>
      </c>
      <c r="K625" s="17" t="s">
        <v>14295</v>
      </c>
      <c r="L625" s="17" t="s">
        <v>14339</v>
      </c>
      <c r="M625" s="17" t="s">
        <v>6218</v>
      </c>
      <c r="N625" s="17" t="s">
        <v>14354</v>
      </c>
      <c r="O625" s="17" t="s">
        <v>7635</v>
      </c>
      <c r="P625" s="17" t="s">
        <v>14355</v>
      </c>
      <c r="Q625" s="17"/>
      <c r="R625" s="17"/>
      <c r="S625" s="17"/>
      <c r="T625" s="17"/>
      <c r="U625" s="17" t="s">
        <v>14004</v>
      </c>
      <c r="V625" s="17" t="s">
        <v>14354</v>
      </c>
      <c r="W625" s="17" t="s">
        <v>4559</v>
      </c>
      <c r="X625" s="17" t="s">
        <v>14415</v>
      </c>
      <c r="Y625" s="17" t="s">
        <v>4727</v>
      </c>
    </row>
    <row r="626" spans="1:25">
      <c r="A626" s="17" t="s">
        <v>14261</v>
      </c>
      <c r="B626" s="17" t="s">
        <v>14261</v>
      </c>
      <c r="C626" s="17" t="s">
        <v>14312</v>
      </c>
      <c r="D626" s="17" t="s">
        <v>6218</v>
      </c>
      <c r="E626" s="17" t="s">
        <v>4721</v>
      </c>
      <c r="F626" s="17" t="s">
        <v>14296</v>
      </c>
      <c r="G626" s="17" t="s">
        <v>2671</v>
      </c>
      <c r="H626" s="17" t="s">
        <v>4312</v>
      </c>
      <c r="I626" s="17" t="s">
        <v>2672</v>
      </c>
      <c r="J626" s="17" t="s">
        <v>4723</v>
      </c>
      <c r="K626" s="17" t="s">
        <v>14296</v>
      </c>
      <c r="L626" s="17" t="s">
        <v>14339</v>
      </c>
      <c r="M626" s="17" t="s">
        <v>6218</v>
      </c>
      <c r="N626" s="17" t="s">
        <v>14356</v>
      </c>
      <c r="O626" s="17" t="s">
        <v>7635</v>
      </c>
      <c r="P626" s="17" t="s">
        <v>14357</v>
      </c>
      <c r="Q626" s="17"/>
      <c r="R626" s="17"/>
      <c r="S626" s="17"/>
      <c r="T626" s="17"/>
      <c r="U626" s="17" t="s">
        <v>14004</v>
      </c>
      <c r="V626" s="17" t="s">
        <v>14356</v>
      </c>
      <c r="W626" s="17" t="s">
        <v>4559</v>
      </c>
      <c r="X626" s="17" t="s">
        <v>14416</v>
      </c>
      <c r="Y626" s="17" t="s">
        <v>4727</v>
      </c>
    </row>
    <row r="627" spans="1:25">
      <c r="A627" s="17" t="s">
        <v>14262</v>
      </c>
      <c r="B627" s="17" t="s">
        <v>14262</v>
      </c>
      <c r="C627" s="17" t="s">
        <v>14313</v>
      </c>
      <c r="D627" s="17" t="s">
        <v>6218</v>
      </c>
      <c r="E627" s="17" t="s">
        <v>4721</v>
      </c>
      <c r="F627" s="17" t="s">
        <v>14297</v>
      </c>
      <c r="G627" s="17" t="s">
        <v>2671</v>
      </c>
      <c r="H627" s="17" t="s">
        <v>4312</v>
      </c>
      <c r="I627" s="17" t="s">
        <v>2672</v>
      </c>
      <c r="J627" s="17" t="s">
        <v>4723</v>
      </c>
      <c r="K627" s="17" t="s">
        <v>14297</v>
      </c>
      <c r="L627" s="17" t="s">
        <v>14339</v>
      </c>
      <c r="M627" s="17" t="s">
        <v>6218</v>
      </c>
      <c r="N627" s="17" t="s">
        <v>14358</v>
      </c>
      <c r="O627" s="17" t="s">
        <v>7635</v>
      </c>
      <c r="P627" s="17" t="s">
        <v>14359</v>
      </c>
      <c r="Q627" s="17"/>
      <c r="R627" s="17"/>
      <c r="S627" s="17"/>
      <c r="T627" s="17"/>
      <c r="U627" s="17" t="s">
        <v>14004</v>
      </c>
      <c r="V627" s="17" t="s">
        <v>14358</v>
      </c>
      <c r="W627" s="17" t="s">
        <v>4559</v>
      </c>
      <c r="X627" s="17" t="s">
        <v>14417</v>
      </c>
      <c r="Y627" s="17" t="s">
        <v>4727</v>
      </c>
    </row>
    <row r="628" spans="1:25">
      <c r="A628" s="17" t="s">
        <v>14263</v>
      </c>
      <c r="B628" s="17" t="s">
        <v>14263</v>
      </c>
      <c r="C628" s="17" t="s">
        <v>14314</v>
      </c>
      <c r="D628" s="17" t="s">
        <v>6218</v>
      </c>
      <c r="E628" s="17" t="s">
        <v>4721</v>
      </c>
      <c r="F628" s="17" t="s">
        <v>14298</v>
      </c>
      <c r="G628" s="17" t="s">
        <v>2671</v>
      </c>
      <c r="H628" s="17" t="s">
        <v>4312</v>
      </c>
      <c r="I628" s="17" t="s">
        <v>2672</v>
      </c>
      <c r="J628" s="17" t="s">
        <v>4723</v>
      </c>
      <c r="K628" s="17" t="s">
        <v>14298</v>
      </c>
      <c r="L628" s="17" t="s">
        <v>14339</v>
      </c>
      <c r="M628" s="17" t="s">
        <v>6218</v>
      </c>
      <c r="N628" s="17" t="s">
        <v>14360</v>
      </c>
      <c r="O628" s="17" t="s">
        <v>7635</v>
      </c>
      <c r="P628" s="17" t="s">
        <v>14361</v>
      </c>
      <c r="Q628" s="17"/>
      <c r="R628" s="17"/>
      <c r="S628" s="17"/>
      <c r="T628" s="17"/>
      <c r="U628" s="17" t="s">
        <v>14004</v>
      </c>
      <c r="V628" s="17" t="s">
        <v>14360</v>
      </c>
      <c r="W628" s="17" t="s">
        <v>4559</v>
      </c>
      <c r="X628" s="17" t="s">
        <v>14418</v>
      </c>
      <c r="Y628" s="17" t="s">
        <v>4727</v>
      </c>
    </row>
    <row r="629" spans="1:25">
      <c r="A629" s="17" t="s">
        <v>14264</v>
      </c>
      <c r="B629" s="17" t="s">
        <v>14264</v>
      </c>
      <c r="C629" s="17" t="s">
        <v>14315</v>
      </c>
      <c r="D629" s="17" t="s">
        <v>6218</v>
      </c>
      <c r="E629" s="17" t="s">
        <v>4721</v>
      </c>
      <c r="F629" s="17" t="s">
        <v>14299</v>
      </c>
      <c r="G629" s="17" t="s">
        <v>2671</v>
      </c>
      <c r="H629" s="17" t="s">
        <v>4312</v>
      </c>
      <c r="I629" s="17" t="s">
        <v>2672</v>
      </c>
      <c r="J629" s="17" t="s">
        <v>4723</v>
      </c>
      <c r="K629" s="17" t="s">
        <v>14299</v>
      </c>
      <c r="L629" s="17" t="s">
        <v>14339</v>
      </c>
      <c r="M629" s="17" t="s">
        <v>6218</v>
      </c>
      <c r="N629" s="17" t="s">
        <v>14362</v>
      </c>
      <c r="O629" s="17" t="s">
        <v>7635</v>
      </c>
      <c r="P629" s="17" t="s">
        <v>14363</v>
      </c>
      <c r="Q629" s="17"/>
      <c r="R629" s="17"/>
      <c r="S629" s="17"/>
      <c r="T629" s="17"/>
      <c r="U629" s="17" t="s">
        <v>14004</v>
      </c>
      <c r="V629" s="17" t="s">
        <v>14362</v>
      </c>
      <c r="W629" s="17" t="s">
        <v>4559</v>
      </c>
      <c r="X629" s="17" t="s">
        <v>14419</v>
      </c>
      <c r="Y629" s="17" t="s">
        <v>4727</v>
      </c>
    </row>
    <row r="630" spans="1:25">
      <c r="A630" s="17" t="s">
        <v>14265</v>
      </c>
      <c r="B630" s="17" t="s">
        <v>14265</v>
      </c>
      <c r="C630" s="17" t="s">
        <v>14316</v>
      </c>
      <c r="D630" s="17" t="s">
        <v>6218</v>
      </c>
      <c r="E630" s="17" t="s">
        <v>4721</v>
      </c>
      <c r="F630" s="17" t="s">
        <v>4709</v>
      </c>
      <c r="G630" s="17" t="s">
        <v>2671</v>
      </c>
      <c r="H630" s="17" t="s">
        <v>4312</v>
      </c>
      <c r="I630" s="17" t="s">
        <v>2672</v>
      </c>
      <c r="J630" s="17" t="s">
        <v>4723</v>
      </c>
      <c r="K630" s="17" t="s">
        <v>4709</v>
      </c>
      <c r="L630" s="17" t="s">
        <v>14339</v>
      </c>
      <c r="M630" s="17" t="s">
        <v>6218</v>
      </c>
      <c r="N630" s="17" t="s">
        <v>14364</v>
      </c>
      <c r="O630" s="17" t="s">
        <v>7635</v>
      </c>
      <c r="P630" s="17" t="s">
        <v>14365</v>
      </c>
      <c r="Q630" s="17"/>
      <c r="R630" s="17"/>
      <c r="S630" s="17"/>
      <c r="T630" s="17"/>
      <c r="U630" s="17" t="s">
        <v>14004</v>
      </c>
      <c r="V630" s="17" t="s">
        <v>14364</v>
      </c>
      <c r="W630" s="17" t="s">
        <v>4559</v>
      </c>
      <c r="X630" s="17" t="s">
        <v>14420</v>
      </c>
      <c r="Y630" s="17" t="s">
        <v>4727</v>
      </c>
    </row>
    <row r="631" spans="1:25">
      <c r="A631" s="17" t="s">
        <v>14266</v>
      </c>
      <c r="B631" s="17" t="s">
        <v>14266</v>
      </c>
      <c r="C631" s="17" t="s">
        <v>14317</v>
      </c>
      <c r="D631" s="17" t="s">
        <v>6218</v>
      </c>
      <c r="E631" s="17" t="s">
        <v>4721</v>
      </c>
      <c r="F631" s="17" t="s">
        <v>2703</v>
      </c>
      <c r="G631" s="17" t="s">
        <v>2671</v>
      </c>
      <c r="H631" s="17" t="s">
        <v>4312</v>
      </c>
      <c r="I631" s="17" t="s">
        <v>2672</v>
      </c>
      <c r="J631" s="17" t="s">
        <v>4723</v>
      </c>
      <c r="K631" s="17" t="s">
        <v>2703</v>
      </c>
      <c r="L631" s="17" t="s">
        <v>14339</v>
      </c>
      <c r="M631" s="17" t="s">
        <v>6218</v>
      </c>
      <c r="N631" s="17" t="s">
        <v>14366</v>
      </c>
      <c r="O631" s="17" t="s">
        <v>7635</v>
      </c>
      <c r="P631" s="17" t="s">
        <v>14367</v>
      </c>
      <c r="Q631" s="17"/>
      <c r="R631" s="17"/>
      <c r="S631" s="17"/>
      <c r="T631" s="17"/>
      <c r="U631" s="17" t="s">
        <v>14004</v>
      </c>
      <c r="V631" s="17" t="s">
        <v>14366</v>
      </c>
      <c r="W631" s="17" t="s">
        <v>4559</v>
      </c>
      <c r="X631" s="17" t="s">
        <v>14421</v>
      </c>
      <c r="Y631" s="17" t="s">
        <v>4727</v>
      </c>
    </row>
    <row r="632" spans="1:25">
      <c r="A632" s="17" t="s">
        <v>14267</v>
      </c>
      <c r="B632" s="17" t="s">
        <v>14267</v>
      </c>
      <c r="C632" s="17" t="s">
        <v>14318</v>
      </c>
      <c r="D632" s="17" t="s">
        <v>6218</v>
      </c>
      <c r="E632" s="17" t="s">
        <v>4721</v>
      </c>
      <c r="F632" s="17" t="s">
        <v>14300</v>
      </c>
      <c r="G632" s="17" t="s">
        <v>2671</v>
      </c>
      <c r="H632" s="17" t="s">
        <v>4312</v>
      </c>
      <c r="I632" s="17" t="s">
        <v>2672</v>
      </c>
      <c r="J632" s="17" t="s">
        <v>4723</v>
      </c>
      <c r="K632" s="17" t="s">
        <v>14300</v>
      </c>
      <c r="L632" s="17" t="s">
        <v>14339</v>
      </c>
      <c r="M632" s="17" t="s">
        <v>6218</v>
      </c>
      <c r="N632" s="17" t="s">
        <v>14368</v>
      </c>
      <c r="O632" s="17" t="s">
        <v>7635</v>
      </c>
      <c r="P632" s="17" t="s">
        <v>14369</v>
      </c>
      <c r="Q632" s="17"/>
      <c r="R632" s="17"/>
      <c r="S632" s="17"/>
      <c r="T632" s="17"/>
      <c r="U632" s="17" t="s">
        <v>14004</v>
      </c>
      <c r="V632" s="17" t="s">
        <v>14368</v>
      </c>
      <c r="W632" s="17" t="s">
        <v>4559</v>
      </c>
      <c r="X632" s="17" t="s">
        <v>14422</v>
      </c>
      <c r="Y632" s="17" t="s">
        <v>4727</v>
      </c>
    </row>
    <row r="633" spans="1:25">
      <c r="A633" s="17" t="s">
        <v>14268</v>
      </c>
      <c r="B633" s="17" t="s">
        <v>14268</v>
      </c>
      <c r="C633" s="17" t="s">
        <v>14319</v>
      </c>
      <c r="D633" s="17" t="s">
        <v>6218</v>
      </c>
      <c r="E633" s="17" t="s">
        <v>4721</v>
      </c>
      <c r="F633" s="17" t="s">
        <v>14301</v>
      </c>
      <c r="G633" s="17" t="s">
        <v>2671</v>
      </c>
      <c r="H633" s="17" t="s">
        <v>4312</v>
      </c>
      <c r="I633" s="17" t="s">
        <v>2672</v>
      </c>
      <c r="J633" s="17" t="s">
        <v>4723</v>
      </c>
      <c r="K633" s="17" t="s">
        <v>14301</v>
      </c>
      <c r="L633" s="17" t="s">
        <v>14339</v>
      </c>
      <c r="M633" s="17" t="s">
        <v>6218</v>
      </c>
      <c r="N633" s="17" t="s">
        <v>14370</v>
      </c>
      <c r="O633" s="17" t="s">
        <v>7635</v>
      </c>
      <c r="P633" s="17" t="s">
        <v>14371</v>
      </c>
      <c r="Q633" s="17"/>
      <c r="R633" s="17"/>
      <c r="S633" s="17"/>
      <c r="T633" s="17"/>
      <c r="U633" s="17" t="s">
        <v>14004</v>
      </c>
      <c r="V633" s="17" t="s">
        <v>14370</v>
      </c>
      <c r="W633" s="17" t="s">
        <v>4559</v>
      </c>
      <c r="X633" s="17" t="s">
        <v>14423</v>
      </c>
      <c r="Y633" s="17" t="s">
        <v>4727</v>
      </c>
    </row>
    <row r="634" spans="1:25">
      <c r="A634" s="17" t="s">
        <v>14269</v>
      </c>
      <c r="B634" s="17" t="s">
        <v>14269</v>
      </c>
      <c r="C634" s="17" t="s">
        <v>14320</v>
      </c>
      <c r="D634" s="17" t="s">
        <v>6218</v>
      </c>
      <c r="E634" s="17" t="s">
        <v>4721</v>
      </c>
      <c r="F634" s="17" t="s">
        <v>2729</v>
      </c>
      <c r="G634" s="17" t="s">
        <v>2671</v>
      </c>
      <c r="H634" s="17" t="s">
        <v>4312</v>
      </c>
      <c r="I634" s="17" t="s">
        <v>2672</v>
      </c>
      <c r="J634" s="17" t="s">
        <v>4723</v>
      </c>
      <c r="K634" s="17" t="s">
        <v>2729</v>
      </c>
      <c r="L634" s="17" t="s">
        <v>14339</v>
      </c>
      <c r="M634" s="17" t="s">
        <v>6218</v>
      </c>
      <c r="N634" s="17" t="s">
        <v>14372</v>
      </c>
      <c r="O634" s="17" t="s">
        <v>7635</v>
      </c>
      <c r="P634" s="17" t="s">
        <v>14373</v>
      </c>
      <c r="Q634" s="17"/>
      <c r="R634" s="17"/>
      <c r="S634" s="17"/>
      <c r="T634" s="17"/>
      <c r="U634" s="17" t="s">
        <v>14004</v>
      </c>
      <c r="V634" s="17" t="s">
        <v>14372</v>
      </c>
      <c r="W634" s="17" t="s">
        <v>4559</v>
      </c>
      <c r="X634" s="17" t="s">
        <v>14424</v>
      </c>
      <c r="Y634" s="17" t="s">
        <v>4727</v>
      </c>
    </row>
    <row r="635" spans="1:25">
      <c r="A635" s="17" t="s">
        <v>14270</v>
      </c>
      <c r="B635" s="17" t="s">
        <v>14270</v>
      </c>
      <c r="C635" s="17" t="s">
        <v>14321</v>
      </c>
      <c r="D635" s="17" t="s">
        <v>6218</v>
      </c>
      <c r="E635" s="17" t="s">
        <v>4721</v>
      </c>
      <c r="F635" s="17" t="s">
        <v>2738</v>
      </c>
      <c r="G635" s="17" t="s">
        <v>2671</v>
      </c>
      <c r="H635" s="17" t="s">
        <v>4312</v>
      </c>
      <c r="I635" s="17" t="s">
        <v>2672</v>
      </c>
      <c r="J635" s="17" t="s">
        <v>4723</v>
      </c>
      <c r="K635" s="17" t="s">
        <v>2738</v>
      </c>
      <c r="L635" s="17" t="s">
        <v>14339</v>
      </c>
      <c r="M635" s="17" t="s">
        <v>6218</v>
      </c>
      <c r="N635" s="17" t="s">
        <v>14374</v>
      </c>
      <c r="O635" s="17" t="s">
        <v>7635</v>
      </c>
      <c r="P635" s="17" t="s">
        <v>14375</v>
      </c>
      <c r="Q635" s="17"/>
      <c r="R635" s="17"/>
      <c r="S635" s="17"/>
      <c r="T635" s="17"/>
      <c r="U635" s="17" t="s">
        <v>14004</v>
      </c>
      <c r="V635" s="17" t="s">
        <v>14374</v>
      </c>
      <c r="W635" s="17" t="s">
        <v>4559</v>
      </c>
      <c r="X635" s="17" t="s">
        <v>14425</v>
      </c>
      <c r="Y635" s="17" t="s">
        <v>4727</v>
      </c>
    </row>
    <row r="636" spans="1:25">
      <c r="A636" s="17" t="s">
        <v>14271</v>
      </c>
      <c r="B636" s="17" t="s">
        <v>14271</v>
      </c>
      <c r="C636" s="17" t="s">
        <v>14322</v>
      </c>
      <c r="D636" s="17" t="s">
        <v>6218</v>
      </c>
      <c r="E636" s="17" t="s">
        <v>4721</v>
      </c>
      <c r="F636" s="17" t="s">
        <v>2742</v>
      </c>
      <c r="G636" s="17" t="s">
        <v>2671</v>
      </c>
      <c r="H636" s="17" t="s">
        <v>4312</v>
      </c>
      <c r="I636" s="17" t="s">
        <v>2672</v>
      </c>
      <c r="J636" s="17" t="s">
        <v>4723</v>
      </c>
      <c r="K636" s="17" t="s">
        <v>2742</v>
      </c>
      <c r="L636" s="17" t="s">
        <v>14339</v>
      </c>
      <c r="M636" s="17" t="s">
        <v>6218</v>
      </c>
      <c r="N636" s="17" t="s">
        <v>14376</v>
      </c>
      <c r="O636" s="17" t="s">
        <v>7635</v>
      </c>
      <c r="P636" s="17" t="s">
        <v>14377</v>
      </c>
      <c r="Q636" s="17"/>
      <c r="R636" s="17"/>
      <c r="S636" s="17"/>
      <c r="T636" s="17"/>
      <c r="U636" s="17" t="s">
        <v>14004</v>
      </c>
      <c r="V636" s="17" t="s">
        <v>14376</v>
      </c>
      <c r="W636" s="17" t="s">
        <v>4559</v>
      </c>
      <c r="X636" s="17" t="s">
        <v>14426</v>
      </c>
      <c r="Y636" s="17" t="s">
        <v>4727</v>
      </c>
    </row>
    <row r="637" spans="1:25">
      <c r="A637" s="17" t="s">
        <v>14272</v>
      </c>
      <c r="B637" s="17" t="s">
        <v>14272</v>
      </c>
      <c r="C637" s="17" t="s">
        <v>14323</v>
      </c>
      <c r="D637" s="17" t="s">
        <v>6218</v>
      </c>
      <c r="E637" s="17" t="s">
        <v>4721</v>
      </c>
      <c r="F637" s="17" t="s">
        <v>2751</v>
      </c>
      <c r="G637" s="17" t="s">
        <v>2671</v>
      </c>
      <c r="H637" s="17" t="s">
        <v>4312</v>
      </c>
      <c r="I637" s="17" t="s">
        <v>2672</v>
      </c>
      <c r="J637" s="17" t="s">
        <v>4723</v>
      </c>
      <c r="K637" s="17" t="s">
        <v>2751</v>
      </c>
      <c r="L637" s="17" t="s">
        <v>14339</v>
      </c>
      <c r="M637" s="17" t="s">
        <v>6218</v>
      </c>
      <c r="N637" s="17" t="s">
        <v>14378</v>
      </c>
      <c r="O637" s="17" t="s">
        <v>7635</v>
      </c>
      <c r="P637" s="17" t="s">
        <v>14379</v>
      </c>
      <c r="Q637" s="17"/>
      <c r="R637" s="17"/>
      <c r="S637" s="17"/>
      <c r="T637" s="17"/>
      <c r="U637" s="17" t="s">
        <v>14004</v>
      </c>
      <c r="V637" s="17" t="s">
        <v>14378</v>
      </c>
      <c r="W637" s="17" t="s">
        <v>4559</v>
      </c>
      <c r="X637" s="17" t="s">
        <v>14427</v>
      </c>
      <c r="Y637" s="17" t="s">
        <v>4727</v>
      </c>
    </row>
    <row r="638" spans="1:25">
      <c r="A638" s="17" t="s">
        <v>14273</v>
      </c>
      <c r="B638" s="17" t="s">
        <v>14273</v>
      </c>
      <c r="C638" s="17" t="s">
        <v>14324</v>
      </c>
      <c r="D638" s="17" t="s">
        <v>6218</v>
      </c>
      <c r="E638" s="17" t="s">
        <v>4721</v>
      </c>
      <c r="F638" s="17" t="s">
        <v>2760</v>
      </c>
      <c r="G638" s="17" t="s">
        <v>2671</v>
      </c>
      <c r="H638" s="17" t="s">
        <v>4312</v>
      </c>
      <c r="I638" s="17" t="s">
        <v>2672</v>
      </c>
      <c r="J638" s="17" t="s">
        <v>4723</v>
      </c>
      <c r="K638" s="17" t="s">
        <v>2760</v>
      </c>
      <c r="L638" s="17" t="s">
        <v>14339</v>
      </c>
      <c r="M638" s="17" t="s">
        <v>6218</v>
      </c>
      <c r="N638" s="17" t="s">
        <v>14380</v>
      </c>
      <c r="O638" s="17" t="s">
        <v>7635</v>
      </c>
      <c r="P638" s="17" t="s">
        <v>14381</v>
      </c>
      <c r="Q638" s="17"/>
      <c r="R638" s="17"/>
      <c r="S638" s="17"/>
      <c r="T638" s="17"/>
      <c r="U638" s="17" t="s">
        <v>14004</v>
      </c>
      <c r="V638" s="17" t="s">
        <v>14380</v>
      </c>
      <c r="W638" s="17" t="s">
        <v>4559</v>
      </c>
      <c r="X638" s="17" t="s">
        <v>14428</v>
      </c>
      <c r="Y638" s="17" t="s">
        <v>4727</v>
      </c>
    </row>
    <row r="639" spans="1:25">
      <c r="A639" s="17" t="s">
        <v>14274</v>
      </c>
      <c r="B639" s="17" t="s">
        <v>14274</v>
      </c>
      <c r="C639" s="17" t="s">
        <v>14325</v>
      </c>
      <c r="D639" s="17" t="s">
        <v>6218</v>
      </c>
      <c r="E639" s="17" t="s">
        <v>4721</v>
      </c>
      <c r="F639" s="17" t="s">
        <v>2769</v>
      </c>
      <c r="G639" s="17" t="s">
        <v>2671</v>
      </c>
      <c r="H639" s="17" t="s">
        <v>4312</v>
      </c>
      <c r="I639" s="17" t="s">
        <v>2672</v>
      </c>
      <c r="J639" s="17" t="s">
        <v>4723</v>
      </c>
      <c r="K639" s="17" t="s">
        <v>2769</v>
      </c>
      <c r="L639" s="17" t="s">
        <v>14339</v>
      </c>
      <c r="M639" s="17" t="s">
        <v>6218</v>
      </c>
      <c r="N639" s="17" t="s">
        <v>14382</v>
      </c>
      <c r="O639" s="17" t="s">
        <v>7635</v>
      </c>
      <c r="P639" s="17" t="s">
        <v>14383</v>
      </c>
      <c r="Q639" s="17"/>
      <c r="R639" s="17"/>
      <c r="S639" s="17"/>
      <c r="T639" s="17"/>
      <c r="U639" s="17" t="s">
        <v>14004</v>
      </c>
      <c r="V639" s="17" t="s">
        <v>14382</v>
      </c>
      <c r="W639" s="17" t="s">
        <v>4559</v>
      </c>
      <c r="X639" s="17" t="s">
        <v>14429</v>
      </c>
      <c r="Y639" s="17" t="s">
        <v>4727</v>
      </c>
    </row>
    <row r="640" spans="1:25">
      <c r="A640" s="17" t="s">
        <v>14275</v>
      </c>
      <c r="B640" s="17" t="s">
        <v>14275</v>
      </c>
      <c r="C640" s="17" t="s">
        <v>14326</v>
      </c>
      <c r="D640" s="17" t="s">
        <v>6218</v>
      </c>
      <c r="E640" s="17" t="s">
        <v>4721</v>
      </c>
      <c r="F640" s="17" t="s">
        <v>2778</v>
      </c>
      <c r="G640" s="17" t="s">
        <v>2671</v>
      </c>
      <c r="H640" s="17" t="s">
        <v>4312</v>
      </c>
      <c r="I640" s="17" t="s">
        <v>2672</v>
      </c>
      <c r="J640" s="17" t="s">
        <v>4723</v>
      </c>
      <c r="K640" s="17" t="s">
        <v>2778</v>
      </c>
      <c r="L640" s="17" t="s">
        <v>14339</v>
      </c>
      <c r="M640" s="17" t="s">
        <v>6218</v>
      </c>
      <c r="N640" s="17" t="s">
        <v>14384</v>
      </c>
      <c r="O640" s="17" t="s">
        <v>7635</v>
      </c>
      <c r="P640" s="17" t="s">
        <v>14385</v>
      </c>
      <c r="Q640" s="17"/>
      <c r="R640" s="17"/>
      <c r="S640" s="17"/>
      <c r="T640" s="17"/>
      <c r="U640" s="17" t="s">
        <v>14004</v>
      </c>
      <c r="V640" s="17" t="s">
        <v>14384</v>
      </c>
      <c r="W640" s="17" t="s">
        <v>4559</v>
      </c>
      <c r="X640" s="17" t="s">
        <v>14430</v>
      </c>
      <c r="Y640" s="17" t="s">
        <v>4727</v>
      </c>
    </row>
    <row r="641" spans="1:25">
      <c r="A641" s="17" t="s">
        <v>14276</v>
      </c>
      <c r="B641" s="17" t="s">
        <v>14276</v>
      </c>
      <c r="C641" s="17" t="s">
        <v>14327</v>
      </c>
      <c r="D641" s="17" t="s">
        <v>6218</v>
      </c>
      <c r="E641" s="17" t="s">
        <v>4721</v>
      </c>
      <c r="F641" s="17" t="s">
        <v>2787</v>
      </c>
      <c r="G641" s="17" t="s">
        <v>2671</v>
      </c>
      <c r="H641" s="17" t="s">
        <v>4312</v>
      </c>
      <c r="I641" s="17" t="s">
        <v>2672</v>
      </c>
      <c r="J641" s="17" t="s">
        <v>4723</v>
      </c>
      <c r="K641" s="17" t="s">
        <v>2787</v>
      </c>
      <c r="L641" s="17" t="s">
        <v>14339</v>
      </c>
      <c r="M641" s="17" t="s">
        <v>6218</v>
      </c>
      <c r="N641" s="17" t="s">
        <v>14386</v>
      </c>
      <c r="O641" s="17" t="s">
        <v>7635</v>
      </c>
      <c r="P641" s="17" t="s">
        <v>14387</v>
      </c>
      <c r="Q641" s="17"/>
      <c r="R641" s="17"/>
      <c r="S641" s="17"/>
      <c r="T641" s="17"/>
      <c r="U641" s="17" t="s">
        <v>14004</v>
      </c>
      <c r="V641" s="17" t="s">
        <v>14386</v>
      </c>
      <c r="W641" s="17" t="s">
        <v>4559</v>
      </c>
      <c r="X641" s="17" t="s">
        <v>14431</v>
      </c>
      <c r="Y641" s="17" t="s">
        <v>4727</v>
      </c>
    </row>
    <row r="642" spans="1:25">
      <c r="A642" s="17" t="s">
        <v>14277</v>
      </c>
      <c r="B642" s="17" t="s">
        <v>14277</v>
      </c>
      <c r="C642" s="17" t="s">
        <v>14328</v>
      </c>
      <c r="D642" s="17" t="s">
        <v>6218</v>
      </c>
      <c r="E642" s="17" t="s">
        <v>4721</v>
      </c>
      <c r="F642" s="17" t="s">
        <v>2791</v>
      </c>
      <c r="G642" s="17" t="s">
        <v>2671</v>
      </c>
      <c r="H642" s="17" t="s">
        <v>4312</v>
      </c>
      <c r="I642" s="17" t="s">
        <v>2672</v>
      </c>
      <c r="J642" s="17" t="s">
        <v>4723</v>
      </c>
      <c r="K642" s="17" t="s">
        <v>2791</v>
      </c>
      <c r="L642" s="17" t="s">
        <v>14339</v>
      </c>
      <c r="M642" s="17" t="s">
        <v>6218</v>
      </c>
      <c r="N642" s="17" t="s">
        <v>14388</v>
      </c>
      <c r="O642" s="17" t="s">
        <v>7635</v>
      </c>
      <c r="P642" s="17" t="s">
        <v>14389</v>
      </c>
      <c r="Q642" s="17"/>
      <c r="R642" s="17"/>
      <c r="S642" s="17"/>
      <c r="T642" s="17"/>
      <c r="U642" s="17" t="s">
        <v>14004</v>
      </c>
      <c r="V642" s="17" t="s">
        <v>14388</v>
      </c>
      <c r="W642" s="17" t="s">
        <v>4559</v>
      </c>
      <c r="X642" s="17" t="s">
        <v>14432</v>
      </c>
      <c r="Y642" s="17" t="s">
        <v>4727</v>
      </c>
    </row>
    <row r="643" spans="1:25">
      <c r="A643" s="17" t="s">
        <v>14278</v>
      </c>
      <c r="B643" s="17" t="s">
        <v>14278</v>
      </c>
      <c r="C643" s="17" t="s">
        <v>14329</v>
      </c>
      <c r="D643" s="17" t="s">
        <v>6218</v>
      </c>
      <c r="E643" s="17" t="s">
        <v>4721</v>
      </c>
      <c r="F643" s="17" t="s">
        <v>2800</v>
      </c>
      <c r="G643" s="17" t="s">
        <v>2671</v>
      </c>
      <c r="H643" s="17" t="s">
        <v>4312</v>
      </c>
      <c r="I643" s="17" t="s">
        <v>2672</v>
      </c>
      <c r="J643" s="17" t="s">
        <v>4723</v>
      </c>
      <c r="K643" s="17" t="s">
        <v>2800</v>
      </c>
      <c r="L643" s="17" t="s">
        <v>14339</v>
      </c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</row>
    <row r="644" spans="1:25">
      <c r="A644" s="17" t="s">
        <v>14279</v>
      </c>
      <c r="B644" s="17" t="s">
        <v>14279</v>
      </c>
      <c r="C644" s="17" t="s">
        <v>14330</v>
      </c>
      <c r="D644" s="17" t="s">
        <v>6218</v>
      </c>
      <c r="E644" s="17" t="s">
        <v>4721</v>
      </c>
      <c r="F644" s="17" t="s">
        <v>2809</v>
      </c>
      <c r="G644" s="17" t="s">
        <v>2671</v>
      </c>
      <c r="H644" s="17" t="s">
        <v>4312</v>
      </c>
      <c r="I644" s="17" t="s">
        <v>2672</v>
      </c>
      <c r="J644" s="17" t="s">
        <v>4723</v>
      </c>
      <c r="K644" s="17" t="s">
        <v>2809</v>
      </c>
      <c r="L644" s="17" t="s">
        <v>14339</v>
      </c>
      <c r="M644" s="17" t="s">
        <v>6218</v>
      </c>
      <c r="N644" s="17" t="s">
        <v>14390</v>
      </c>
      <c r="O644" s="17" t="s">
        <v>7635</v>
      </c>
      <c r="P644" s="17" t="s">
        <v>14391</v>
      </c>
      <c r="Q644" s="17"/>
      <c r="R644" s="17"/>
      <c r="S644" s="17"/>
      <c r="T644" s="17"/>
      <c r="U644" s="17" t="s">
        <v>14004</v>
      </c>
      <c r="V644" s="17" t="s">
        <v>14390</v>
      </c>
      <c r="W644" s="17" t="s">
        <v>4559</v>
      </c>
      <c r="X644" s="17" t="s">
        <v>14433</v>
      </c>
      <c r="Y644" s="17" t="s">
        <v>4727</v>
      </c>
    </row>
    <row r="645" spans="1:25">
      <c r="A645" s="17" t="s">
        <v>14280</v>
      </c>
      <c r="B645" s="17" t="s">
        <v>14280</v>
      </c>
      <c r="C645" s="17" t="s">
        <v>14331</v>
      </c>
      <c r="D645" s="17" t="s">
        <v>6218</v>
      </c>
      <c r="E645" s="17" t="s">
        <v>4721</v>
      </c>
      <c r="F645" s="17" t="s">
        <v>2818</v>
      </c>
      <c r="G645" s="17" t="s">
        <v>2671</v>
      </c>
      <c r="H645" s="17" t="s">
        <v>4312</v>
      </c>
      <c r="I645" s="17" t="s">
        <v>2672</v>
      </c>
      <c r="J645" s="17" t="s">
        <v>4723</v>
      </c>
      <c r="K645" s="17" t="s">
        <v>2818</v>
      </c>
      <c r="L645" s="17" t="s">
        <v>14339</v>
      </c>
      <c r="M645" s="17" t="s">
        <v>6218</v>
      </c>
      <c r="N645" s="17" t="s">
        <v>14392</v>
      </c>
      <c r="O645" s="17" t="s">
        <v>7635</v>
      </c>
      <c r="P645" s="17" t="s">
        <v>14393</v>
      </c>
      <c r="Q645" s="17"/>
      <c r="R645" s="17"/>
      <c r="S645" s="17"/>
      <c r="T645" s="17"/>
      <c r="U645" s="17" t="s">
        <v>14004</v>
      </c>
      <c r="V645" s="17" t="s">
        <v>14392</v>
      </c>
      <c r="W645" s="17" t="s">
        <v>4559</v>
      </c>
      <c r="X645" s="17" t="s">
        <v>14434</v>
      </c>
      <c r="Y645" s="17" t="s">
        <v>4727</v>
      </c>
    </row>
    <row r="646" spans="1:25">
      <c r="A646" s="17" t="s">
        <v>14281</v>
      </c>
      <c r="B646" s="17" t="s">
        <v>14281</v>
      </c>
      <c r="C646" s="17" t="s">
        <v>14332</v>
      </c>
      <c r="D646" s="17" t="s">
        <v>6218</v>
      </c>
      <c r="E646" s="17" t="s">
        <v>4721</v>
      </c>
      <c r="F646" s="17" t="s">
        <v>14302</v>
      </c>
      <c r="G646" s="17" t="s">
        <v>2671</v>
      </c>
      <c r="H646" s="17" t="s">
        <v>4312</v>
      </c>
      <c r="I646" s="17" t="s">
        <v>2672</v>
      </c>
      <c r="J646" s="17" t="s">
        <v>4723</v>
      </c>
      <c r="K646" s="17" t="s">
        <v>14302</v>
      </c>
      <c r="L646" s="17" t="s">
        <v>14339</v>
      </c>
      <c r="M646" s="17" t="s">
        <v>6218</v>
      </c>
      <c r="N646" s="17" t="s">
        <v>14394</v>
      </c>
      <c r="O646" s="17" t="s">
        <v>7635</v>
      </c>
      <c r="P646" s="17" t="s">
        <v>14395</v>
      </c>
      <c r="Q646" s="17"/>
      <c r="R646" s="17"/>
      <c r="S646" s="17"/>
      <c r="T646" s="17"/>
      <c r="U646" s="17" t="s">
        <v>14004</v>
      </c>
      <c r="V646" s="17" t="s">
        <v>14394</v>
      </c>
      <c r="W646" s="17" t="s">
        <v>4559</v>
      </c>
      <c r="X646" s="17" t="s">
        <v>14435</v>
      </c>
      <c r="Y646" s="17" t="s">
        <v>4727</v>
      </c>
    </row>
    <row r="647" spans="1:25">
      <c r="A647" s="17" t="s">
        <v>14282</v>
      </c>
      <c r="B647" s="17" t="s">
        <v>14282</v>
      </c>
      <c r="C647" s="17" t="s">
        <v>14333</v>
      </c>
      <c r="D647" s="17" t="s">
        <v>6218</v>
      </c>
      <c r="E647" s="17" t="s">
        <v>4721</v>
      </c>
      <c r="F647" s="17" t="s">
        <v>2836</v>
      </c>
      <c r="G647" s="17" t="s">
        <v>2671</v>
      </c>
      <c r="H647" s="17" t="s">
        <v>4312</v>
      </c>
      <c r="I647" s="17" t="s">
        <v>2672</v>
      </c>
      <c r="J647" s="17" t="s">
        <v>4723</v>
      </c>
      <c r="K647" s="17" t="s">
        <v>2836</v>
      </c>
      <c r="L647" s="17" t="s">
        <v>14339</v>
      </c>
      <c r="M647" s="17" t="s">
        <v>6218</v>
      </c>
      <c r="N647" s="17" t="s">
        <v>14396</v>
      </c>
      <c r="O647" s="17" t="s">
        <v>7635</v>
      </c>
      <c r="P647" s="17" t="s">
        <v>14397</v>
      </c>
      <c r="Q647" s="17"/>
      <c r="R647" s="17"/>
      <c r="S647" s="17"/>
      <c r="T647" s="17"/>
      <c r="U647" s="17" t="s">
        <v>14004</v>
      </c>
      <c r="V647" s="17" t="s">
        <v>14396</v>
      </c>
      <c r="W647" s="17" t="s">
        <v>4559</v>
      </c>
      <c r="X647" s="17" t="s">
        <v>14436</v>
      </c>
      <c r="Y647" s="17" t="s">
        <v>4727</v>
      </c>
    </row>
    <row r="648" spans="1:25">
      <c r="A648" s="17" t="s">
        <v>14283</v>
      </c>
      <c r="B648" s="17" t="s">
        <v>14283</v>
      </c>
      <c r="C648" s="17" t="s">
        <v>14334</v>
      </c>
      <c r="D648" s="17" t="s">
        <v>6218</v>
      </c>
      <c r="E648" s="17" t="s">
        <v>4721</v>
      </c>
      <c r="F648" s="17" t="s">
        <v>2845</v>
      </c>
      <c r="G648" s="17" t="s">
        <v>2671</v>
      </c>
      <c r="H648" s="17" t="s">
        <v>4312</v>
      </c>
      <c r="I648" s="17" t="s">
        <v>2672</v>
      </c>
      <c r="J648" s="17" t="s">
        <v>4723</v>
      </c>
      <c r="K648" s="17" t="s">
        <v>2845</v>
      </c>
      <c r="L648" s="17" t="s">
        <v>14339</v>
      </c>
      <c r="M648" s="17" t="s">
        <v>6218</v>
      </c>
      <c r="N648" s="17" t="s">
        <v>14398</v>
      </c>
      <c r="O648" s="17" t="s">
        <v>7635</v>
      </c>
      <c r="P648" s="17" t="s">
        <v>14399</v>
      </c>
      <c r="Q648" s="17"/>
      <c r="R648" s="17"/>
      <c r="S648" s="17"/>
      <c r="T648" s="17"/>
      <c r="U648" s="17"/>
      <c r="V648" s="17"/>
      <c r="W648" s="17"/>
      <c r="X648" s="17"/>
      <c r="Y648" s="17"/>
    </row>
    <row r="649" spans="1:25">
      <c r="A649" s="17" t="s">
        <v>14284</v>
      </c>
      <c r="B649" s="17" t="s">
        <v>14284</v>
      </c>
      <c r="C649" s="17" t="s">
        <v>14335</v>
      </c>
      <c r="D649" s="17" t="s">
        <v>6218</v>
      </c>
      <c r="E649" s="17" t="s">
        <v>4721</v>
      </c>
      <c r="F649" s="17" t="s">
        <v>2854</v>
      </c>
      <c r="G649" s="17" t="s">
        <v>2671</v>
      </c>
      <c r="H649" s="17" t="s">
        <v>4312</v>
      </c>
      <c r="I649" s="17" t="s">
        <v>2672</v>
      </c>
      <c r="J649" s="17" t="s">
        <v>4723</v>
      </c>
      <c r="K649" s="17" t="s">
        <v>2854</v>
      </c>
      <c r="L649" s="17" t="s">
        <v>14339</v>
      </c>
      <c r="M649" s="17" t="s">
        <v>6218</v>
      </c>
      <c r="N649" s="17" t="s">
        <v>14401</v>
      </c>
      <c r="O649" s="17" t="s">
        <v>7635</v>
      </c>
      <c r="P649" s="17" t="s">
        <v>14400</v>
      </c>
      <c r="Q649" s="17"/>
      <c r="R649" s="17"/>
      <c r="S649" s="17"/>
      <c r="T649" s="17"/>
      <c r="U649" s="17"/>
      <c r="V649" s="17"/>
      <c r="W649" s="17"/>
      <c r="X649" s="17"/>
      <c r="Y649" s="17"/>
    </row>
    <row r="650" spans="1:25">
      <c r="A650" s="17" t="s">
        <v>14285</v>
      </c>
      <c r="B650" s="17" t="s">
        <v>14285</v>
      </c>
      <c r="C650" s="17" t="s">
        <v>14336</v>
      </c>
      <c r="D650" s="17" t="s">
        <v>6218</v>
      </c>
      <c r="E650" s="17" t="s">
        <v>4721</v>
      </c>
      <c r="F650" s="17" t="s">
        <v>2864</v>
      </c>
      <c r="G650" s="17" t="s">
        <v>2671</v>
      </c>
      <c r="H650" s="17" t="s">
        <v>4312</v>
      </c>
      <c r="I650" s="17" t="s">
        <v>2672</v>
      </c>
      <c r="J650" s="17" t="s">
        <v>4723</v>
      </c>
      <c r="K650" s="17" t="s">
        <v>2864</v>
      </c>
      <c r="L650" s="17" t="s">
        <v>14339</v>
      </c>
      <c r="M650" s="17" t="s">
        <v>6218</v>
      </c>
      <c r="N650" s="17" t="s">
        <v>14402</v>
      </c>
      <c r="O650" s="17" t="s">
        <v>7635</v>
      </c>
      <c r="P650" s="17" t="s">
        <v>14403</v>
      </c>
      <c r="Q650" s="17"/>
      <c r="R650" s="17"/>
      <c r="S650" s="17"/>
      <c r="T650" s="17"/>
      <c r="U650" s="17" t="s">
        <v>14004</v>
      </c>
      <c r="V650" s="17" t="s">
        <v>14402</v>
      </c>
      <c r="W650" s="17" t="s">
        <v>4559</v>
      </c>
      <c r="X650" s="17" t="s">
        <v>14437</v>
      </c>
      <c r="Y650" s="17" t="s">
        <v>4727</v>
      </c>
    </row>
    <row r="651" spans="1:25">
      <c r="A651" s="17" t="s">
        <v>14286</v>
      </c>
      <c r="B651" s="17" t="s">
        <v>14286</v>
      </c>
      <c r="C651" s="17" t="s">
        <v>14337</v>
      </c>
      <c r="D651" s="17" t="s">
        <v>6218</v>
      </c>
      <c r="E651" s="17" t="s">
        <v>4721</v>
      </c>
      <c r="F651" s="17" t="s">
        <v>14303</v>
      </c>
      <c r="G651" s="17" t="s">
        <v>2671</v>
      </c>
      <c r="H651" s="17" t="s">
        <v>4312</v>
      </c>
      <c r="I651" s="17" t="s">
        <v>2672</v>
      </c>
      <c r="J651" s="17" t="s">
        <v>4723</v>
      </c>
      <c r="K651" s="17" t="s">
        <v>14303</v>
      </c>
      <c r="L651" s="17" t="s">
        <v>14339</v>
      </c>
      <c r="M651" s="17" t="s">
        <v>6218</v>
      </c>
      <c r="N651" s="17" t="s">
        <v>14404</v>
      </c>
      <c r="O651" s="17" t="s">
        <v>7635</v>
      </c>
      <c r="P651" s="17" t="s">
        <v>14405</v>
      </c>
      <c r="Q651" s="17"/>
      <c r="R651" s="17"/>
      <c r="S651" s="17"/>
      <c r="T651" s="17"/>
      <c r="U651" s="17"/>
      <c r="V651" s="17"/>
      <c r="W651" s="17"/>
      <c r="X651" s="17"/>
      <c r="Y651" s="17"/>
    </row>
    <row r="652" spans="1:25">
      <c r="A652" s="17" t="s">
        <v>14287</v>
      </c>
      <c r="B652" s="17" t="s">
        <v>14287</v>
      </c>
      <c r="C652" s="17" t="s">
        <v>14338</v>
      </c>
      <c r="D652" s="17" t="s">
        <v>6218</v>
      </c>
      <c r="E652" s="17" t="s">
        <v>4721</v>
      </c>
      <c r="F652" s="17" t="s">
        <v>2882</v>
      </c>
      <c r="G652" s="17" t="s">
        <v>2671</v>
      </c>
      <c r="H652" s="17" t="s">
        <v>4312</v>
      </c>
      <c r="I652" s="17" t="s">
        <v>2672</v>
      </c>
      <c r="J652" s="17" t="s">
        <v>4723</v>
      </c>
      <c r="K652" s="17" t="s">
        <v>2882</v>
      </c>
      <c r="L652" s="17" t="s">
        <v>14339</v>
      </c>
      <c r="M652" s="17" t="s">
        <v>6218</v>
      </c>
      <c r="N652" s="17" t="s">
        <v>14406</v>
      </c>
      <c r="O652" s="17" t="s">
        <v>7635</v>
      </c>
      <c r="P652" s="17" t="s">
        <v>14407</v>
      </c>
      <c r="Q652" s="17"/>
      <c r="R652" s="17"/>
      <c r="S652" s="17"/>
      <c r="T652" s="17"/>
      <c r="U652" s="17" t="s">
        <v>14004</v>
      </c>
      <c r="V652" s="17" t="s">
        <v>14406</v>
      </c>
      <c r="W652" s="17" t="s">
        <v>4559</v>
      </c>
      <c r="X652" s="17" t="s">
        <v>14438</v>
      </c>
      <c r="Y652" s="17" t="s">
        <v>4727</v>
      </c>
    </row>
    <row r="653" spans="1:25">
      <c r="A653" t="s">
        <v>18789</v>
      </c>
      <c r="B653" t="s">
        <v>18789</v>
      </c>
      <c r="C653" t="s">
        <v>18790</v>
      </c>
      <c r="D653" t="s">
        <v>6703</v>
      </c>
      <c r="E653" t="s">
        <v>18796</v>
      </c>
      <c r="F653" t="s">
        <v>2800</v>
      </c>
      <c r="G653" s="17" t="s">
        <v>2671</v>
      </c>
      <c r="H653" t="s">
        <v>4247</v>
      </c>
      <c r="I653" s="17" t="s">
        <v>2672</v>
      </c>
      <c r="J653" s="17" t="s">
        <v>18792</v>
      </c>
      <c r="K653" t="s">
        <v>2800</v>
      </c>
      <c r="L653" t="s">
        <v>18799</v>
      </c>
      <c r="M653" t="s">
        <v>6703</v>
      </c>
      <c r="N653" t="s">
        <v>18789</v>
      </c>
      <c r="O653" s="17" t="s">
        <v>7635</v>
      </c>
      <c r="P653" t="s">
        <v>18791</v>
      </c>
    </row>
    <row r="654" spans="1:25">
      <c r="A654" t="s">
        <v>18793</v>
      </c>
      <c r="B654" t="s">
        <v>18793</v>
      </c>
      <c r="C654" t="s">
        <v>18794</v>
      </c>
      <c r="D654" t="s">
        <v>18795</v>
      </c>
      <c r="E654" s="17" t="s">
        <v>7033</v>
      </c>
      <c r="F654" s="17" t="s">
        <v>2845</v>
      </c>
      <c r="G654" s="17" t="s">
        <v>2671</v>
      </c>
      <c r="H654" t="s">
        <v>426</v>
      </c>
      <c r="I654" s="17" t="s">
        <v>2672</v>
      </c>
      <c r="J654" s="17" t="s">
        <v>4412</v>
      </c>
      <c r="K654" t="s">
        <v>2845</v>
      </c>
      <c r="L654" t="s">
        <v>18797</v>
      </c>
      <c r="M654" t="s">
        <v>18793</v>
      </c>
      <c r="N654" t="s">
        <v>18795</v>
      </c>
      <c r="P654" t="s">
        <v>18798</v>
      </c>
    </row>
  </sheetData>
  <phoneticPr fontId="2" type="noConversion"/>
  <hyperlinks>
    <hyperlink ref="R489" r:id="rId1" display="https://www.lcsc.com/product-detail/Schottky-Barrier-Diodes-SBD_Slkor-SLKORMICRO-Elec-SS26_C513477.html" xr:uid="{091CD993-3645-4E44-9CF4-879C490DFAC3}"/>
  </hyperlinks>
  <pageMargins left="0.7" right="0.7" top="0.78740157499999996" bottom="0.78740157499999996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4B020-5085-4A92-A59E-6F79FE036A41}">
  <dimension ref="A1:W37"/>
  <sheetViews>
    <sheetView zoomScale="85" zoomScaleNormal="8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L44" sqref="L44"/>
    </sheetView>
  </sheetViews>
  <sheetFormatPr defaultColWidth="9.28515625" defaultRowHeight="15"/>
  <cols>
    <col min="1" max="1" width="21.42578125" bestFit="1" customWidth="1"/>
    <col min="2" max="2" width="22" bestFit="1" customWidth="1"/>
    <col min="3" max="3" width="45.28515625" customWidth="1"/>
    <col min="4" max="4" width="14.42578125" bestFit="1" customWidth="1"/>
    <col min="5" max="5" width="15.7109375" customWidth="1"/>
    <col min="6" max="6" width="12.42578125" bestFit="1" customWidth="1"/>
    <col min="7" max="7" width="19.42578125" customWidth="1"/>
    <col min="8" max="8" width="15.28515625" bestFit="1" customWidth="1"/>
    <col min="9" max="9" width="27.28515625" bestFit="1" customWidth="1"/>
    <col min="10" max="10" width="9" bestFit="1" customWidth="1"/>
    <col min="11" max="11" width="16" bestFit="1" customWidth="1"/>
    <col min="12" max="12" width="29.28515625" bestFit="1" customWidth="1"/>
    <col min="13" max="13" width="10.5703125" bestFit="1" customWidth="1"/>
    <col min="14" max="14" width="23.7109375" bestFit="1" customWidth="1"/>
    <col min="15" max="15" width="16" bestFit="1" customWidth="1"/>
    <col min="16" max="16" width="29.28515625" bestFit="1" customWidth="1"/>
    <col min="17" max="17" width="10.5703125" bestFit="1" customWidth="1"/>
    <col min="18" max="18" width="23.7109375" bestFit="1" customWidth="1"/>
    <col min="19" max="19" width="26.5703125" bestFit="1" customWidth="1"/>
    <col min="20" max="20" width="28.42578125" bestFit="1" customWidth="1"/>
    <col min="21" max="21" width="10.42578125" bestFit="1" customWidth="1"/>
    <col min="22" max="22" width="23.28515625" bestFit="1" customWidth="1"/>
  </cols>
  <sheetData>
    <row r="1" spans="1:23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4593</v>
      </c>
      <c r="T1" s="1" t="s">
        <v>4594</v>
      </c>
      <c r="U1" s="1" t="s">
        <v>4595</v>
      </c>
      <c r="V1" s="1" t="s">
        <v>4596</v>
      </c>
      <c r="W1" s="1" t="s">
        <v>4726</v>
      </c>
    </row>
    <row r="2" spans="1:23">
      <c r="A2" t="s">
        <v>2663</v>
      </c>
      <c r="B2" t="s">
        <v>2663</v>
      </c>
      <c r="C2" t="s">
        <v>2664</v>
      </c>
      <c r="E2" t="s">
        <v>2656</v>
      </c>
      <c r="F2" t="s">
        <v>12648</v>
      </c>
      <c r="G2" t="s">
        <v>2662</v>
      </c>
      <c r="H2" t="s">
        <v>4376</v>
      </c>
      <c r="I2" t="s">
        <v>4789</v>
      </c>
      <c r="J2" t="s">
        <v>4610</v>
      </c>
      <c r="S2" t="s">
        <v>2665</v>
      </c>
      <c r="T2" t="s">
        <v>2663</v>
      </c>
      <c r="U2" t="s">
        <v>4559</v>
      </c>
      <c r="V2" t="s">
        <v>2666</v>
      </c>
      <c r="W2" t="s">
        <v>4727</v>
      </c>
    </row>
    <row r="3" spans="1:23" ht="15.75">
      <c r="A3" t="s">
        <v>4384</v>
      </c>
      <c r="B3" t="s">
        <v>4384</v>
      </c>
      <c r="C3" s="6" t="s">
        <v>4385</v>
      </c>
      <c r="D3" t="s">
        <v>21</v>
      </c>
      <c r="E3" t="s">
        <v>4372</v>
      </c>
      <c r="F3" t="s">
        <v>12648</v>
      </c>
      <c r="G3" t="s">
        <v>12500</v>
      </c>
      <c r="H3" t="s">
        <v>4376</v>
      </c>
      <c r="I3" t="s">
        <v>4798</v>
      </c>
      <c r="J3" t="s">
        <v>4388</v>
      </c>
      <c r="K3" t="s">
        <v>4387</v>
      </c>
      <c r="L3" t="s">
        <v>4384</v>
      </c>
      <c r="M3" t="s">
        <v>25</v>
      </c>
      <c r="N3" t="s">
        <v>4386</v>
      </c>
      <c r="O3" s="8" t="s">
        <v>4389</v>
      </c>
      <c r="P3" s="8" t="s">
        <v>4384</v>
      </c>
      <c r="Q3" t="s">
        <v>4559</v>
      </c>
      <c r="R3" s="8" t="s">
        <v>4390</v>
      </c>
      <c r="S3" t="s">
        <v>4389</v>
      </c>
      <c r="T3" t="s">
        <v>4384</v>
      </c>
      <c r="U3" t="s">
        <v>4559</v>
      </c>
      <c r="V3" t="s">
        <v>4390</v>
      </c>
      <c r="W3" t="s">
        <v>4727</v>
      </c>
    </row>
    <row r="4" spans="1:23" ht="15.75">
      <c r="A4" t="s">
        <v>14457</v>
      </c>
      <c r="B4" t="s">
        <v>14457</v>
      </c>
      <c r="C4" s="6" t="s">
        <v>14458</v>
      </c>
      <c r="D4" t="s">
        <v>21</v>
      </c>
      <c r="E4" t="s">
        <v>4372</v>
      </c>
      <c r="F4" t="s">
        <v>12648</v>
      </c>
      <c r="G4" t="s">
        <v>12500</v>
      </c>
      <c r="H4" t="s">
        <v>4376</v>
      </c>
      <c r="I4" t="s">
        <v>4798</v>
      </c>
      <c r="J4" t="s">
        <v>14459</v>
      </c>
      <c r="K4" t="s">
        <v>4387</v>
      </c>
      <c r="L4" t="s">
        <v>14457</v>
      </c>
      <c r="M4" t="s">
        <v>25</v>
      </c>
      <c r="N4" t="s">
        <v>14460</v>
      </c>
      <c r="O4" s="8" t="s">
        <v>6218</v>
      </c>
      <c r="P4" s="8" t="s">
        <v>14461</v>
      </c>
      <c r="Q4" t="s">
        <v>7635</v>
      </c>
      <c r="R4" s="8" t="s">
        <v>14462</v>
      </c>
      <c r="S4" t="s">
        <v>14463</v>
      </c>
      <c r="T4" t="s">
        <v>14457</v>
      </c>
      <c r="U4" t="s">
        <v>4559</v>
      </c>
      <c r="V4" t="s">
        <v>14464</v>
      </c>
      <c r="W4" t="s">
        <v>4727</v>
      </c>
    </row>
    <row r="5" spans="1:23" ht="15.75">
      <c r="A5" t="s">
        <v>4391</v>
      </c>
      <c r="B5" t="s">
        <v>4391</v>
      </c>
      <c r="C5" t="s">
        <v>4395</v>
      </c>
      <c r="D5" t="s">
        <v>21</v>
      </c>
      <c r="E5" t="s">
        <v>4372</v>
      </c>
      <c r="F5" t="s">
        <v>12648</v>
      </c>
      <c r="G5" t="s">
        <v>12501</v>
      </c>
      <c r="H5" t="s">
        <v>4376</v>
      </c>
      <c r="I5" t="s">
        <v>4798</v>
      </c>
      <c r="J5" t="s">
        <v>4394</v>
      </c>
      <c r="K5" t="s">
        <v>4393</v>
      </c>
      <c r="L5" t="s">
        <v>4391</v>
      </c>
      <c r="M5" t="s">
        <v>25</v>
      </c>
      <c r="N5" t="s">
        <v>4392</v>
      </c>
      <c r="O5" s="8" t="s">
        <v>11116</v>
      </c>
      <c r="P5" s="8" t="s">
        <v>13463</v>
      </c>
      <c r="Q5" t="s">
        <v>4559</v>
      </c>
      <c r="R5" s="8" t="s">
        <v>13464</v>
      </c>
      <c r="S5" t="s">
        <v>4396</v>
      </c>
      <c r="T5" t="s">
        <v>4391</v>
      </c>
      <c r="U5" t="s">
        <v>4559</v>
      </c>
      <c r="V5" t="s">
        <v>4397</v>
      </c>
      <c r="W5" t="s">
        <v>4727</v>
      </c>
    </row>
    <row r="6" spans="1:23">
      <c r="A6" t="s">
        <v>4398</v>
      </c>
      <c r="B6" t="s">
        <v>4398</v>
      </c>
      <c r="C6" t="s">
        <v>4399</v>
      </c>
      <c r="D6" t="s">
        <v>21</v>
      </c>
      <c r="E6" t="s">
        <v>4372</v>
      </c>
      <c r="F6" t="s">
        <v>12648</v>
      </c>
      <c r="G6" t="s">
        <v>12500</v>
      </c>
      <c r="H6" t="s">
        <v>4376</v>
      </c>
      <c r="I6" t="s">
        <v>4798</v>
      </c>
      <c r="J6" t="s">
        <v>4400</v>
      </c>
      <c r="K6" t="s">
        <v>4401</v>
      </c>
      <c r="L6" t="s">
        <v>4403</v>
      </c>
      <c r="M6" t="s">
        <v>25</v>
      </c>
      <c r="N6" t="s">
        <v>4402</v>
      </c>
      <c r="S6" t="s">
        <v>4401</v>
      </c>
      <c r="T6" t="s">
        <v>4403</v>
      </c>
      <c r="U6" t="s">
        <v>4559</v>
      </c>
      <c r="V6" t="s">
        <v>4636</v>
      </c>
      <c r="W6" t="s">
        <v>4727</v>
      </c>
    </row>
    <row r="7" spans="1:23">
      <c r="A7" t="s">
        <v>12046</v>
      </c>
      <c r="B7" t="s">
        <v>12047</v>
      </c>
      <c r="C7" t="s">
        <v>12048</v>
      </c>
      <c r="D7" t="s">
        <v>21</v>
      </c>
      <c r="E7" t="s">
        <v>4372</v>
      </c>
      <c r="F7" t="s">
        <v>12648</v>
      </c>
      <c r="G7" t="s">
        <v>12500</v>
      </c>
      <c r="H7" t="s">
        <v>4376</v>
      </c>
      <c r="I7" t="s">
        <v>4798</v>
      </c>
      <c r="J7" t="s">
        <v>4400</v>
      </c>
      <c r="K7" t="s">
        <v>4401</v>
      </c>
      <c r="L7" t="s">
        <v>12049</v>
      </c>
      <c r="M7" t="s">
        <v>25</v>
      </c>
      <c r="N7" t="s">
        <v>12050</v>
      </c>
      <c r="S7" t="s">
        <v>4401</v>
      </c>
      <c r="T7" t="s">
        <v>12046</v>
      </c>
      <c r="U7" t="s">
        <v>4559</v>
      </c>
      <c r="V7" t="s">
        <v>12051</v>
      </c>
      <c r="W7" t="s">
        <v>4727</v>
      </c>
    </row>
    <row r="8" spans="1:23">
      <c r="A8" t="s">
        <v>4424</v>
      </c>
      <c r="B8" t="s">
        <v>4424</v>
      </c>
      <c r="C8" t="s">
        <v>4405</v>
      </c>
      <c r="D8" t="s">
        <v>21</v>
      </c>
      <c r="E8" t="s">
        <v>4372</v>
      </c>
      <c r="F8" t="s">
        <v>12648</v>
      </c>
      <c r="G8" t="s">
        <v>12500</v>
      </c>
      <c r="H8" t="s">
        <v>4376</v>
      </c>
      <c r="I8" t="s">
        <v>4798</v>
      </c>
      <c r="J8" t="s">
        <v>4619</v>
      </c>
      <c r="O8" t="s">
        <v>4409</v>
      </c>
      <c r="P8" t="s">
        <v>4408</v>
      </c>
      <c r="Q8" t="s">
        <v>4559</v>
      </c>
      <c r="R8" t="s">
        <v>4410</v>
      </c>
      <c r="S8" t="s">
        <v>4406</v>
      </c>
      <c r="T8" t="s">
        <v>4404</v>
      </c>
      <c r="U8" t="s">
        <v>4559</v>
      </c>
      <c r="V8" t="s">
        <v>4407</v>
      </c>
      <c r="W8" t="s">
        <v>4727</v>
      </c>
    </row>
    <row r="9" spans="1:23">
      <c r="A9" t="s">
        <v>4425</v>
      </c>
      <c r="B9" t="s">
        <v>4425</v>
      </c>
      <c r="C9" t="s">
        <v>4422</v>
      </c>
      <c r="D9" t="s">
        <v>21</v>
      </c>
      <c r="E9" t="s">
        <v>4372</v>
      </c>
      <c r="F9" t="s">
        <v>12648</v>
      </c>
      <c r="G9" t="s">
        <v>12501</v>
      </c>
      <c r="H9" t="s">
        <v>4376</v>
      </c>
      <c r="I9" t="s">
        <v>4798</v>
      </c>
      <c r="J9" t="s">
        <v>4620</v>
      </c>
      <c r="S9" t="s">
        <v>4426</v>
      </c>
      <c r="T9" t="s">
        <v>4425</v>
      </c>
      <c r="U9" t="s">
        <v>4559</v>
      </c>
      <c r="V9" s="5" t="s">
        <v>4423</v>
      </c>
    </row>
    <row r="10" spans="1:23">
      <c r="A10" s="5" t="s">
        <v>4551</v>
      </c>
      <c r="B10" s="5" t="s">
        <v>4551</v>
      </c>
      <c r="C10" s="5" t="s">
        <v>4552</v>
      </c>
      <c r="D10" s="5" t="s">
        <v>21</v>
      </c>
      <c r="E10" t="s">
        <v>4372</v>
      </c>
      <c r="F10" t="s">
        <v>12648</v>
      </c>
      <c r="G10" t="s">
        <v>12500</v>
      </c>
      <c r="H10" t="s">
        <v>4376</v>
      </c>
      <c r="I10" t="s">
        <v>4798</v>
      </c>
      <c r="J10" t="s">
        <v>7794</v>
      </c>
      <c r="K10" t="s">
        <v>6273</v>
      </c>
      <c r="L10" t="s">
        <v>7792</v>
      </c>
      <c r="M10" t="s">
        <v>25</v>
      </c>
      <c r="N10" t="s">
        <v>7793</v>
      </c>
      <c r="S10" t="s">
        <v>2665</v>
      </c>
      <c r="T10" t="s">
        <v>2665</v>
      </c>
      <c r="U10" t="s">
        <v>4559</v>
      </c>
      <c r="V10" s="5" t="s">
        <v>4550</v>
      </c>
      <c r="W10" t="s">
        <v>4727</v>
      </c>
    </row>
    <row r="11" spans="1:23">
      <c r="A11" t="s">
        <v>4554</v>
      </c>
      <c r="B11" t="s">
        <v>4554</v>
      </c>
      <c r="C11" t="s">
        <v>4555</v>
      </c>
      <c r="D11" t="s">
        <v>21</v>
      </c>
      <c r="E11" t="s">
        <v>4372</v>
      </c>
      <c r="F11" t="s">
        <v>12648</v>
      </c>
      <c r="G11" t="s">
        <v>12500</v>
      </c>
      <c r="H11" t="s">
        <v>4376</v>
      </c>
      <c r="I11" t="s">
        <v>4798</v>
      </c>
      <c r="J11" t="s">
        <v>4622</v>
      </c>
      <c r="K11" t="s">
        <v>4387</v>
      </c>
      <c r="L11" t="s">
        <v>4554</v>
      </c>
      <c r="M11" t="s">
        <v>25</v>
      </c>
      <c r="N11" t="s">
        <v>4556</v>
      </c>
      <c r="S11" t="s">
        <v>4557</v>
      </c>
      <c r="T11" t="s">
        <v>4554</v>
      </c>
      <c r="U11" t="s">
        <v>4559</v>
      </c>
      <c r="V11" t="s">
        <v>4558</v>
      </c>
      <c r="W11" t="s">
        <v>4727</v>
      </c>
    </row>
    <row r="12" spans="1:23">
      <c r="A12" t="s">
        <v>4605</v>
      </c>
      <c r="B12" t="s">
        <v>4605</v>
      </c>
      <c r="C12" t="s">
        <v>4600</v>
      </c>
      <c r="D12" t="s">
        <v>4604</v>
      </c>
      <c r="E12" t="s">
        <v>4372</v>
      </c>
      <c r="F12" t="s">
        <v>12648</v>
      </c>
      <c r="G12" t="s">
        <v>12649</v>
      </c>
      <c r="H12" t="s">
        <v>4376</v>
      </c>
      <c r="I12" t="s">
        <v>4798</v>
      </c>
      <c r="J12" t="s">
        <v>4601</v>
      </c>
      <c r="N12" s="7"/>
      <c r="S12" t="s">
        <v>4602</v>
      </c>
      <c r="T12" t="s">
        <v>4599</v>
      </c>
      <c r="U12" t="s">
        <v>4559</v>
      </c>
      <c r="V12" s="7" t="s">
        <v>4603</v>
      </c>
      <c r="W12" t="s">
        <v>4727</v>
      </c>
    </row>
    <row r="13" spans="1:23">
      <c r="A13" t="s">
        <v>4631</v>
      </c>
      <c r="B13" t="s">
        <v>4631</v>
      </c>
      <c r="C13" t="s">
        <v>4632</v>
      </c>
      <c r="D13" t="s">
        <v>4633</v>
      </c>
      <c r="E13" t="s">
        <v>4372</v>
      </c>
      <c r="F13" t="s">
        <v>12648</v>
      </c>
      <c r="G13" t="s">
        <v>12500</v>
      </c>
      <c r="H13" t="s">
        <v>4376</v>
      </c>
      <c r="I13" t="s">
        <v>4798</v>
      </c>
      <c r="J13" t="s">
        <v>4634</v>
      </c>
      <c r="S13" t="s">
        <v>4633</v>
      </c>
      <c r="T13" t="s">
        <v>4631</v>
      </c>
      <c r="U13" t="s">
        <v>4559</v>
      </c>
      <c r="V13" t="s">
        <v>4635</v>
      </c>
      <c r="W13" t="s">
        <v>4728</v>
      </c>
    </row>
    <row r="14" spans="1:23">
      <c r="A14" t="s">
        <v>6696</v>
      </c>
      <c r="B14" t="s">
        <v>6698</v>
      </c>
      <c r="C14" t="s">
        <v>6697</v>
      </c>
      <c r="E14" t="s">
        <v>6699</v>
      </c>
      <c r="F14" t="s">
        <v>12648</v>
      </c>
      <c r="G14" t="s">
        <v>12501</v>
      </c>
      <c r="H14" t="s">
        <v>6700</v>
      </c>
      <c r="I14" t="s">
        <v>6965</v>
      </c>
      <c r="J14" s="26" t="s">
        <v>6701</v>
      </c>
      <c r="K14" t="s">
        <v>6703</v>
      </c>
      <c r="L14" t="s">
        <v>6696</v>
      </c>
      <c r="M14" t="s">
        <v>25</v>
      </c>
      <c r="N14" t="s">
        <v>6702</v>
      </c>
      <c r="S14" t="s">
        <v>6704</v>
      </c>
      <c r="T14" t="s">
        <v>6705</v>
      </c>
      <c r="U14" t="s">
        <v>4559</v>
      </c>
      <c r="V14" t="s">
        <v>6706</v>
      </c>
    </row>
    <row r="15" spans="1:23" ht="15.75">
      <c r="A15" t="s">
        <v>6733</v>
      </c>
      <c r="B15" t="s">
        <v>6733</v>
      </c>
      <c r="C15" t="s">
        <v>6735</v>
      </c>
      <c r="D15" t="s">
        <v>6732</v>
      </c>
      <c r="E15" t="s">
        <v>6737</v>
      </c>
      <c r="F15" t="s">
        <v>12648</v>
      </c>
      <c r="G15" t="s">
        <v>12499</v>
      </c>
      <c r="H15" t="s">
        <v>6736</v>
      </c>
      <c r="I15" t="s">
        <v>6738</v>
      </c>
      <c r="J15" s="26" t="s">
        <v>7013</v>
      </c>
      <c r="K15" t="s">
        <v>6732</v>
      </c>
      <c r="L15" t="s">
        <v>6733</v>
      </c>
      <c r="M15" t="s">
        <v>25</v>
      </c>
      <c r="N15" t="s">
        <v>6734</v>
      </c>
      <c r="S15" t="s">
        <v>6732</v>
      </c>
      <c r="T15" s="10" t="s">
        <v>6740</v>
      </c>
      <c r="U15" t="s">
        <v>4559</v>
      </c>
      <c r="V15" s="10" t="s">
        <v>6739</v>
      </c>
    </row>
    <row r="16" spans="1:23">
      <c r="A16" t="s">
        <v>7449</v>
      </c>
      <c r="B16" t="s">
        <v>7449</v>
      </c>
      <c r="C16" t="s">
        <v>7459</v>
      </c>
      <c r="D16" t="s">
        <v>7032</v>
      </c>
      <c r="E16" t="s">
        <v>7797</v>
      </c>
      <c r="F16" t="s">
        <v>12648</v>
      </c>
      <c r="G16" t="s">
        <v>12502</v>
      </c>
      <c r="H16" t="s">
        <v>6736</v>
      </c>
      <c r="I16" t="s">
        <v>7462</v>
      </c>
      <c r="J16" t="s">
        <v>7451</v>
      </c>
      <c r="K16" t="s">
        <v>7032</v>
      </c>
      <c r="L16" t="s">
        <v>7450</v>
      </c>
      <c r="M16" t="s">
        <v>25</v>
      </c>
      <c r="N16" t="s">
        <v>7450</v>
      </c>
    </row>
    <row r="17" spans="1:23">
      <c r="A17" t="s">
        <v>7452</v>
      </c>
      <c r="B17" t="s">
        <v>7452</v>
      </c>
      <c r="C17" t="s">
        <v>7460</v>
      </c>
      <c r="D17" t="s">
        <v>7455</v>
      </c>
      <c r="E17" t="s">
        <v>7797</v>
      </c>
      <c r="F17" t="s">
        <v>12648</v>
      </c>
      <c r="G17" t="s">
        <v>12499</v>
      </c>
      <c r="H17" t="s">
        <v>6736</v>
      </c>
      <c r="I17" t="s">
        <v>7462</v>
      </c>
      <c r="J17" t="s">
        <v>7454</v>
      </c>
      <c r="K17" t="s">
        <v>7455</v>
      </c>
      <c r="L17" t="s">
        <v>7452</v>
      </c>
      <c r="M17" t="s">
        <v>25</v>
      </c>
      <c r="N17" t="s">
        <v>7456</v>
      </c>
    </row>
    <row r="18" spans="1:23">
      <c r="A18" t="s">
        <v>7453</v>
      </c>
      <c r="B18" t="s">
        <v>7453</v>
      </c>
      <c r="C18" t="s">
        <v>7461</v>
      </c>
      <c r="D18" t="s">
        <v>6273</v>
      </c>
      <c r="E18" t="s">
        <v>7797</v>
      </c>
      <c r="F18" t="s">
        <v>12648</v>
      </c>
      <c r="G18" t="s">
        <v>12499</v>
      </c>
      <c r="H18" t="s">
        <v>6736</v>
      </c>
      <c r="I18" t="s">
        <v>7462</v>
      </c>
      <c r="J18" t="s">
        <v>7458</v>
      </c>
      <c r="K18" t="s">
        <v>6273</v>
      </c>
      <c r="L18" t="s">
        <v>7453</v>
      </c>
      <c r="M18" t="s">
        <v>25</v>
      </c>
      <c r="N18" t="s">
        <v>7457</v>
      </c>
    </row>
    <row r="19" spans="1:23">
      <c r="A19" t="s">
        <v>7795</v>
      </c>
      <c r="B19" t="s">
        <v>7795</v>
      </c>
      <c r="C19" t="s">
        <v>7798</v>
      </c>
      <c r="D19" t="s">
        <v>7000</v>
      </c>
      <c r="E19" t="s">
        <v>7797</v>
      </c>
      <c r="F19" t="s">
        <v>12648</v>
      </c>
      <c r="G19" t="s">
        <v>12499</v>
      </c>
      <c r="H19" t="s">
        <v>6736</v>
      </c>
      <c r="I19" t="s">
        <v>7462</v>
      </c>
      <c r="J19" t="s">
        <v>7800</v>
      </c>
      <c r="K19" t="s">
        <v>7000</v>
      </c>
      <c r="L19" t="s">
        <v>7795</v>
      </c>
      <c r="M19" t="s">
        <v>25</v>
      </c>
      <c r="N19" t="s">
        <v>7799</v>
      </c>
    </row>
    <row r="20" spans="1:23">
      <c r="A20" t="s">
        <v>7796</v>
      </c>
      <c r="B20" t="s">
        <v>7796</v>
      </c>
      <c r="C20" t="s">
        <v>7803</v>
      </c>
      <c r="D20" t="s">
        <v>4393</v>
      </c>
      <c r="E20" t="s">
        <v>7797</v>
      </c>
      <c r="F20" t="s">
        <v>12648</v>
      </c>
      <c r="G20" t="s">
        <v>12499</v>
      </c>
      <c r="H20" t="s">
        <v>6736</v>
      </c>
      <c r="I20" t="s">
        <v>7462</v>
      </c>
      <c r="J20" t="s">
        <v>7801</v>
      </c>
      <c r="K20" t="s">
        <v>4393</v>
      </c>
      <c r="L20" t="s">
        <v>7796</v>
      </c>
      <c r="M20" t="s">
        <v>25</v>
      </c>
      <c r="N20" t="s">
        <v>7802</v>
      </c>
    </row>
    <row r="21" spans="1:23">
      <c r="A21" t="s">
        <v>8074</v>
      </c>
      <c r="B21" t="s">
        <v>8074</v>
      </c>
      <c r="C21" t="s">
        <v>4405</v>
      </c>
      <c r="D21" t="s">
        <v>4426</v>
      </c>
      <c r="E21" t="s">
        <v>8075</v>
      </c>
      <c r="F21" t="s">
        <v>12648</v>
      </c>
      <c r="G21" t="s">
        <v>12499</v>
      </c>
      <c r="H21" t="s">
        <v>6736</v>
      </c>
      <c r="I21" t="s">
        <v>7462</v>
      </c>
      <c r="J21" t="s">
        <v>8076</v>
      </c>
      <c r="S21" t="s">
        <v>4426</v>
      </c>
      <c r="T21" t="s">
        <v>8074</v>
      </c>
      <c r="U21" t="s">
        <v>4559</v>
      </c>
      <c r="V21" s="31" t="s">
        <v>8077</v>
      </c>
    </row>
    <row r="22" spans="1:23" ht="16.5">
      <c r="A22" s="32" t="s">
        <v>8078</v>
      </c>
      <c r="B22" s="32" t="s">
        <v>8078</v>
      </c>
      <c r="C22" s="32" t="s">
        <v>8081</v>
      </c>
      <c r="D22" t="s">
        <v>8079</v>
      </c>
      <c r="E22" s="32" t="s">
        <v>8075</v>
      </c>
      <c r="F22" t="s">
        <v>12648</v>
      </c>
      <c r="G22" t="s">
        <v>12499</v>
      </c>
      <c r="H22" t="s">
        <v>6736</v>
      </c>
      <c r="I22" t="s">
        <v>7462</v>
      </c>
      <c r="J22" t="s">
        <v>8082</v>
      </c>
      <c r="S22" t="s">
        <v>8079</v>
      </c>
      <c r="T22" s="32" t="s">
        <v>8078</v>
      </c>
      <c r="U22" t="s">
        <v>4559</v>
      </c>
      <c r="V22" s="32" t="s">
        <v>8080</v>
      </c>
      <c r="W22" t="s">
        <v>4727</v>
      </c>
    </row>
    <row r="23" spans="1:23" ht="15.75">
      <c r="A23" s="33" t="s">
        <v>8083</v>
      </c>
      <c r="B23" s="33" t="s">
        <v>8083</v>
      </c>
      <c r="C23" s="33" t="s">
        <v>8085</v>
      </c>
      <c r="D23" t="s">
        <v>8084</v>
      </c>
      <c r="E23" s="35" t="s">
        <v>8086</v>
      </c>
      <c r="F23" t="s">
        <v>12648</v>
      </c>
      <c r="G23" t="s">
        <v>8083</v>
      </c>
      <c r="H23" t="s">
        <v>4377</v>
      </c>
      <c r="I23" t="s">
        <v>8088</v>
      </c>
      <c r="J23" t="s">
        <v>8087</v>
      </c>
      <c r="S23" t="s">
        <v>8084</v>
      </c>
      <c r="T23" s="33" t="s">
        <v>8083</v>
      </c>
      <c r="U23" t="s">
        <v>4559</v>
      </c>
      <c r="V23" s="33" t="s">
        <v>8089</v>
      </c>
      <c r="W23" t="s">
        <v>4727</v>
      </c>
    </row>
    <row r="24" spans="1:23">
      <c r="A24" t="s">
        <v>11080</v>
      </c>
      <c r="B24" t="s">
        <v>11080</v>
      </c>
      <c r="C24" t="s">
        <v>11081</v>
      </c>
      <c r="D24" t="s">
        <v>6273</v>
      </c>
      <c r="E24" t="s">
        <v>8075</v>
      </c>
      <c r="F24" t="s">
        <v>12648</v>
      </c>
      <c r="G24" t="s">
        <v>12499</v>
      </c>
      <c r="H24" t="s">
        <v>6736</v>
      </c>
      <c r="I24" t="s">
        <v>7462</v>
      </c>
      <c r="J24" t="s">
        <v>11082</v>
      </c>
      <c r="K24" t="s">
        <v>6273</v>
      </c>
      <c r="L24" t="s">
        <v>11080</v>
      </c>
      <c r="M24" t="s">
        <v>25</v>
      </c>
      <c r="N24" t="s">
        <v>11083</v>
      </c>
      <c r="S24" t="s">
        <v>13449</v>
      </c>
      <c r="T24" t="s">
        <v>13447</v>
      </c>
      <c r="U24" t="s">
        <v>4559</v>
      </c>
      <c r="V24" t="s">
        <v>13448</v>
      </c>
    </row>
    <row r="25" spans="1:23">
      <c r="A25" t="s">
        <v>11084</v>
      </c>
      <c r="B25" t="s">
        <v>11084</v>
      </c>
      <c r="C25" t="s">
        <v>11088</v>
      </c>
      <c r="D25" t="s">
        <v>11086</v>
      </c>
      <c r="E25" t="s">
        <v>11089</v>
      </c>
      <c r="F25" t="s">
        <v>12648</v>
      </c>
      <c r="G25" t="s">
        <v>12500</v>
      </c>
      <c r="H25" t="s">
        <v>6700</v>
      </c>
      <c r="I25" t="s">
        <v>11090</v>
      </c>
      <c r="J25" t="s">
        <v>11087</v>
      </c>
      <c r="K25" t="s">
        <v>11086</v>
      </c>
      <c r="L25" t="s">
        <v>11084</v>
      </c>
      <c r="M25" t="s">
        <v>25</v>
      </c>
      <c r="N25" t="s">
        <v>11085</v>
      </c>
      <c r="S25" t="s">
        <v>4420</v>
      </c>
      <c r="T25" t="s">
        <v>11084</v>
      </c>
      <c r="U25" t="s">
        <v>4559</v>
      </c>
      <c r="V25" t="s">
        <v>11091</v>
      </c>
    </row>
    <row r="26" spans="1:23">
      <c r="A26" t="s">
        <v>12489</v>
      </c>
      <c r="B26" t="s">
        <v>12489</v>
      </c>
      <c r="C26" t="s">
        <v>12490</v>
      </c>
      <c r="D26" t="s">
        <v>6273</v>
      </c>
      <c r="E26" t="s">
        <v>12496</v>
      </c>
      <c r="F26" t="s">
        <v>12648</v>
      </c>
      <c r="G26" t="s">
        <v>12498</v>
      </c>
      <c r="H26" t="s">
        <v>4376</v>
      </c>
      <c r="I26" t="s">
        <v>12497</v>
      </c>
      <c r="J26" t="s">
        <v>12491</v>
      </c>
      <c r="K26" t="s">
        <v>6273</v>
      </c>
      <c r="L26" t="s">
        <v>12492</v>
      </c>
      <c r="M26" t="s">
        <v>25</v>
      </c>
      <c r="N26" t="s">
        <v>12493</v>
      </c>
      <c r="S26" t="s">
        <v>4401</v>
      </c>
      <c r="T26" t="s">
        <v>12494</v>
      </c>
      <c r="U26" t="s">
        <v>4559</v>
      </c>
      <c r="V26" t="s">
        <v>12495</v>
      </c>
    </row>
    <row r="27" spans="1:23">
      <c r="A27" t="s">
        <v>12861</v>
      </c>
      <c r="B27" t="s">
        <v>12861</v>
      </c>
      <c r="C27" t="s">
        <v>12862</v>
      </c>
      <c r="D27" t="s">
        <v>6732</v>
      </c>
      <c r="E27" t="s">
        <v>12863</v>
      </c>
      <c r="F27" t="s">
        <v>12648</v>
      </c>
      <c r="G27" t="s">
        <v>12500</v>
      </c>
      <c r="H27" t="s">
        <v>4376</v>
      </c>
      <c r="I27" t="s">
        <v>12867</v>
      </c>
      <c r="J27" t="s">
        <v>12864</v>
      </c>
      <c r="K27" t="s">
        <v>6732</v>
      </c>
      <c r="L27" t="s">
        <v>12860</v>
      </c>
      <c r="M27" t="s">
        <v>25</v>
      </c>
      <c r="N27" t="s">
        <v>12865</v>
      </c>
      <c r="S27" t="s">
        <v>6732</v>
      </c>
      <c r="T27" t="s">
        <v>12860</v>
      </c>
      <c r="U27" t="s">
        <v>4559</v>
      </c>
      <c r="V27" t="s">
        <v>12866</v>
      </c>
    </row>
    <row r="28" spans="1:23" ht="15.75">
      <c r="A28" t="s">
        <v>13447</v>
      </c>
      <c r="B28" t="s">
        <v>13447</v>
      </c>
      <c r="C28" t="s">
        <v>13525</v>
      </c>
      <c r="D28" t="s">
        <v>13449</v>
      </c>
      <c r="E28" t="s">
        <v>7797</v>
      </c>
      <c r="F28" t="s">
        <v>12648</v>
      </c>
      <c r="G28" t="s">
        <v>12499</v>
      </c>
      <c r="H28" t="s">
        <v>6736</v>
      </c>
      <c r="I28" t="s">
        <v>7462</v>
      </c>
      <c r="J28" t="s">
        <v>13526</v>
      </c>
      <c r="R28" s="8"/>
      <c r="S28" s="42" t="s">
        <v>13449</v>
      </c>
      <c r="T28" s="42" t="s">
        <v>13447</v>
      </c>
      <c r="U28" t="s">
        <v>4559</v>
      </c>
      <c r="V28" s="8" t="s">
        <v>13448</v>
      </c>
      <c r="W28" t="s">
        <v>4727</v>
      </c>
    </row>
    <row r="29" spans="1:23">
      <c r="A29" t="s">
        <v>13527</v>
      </c>
      <c r="B29" t="s">
        <v>13527</v>
      </c>
      <c r="C29" t="s">
        <v>13528</v>
      </c>
      <c r="D29" t="s">
        <v>6732</v>
      </c>
      <c r="E29" t="s">
        <v>11089</v>
      </c>
      <c r="F29" t="s">
        <v>12648</v>
      </c>
      <c r="G29" t="s">
        <v>12500</v>
      </c>
      <c r="H29" t="s">
        <v>6700</v>
      </c>
      <c r="I29" t="s">
        <v>11090</v>
      </c>
      <c r="J29" t="s">
        <v>13532</v>
      </c>
      <c r="K29" t="s">
        <v>6732</v>
      </c>
      <c r="L29" t="s">
        <v>13531</v>
      </c>
      <c r="M29" t="s">
        <v>25</v>
      </c>
      <c r="N29" t="s">
        <v>13530</v>
      </c>
      <c r="S29" t="s">
        <v>6732</v>
      </c>
      <c r="T29" t="s">
        <v>13527</v>
      </c>
      <c r="U29" t="s">
        <v>4559</v>
      </c>
      <c r="V29" t="s">
        <v>13529</v>
      </c>
    </row>
    <row r="30" spans="1:23">
      <c r="A30" t="s">
        <v>13533</v>
      </c>
      <c r="B30" t="s">
        <v>13533</v>
      </c>
      <c r="C30" t="s">
        <v>13534</v>
      </c>
      <c r="D30" t="s">
        <v>13449</v>
      </c>
      <c r="E30" t="s">
        <v>7797</v>
      </c>
      <c r="F30" t="s">
        <v>12648</v>
      </c>
      <c r="G30" t="s">
        <v>12502</v>
      </c>
      <c r="H30" t="s">
        <v>6736</v>
      </c>
      <c r="I30" t="s">
        <v>7462</v>
      </c>
      <c r="J30" t="s">
        <v>13535</v>
      </c>
      <c r="S30" t="s">
        <v>13449</v>
      </c>
      <c r="T30" t="s">
        <v>13533</v>
      </c>
      <c r="U30" t="s">
        <v>4559</v>
      </c>
      <c r="V30" t="s">
        <v>13536</v>
      </c>
    </row>
    <row r="31" spans="1:23">
      <c r="A31" t="s">
        <v>14439</v>
      </c>
      <c r="B31" t="s">
        <v>14439</v>
      </c>
      <c r="C31" t="s">
        <v>14451</v>
      </c>
      <c r="D31" t="s">
        <v>14443</v>
      </c>
      <c r="E31" t="s">
        <v>11089</v>
      </c>
      <c r="F31" t="s">
        <v>12648</v>
      </c>
      <c r="G31" t="s">
        <v>12500</v>
      </c>
      <c r="H31" t="s">
        <v>6700</v>
      </c>
      <c r="I31" t="s">
        <v>11090</v>
      </c>
      <c r="J31" t="s">
        <v>14449</v>
      </c>
      <c r="K31" t="s">
        <v>14439</v>
      </c>
      <c r="L31" t="s">
        <v>14443</v>
      </c>
      <c r="M31" t="s">
        <v>25</v>
      </c>
      <c r="N31" t="s">
        <v>14454</v>
      </c>
    </row>
    <row r="32" spans="1:23">
      <c r="A32" t="s">
        <v>14440</v>
      </c>
      <c r="B32" t="s">
        <v>14440</v>
      </c>
      <c r="C32" t="s">
        <v>14451</v>
      </c>
      <c r="D32" t="s">
        <v>14443</v>
      </c>
      <c r="E32" t="s">
        <v>10766</v>
      </c>
      <c r="F32" t="s">
        <v>12648</v>
      </c>
      <c r="G32" t="s">
        <v>14453</v>
      </c>
      <c r="H32" t="s">
        <v>6700</v>
      </c>
      <c r="I32" t="s">
        <v>12488</v>
      </c>
      <c r="J32" t="s">
        <v>14449</v>
      </c>
      <c r="K32" t="s">
        <v>14440</v>
      </c>
      <c r="L32" t="s">
        <v>14443</v>
      </c>
      <c r="M32" t="s">
        <v>25</v>
      </c>
      <c r="N32" t="s">
        <v>14455</v>
      </c>
      <c r="S32" t="s">
        <v>14447</v>
      </c>
      <c r="T32" t="s">
        <v>14440</v>
      </c>
      <c r="U32" t="s">
        <v>4559</v>
      </c>
      <c r="V32" t="s">
        <v>14448</v>
      </c>
      <c r="W32" t="s">
        <v>4727</v>
      </c>
    </row>
    <row r="33" spans="1:23">
      <c r="A33" t="s">
        <v>14441</v>
      </c>
      <c r="B33" t="s">
        <v>14441</v>
      </c>
      <c r="C33" t="s">
        <v>14451</v>
      </c>
      <c r="D33" t="s">
        <v>14443</v>
      </c>
      <c r="E33" t="s">
        <v>14452</v>
      </c>
      <c r="F33" t="s">
        <v>12648</v>
      </c>
      <c r="G33" t="s">
        <v>14453</v>
      </c>
      <c r="H33" t="s">
        <v>6700</v>
      </c>
      <c r="J33" t="s">
        <v>14449</v>
      </c>
      <c r="K33" t="s">
        <v>14441</v>
      </c>
      <c r="L33" t="s">
        <v>14443</v>
      </c>
      <c r="M33" t="s">
        <v>25</v>
      </c>
      <c r="N33" t="s">
        <v>14456</v>
      </c>
    </row>
    <row r="34" spans="1:23">
      <c r="A34" t="s">
        <v>14442</v>
      </c>
      <c r="B34" t="s">
        <v>14442</v>
      </c>
      <c r="C34" t="s">
        <v>14451</v>
      </c>
      <c r="D34" t="s">
        <v>14444</v>
      </c>
      <c r="E34" t="s">
        <v>6699</v>
      </c>
      <c r="F34" t="s">
        <v>12648</v>
      </c>
      <c r="G34" t="s">
        <v>12500</v>
      </c>
      <c r="H34" t="s">
        <v>6700</v>
      </c>
      <c r="I34" t="s">
        <v>6965</v>
      </c>
      <c r="J34" t="s">
        <v>14450</v>
      </c>
      <c r="S34" t="s">
        <v>14445</v>
      </c>
      <c r="T34" t="s">
        <v>14442</v>
      </c>
      <c r="U34" t="s">
        <v>4559</v>
      </c>
      <c r="V34" t="s">
        <v>14446</v>
      </c>
      <c r="W34" t="s">
        <v>4727</v>
      </c>
    </row>
    <row r="35" spans="1:23">
      <c r="A35" t="s">
        <v>14636</v>
      </c>
      <c r="B35" t="s">
        <v>14636</v>
      </c>
      <c r="C35" t="s">
        <v>14637</v>
      </c>
      <c r="D35" t="s">
        <v>14638</v>
      </c>
      <c r="E35" t="s">
        <v>6699</v>
      </c>
      <c r="F35" t="s">
        <v>12648</v>
      </c>
      <c r="G35" t="s">
        <v>12500</v>
      </c>
      <c r="H35" t="s">
        <v>6700</v>
      </c>
      <c r="I35" t="s">
        <v>6965</v>
      </c>
      <c r="J35" t="s">
        <v>14639</v>
      </c>
      <c r="S35" t="s">
        <v>14638</v>
      </c>
      <c r="T35" t="s">
        <v>14636</v>
      </c>
      <c r="U35" t="s">
        <v>4559</v>
      </c>
      <c r="V35" t="s">
        <v>14640</v>
      </c>
      <c r="W35" t="s">
        <v>4727</v>
      </c>
    </row>
    <row r="36" spans="1:23">
      <c r="A36" t="s">
        <v>14641</v>
      </c>
      <c r="B36" t="s">
        <v>14641</v>
      </c>
      <c r="C36" t="s">
        <v>14642</v>
      </c>
      <c r="D36" t="s">
        <v>21</v>
      </c>
      <c r="E36" t="s">
        <v>4372</v>
      </c>
      <c r="F36" t="s">
        <v>12648</v>
      </c>
      <c r="G36" t="s">
        <v>14652</v>
      </c>
      <c r="H36" t="s">
        <v>4376</v>
      </c>
      <c r="I36" t="s">
        <v>4798</v>
      </c>
      <c r="J36" t="s">
        <v>14646</v>
      </c>
      <c r="K36" t="s">
        <v>6703</v>
      </c>
      <c r="L36" t="s">
        <v>14647</v>
      </c>
      <c r="M36" t="s">
        <v>25</v>
      </c>
      <c r="N36" t="s">
        <v>14648</v>
      </c>
      <c r="O36" t="s">
        <v>14649</v>
      </c>
      <c r="P36" t="s">
        <v>14650</v>
      </c>
      <c r="Q36" t="s">
        <v>7635</v>
      </c>
      <c r="R36" t="s">
        <v>14651</v>
      </c>
      <c r="S36" t="s">
        <v>14643</v>
      </c>
      <c r="T36" t="s">
        <v>14644</v>
      </c>
      <c r="U36" t="s">
        <v>4559</v>
      </c>
      <c r="V36" t="s">
        <v>14645</v>
      </c>
      <c r="W36" t="s">
        <v>4728</v>
      </c>
    </row>
    <row r="37" spans="1:23">
      <c r="A37" t="s">
        <v>18785</v>
      </c>
      <c r="B37" t="s">
        <v>18785</v>
      </c>
      <c r="C37" t="s">
        <v>18788</v>
      </c>
      <c r="D37" t="s">
        <v>11086</v>
      </c>
      <c r="E37" t="s">
        <v>7797</v>
      </c>
      <c r="F37" t="s">
        <v>12648</v>
      </c>
      <c r="G37" t="s">
        <v>12502</v>
      </c>
      <c r="H37" t="s">
        <v>6736</v>
      </c>
      <c r="I37" t="s">
        <v>7462</v>
      </c>
      <c r="J37" t="s">
        <v>18787</v>
      </c>
      <c r="K37" t="s">
        <v>11086</v>
      </c>
      <c r="L37" t="s">
        <v>18785</v>
      </c>
      <c r="M37" t="s">
        <v>25</v>
      </c>
      <c r="N37" t="s">
        <v>18786</v>
      </c>
    </row>
  </sheetData>
  <hyperlinks>
    <hyperlink ref="P8" r:id="rId1" display="https://www.lcsc.com/product-detail/MOSFETs_FUXINSEMI-SI2302_C6807797.html" xr:uid="{B2FD286C-E730-4426-B52E-40D05BE3E03E}"/>
    <hyperlink ref="J14" r:id="rId2" xr:uid="{52FB3975-05FD-4ECF-B428-6A11C81929BA}"/>
    <hyperlink ref="J15" r:id="rId3" xr:uid="{651DFB57-E915-46B9-8EFC-84C7BC1B1B0F}"/>
  </hyperlinks>
  <pageMargins left="0.7" right="0.7" top="0.75" bottom="0.75" header="0.3" footer="0.3"/>
  <pageSetup paperSize="9" orientation="portrait"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48336-C131-49E6-98A6-4A6B8B6DDA7F}">
  <dimension ref="A1:Z335"/>
  <sheetViews>
    <sheetView zoomScale="85" zoomScaleNormal="85" workbookViewId="0">
      <pane xSplit="2" ySplit="1" topLeftCell="C293" activePane="bottomRight" state="frozen"/>
      <selection pane="topRight" activeCell="C1" sqref="C1"/>
      <selection pane="bottomLeft" activeCell="A2" sqref="A2"/>
      <selection pane="bottomRight" activeCell="A276" sqref="A276:Z335"/>
    </sheetView>
  </sheetViews>
  <sheetFormatPr defaultColWidth="11.5703125" defaultRowHeight="15"/>
  <cols>
    <col min="1" max="1" width="36.5703125" bestFit="1" customWidth="1"/>
    <col min="2" max="2" width="15.5703125" bestFit="1" customWidth="1"/>
    <col min="3" max="3" width="46.5703125" customWidth="1"/>
    <col min="7" max="7" width="40.5703125" customWidth="1"/>
    <col min="8" max="8" width="32.42578125" customWidth="1"/>
    <col min="9" max="9" width="26.42578125" bestFit="1" customWidth="1"/>
    <col min="13" max="13" width="73" customWidth="1"/>
    <col min="15" max="15" width="12" bestFit="1" customWidth="1"/>
    <col min="23" max="23" width="28.42578125" bestFit="1" customWidth="1"/>
  </cols>
  <sheetData>
    <row r="1" spans="1:26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13428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4593</v>
      </c>
      <c r="W1" s="1" t="s">
        <v>4594</v>
      </c>
      <c r="X1" s="1" t="s">
        <v>4595</v>
      </c>
      <c r="Y1" s="1" t="s">
        <v>4596</v>
      </c>
      <c r="Z1" s="1" t="s">
        <v>4726</v>
      </c>
    </row>
    <row r="2" spans="1:26" ht="15.75">
      <c r="A2" t="s">
        <v>12511</v>
      </c>
      <c r="B2" t="s">
        <v>12511</v>
      </c>
      <c r="C2" t="s">
        <v>12912</v>
      </c>
      <c r="D2" t="s">
        <v>21</v>
      </c>
      <c r="G2" t="str">
        <f>Config!$B$7</f>
        <v>SCH/Connector.SchLib</v>
      </c>
      <c r="H2" t="s">
        <v>6975</v>
      </c>
      <c r="I2" t="s">
        <v>4623</v>
      </c>
      <c r="J2" t="s">
        <v>12512</v>
      </c>
      <c r="K2" s="1"/>
      <c r="L2" s="1" t="s">
        <v>13429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>
      <c r="A3" t="s">
        <v>12893</v>
      </c>
      <c r="B3" t="s">
        <v>12893</v>
      </c>
      <c r="C3" t="s">
        <v>12913</v>
      </c>
      <c r="D3" t="s">
        <v>21</v>
      </c>
      <c r="G3" t="str">
        <f>Config!$B$7</f>
        <v>SCH/Connector.SchLib</v>
      </c>
      <c r="H3" t="s">
        <v>6997</v>
      </c>
      <c r="I3" t="s">
        <v>4623</v>
      </c>
      <c r="J3" t="s">
        <v>12874</v>
      </c>
      <c r="K3" s="1"/>
      <c r="L3" s="1" t="s">
        <v>13429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>
      <c r="A4" t="s">
        <v>12894</v>
      </c>
      <c r="B4" t="s">
        <v>12894</v>
      </c>
      <c r="C4" t="s">
        <v>12914</v>
      </c>
      <c r="D4" t="s">
        <v>21</v>
      </c>
      <c r="G4" t="str">
        <f>Config!$B$7</f>
        <v>SCH/Connector.SchLib</v>
      </c>
      <c r="H4" t="s">
        <v>7841</v>
      </c>
      <c r="I4" t="s">
        <v>4623</v>
      </c>
      <c r="J4" t="s">
        <v>12875</v>
      </c>
      <c r="K4" s="1"/>
      <c r="L4" s="1" t="s">
        <v>13429</v>
      </c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>
      <c r="A5" t="s">
        <v>12895</v>
      </c>
      <c r="B5" t="s">
        <v>12895</v>
      </c>
      <c r="C5" t="s">
        <v>12915</v>
      </c>
      <c r="D5" t="s">
        <v>21</v>
      </c>
      <c r="G5" t="str">
        <f>Config!$B$7</f>
        <v>SCH/Connector.SchLib</v>
      </c>
      <c r="H5" t="s">
        <v>6353</v>
      </c>
      <c r="I5" t="s">
        <v>4623</v>
      </c>
      <c r="J5" t="s">
        <v>12876</v>
      </c>
      <c r="K5" s="1"/>
      <c r="L5" s="1" t="s">
        <v>13429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>
      <c r="A6" t="s">
        <v>12896</v>
      </c>
      <c r="B6" t="s">
        <v>12896</v>
      </c>
      <c r="C6" t="s">
        <v>12916</v>
      </c>
      <c r="D6" t="s">
        <v>21</v>
      </c>
      <c r="G6" t="str">
        <f>Config!$B$7</f>
        <v>SCH/Connector.SchLib</v>
      </c>
      <c r="H6" t="s">
        <v>6362</v>
      </c>
      <c r="I6" t="s">
        <v>4623</v>
      </c>
      <c r="J6" t="s">
        <v>12877</v>
      </c>
      <c r="K6" s="1"/>
      <c r="L6" s="1" t="s">
        <v>13429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>
      <c r="A7" t="s">
        <v>12897</v>
      </c>
      <c r="B7" t="s">
        <v>12897</v>
      </c>
      <c r="C7" t="s">
        <v>12917</v>
      </c>
      <c r="D7" t="s">
        <v>21</v>
      </c>
      <c r="G7" t="str">
        <f>Config!$B$7</f>
        <v>SCH/Connector.SchLib</v>
      </c>
      <c r="H7" t="s">
        <v>6556</v>
      </c>
      <c r="I7" t="s">
        <v>4623</v>
      </c>
      <c r="J7" t="s">
        <v>12878</v>
      </c>
      <c r="K7" s="1"/>
      <c r="L7" s="1" t="s">
        <v>13429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>
      <c r="A8" t="s">
        <v>12898</v>
      </c>
      <c r="B8" t="s">
        <v>12898</v>
      </c>
      <c r="C8" t="s">
        <v>12918</v>
      </c>
      <c r="D8" t="s">
        <v>21</v>
      </c>
      <c r="G8" t="str">
        <f>Config!$B$7</f>
        <v>SCH/Connector.SchLib</v>
      </c>
      <c r="H8" t="s">
        <v>7849</v>
      </c>
      <c r="I8" t="s">
        <v>4623</v>
      </c>
      <c r="J8" t="s">
        <v>12879</v>
      </c>
      <c r="K8" s="1"/>
      <c r="L8" s="1" t="s">
        <v>13429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>
      <c r="A9" t="s">
        <v>12899</v>
      </c>
      <c r="B9" t="s">
        <v>12899</v>
      </c>
      <c r="C9" t="s">
        <v>12919</v>
      </c>
      <c r="D9" t="s">
        <v>21</v>
      </c>
      <c r="G9" t="str">
        <f>Config!$B$7</f>
        <v>SCH/Connector.SchLib</v>
      </c>
      <c r="H9" t="s">
        <v>4429</v>
      </c>
      <c r="I9" t="s">
        <v>4623</v>
      </c>
      <c r="J9" t="s">
        <v>12880</v>
      </c>
      <c r="K9" s="1"/>
      <c r="L9" s="1" t="s">
        <v>13429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>
      <c r="A10" t="s">
        <v>12900</v>
      </c>
      <c r="B10" t="s">
        <v>12900</v>
      </c>
      <c r="C10" t="s">
        <v>12920</v>
      </c>
      <c r="D10" t="s">
        <v>21</v>
      </c>
      <c r="G10" t="str">
        <f>Config!$B$7</f>
        <v>SCH/Connector.SchLib</v>
      </c>
      <c r="H10" t="s">
        <v>7854</v>
      </c>
      <c r="I10" t="s">
        <v>4623</v>
      </c>
      <c r="J10" t="s">
        <v>12881</v>
      </c>
      <c r="K10" s="1"/>
      <c r="L10" s="1" t="s">
        <v>13429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>
      <c r="A11" t="s">
        <v>12901</v>
      </c>
      <c r="B11" t="s">
        <v>12901</v>
      </c>
      <c r="C11" t="s">
        <v>12921</v>
      </c>
      <c r="D11" t="s">
        <v>21</v>
      </c>
      <c r="G11" t="str">
        <f>Config!$B$7</f>
        <v>SCH/Connector.SchLib</v>
      </c>
      <c r="H11" t="s">
        <v>6563</v>
      </c>
      <c r="I11" t="s">
        <v>4623</v>
      </c>
      <c r="J11" t="s">
        <v>12882</v>
      </c>
      <c r="K11" s="1"/>
      <c r="L11" s="1" t="s">
        <v>13429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>
      <c r="A12" t="s">
        <v>12902</v>
      </c>
      <c r="B12" t="s">
        <v>12902</v>
      </c>
      <c r="C12" t="s">
        <v>12922</v>
      </c>
      <c r="D12" t="s">
        <v>21</v>
      </c>
      <c r="G12" t="str">
        <f>Config!$B$7</f>
        <v>SCH/Connector.SchLib</v>
      </c>
      <c r="H12" t="s">
        <v>7862</v>
      </c>
      <c r="I12" t="s">
        <v>4623</v>
      </c>
      <c r="J12" t="s">
        <v>12883</v>
      </c>
      <c r="K12" s="1"/>
      <c r="L12" s="1" t="s">
        <v>13429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>
      <c r="A13" t="s">
        <v>12903</v>
      </c>
      <c r="B13" t="s">
        <v>12903</v>
      </c>
      <c r="C13" t="s">
        <v>12923</v>
      </c>
      <c r="D13" t="s">
        <v>21</v>
      </c>
      <c r="G13" t="str">
        <f>Config!$B$7</f>
        <v>SCH/Connector.SchLib</v>
      </c>
      <c r="H13" t="s">
        <v>7859</v>
      </c>
      <c r="I13" t="s">
        <v>4623</v>
      </c>
      <c r="J13" t="s">
        <v>12884</v>
      </c>
      <c r="K13" s="1"/>
      <c r="L13" s="1" t="s">
        <v>13429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>
      <c r="A14" t="s">
        <v>12904</v>
      </c>
      <c r="B14" t="s">
        <v>12904</v>
      </c>
      <c r="C14" t="s">
        <v>12924</v>
      </c>
      <c r="D14" t="s">
        <v>21</v>
      </c>
      <c r="G14" t="str">
        <f>Config!$B$7</f>
        <v>SCH/Connector.SchLib</v>
      </c>
      <c r="H14" t="s">
        <v>7865</v>
      </c>
      <c r="I14" t="s">
        <v>4623</v>
      </c>
      <c r="J14" t="s">
        <v>12885</v>
      </c>
      <c r="K14" s="1"/>
      <c r="L14" s="1" t="s">
        <v>13429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>
      <c r="A15" t="s">
        <v>12905</v>
      </c>
      <c r="B15" t="s">
        <v>12905</v>
      </c>
      <c r="C15" t="s">
        <v>12925</v>
      </c>
      <c r="D15" t="s">
        <v>21</v>
      </c>
      <c r="G15" t="str">
        <f>Config!$B$7</f>
        <v>SCH/Connector.SchLib</v>
      </c>
      <c r="H15" t="s">
        <v>6566</v>
      </c>
      <c r="I15" t="s">
        <v>4623</v>
      </c>
      <c r="J15" t="s">
        <v>12886</v>
      </c>
      <c r="K15" s="1"/>
      <c r="L15" s="1" t="s">
        <v>13429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>
      <c r="A16" t="s">
        <v>12906</v>
      </c>
      <c r="B16" t="s">
        <v>12906</v>
      </c>
      <c r="C16" t="s">
        <v>12926</v>
      </c>
      <c r="D16" t="s">
        <v>21</v>
      </c>
      <c r="G16" t="str">
        <f>Config!$B$7</f>
        <v>SCH/Connector.SchLib</v>
      </c>
      <c r="H16" t="s">
        <v>7870</v>
      </c>
      <c r="I16" t="s">
        <v>4623</v>
      </c>
      <c r="J16" t="s">
        <v>12887</v>
      </c>
      <c r="K16" s="1"/>
      <c r="L16" s="1" t="s">
        <v>13429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>
      <c r="A17" t="s">
        <v>12907</v>
      </c>
      <c r="B17" t="s">
        <v>12907</v>
      </c>
      <c r="C17" t="s">
        <v>12927</v>
      </c>
      <c r="D17" t="s">
        <v>21</v>
      </c>
      <c r="G17" t="str">
        <f>Config!$B$7</f>
        <v>SCH/Connector.SchLib</v>
      </c>
      <c r="H17" t="s">
        <v>7873</v>
      </c>
      <c r="I17" t="s">
        <v>4623</v>
      </c>
      <c r="J17" t="s">
        <v>12888</v>
      </c>
      <c r="K17" s="1"/>
      <c r="L17" s="1" t="s">
        <v>13429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>
      <c r="A18" t="s">
        <v>12908</v>
      </c>
      <c r="B18" t="s">
        <v>12908</v>
      </c>
      <c r="C18" t="s">
        <v>12928</v>
      </c>
      <c r="D18" t="s">
        <v>21</v>
      </c>
      <c r="G18" t="str">
        <f>Config!$B$7</f>
        <v>SCH/Connector.SchLib</v>
      </c>
      <c r="H18" t="s">
        <v>7876</v>
      </c>
      <c r="I18" t="s">
        <v>4623</v>
      </c>
      <c r="J18" t="s">
        <v>12889</v>
      </c>
      <c r="K18" s="1"/>
      <c r="L18" s="1" t="s">
        <v>13429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>
      <c r="A19" t="s">
        <v>12909</v>
      </c>
      <c r="B19" t="s">
        <v>12909</v>
      </c>
      <c r="C19" t="s">
        <v>12929</v>
      </c>
      <c r="D19" t="s">
        <v>21</v>
      </c>
      <c r="G19" t="str">
        <f>Config!$B$7</f>
        <v>SCH/Connector.SchLib</v>
      </c>
      <c r="H19" t="s">
        <v>7879</v>
      </c>
      <c r="I19" t="s">
        <v>4623</v>
      </c>
      <c r="J19" t="s">
        <v>12890</v>
      </c>
      <c r="K19" s="1"/>
      <c r="L19" s="1" t="s">
        <v>13429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>
      <c r="A20" t="s">
        <v>12910</v>
      </c>
      <c r="B20" t="s">
        <v>12910</v>
      </c>
      <c r="C20" t="s">
        <v>12930</v>
      </c>
      <c r="D20" t="s">
        <v>21</v>
      </c>
      <c r="G20" t="str">
        <f>Config!$B$7</f>
        <v>SCH/Connector.SchLib</v>
      </c>
      <c r="H20" t="s">
        <v>7882</v>
      </c>
      <c r="I20" t="s">
        <v>4623</v>
      </c>
      <c r="J20" t="s">
        <v>12891</v>
      </c>
      <c r="K20" s="1"/>
      <c r="L20" s="1" t="s">
        <v>13429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>
      <c r="A21" t="s">
        <v>12911</v>
      </c>
      <c r="B21" t="s">
        <v>12911</v>
      </c>
      <c r="C21" t="s">
        <v>12931</v>
      </c>
      <c r="D21" t="s">
        <v>21</v>
      </c>
      <c r="G21" t="str">
        <f>Config!$B$7</f>
        <v>SCH/Connector.SchLib</v>
      </c>
      <c r="H21" t="s">
        <v>7883</v>
      </c>
      <c r="I21" t="s">
        <v>4623</v>
      </c>
      <c r="J21" t="s">
        <v>12892</v>
      </c>
      <c r="K21" s="1"/>
      <c r="L21" s="1" t="s">
        <v>13429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>
      <c r="A22" t="s">
        <v>13019</v>
      </c>
      <c r="B22" t="s">
        <v>13019</v>
      </c>
      <c r="C22" t="s">
        <v>13020</v>
      </c>
      <c r="D22" t="s">
        <v>21</v>
      </c>
      <c r="G22" t="str">
        <f>Config!$B$7</f>
        <v>SCH/Connector.SchLib</v>
      </c>
      <c r="H22" t="s">
        <v>13021</v>
      </c>
      <c r="I22" t="s">
        <v>4623</v>
      </c>
      <c r="J22" t="s">
        <v>13022</v>
      </c>
      <c r="K22" s="1"/>
      <c r="L22" s="1" t="s">
        <v>13429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>
      <c r="A23" t="s">
        <v>13023</v>
      </c>
      <c r="B23" t="s">
        <v>13023</v>
      </c>
      <c r="C23" t="s">
        <v>13024</v>
      </c>
      <c r="D23" t="s">
        <v>21</v>
      </c>
      <c r="G23" t="str">
        <f>Config!$B$7</f>
        <v>SCH/Connector.SchLib</v>
      </c>
      <c r="H23" t="s">
        <v>13025</v>
      </c>
      <c r="I23" t="s">
        <v>4623</v>
      </c>
      <c r="J23" t="s">
        <v>13026</v>
      </c>
      <c r="K23" s="1"/>
      <c r="L23" s="1" t="s">
        <v>13429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>
      <c r="A24" t="s">
        <v>13027</v>
      </c>
      <c r="B24" t="s">
        <v>13027</v>
      </c>
      <c r="C24" t="s">
        <v>13028</v>
      </c>
      <c r="D24" t="s">
        <v>21</v>
      </c>
      <c r="G24" t="str">
        <f>Config!$B$7</f>
        <v>SCH/Connector.SchLib</v>
      </c>
      <c r="H24" t="s">
        <v>13029</v>
      </c>
      <c r="I24" t="s">
        <v>4623</v>
      </c>
      <c r="J24" t="s">
        <v>13030</v>
      </c>
      <c r="K24" s="1"/>
      <c r="L24" s="1" t="s">
        <v>13429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>
      <c r="A25" t="s">
        <v>13031</v>
      </c>
      <c r="B25" t="s">
        <v>13031</v>
      </c>
      <c r="C25" t="s">
        <v>13032</v>
      </c>
      <c r="D25" t="s">
        <v>21</v>
      </c>
      <c r="G25" t="str">
        <f>Config!$B$7</f>
        <v>SCH/Connector.SchLib</v>
      </c>
      <c r="H25" t="s">
        <v>13033</v>
      </c>
      <c r="I25" t="s">
        <v>4623</v>
      </c>
      <c r="J25" t="s">
        <v>13034</v>
      </c>
      <c r="K25" s="1"/>
      <c r="L25" s="1" t="s">
        <v>13429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>
      <c r="A26" t="s">
        <v>13035</v>
      </c>
      <c r="B26" t="s">
        <v>13035</v>
      </c>
      <c r="C26" t="s">
        <v>13036</v>
      </c>
      <c r="D26" t="s">
        <v>21</v>
      </c>
      <c r="G26" t="str">
        <f>Config!$B$7</f>
        <v>SCH/Connector.SchLib</v>
      </c>
      <c r="H26" t="s">
        <v>13037</v>
      </c>
      <c r="I26" t="s">
        <v>4623</v>
      </c>
      <c r="J26" t="s">
        <v>13038</v>
      </c>
      <c r="K26" s="1"/>
      <c r="L26" s="1" t="s">
        <v>13429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>
      <c r="A27" t="s">
        <v>13039</v>
      </c>
      <c r="B27" t="s">
        <v>13039</v>
      </c>
      <c r="C27" t="s">
        <v>13040</v>
      </c>
      <c r="D27" t="s">
        <v>21</v>
      </c>
      <c r="G27" t="str">
        <f>Config!$B$7</f>
        <v>SCH/Connector.SchLib</v>
      </c>
      <c r="H27" t="s">
        <v>13041</v>
      </c>
      <c r="I27" t="s">
        <v>4623</v>
      </c>
      <c r="J27" t="s">
        <v>13042</v>
      </c>
      <c r="K27" s="1"/>
      <c r="L27" s="1" t="s">
        <v>13429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>
      <c r="A28" t="s">
        <v>13043</v>
      </c>
      <c r="B28" t="s">
        <v>13043</v>
      </c>
      <c r="C28" t="s">
        <v>13044</v>
      </c>
      <c r="D28" t="s">
        <v>21</v>
      </c>
      <c r="G28" t="str">
        <f>Config!$B$7</f>
        <v>SCH/Connector.SchLib</v>
      </c>
      <c r="H28" t="s">
        <v>13045</v>
      </c>
      <c r="I28" t="s">
        <v>4623</v>
      </c>
      <c r="J28" t="s">
        <v>13046</v>
      </c>
      <c r="K28" s="1"/>
      <c r="L28" s="1" t="s">
        <v>13429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5.75">
      <c r="A29" t="s">
        <v>13047</v>
      </c>
      <c r="B29" t="s">
        <v>13047</v>
      </c>
      <c r="C29" t="s">
        <v>13048</v>
      </c>
      <c r="D29" t="s">
        <v>21</v>
      </c>
      <c r="G29" t="str">
        <f>Config!$B$7</f>
        <v>SCH/Connector.SchLib</v>
      </c>
      <c r="H29" t="s">
        <v>13049</v>
      </c>
      <c r="I29" t="s">
        <v>4623</v>
      </c>
      <c r="J29" t="s">
        <v>13050</v>
      </c>
      <c r="K29" s="1"/>
      <c r="L29" s="1" t="s">
        <v>13429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5.75">
      <c r="A30" t="s">
        <v>13051</v>
      </c>
      <c r="B30" t="s">
        <v>13051</v>
      </c>
      <c r="C30" t="s">
        <v>13052</v>
      </c>
      <c r="D30" t="s">
        <v>21</v>
      </c>
      <c r="G30" t="str">
        <f>Config!$B$7</f>
        <v>SCH/Connector.SchLib</v>
      </c>
      <c r="H30" t="s">
        <v>13053</v>
      </c>
      <c r="I30" t="s">
        <v>4623</v>
      </c>
      <c r="J30" t="s">
        <v>13054</v>
      </c>
      <c r="K30" s="1"/>
      <c r="L30" s="1" t="s">
        <v>13429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>
      <c r="A31" t="s">
        <v>13055</v>
      </c>
      <c r="B31" t="s">
        <v>13055</v>
      </c>
      <c r="C31" t="s">
        <v>13056</v>
      </c>
      <c r="D31" t="s">
        <v>21</v>
      </c>
      <c r="G31" t="str">
        <f>Config!$B$7</f>
        <v>SCH/Connector.SchLib</v>
      </c>
      <c r="H31" t="s">
        <v>13057</v>
      </c>
      <c r="I31" t="s">
        <v>4623</v>
      </c>
      <c r="J31" t="s">
        <v>13058</v>
      </c>
      <c r="K31" s="1"/>
      <c r="L31" s="1" t="s">
        <v>13429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>
      <c r="A32" t="s">
        <v>13059</v>
      </c>
      <c r="B32" t="s">
        <v>13059</v>
      </c>
      <c r="C32" t="s">
        <v>13060</v>
      </c>
      <c r="D32" t="s">
        <v>21</v>
      </c>
      <c r="G32" t="str">
        <f>Config!$B$7</f>
        <v>SCH/Connector.SchLib</v>
      </c>
      <c r="H32" t="s">
        <v>12258</v>
      </c>
      <c r="I32" t="s">
        <v>4623</v>
      </c>
      <c r="J32" t="s">
        <v>13061</v>
      </c>
      <c r="K32" s="1"/>
      <c r="L32" s="1" t="s">
        <v>13429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>
      <c r="A33" t="s">
        <v>13062</v>
      </c>
      <c r="B33" t="s">
        <v>13062</v>
      </c>
      <c r="C33" t="s">
        <v>13063</v>
      </c>
      <c r="D33" t="s">
        <v>21</v>
      </c>
      <c r="G33" t="str">
        <f>Config!$B$7</f>
        <v>SCH/Connector.SchLib</v>
      </c>
      <c r="H33" t="s">
        <v>13064</v>
      </c>
      <c r="I33" t="s">
        <v>4623</v>
      </c>
      <c r="J33" t="s">
        <v>13065</v>
      </c>
      <c r="K33" s="1"/>
      <c r="L33" s="1" t="s">
        <v>13429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>
      <c r="A34" t="s">
        <v>13066</v>
      </c>
      <c r="B34" t="s">
        <v>13066</v>
      </c>
      <c r="C34" t="s">
        <v>13067</v>
      </c>
      <c r="D34" t="s">
        <v>21</v>
      </c>
      <c r="G34" t="str">
        <f>Config!$B$7</f>
        <v>SCH/Connector.SchLib</v>
      </c>
      <c r="H34" t="s">
        <v>13068</v>
      </c>
      <c r="I34" t="s">
        <v>4623</v>
      </c>
      <c r="J34" t="s">
        <v>13069</v>
      </c>
      <c r="K34" s="1"/>
      <c r="L34" s="1" t="s">
        <v>13429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>
      <c r="A35" t="s">
        <v>13070</v>
      </c>
      <c r="B35" t="s">
        <v>13070</v>
      </c>
      <c r="C35" t="s">
        <v>13071</v>
      </c>
      <c r="D35" t="s">
        <v>21</v>
      </c>
      <c r="G35" t="str">
        <f>Config!$B$7</f>
        <v>SCH/Connector.SchLib</v>
      </c>
      <c r="H35" t="s">
        <v>13072</v>
      </c>
      <c r="I35" t="s">
        <v>4623</v>
      </c>
      <c r="J35" t="s">
        <v>13073</v>
      </c>
      <c r="K35" s="1"/>
      <c r="L35" s="1" t="s">
        <v>13429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>
      <c r="A36" t="s">
        <v>13074</v>
      </c>
      <c r="B36" t="s">
        <v>13074</v>
      </c>
      <c r="C36" t="s">
        <v>13075</v>
      </c>
      <c r="D36" t="s">
        <v>21</v>
      </c>
      <c r="G36" t="str">
        <f>Config!$B$7</f>
        <v>SCH/Connector.SchLib</v>
      </c>
      <c r="H36" t="s">
        <v>13076</v>
      </c>
      <c r="I36" t="s">
        <v>4623</v>
      </c>
      <c r="J36" t="s">
        <v>13077</v>
      </c>
      <c r="K36" s="1"/>
      <c r="L36" s="1" t="s">
        <v>13429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>
      <c r="A37" t="s">
        <v>13078</v>
      </c>
      <c r="B37" t="s">
        <v>13078</v>
      </c>
      <c r="C37" t="s">
        <v>13079</v>
      </c>
      <c r="D37" t="s">
        <v>21</v>
      </c>
      <c r="G37" t="str">
        <f>Config!$B$7</f>
        <v>SCH/Connector.SchLib</v>
      </c>
      <c r="H37" t="s">
        <v>13080</v>
      </c>
      <c r="I37" t="s">
        <v>4623</v>
      </c>
      <c r="J37" t="s">
        <v>13081</v>
      </c>
      <c r="K37" s="1"/>
      <c r="L37" s="1" t="s">
        <v>13429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>
      <c r="A38" t="s">
        <v>13082</v>
      </c>
      <c r="B38" t="s">
        <v>13082</v>
      </c>
      <c r="C38" t="s">
        <v>13083</v>
      </c>
      <c r="D38" t="s">
        <v>21</v>
      </c>
      <c r="G38" t="str">
        <f>Config!$B$7</f>
        <v>SCH/Connector.SchLib</v>
      </c>
      <c r="H38" t="s">
        <v>13084</v>
      </c>
      <c r="I38" t="s">
        <v>4623</v>
      </c>
      <c r="J38" t="s">
        <v>13085</v>
      </c>
      <c r="K38" s="1"/>
      <c r="L38" s="1" t="s">
        <v>13429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>
      <c r="A39" t="s">
        <v>13086</v>
      </c>
      <c r="B39" t="s">
        <v>13086</v>
      </c>
      <c r="C39" t="s">
        <v>13087</v>
      </c>
      <c r="D39" t="s">
        <v>21</v>
      </c>
      <c r="G39" t="str">
        <f>Config!$B$7</f>
        <v>SCH/Connector.SchLib</v>
      </c>
      <c r="H39" t="s">
        <v>13088</v>
      </c>
      <c r="I39" t="s">
        <v>4623</v>
      </c>
      <c r="J39" t="s">
        <v>13089</v>
      </c>
      <c r="K39" s="1"/>
      <c r="L39" s="1" t="s">
        <v>13429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>
      <c r="A40" t="s">
        <v>13090</v>
      </c>
      <c r="B40" t="s">
        <v>13090</v>
      </c>
      <c r="C40" t="s">
        <v>13091</v>
      </c>
      <c r="D40" t="s">
        <v>21</v>
      </c>
      <c r="G40" t="str">
        <f>Config!$B$7</f>
        <v>SCH/Connector.SchLib</v>
      </c>
      <c r="H40" t="s">
        <v>13092</v>
      </c>
      <c r="I40" t="s">
        <v>4623</v>
      </c>
      <c r="J40" t="s">
        <v>13093</v>
      </c>
      <c r="K40" s="1"/>
      <c r="L40" s="1" t="s">
        <v>13429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>
      <c r="A41" t="s">
        <v>13094</v>
      </c>
      <c r="B41" t="s">
        <v>13094</v>
      </c>
      <c r="C41" t="s">
        <v>13095</v>
      </c>
      <c r="D41" t="s">
        <v>21</v>
      </c>
      <c r="G41" t="str">
        <f>Config!$B$7</f>
        <v>SCH/Connector.SchLib</v>
      </c>
      <c r="H41" t="s">
        <v>7483</v>
      </c>
      <c r="I41" t="s">
        <v>4623</v>
      </c>
      <c r="J41" t="s">
        <v>13096</v>
      </c>
      <c r="K41" s="1"/>
      <c r="L41" s="1" t="s">
        <v>13429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>
      <c r="A42" t="s">
        <v>13097</v>
      </c>
      <c r="B42" t="s">
        <v>13097</v>
      </c>
      <c r="C42" t="s">
        <v>13098</v>
      </c>
      <c r="D42" t="s">
        <v>21</v>
      </c>
      <c r="G42" t="str">
        <f>Config!$B$7</f>
        <v>SCH/Connector.SchLib</v>
      </c>
      <c r="H42" t="s">
        <v>13099</v>
      </c>
      <c r="I42" t="s">
        <v>4623</v>
      </c>
      <c r="J42" t="s">
        <v>13100</v>
      </c>
      <c r="K42" s="1"/>
      <c r="L42" s="1" t="s">
        <v>13429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>
      <c r="A43" t="s">
        <v>13101</v>
      </c>
      <c r="B43" t="s">
        <v>13101</v>
      </c>
      <c r="C43" t="s">
        <v>13102</v>
      </c>
      <c r="D43" t="s">
        <v>21</v>
      </c>
      <c r="G43" t="str">
        <f>Config!$B$7</f>
        <v>SCH/Connector.SchLib</v>
      </c>
      <c r="H43" t="s">
        <v>13103</v>
      </c>
      <c r="I43" t="s">
        <v>4623</v>
      </c>
      <c r="J43" t="s">
        <v>13104</v>
      </c>
      <c r="K43" s="1"/>
      <c r="L43" s="1" t="s">
        <v>13429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>
      <c r="A44" t="s">
        <v>13105</v>
      </c>
      <c r="B44" t="s">
        <v>13105</v>
      </c>
      <c r="C44" t="s">
        <v>13106</v>
      </c>
      <c r="D44" t="s">
        <v>21</v>
      </c>
      <c r="G44" t="str">
        <f>Config!$B$7</f>
        <v>SCH/Connector.SchLib</v>
      </c>
      <c r="H44" t="s">
        <v>13107</v>
      </c>
      <c r="I44" t="s">
        <v>4623</v>
      </c>
      <c r="J44" t="s">
        <v>13108</v>
      </c>
      <c r="K44" s="1"/>
      <c r="L44" s="1" t="s">
        <v>13429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>
      <c r="A45" t="s">
        <v>13109</v>
      </c>
      <c r="B45" t="s">
        <v>13109</v>
      </c>
      <c r="C45" t="s">
        <v>13110</v>
      </c>
      <c r="D45" t="s">
        <v>21</v>
      </c>
      <c r="G45" t="str">
        <f>Config!$B$7</f>
        <v>SCH/Connector.SchLib</v>
      </c>
      <c r="H45" t="s">
        <v>13111</v>
      </c>
      <c r="I45" t="s">
        <v>4623</v>
      </c>
      <c r="J45" t="s">
        <v>13112</v>
      </c>
      <c r="K45" s="1"/>
      <c r="L45" s="1" t="s">
        <v>13429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>
      <c r="A46" t="s">
        <v>13113</v>
      </c>
      <c r="B46" t="s">
        <v>13113</v>
      </c>
      <c r="C46" t="s">
        <v>13114</v>
      </c>
      <c r="D46" t="s">
        <v>21</v>
      </c>
      <c r="G46" t="str">
        <f>Config!$B$7</f>
        <v>SCH/Connector.SchLib</v>
      </c>
      <c r="H46" t="s">
        <v>13115</v>
      </c>
      <c r="I46" t="s">
        <v>4623</v>
      </c>
      <c r="J46" t="s">
        <v>13116</v>
      </c>
      <c r="K46" s="1"/>
      <c r="L46" s="1" t="s">
        <v>13429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>
      <c r="A47" t="s">
        <v>13117</v>
      </c>
      <c r="B47" t="s">
        <v>13117</v>
      </c>
      <c r="C47" t="s">
        <v>13118</v>
      </c>
      <c r="D47" t="s">
        <v>21</v>
      </c>
      <c r="G47" t="str">
        <f>Config!$B$7</f>
        <v>SCH/Connector.SchLib</v>
      </c>
      <c r="H47" t="s">
        <v>13119</v>
      </c>
      <c r="I47" t="s">
        <v>4623</v>
      </c>
      <c r="J47" t="s">
        <v>13120</v>
      </c>
      <c r="K47" s="1"/>
      <c r="L47" s="1" t="s">
        <v>13429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>
      <c r="A48" t="s">
        <v>13121</v>
      </c>
      <c r="B48" t="s">
        <v>13121</v>
      </c>
      <c r="C48" t="s">
        <v>13122</v>
      </c>
      <c r="D48" t="s">
        <v>21</v>
      </c>
      <c r="G48" t="str">
        <f>Config!$B$7</f>
        <v>SCH/Connector.SchLib</v>
      </c>
      <c r="H48" t="s">
        <v>13123</v>
      </c>
      <c r="I48" t="s">
        <v>4623</v>
      </c>
      <c r="J48" t="s">
        <v>13124</v>
      </c>
      <c r="K48" s="1"/>
      <c r="L48" s="1" t="s">
        <v>13429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>
      <c r="A49" t="s">
        <v>13125</v>
      </c>
      <c r="B49" t="s">
        <v>13125</v>
      </c>
      <c r="C49" t="s">
        <v>13126</v>
      </c>
      <c r="D49" t="s">
        <v>21</v>
      </c>
      <c r="G49" t="str">
        <f>Config!$B$7</f>
        <v>SCH/Connector.SchLib</v>
      </c>
      <c r="H49" t="s">
        <v>13127</v>
      </c>
      <c r="I49" t="s">
        <v>4623</v>
      </c>
      <c r="J49" t="s">
        <v>13128</v>
      </c>
      <c r="K49" s="1"/>
      <c r="L49" s="1" t="s">
        <v>13429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>
      <c r="A50" t="s">
        <v>13129</v>
      </c>
      <c r="B50" t="s">
        <v>13129</v>
      </c>
      <c r="C50" t="s">
        <v>13130</v>
      </c>
      <c r="D50" t="s">
        <v>21</v>
      </c>
      <c r="G50" t="str">
        <f>Config!$B$7</f>
        <v>SCH/Connector.SchLib</v>
      </c>
      <c r="H50" t="s">
        <v>13131</v>
      </c>
      <c r="I50" t="s">
        <v>4623</v>
      </c>
      <c r="J50" t="s">
        <v>13132</v>
      </c>
      <c r="K50" s="1"/>
      <c r="L50" s="1" t="s">
        <v>13429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5.75">
      <c r="A51" t="s">
        <v>13133</v>
      </c>
      <c r="B51" t="s">
        <v>13133</v>
      </c>
      <c r="C51" t="s">
        <v>13134</v>
      </c>
      <c r="D51" t="s">
        <v>21</v>
      </c>
      <c r="G51" t="str">
        <f>Config!$B$7</f>
        <v>SCH/Connector.SchLib</v>
      </c>
      <c r="H51" t="s">
        <v>13135</v>
      </c>
      <c r="I51" t="s">
        <v>4623</v>
      </c>
      <c r="J51" t="s">
        <v>13136</v>
      </c>
      <c r="K51" s="1"/>
      <c r="L51" s="1" t="s">
        <v>13429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5.75">
      <c r="A52" t="s">
        <v>13318</v>
      </c>
      <c r="B52" t="s">
        <v>13318</v>
      </c>
      <c r="C52" t="s">
        <v>13319</v>
      </c>
      <c r="D52" t="s">
        <v>21</v>
      </c>
      <c r="G52" t="str">
        <f>Config!$B$7</f>
        <v>SCH/Connector.SchLib</v>
      </c>
      <c r="H52" t="s">
        <v>6997</v>
      </c>
      <c r="I52" t="s">
        <v>4623</v>
      </c>
      <c r="J52" t="s">
        <v>13320</v>
      </c>
      <c r="K52" s="1"/>
      <c r="L52" s="1" t="s">
        <v>13429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>
      <c r="A53" t="s">
        <v>13321</v>
      </c>
      <c r="B53" t="s">
        <v>13321</v>
      </c>
      <c r="C53" t="s">
        <v>13322</v>
      </c>
      <c r="D53" t="s">
        <v>21</v>
      </c>
      <c r="G53" t="str">
        <f>Config!$B$7</f>
        <v>SCH/Connector.SchLib</v>
      </c>
      <c r="H53" t="s">
        <v>6353</v>
      </c>
      <c r="I53" t="s">
        <v>4623</v>
      </c>
      <c r="J53" t="s">
        <v>13323</v>
      </c>
      <c r="K53" s="1"/>
      <c r="L53" s="1" t="s">
        <v>13429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>
      <c r="A54" t="s">
        <v>8500</v>
      </c>
      <c r="B54" t="s">
        <v>8500</v>
      </c>
      <c r="C54" t="s">
        <v>12933</v>
      </c>
      <c r="D54" t="s">
        <v>21</v>
      </c>
      <c r="G54" t="str">
        <f>Config!$B$7</f>
        <v>SCH/Connector.SchLib</v>
      </c>
      <c r="H54" t="s">
        <v>6556</v>
      </c>
      <c r="I54" t="s">
        <v>4623</v>
      </c>
      <c r="J54" t="s">
        <v>8501</v>
      </c>
      <c r="L54" s="1" t="s">
        <v>13429</v>
      </c>
    </row>
    <row r="55" spans="1:26" ht="15.75">
      <c r="A55" t="s">
        <v>4427</v>
      </c>
      <c r="B55" t="s">
        <v>4427</v>
      </c>
      <c r="C55" t="s">
        <v>12932</v>
      </c>
      <c r="D55" t="s">
        <v>21</v>
      </c>
      <c r="G55" t="str">
        <f>Config!$B$7</f>
        <v>SCH/Connector.SchLib</v>
      </c>
      <c r="H55" t="s">
        <v>4429</v>
      </c>
      <c r="I55" t="s">
        <v>4623</v>
      </c>
      <c r="J55" t="s">
        <v>4624</v>
      </c>
      <c r="L55" s="1" t="s">
        <v>13429</v>
      </c>
    </row>
    <row r="56" spans="1:26" ht="15.75">
      <c r="A56" t="s">
        <v>13324</v>
      </c>
      <c r="B56" t="s">
        <v>13324</v>
      </c>
      <c r="C56" t="s">
        <v>13325</v>
      </c>
      <c r="D56" t="s">
        <v>21</v>
      </c>
      <c r="G56" t="str">
        <f>Config!$B$7</f>
        <v>SCH/Connector.SchLib</v>
      </c>
      <c r="H56" t="s">
        <v>6563</v>
      </c>
      <c r="I56" t="s">
        <v>4623</v>
      </c>
      <c r="J56" t="s">
        <v>13326</v>
      </c>
      <c r="L56" s="1" t="s">
        <v>13429</v>
      </c>
    </row>
    <row r="57" spans="1:26" ht="15.75">
      <c r="A57" t="s">
        <v>13327</v>
      </c>
      <c r="B57" t="s">
        <v>13327</v>
      </c>
      <c r="C57" t="s">
        <v>13328</v>
      </c>
      <c r="D57" t="s">
        <v>21</v>
      </c>
      <c r="G57" t="str">
        <f>Config!$B$7</f>
        <v>SCH/Connector.SchLib</v>
      </c>
      <c r="H57" t="s">
        <v>7859</v>
      </c>
      <c r="I57" t="s">
        <v>4623</v>
      </c>
      <c r="J57" t="s">
        <v>13329</v>
      </c>
      <c r="L57" s="1" t="s">
        <v>13429</v>
      </c>
    </row>
    <row r="58" spans="1:26" ht="15.75">
      <c r="A58" t="s">
        <v>13330</v>
      </c>
      <c r="B58" t="s">
        <v>13330</v>
      </c>
      <c r="C58" t="s">
        <v>13331</v>
      </c>
      <c r="D58" t="s">
        <v>21</v>
      </c>
      <c r="G58" t="str">
        <f>Config!$B$7</f>
        <v>SCH/Connector.SchLib</v>
      </c>
      <c r="H58" t="s">
        <v>6566</v>
      </c>
      <c r="I58" t="s">
        <v>4623</v>
      </c>
      <c r="J58" t="s">
        <v>13332</v>
      </c>
      <c r="L58" s="1" t="s">
        <v>13429</v>
      </c>
    </row>
    <row r="59" spans="1:26" ht="15.75">
      <c r="A59" t="s">
        <v>13333</v>
      </c>
      <c r="B59" t="s">
        <v>13333</v>
      </c>
      <c r="C59" t="s">
        <v>13334</v>
      </c>
      <c r="D59" t="s">
        <v>21</v>
      </c>
      <c r="G59" t="str">
        <f>Config!$B$7</f>
        <v>SCH/Connector.SchLib</v>
      </c>
      <c r="H59" t="s">
        <v>7873</v>
      </c>
      <c r="I59" t="s">
        <v>4623</v>
      </c>
      <c r="J59" t="s">
        <v>13335</v>
      </c>
      <c r="L59" s="1" t="s">
        <v>13429</v>
      </c>
    </row>
    <row r="60" spans="1:26" ht="15.75">
      <c r="A60" t="s">
        <v>13336</v>
      </c>
      <c r="B60" t="s">
        <v>13336</v>
      </c>
      <c r="C60" t="s">
        <v>13337</v>
      </c>
      <c r="D60" t="s">
        <v>21</v>
      </c>
      <c r="G60" t="str">
        <f>Config!$B$7</f>
        <v>SCH/Connector.SchLib</v>
      </c>
      <c r="H60" t="s">
        <v>7879</v>
      </c>
      <c r="I60" t="s">
        <v>4623</v>
      </c>
      <c r="J60" t="s">
        <v>13338</v>
      </c>
      <c r="L60" s="1" t="s">
        <v>13429</v>
      </c>
    </row>
    <row r="61" spans="1:26" ht="15.75">
      <c r="A61" t="s">
        <v>13339</v>
      </c>
      <c r="B61" t="s">
        <v>13339</v>
      </c>
      <c r="C61" t="s">
        <v>13340</v>
      </c>
      <c r="D61" t="s">
        <v>21</v>
      </c>
      <c r="G61" t="str">
        <f>Config!$B$7</f>
        <v>SCH/Connector.SchLib</v>
      </c>
      <c r="H61" t="s">
        <v>7883</v>
      </c>
      <c r="I61" t="s">
        <v>4623</v>
      </c>
      <c r="J61" t="s">
        <v>13341</v>
      </c>
      <c r="L61" s="1" t="s">
        <v>13429</v>
      </c>
    </row>
    <row r="62" spans="1:26" ht="15.75">
      <c r="A62" t="s">
        <v>13342</v>
      </c>
      <c r="B62" t="s">
        <v>13342</v>
      </c>
      <c r="C62" t="s">
        <v>13343</v>
      </c>
      <c r="D62" t="s">
        <v>21</v>
      </c>
      <c r="G62" t="str">
        <f>Config!$B$7</f>
        <v>SCH/Connector.SchLib</v>
      </c>
      <c r="H62" t="s">
        <v>13025</v>
      </c>
      <c r="I62" t="s">
        <v>4623</v>
      </c>
      <c r="J62" t="s">
        <v>13344</v>
      </c>
      <c r="L62" s="1" t="s">
        <v>13429</v>
      </c>
    </row>
    <row r="63" spans="1:26" ht="15.75">
      <c r="A63" t="s">
        <v>13345</v>
      </c>
      <c r="B63" t="s">
        <v>13345</v>
      </c>
      <c r="C63" t="s">
        <v>13346</v>
      </c>
      <c r="D63" t="s">
        <v>21</v>
      </c>
      <c r="G63" t="str">
        <f>Config!$B$7</f>
        <v>SCH/Connector.SchLib</v>
      </c>
      <c r="H63" t="s">
        <v>13033</v>
      </c>
      <c r="I63" t="s">
        <v>4623</v>
      </c>
      <c r="J63" t="s">
        <v>13347</v>
      </c>
      <c r="L63" s="1" t="s">
        <v>13429</v>
      </c>
    </row>
    <row r="64" spans="1:26" ht="15.75">
      <c r="A64" t="s">
        <v>13348</v>
      </c>
      <c r="B64" t="s">
        <v>13348</v>
      </c>
      <c r="C64" t="s">
        <v>13349</v>
      </c>
      <c r="D64" t="s">
        <v>21</v>
      </c>
      <c r="G64" t="str">
        <f>Config!$B$7</f>
        <v>SCH/Connector.SchLib</v>
      </c>
      <c r="H64" t="s">
        <v>13041</v>
      </c>
      <c r="I64" t="s">
        <v>4623</v>
      </c>
      <c r="J64" t="s">
        <v>13350</v>
      </c>
      <c r="L64" s="1" t="s">
        <v>13429</v>
      </c>
    </row>
    <row r="65" spans="1:17" ht="15.75">
      <c r="A65" t="s">
        <v>13351</v>
      </c>
      <c r="B65" t="s">
        <v>13351</v>
      </c>
      <c r="C65" t="s">
        <v>13352</v>
      </c>
      <c r="D65" t="s">
        <v>21</v>
      </c>
      <c r="G65" t="str">
        <f>Config!$B$7</f>
        <v>SCH/Connector.SchLib</v>
      </c>
      <c r="H65" t="s">
        <v>13049</v>
      </c>
      <c r="I65" t="s">
        <v>4623</v>
      </c>
      <c r="J65" t="s">
        <v>13353</v>
      </c>
      <c r="L65" s="1" t="s">
        <v>13429</v>
      </c>
    </row>
    <row r="66" spans="1:17" ht="15.75">
      <c r="A66" t="s">
        <v>13354</v>
      </c>
      <c r="B66" t="s">
        <v>13354</v>
      </c>
      <c r="C66" t="s">
        <v>13355</v>
      </c>
      <c r="D66" t="s">
        <v>21</v>
      </c>
      <c r="G66" t="str">
        <f>Config!$B$7</f>
        <v>SCH/Connector.SchLib</v>
      </c>
      <c r="H66" t="s">
        <v>13057</v>
      </c>
      <c r="I66" t="s">
        <v>4623</v>
      </c>
      <c r="J66" t="s">
        <v>13356</v>
      </c>
      <c r="L66" s="1" t="s">
        <v>13429</v>
      </c>
    </row>
    <row r="67" spans="1:17" ht="15.75">
      <c r="A67" t="s">
        <v>13357</v>
      </c>
      <c r="B67" t="s">
        <v>13357</v>
      </c>
      <c r="C67" t="s">
        <v>13358</v>
      </c>
      <c r="D67" t="s">
        <v>21</v>
      </c>
      <c r="G67" t="str">
        <f>Config!$B$7</f>
        <v>SCH/Connector.SchLib</v>
      </c>
      <c r="H67" t="s">
        <v>13064</v>
      </c>
      <c r="I67" t="s">
        <v>4623</v>
      </c>
      <c r="J67" t="s">
        <v>13359</v>
      </c>
      <c r="L67" s="1" t="s">
        <v>13429</v>
      </c>
    </row>
    <row r="68" spans="1:17" ht="15.75">
      <c r="A68" t="s">
        <v>13360</v>
      </c>
      <c r="B68" t="s">
        <v>13360</v>
      </c>
      <c r="C68" t="s">
        <v>13361</v>
      </c>
      <c r="D68" t="s">
        <v>21</v>
      </c>
      <c r="G68" t="str">
        <f>Config!$B$7</f>
        <v>SCH/Connector.SchLib</v>
      </c>
      <c r="H68" t="s">
        <v>13072</v>
      </c>
      <c r="I68" t="s">
        <v>4623</v>
      </c>
      <c r="J68" t="s">
        <v>13362</v>
      </c>
      <c r="L68" s="1" t="s">
        <v>13429</v>
      </c>
    </row>
    <row r="69" spans="1:17" ht="15.75">
      <c r="A69" t="s">
        <v>13363</v>
      </c>
      <c r="B69" t="s">
        <v>13363</v>
      </c>
      <c r="C69" t="s">
        <v>13364</v>
      </c>
      <c r="D69" t="s">
        <v>21</v>
      </c>
      <c r="G69" t="str">
        <f>Config!$B$7</f>
        <v>SCH/Connector.SchLib</v>
      </c>
      <c r="H69" t="s">
        <v>13080</v>
      </c>
      <c r="I69" t="s">
        <v>4623</v>
      </c>
      <c r="J69" t="s">
        <v>13365</v>
      </c>
      <c r="L69" s="1" t="s">
        <v>13429</v>
      </c>
    </row>
    <row r="70" spans="1:17" ht="15.75">
      <c r="A70" t="s">
        <v>13366</v>
      </c>
      <c r="B70" t="s">
        <v>13366</v>
      </c>
      <c r="C70" t="s">
        <v>13367</v>
      </c>
      <c r="D70" t="s">
        <v>21</v>
      </c>
      <c r="G70" t="str">
        <f>Config!$B$7</f>
        <v>SCH/Connector.SchLib</v>
      </c>
      <c r="H70" t="s">
        <v>13088</v>
      </c>
      <c r="I70" t="s">
        <v>4623</v>
      </c>
      <c r="J70" t="s">
        <v>13368</v>
      </c>
      <c r="L70" s="1" t="s">
        <v>13429</v>
      </c>
    </row>
    <row r="71" spans="1:17" ht="15.75">
      <c r="A71" t="s">
        <v>7484</v>
      </c>
      <c r="B71" t="s">
        <v>7484</v>
      </c>
      <c r="C71" t="s">
        <v>13369</v>
      </c>
      <c r="D71" t="s">
        <v>21</v>
      </c>
      <c r="G71" t="str">
        <f>Config!$B$7</f>
        <v>SCH/Connector.SchLib</v>
      </c>
      <c r="H71" t="s">
        <v>7483</v>
      </c>
      <c r="I71" t="s">
        <v>4623</v>
      </c>
      <c r="J71" t="s">
        <v>7482</v>
      </c>
      <c r="L71" s="1" t="s">
        <v>13429</v>
      </c>
      <c r="M71" t="s">
        <v>7816</v>
      </c>
      <c r="N71" t="s">
        <v>7818</v>
      </c>
      <c r="O71" t="s">
        <v>7819</v>
      </c>
      <c r="P71" t="s">
        <v>25</v>
      </c>
      <c r="Q71" t="s">
        <v>7817</v>
      </c>
    </row>
    <row r="72" spans="1:17" ht="15.75">
      <c r="A72" t="s">
        <v>13370</v>
      </c>
      <c r="B72" t="s">
        <v>13370</v>
      </c>
      <c r="C72" t="s">
        <v>13371</v>
      </c>
      <c r="D72" t="s">
        <v>21</v>
      </c>
      <c r="G72" t="str">
        <f>Config!$B$7</f>
        <v>SCH/Connector.SchLib</v>
      </c>
      <c r="H72" t="s">
        <v>13103</v>
      </c>
      <c r="I72" t="s">
        <v>4623</v>
      </c>
      <c r="J72" t="s">
        <v>13372</v>
      </c>
      <c r="L72" s="1" t="s">
        <v>13429</v>
      </c>
    </row>
    <row r="73" spans="1:17" ht="15.75">
      <c r="A73" t="s">
        <v>13373</v>
      </c>
      <c r="B73" t="s">
        <v>13373</v>
      </c>
      <c r="C73" t="s">
        <v>13374</v>
      </c>
      <c r="D73" t="s">
        <v>21</v>
      </c>
      <c r="G73" t="str">
        <f>Config!$B$7</f>
        <v>SCH/Connector.SchLib</v>
      </c>
      <c r="H73" t="s">
        <v>13111</v>
      </c>
      <c r="I73" t="s">
        <v>4623</v>
      </c>
      <c r="J73" t="s">
        <v>13375</v>
      </c>
      <c r="L73" s="1" t="s">
        <v>13429</v>
      </c>
    </row>
    <row r="74" spans="1:17" ht="15.75">
      <c r="A74" t="s">
        <v>13376</v>
      </c>
      <c r="B74" t="s">
        <v>13376</v>
      </c>
      <c r="C74" t="s">
        <v>13377</v>
      </c>
      <c r="D74" t="s">
        <v>21</v>
      </c>
      <c r="G74" t="str">
        <f>Config!$B$7</f>
        <v>SCH/Connector.SchLib</v>
      </c>
      <c r="H74" t="s">
        <v>13119</v>
      </c>
      <c r="I74" t="s">
        <v>4623</v>
      </c>
      <c r="J74" t="s">
        <v>13378</v>
      </c>
      <c r="L74" s="1" t="s">
        <v>13429</v>
      </c>
    </row>
    <row r="75" spans="1:17" ht="15.75">
      <c r="A75" t="s">
        <v>13379</v>
      </c>
      <c r="B75" t="s">
        <v>13379</v>
      </c>
      <c r="C75" t="s">
        <v>13380</v>
      </c>
      <c r="D75" t="s">
        <v>21</v>
      </c>
      <c r="G75" t="str">
        <f>Config!$B$7</f>
        <v>SCH/Connector.SchLib</v>
      </c>
      <c r="H75" t="s">
        <v>13127</v>
      </c>
      <c r="I75" t="s">
        <v>4623</v>
      </c>
      <c r="J75" t="s">
        <v>13381</v>
      </c>
      <c r="L75" s="1" t="s">
        <v>13429</v>
      </c>
    </row>
    <row r="76" spans="1:17" ht="15.75">
      <c r="A76" t="s">
        <v>13382</v>
      </c>
      <c r="B76" t="s">
        <v>13382</v>
      </c>
      <c r="C76" t="s">
        <v>13383</v>
      </c>
      <c r="D76" t="s">
        <v>21</v>
      </c>
      <c r="G76" t="str">
        <f>Config!$B$7</f>
        <v>SCH/Connector.SchLib</v>
      </c>
      <c r="H76" t="s">
        <v>13135</v>
      </c>
      <c r="I76" t="s">
        <v>4623</v>
      </c>
      <c r="J76" t="s">
        <v>13384</v>
      </c>
      <c r="L76" s="1" t="s">
        <v>13429</v>
      </c>
    </row>
    <row r="77" spans="1:17" ht="15.75">
      <c r="A77" t="s">
        <v>7810</v>
      </c>
      <c r="B77" t="s">
        <v>7484</v>
      </c>
      <c r="C77" t="s">
        <v>4428</v>
      </c>
      <c r="D77" t="s">
        <v>21</v>
      </c>
      <c r="G77" t="str">
        <f>Config!$B$7</f>
        <v>SCH/Connector.SchLib</v>
      </c>
      <c r="H77" t="s">
        <v>7483</v>
      </c>
      <c r="I77" t="s">
        <v>4623</v>
      </c>
      <c r="J77" s="11" t="s">
        <v>7811</v>
      </c>
      <c r="L77" s="1" t="s">
        <v>13429</v>
      </c>
      <c r="M77" t="s">
        <v>7815</v>
      </c>
      <c r="N77" t="s">
        <v>7812</v>
      </c>
      <c r="O77" t="s">
        <v>7813</v>
      </c>
      <c r="P77" t="s">
        <v>25</v>
      </c>
      <c r="Q77" t="s">
        <v>7814</v>
      </c>
    </row>
    <row r="78" spans="1:17" ht="15.75">
      <c r="A78" t="s">
        <v>16668</v>
      </c>
      <c r="B78" t="s">
        <v>13345</v>
      </c>
      <c r="C78" t="s">
        <v>16669</v>
      </c>
      <c r="D78" t="s">
        <v>21</v>
      </c>
      <c r="G78" t="str">
        <f>Config!$B$7</f>
        <v>SCH/Connector.SchLib</v>
      </c>
      <c r="H78" t="s">
        <v>13033</v>
      </c>
      <c r="I78" t="s">
        <v>4623</v>
      </c>
      <c r="J78" t="s">
        <v>16667</v>
      </c>
      <c r="L78" s="1" t="s">
        <v>13429</v>
      </c>
      <c r="N78" t="s">
        <v>16663</v>
      </c>
      <c r="O78" t="s">
        <v>16664</v>
      </c>
      <c r="P78" t="s">
        <v>25</v>
      </c>
      <c r="Q78" t="s">
        <v>16665</v>
      </c>
    </row>
    <row r="79" spans="1:17" ht="15.75">
      <c r="A79" t="s">
        <v>16671</v>
      </c>
      <c r="B79" t="s">
        <v>16672</v>
      </c>
      <c r="C79" t="s">
        <v>16670</v>
      </c>
      <c r="D79" t="s">
        <v>21</v>
      </c>
      <c r="G79" t="str">
        <f>Config!$B$7</f>
        <v>SCH/Connector.SchLib</v>
      </c>
      <c r="H79" t="s">
        <v>13033</v>
      </c>
      <c r="I79" t="s">
        <v>4623</v>
      </c>
      <c r="J79" t="s">
        <v>16666</v>
      </c>
      <c r="L79" s="1" t="s">
        <v>13429</v>
      </c>
      <c r="N79" t="s">
        <v>16660</v>
      </c>
      <c r="O79" t="s">
        <v>16661</v>
      </c>
      <c r="P79" t="s">
        <v>25</v>
      </c>
      <c r="Q79" t="s">
        <v>16662</v>
      </c>
    </row>
    <row r="80" spans="1:17" ht="15.75">
      <c r="A80" t="s">
        <v>6358</v>
      </c>
      <c r="B80">
        <v>21033213401</v>
      </c>
      <c r="C80" t="s">
        <v>6358</v>
      </c>
      <c r="G80" t="str">
        <f>Config!$B$7</f>
        <v>SCH/Connector.SchLib</v>
      </c>
      <c r="H80" t="s">
        <v>6362</v>
      </c>
      <c r="I80" t="str">
        <f>_xlfn.CONCAT(PrivateLibraryPath,"PCB/Harting.PcbLib")</f>
        <v>../altium_lib_private/PCB/Harting.PcbLib</v>
      </c>
      <c r="J80" t="s">
        <v>6358</v>
      </c>
      <c r="L80" s="1" t="s">
        <v>13429</v>
      </c>
      <c r="M80" t="s">
        <v>6364</v>
      </c>
      <c r="N80" t="s">
        <v>6361</v>
      </c>
      <c r="O80" s="14" t="s">
        <v>6441</v>
      </c>
      <c r="P80" t="s">
        <v>25</v>
      </c>
      <c r="Q80" t="s">
        <v>6363</v>
      </c>
    </row>
    <row r="81" spans="1:25" ht="15.75">
      <c r="A81" t="s">
        <v>6359</v>
      </c>
      <c r="B81">
        <v>21033814440</v>
      </c>
      <c r="C81" t="s">
        <v>6359</v>
      </c>
      <c r="G81" t="str">
        <f>Config!$B$7</f>
        <v>SCH/Connector.SchLib</v>
      </c>
      <c r="H81" t="s">
        <v>6362</v>
      </c>
      <c r="I81" t="str">
        <f>_xlfn.CONCAT(PrivateLibraryPath,"PCB/Harting.PcbLib")</f>
        <v>../altium_lib_private/PCB/Harting.PcbLib</v>
      </c>
      <c r="J81" t="s">
        <v>6359</v>
      </c>
      <c r="L81" s="1" t="s">
        <v>13429</v>
      </c>
      <c r="M81" t="s">
        <v>6365</v>
      </c>
      <c r="N81" t="s">
        <v>6361</v>
      </c>
      <c r="O81" s="14" t="s">
        <v>6442</v>
      </c>
      <c r="P81" t="s">
        <v>25</v>
      </c>
      <c r="Q81" t="s">
        <v>6360</v>
      </c>
    </row>
    <row r="82" spans="1:25" ht="15.75">
      <c r="A82" t="s">
        <v>7925</v>
      </c>
      <c r="B82">
        <v>5600200420</v>
      </c>
      <c r="C82" t="s">
        <v>6642</v>
      </c>
      <c r="D82" t="s">
        <v>6634</v>
      </c>
      <c r="G82" t="str">
        <f>Config!$B$7</f>
        <v>SCH/Connector.SchLib</v>
      </c>
      <c r="H82" t="s">
        <v>6353</v>
      </c>
      <c r="I82" t="str">
        <f>_xlfn.CONCAT(PrivateLibraryPath,"PCB/Molex.PcbLib")</f>
        <v>../altium_lib_private/PCB/Molex.PcbLib</v>
      </c>
      <c r="J82">
        <v>5600200420</v>
      </c>
      <c r="L82" s="1" t="s">
        <v>13429</v>
      </c>
      <c r="M82" t="s">
        <v>6635</v>
      </c>
      <c r="N82" t="s">
        <v>6634</v>
      </c>
      <c r="O82" s="14" t="s">
        <v>6636</v>
      </c>
      <c r="P82" t="s">
        <v>25</v>
      </c>
      <c r="Q82" t="s">
        <v>6637</v>
      </c>
    </row>
    <row r="83" spans="1:25" ht="15.75">
      <c r="A83" t="s">
        <v>6677</v>
      </c>
      <c r="B83" t="s">
        <v>6665</v>
      </c>
      <c r="C83" t="s">
        <v>6664</v>
      </c>
      <c r="D83" t="s">
        <v>21</v>
      </c>
      <c r="G83" t="str">
        <f>Config!$B$7</f>
        <v>SCH/Connector.SchLib</v>
      </c>
      <c r="H83" t="s">
        <v>6679</v>
      </c>
      <c r="I83" t="str">
        <f>_xlfn.CONCAT(PrivateLibraryPath,"PCB/Wuerth.PcbLib")</f>
        <v>../altium_lib_private/PCB/Wuerth.PcbLib</v>
      </c>
      <c r="J83" t="s">
        <v>6680</v>
      </c>
      <c r="L83" s="1" t="s">
        <v>13429</v>
      </c>
      <c r="M83" s="26" t="s">
        <v>6668</v>
      </c>
      <c r="N83" t="s">
        <v>4279</v>
      </c>
      <c r="O83" t="s">
        <v>6665</v>
      </c>
      <c r="P83" t="s">
        <v>25</v>
      </c>
      <c r="Q83" t="s">
        <v>6670</v>
      </c>
      <c r="V83" t="s">
        <v>6672</v>
      </c>
      <c r="W83" t="s">
        <v>6675</v>
      </c>
      <c r="X83" t="s">
        <v>4559</v>
      </c>
      <c r="Y83" s="5" t="s">
        <v>6674</v>
      </c>
    </row>
    <row r="84" spans="1:25" ht="15.75">
      <c r="A84" t="s">
        <v>6678</v>
      </c>
      <c r="B84" s="14" t="s">
        <v>6666</v>
      </c>
      <c r="C84" t="s">
        <v>6667</v>
      </c>
      <c r="D84" t="s">
        <v>21</v>
      </c>
      <c r="G84" t="str">
        <f>Config!$B$7</f>
        <v>SCH/Connector.SchLib</v>
      </c>
      <c r="H84" t="s">
        <v>6679</v>
      </c>
      <c r="I84" t="str">
        <f>_xlfn.CONCAT(PrivateLibraryPath,"PCB/Wuerth.PcbLib")</f>
        <v>../altium_lib_private/PCB/Wuerth.PcbLib</v>
      </c>
      <c r="J84" t="s">
        <v>6681</v>
      </c>
      <c r="L84" s="1" t="s">
        <v>13429</v>
      </c>
      <c r="M84" s="26" t="s">
        <v>6669</v>
      </c>
      <c r="N84" t="s">
        <v>4279</v>
      </c>
      <c r="O84" s="14" t="s">
        <v>6666</v>
      </c>
      <c r="P84" t="s">
        <v>25</v>
      </c>
      <c r="Q84" t="s">
        <v>6671</v>
      </c>
      <c r="V84" t="s">
        <v>6672</v>
      </c>
      <c r="W84" t="s">
        <v>6676</v>
      </c>
      <c r="X84" t="s">
        <v>4559</v>
      </c>
      <c r="Y84" s="5" t="s">
        <v>6673</v>
      </c>
    </row>
    <row r="85" spans="1:25" ht="15.75">
      <c r="A85" t="s">
        <v>7939</v>
      </c>
      <c r="B85" s="14" t="s">
        <v>7940</v>
      </c>
      <c r="C85" t="s">
        <v>7941</v>
      </c>
      <c r="D85" t="s">
        <v>6634</v>
      </c>
      <c r="G85" t="str">
        <f>Config!$B$7</f>
        <v>SCH/Connector.SchLib</v>
      </c>
      <c r="H85" t="s">
        <v>6679</v>
      </c>
      <c r="I85" t="str">
        <f>_xlfn.CONCAT(PrivateLibraryPath,"PCB/Molex.PcbLib")</f>
        <v>../altium_lib_private/PCB/Molex.PcbLib</v>
      </c>
      <c r="J85">
        <v>855055113</v>
      </c>
      <c r="L85" s="1" t="s">
        <v>13429</v>
      </c>
      <c r="M85" s="26" t="s">
        <v>7942</v>
      </c>
      <c r="N85" t="s">
        <v>6634</v>
      </c>
      <c r="O85" s="14" t="s">
        <v>7940</v>
      </c>
      <c r="P85" t="s">
        <v>25</v>
      </c>
      <c r="Q85" t="s">
        <v>7943</v>
      </c>
      <c r="Y85" s="5"/>
    </row>
    <row r="86" spans="1:25" ht="15.75">
      <c r="A86" t="s">
        <v>6966</v>
      </c>
      <c r="B86" t="s">
        <v>6966</v>
      </c>
      <c r="C86" s="30" t="s">
        <v>6968</v>
      </c>
      <c r="D86" t="s">
        <v>6969</v>
      </c>
      <c r="G86" t="str">
        <f>Config!$B$7</f>
        <v>SCH/Connector.SchLib</v>
      </c>
      <c r="H86" t="s">
        <v>6967</v>
      </c>
      <c r="I86" t="str">
        <f>_xlfn.CONCAT(PrivateLibraryPath,"PCB/Schurter.PcbLib")</f>
        <v>../altium_lib_private/PCB/Schurter.PcbLib</v>
      </c>
      <c r="J86" t="s">
        <v>6966</v>
      </c>
      <c r="L86" s="1" t="s">
        <v>13429</v>
      </c>
      <c r="M86" s="26" t="s">
        <v>6970</v>
      </c>
      <c r="N86" t="s">
        <v>6969</v>
      </c>
      <c r="O86" t="s">
        <v>6966</v>
      </c>
      <c r="P86" t="s">
        <v>25</v>
      </c>
      <c r="Q86" t="s">
        <v>6971</v>
      </c>
    </row>
    <row r="87" spans="1:25" ht="15.75">
      <c r="A87" t="s">
        <v>6973</v>
      </c>
      <c r="B87" t="s">
        <v>6974</v>
      </c>
      <c r="C87" t="s">
        <v>6972</v>
      </c>
      <c r="D87" t="s">
        <v>21</v>
      </c>
      <c r="G87" t="str">
        <f>Config!$B$7</f>
        <v>SCH/Connector.SchLib</v>
      </c>
      <c r="H87" t="s">
        <v>6975</v>
      </c>
      <c r="I87" t="s">
        <v>6232</v>
      </c>
      <c r="J87" t="s">
        <v>6976</v>
      </c>
      <c r="L87" s="1" t="s">
        <v>13429</v>
      </c>
      <c r="M87" s="26" t="s">
        <v>6977</v>
      </c>
      <c r="N87" t="s">
        <v>6263</v>
      </c>
      <c r="O87" t="s">
        <v>6978</v>
      </c>
      <c r="P87" t="s">
        <v>25</v>
      </c>
      <c r="Q87" t="s">
        <v>6979</v>
      </c>
      <c r="V87" t="s">
        <v>6981</v>
      </c>
      <c r="W87" t="s">
        <v>6978</v>
      </c>
      <c r="X87" t="s">
        <v>4559</v>
      </c>
      <c r="Y87" t="s">
        <v>6980</v>
      </c>
    </row>
    <row r="88" spans="1:25" ht="15.75">
      <c r="A88" t="s">
        <v>6990</v>
      </c>
      <c r="B88">
        <v>430450412</v>
      </c>
      <c r="C88" t="s">
        <v>6994</v>
      </c>
      <c r="G88" t="str">
        <f>Config!$B$7</f>
        <v>SCH/Connector.SchLib</v>
      </c>
      <c r="H88" t="s">
        <v>6353</v>
      </c>
      <c r="I88" t="str">
        <f>_xlfn.CONCAT(PrivateLibraryPath,"PCB/Molex.PcbLib")</f>
        <v>../altium_lib_private/PCB/Molex.PcbLib</v>
      </c>
      <c r="J88">
        <v>430450412</v>
      </c>
      <c r="L88" s="1" t="s">
        <v>13429</v>
      </c>
      <c r="M88" s="26" t="s">
        <v>6993</v>
      </c>
      <c r="N88" t="s">
        <v>6634</v>
      </c>
      <c r="O88">
        <v>430450412</v>
      </c>
      <c r="P88" t="s">
        <v>25</v>
      </c>
      <c r="Q88" t="s">
        <v>6992</v>
      </c>
    </row>
    <row r="89" spans="1:25" ht="15.75">
      <c r="A89" t="s">
        <v>6991</v>
      </c>
      <c r="B89" s="27">
        <v>430450212</v>
      </c>
      <c r="C89" t="s">
        <v>6998</v>
      </c>
      <c r="G89" t="str">
        <f>Config!$B$7</f>
        <v>SCH/Connector.SchLib</v>
      </c>
      <c r="H89" t="s">
        <v>6997</v>
      </c>
      <c r="I89" t="str">
        <f>_xlfn.CONCAT(PrivateLibraryPath,"PCB/Molex.PcbLib")</f>
        <v>../altium_lib_private/PCB/Molex.PcbLib</v>
      </c>
      <c r="J89" s="13">
        <v>430450212</v>
      </c>
      <c r="L89" s="1" t="s">
        <v>13429</v>
      </c>
      <c r="M89" s="26" t="s">
        <v>6996</v>
      </c>
      <c r="N89" t="s">
        <v>6634</v>
      </c>
      <c r="O89" s="27">
        <v>430450212</v>
      </c>
      <c r="P89" t="s">
        <v>25</v>
      </c>
      <c r="Q89" t="s">
        <v>6995</v>
      </c>
    </row>
    <row r="90" spans="1:25" ht="15.75">
      <c r="A90" t="s">
        <v>7788</v>
      </c>
      <c r="B90">
        <v>5600200220</v>
      </c>
      <c r="C90" t="s">
        <v>7787</v>
      </c>
      <c r="D90" t="s">
        <v>6634</v>
      </c>
      <c r="G90" t="str">
        <f>Config!$B$7</f>
        <v>SCH/Connector.SchLib</v>
      </c>
      <c r="H90" t="s">
        <v>6997</v>
      </c>
      <c r="I90" t="str">
        <f>_xlfn.CONCAT(PrivateLibraryPath,"PCB/Molex.PcbLib")</f>
        <v>../altium_lib_private/PCB/Molex.PcbLib</v>
      </c>
      <c r="J90">
        <v>5600200220</v>
      </c>
      <c r="L90" s="1" t="s">
        <v>13429</v>
      </c>
      <c r="M90" s="26" t="s">
        <v>7789</v>
      </c>
      <c r="N90" t="s">
        <v>6634</v>
      </c>
      <c r="O90" s="14" t="s">
        <v>7790</v>
      </c>
      <c r="P90" t="s">
        <v>25</v>
      </c>
      <c r="Q90" t="s">
        <v>7791</v>
      </c>
    </row>
    <row r="91" spans="1:25" ht="15.75">
      <c r="A91" t="s">
        <v>7831</v>
      </c>
      <c r="B91" t="s">
        <v>7831</v>
      </c>
      <c r="C91" t="s">
        <v>7833</v>
      </c>
      <c r="D91" t="s">
        <v>7834</v>
      </c>
      <c r="G91" t="str">
        <f>Config!$B$7</f>
        <v>SCH/Connector.SchLib</v>
      </c>
      <c r="H91" t="s">
        <v>6997</v>
      </c>
      <c r="I91" t="s">
        <v>7835</v>
      </c>
      <c r="J91" t="s">
        <v>7831</v>
      </c>
      <c r="L91" s="1" t="s">
        <v>13429</v>
      </c>
      <c r="M91" s="26" t="s">
        <v>7837</v>
      </c>
      <c r="N91" t="s">
        <v>7834</v>
      </c>
      <c r="O91">
        <v>1803277</v>
      </c>
      <c r="P91" t="s">
        <v>25</v>
      </c>
      <c r="Q91" t="s">
        <v>7836</v>
      </c>
    </row>
    <row r="92" spans="1:25" ht="15.75">
      <c r="A92" t="s">
        <v>7839</v>
      </c>
      <c r="B92" t="s">
        <v>7839</v>
      </c>
      <c r="C92" t="s">
        <v>7840</v>
      </c>
      <c r="D92" t="s">
        <v>7834</v>
      </c>
      <c r="G92" t="str">
        <f>Config!$B$7</f>
        <v>SCH/Connector.SchLib</v>
      </c>
      <c r="H92" t="s">
        <v>7841</v>
      </c>
      <c r="I92" t="s">
        <v>7835</v>
      </c>
      <c r="J92" t="s">
        <v>7839</v>
      </c>
      <c r="L92" s="1" t="s">
        <v>13429</v>
      </c>
      <c r="M92" t="s">
        <v>7838</v>
      </c>
      <c r="N92" t="s">
        <v>7834</v>
      </c>
      <c r="O92">
        <v>1803280</v>
      </c>
      <c r="P92" t="s">
        <v>25</v>
      </c>
      <c r="Q92" t="s">
        <v>7902</v>
      </c>
    </row>
    <row r="93" spans="1:25" ht="15.75">
      <c r="A93" t="s">
        <v>7844</v>
      </c>
      <c r="B93" t="s">
        <v>7844</v>
      </c>
      <c r="C93" t="s">
        <v>7845</v>
      </c>
      <c r="D93" t="s">
        <v>7834</v>
      </c>
      <c r="G93" t="str">
        <f>Config!$B$7</f>
        <v>SCH/Connector.SchLib</v>
      </c>
      <c r="H93" t="s">
        <v>6353</v>
      </c>
      <c r="I93" t="s">
        <v>7835</v>
      </c>
      <c r="J93" t="s">
        <v>7844</v>
      </c>
      <c r="L93" s="1" t="s">
        <v>13429</v>
      </c>
      <c r="M93" t="s">
        <v>7885</v>
      </c>
      <c r="N93" t="s">
        <v>7834</v>
      </c>
      <c r="O93">
        <v>1803293</v>
      </c>
      <c r="P93" t="s">
        <v>25</v>
      </c>
      <c r="Q93" t="s">
        <v>7903</v>
      </c>
    </row>
    <row r="94" spans="1:25" ht="15.75">
      <c r="A94" t="s">
        <v>7842</v>
      </c>
      <c r="B94" t="s">
        <v>7842</v>
      </c>
      <c r="C94" t="s">
        <v>7843</v>
      </c>
      <c r="D94" t="s">
        <v>7834</v>
      </c>
      <c r="G94" t="str">
        <f>Config!$B$7</f>
        <v>SCH/Connector.SchLib</v>
      </c>
      <c r="H94" t="s">
        <v>6362</v>
      </c>
      <c r="I94" t="s">
        <v>7835</v>
      </c>
      <c r="J94" t="s">
        <v>7842</v>
      </c>
      <c r="L94" s="1" t="s">
        <v>13429</v>
      </c>
      <c r="M94" t="s">
        <v>7886</v>
      </c>
      <c r="N94" t="s">
        <v>7834</v>
      </c>
      <c r="O94">
        <v>1803303</v>
      </c>
      <c r="P94" t="s">
        <v>25</v>
      </c>
      <c r="Q94" t="s">
        <v>7904</v>
      </c>
    </row>
    <row r="95" spans="1:25" ht="15.75">
      <c r="A95" t="s">
        <v>7846</v>
      </c>
      <c r="B95" t="s">
        <v>7846</v>
      </c>
      <c r="C95" t="s">
        <v>7884</v>
      </c>
      <c r="D95" t="s">
        <v>7834</v>
      </c>
      <c r="G95" t="str">
        <f>Config!$B$7</f>
        <v>SCH/Connector.SchLib</v>
      </c>
      <c r="H95" t="s">
        <v>6556</v>
      </c>
      <c r="I95" t="s">
        <v>7835</v>
      </c>
      <c r="J95" t="s">
        <v>7846</v>
      </c>
      <c r="L95" s="1" t="s">
        <v>13429</v>
      </c>
      <c r="M95" t="s">
        <v>7887</v>
      </c>
      <c r="N95" t="s">
        <v>7834</v>
      </c>
      <c r="O95">
        <v>1803316</v>
      </c>
      <c r="P95" t="s">
        <v>25</v>
      </c>
      <c r="Q95" t="s">
        <v>7905</v>
      </c>
    </row>
    <row r="96" spans="1:25" ht="15.75">
      <c r="A96" t="s">
        <v>7847</v>
      </c>
      <c r="B96" t="s">
        <v>7847</v>
      </c>
      <c r="C96" t="s">
        <v>7848</v>
      </c>
      <c r="D96" t="s">
        <v>7834</v>
      </c>
      <c r="G96" t="str">
        <f>Config!$B$7</f>
        <v>SCH/Connector.SchLib</v>
      </c>
      <c r="H96" t="s">
        <v>7849</v>
      </c>
      <c r="I96" t="s">
        <v>7835</v>
      </c>
      <c r="J96" t="s">
        <v>7847</v>
      </c>
      <c r="L96" s="1" t="s">
        <v>13429</v>
      </c>
      <c r="M96" t="s">
        <v>7888</v>
      </c>
      <c r="N96" t="s">
        <v>7834</v>
      </c>
      <c r="O96">
        <v>1803329</v>
      </c>
      <c r="P96" t="s">
        <v>25</v>
      </c>
      <c r="Q96" t="s">
        <v>7906</v>
      </c>
    </row>
    <row r="97" spans="1:17" ht="15.75">
      <c r="A97" t="s">
        <v>7850</v>
      </c>
      <c r="B97" t="s">
        <v>7850</v>
      </c>
      <c r="C97" t="s">
        <v>7851</v>
      </c>
      <c r="D97" t="s">
        <v>7834</v>
      </c>
      <c r="G97" t="str">
        <f>Config!$B$7</f>
        <v>SCH/Connector.SchLib</v>
      </c>
      <c r="H97" t="s">
        <v>4429</v>
      </c>
      <c r="I97" t="s">
        <v>7835</v>
      </c>
      <c r="J97" t="s">
        <v>7850</v>
      </c>
      <c r="L97" s="1" t="s">
        <v>13429</v>
      </c>
      <c r="M97" t="s">
        <v>7889</v>
      </c>
      <c r="N97" t="s">
        <v>7834</v>
      </c>
      <c r="O97">
        <v>1803332</v>
      </c>
      <c r="P97" t="s">
        <v>25</v>
      </c>
      <c r="Q97" t="s">
        <v>7907</v>
      </c>
    </row>
    <row r="98" spans="1:17" ht="15.75">
      <c r="A98" t="s">
        <v>7852</v>
      </c>
      <c r="B98" t="s">
        <v>7852</v>
      </c>
      <c r="C98" t="s">
        <v>7853</v>
      </c>
      <c r="D98" t="s">
        <v>7834</v>
      </c>
      <c r="G98" t="str">
        <f>Config!$B$7</f>
        <v>SCH/Connector.SchLib</v>
      </c>
      <c r="H98" t="s">
        <v>7854</v>
      </c>
      <c r="I98" t="s">
        <v>7835</v>
      </c>
      <c r="J98" t="s">
        <v>7852</v>
      </c>
      <c r="L98" s="1" t="s">
        <v>13429</v>
      </c>
      <c r="M98" t="s">
        <v>7890</v>
      </c>
      <c r="N98" t="s">
        <v>7834</v>
      </c>
      <c r="O98">
        <v>1803345</v>
      </c>
      <c r="P98" t="s">
        <v>25</v>
      </c>
      <c r="Q98" t="s">
        <v>7908</v>
      </c>
    </row>
    <row r="99" spans="1:17" ht="15.75">
      <c r="A99" t="s">
        <v>7855</v>
      </c>
      <c r="B99" t="s">
        <v>7855</v>
      </c>
      <c r="C99" t="s">
        <v>7856</v>
      </c>
      <c r="D99" t="s">
        <v>7834</v>
      </c>
      <c r="G99" t="str">
        <f>Config!$B$7</f>
        <v>SCH/Connector.SchLib</v>
      </c>
      <c r="H99" t="s">
        <v>6563</v>
      </c>
      <c r="I99" t="s">
        <v>7835</v>
      </c>
      <c r="J99" t="s">
        <v>7855</v>
      </c>
      <c r="L99" s="1" t="s">
        <v>13429</v>
      </c>
      <c r="M99" t="s">
        <v>7891</v>
      </c>
      <c r="N99" t="s">
        <v>7834</v>
      </c>
      <c r="O99">
        <v>1803358</v>
      </c>
      <c r="P99" t="s">
        <v>25</v>
      </c>
      <c r="Q99" t="s">
        <v>7909</v>
      </c>
    </row>
    <row r="100" spans="1:17" ht="15.75">
      <c r="A100" t="s">
        <v>7860</v>
      </c>
      <c r="B100" t="s">
        <v>7860</v>
      </c>
      <c r="C100" t="s">
        <v>7861</v>
      </c>
      <c r="D100" t="s">
        <v>7834</v>
      </c>
      <c r="G100" t="str">
        <f>Config!$B$7</f>
        <v>SCH/Connector.SchLib</v>
      </c>
      <c r="H100" t="s">
        <v>7862</v>
      </c>
      <c r="I100" t="s">
        <v>7835</v>
      </c>
      <c r="J100" t="s">
        <v>7860</v>
      </c>
      <c r="L100" s="1" t="s">
        <v>13429</v>
      </c>
      <c r="M100" t="s">
        <v>7892</v>
      </c>
      <c r="N100" t="s">
        <v>7834</v>
      </c>
      <c r="O100">
        <v>1803361</v>
      </c>
      <c r="P100" t="s">
        <v>25</v>
      </c>
      <c r="Q100" t="s">
        <v>7910</v>
      </c>
    </row>
    <row r="101" spans="1:17" ht="15.75">
      <c r="A101" t="s">
        <v>7857</v>
      </c>
      <c r="B101" t="s">
        <v>7857</v>
      </c>
      <c r="C101" t="s">
        <v>7858</v>
      </c>
      <c r="D101" t="s">
        <v>7834</v>
      </c>
      <c r="G101" t="str">
        <f>Config!$B$7</f>
        <v>SCH/Connector.SchLib</v>
      </c>
      <c r="H101" t="s">
        <v>7859</v>
      </c>
      <c r="I101" t="s">
        <v>7835</v>
      </c>
      <c r="J101" t="s">
        <v>7857</v>
      </c>
      <c r="L101" s="1" t="s">
        <v>13429</v>
      </c>
      <c r="M101" t="s">
        <v>7893</v>
      </c>
      <c r="N101" t="s">
        <v>7834</v>
      </c>
      <c r="O101">
        <v>1803374</v>
      </c>
      <c r="P101" t="s">
        <v>25</v>
      </c>
      <c r="Q101" t="s">
        <v>7911</v>
      </c>
    </row>
    <row r="102" spans="1:17" ht="15.75">
      <c r="A102" t="s">
        <v>7863</v>
      </c>
      <c r="B102" t="s">
        <v>7863</v>
      </c>
      <c r="C102" t="s">
        <v>7864</v>
      </c>
      <c r="D102" t="s">
        <v>7834</v>
      </c>
      <c r="G102" t="str">
        <f>Config!$B$7</f>
        <v>SCH/Connector.SchLib</v>
      </c>
      <c r="H102" t="s">
        <v>7865</v>
      </c>
      <c r="I102" t="s">
        <v>7835</v>
      </c>
      <c r="J102" t="s">
        <v>7863</v>
      </c>
      <c r="L102" s="1" t="s">
        <v>13429</v>
      </c>
      <c r="M102" t="s">
        <v>7894</v>
      </c>
      <c r="N102" t="s">
        <v>7834</v>
      </c>
      <c r="O102">
        <v>1803387</v>
      </c>
      <c r="P102" t="s">
        <v>25</v>
      </c>
      <c r="Q102" t="s">
        <v>7912</v>
      </c>
    </row>
    <row r="103" spans="1:17" ht="15.75">
      <c r="A103" t="s">
        <v>7866</v>
      </c>
      <c r="B103" t="s">
        <v>7866</v>
      </c>
      <c r="C103" t="s">
        <v>7867</v>
      </c>
      <c r="D103" t="s">
        <v>7834</v>
      </c>
      <c r="G103" t="str">
        <f>Config!$B$7</f>
        <v>SCH/Connector.SchLib</v>
      </c>
      <c r="H103" t="s">
        <v>6566</v>
      </c>
      <c r="I103" t="s">
        <v>7835</v>
      </c>
      <c r="J103" t="s">
        <v>7866</v>
      </c>
      <c r="L103" s="1" t="s">
        <v>13429</v>
      </c>
      <c r="M103" t="s">
        <v>7895</v>
      </c>
      <c r="N103" t="s">
        <v>7834</v>
      </c>
      <c r="O103">
        <v>1803390</v>
      </c>
      <c r="P103" t="s">
        <v>25</v>
      </c>
      <c r="Q103" t="s">
        <v>7913</v>
      </c>
    </row>
    <row r="104" spans="1:17" ht="15.75">
      <c r="A104" t="s">
        <v>7868</v>
      </c>
      <c r="B104" t="s">
        <v>7868</v>
      </c>
      <c r="C104" t="s">
        <v>7869</v>
      </c>
      <c r="D104" t="s">
        <v>7834</v>
      </c>
      <c r="G104" t="str">
        <f>Config!$B$7</f>
        <v>SCH/Connector.SchLib</v>
      </c>
      <c r="H104" t="s">
        <v>7870</v>
      </c>
      <c r="I104" t="s">
        <v>7835</v>
      </c>
      <c r="J104" t="s">
        <v>7868</v>
      </c>
      <c r="L104" s="1" t="s">
        <v>13429</v>
      </c>
      <c r="M104" t="s">
        <v>7896</v>
      </c>
      <c r="N104" t="s">
        <v>7834</v>
      </c>
      <c r="O104">
        <v>1803400</v>
      </c>
      <c r="P104" t="s">
        <v>25</v>
      </c>
      <c r="Q104" t="s">
        <v>7914</v>
      </c>
    </row>
    <row r="105" spans="1:17" ht="15.75">
      <c r="A105" t="s">
        <v>7871</v>
      </c>
      <c r="B105" t="s">
        <v>7871</v>
      </c>
      <c r="C105" t="s">
        <v>7872</v>
      </c>
      <c r="D105" t="s">
        <v>7834</v>
      </c>
      <c r="G105" t="str">
        <f>Config!$B$7</f>
        <v>SCH/Connector.SchLib</v>
      </c>
      <c r="H105" t="s">
        <v>7873</v>
      </c>
      <c r="I105" t="s">
        <v>7835</v>
      </c>
      <c r="J105" t="s">
        <v>7871</v>
      </c>
      <c r="L105" s="1" t="s">
        <v>13429</v>
      </c>
      <c r="M105" t="s">
        <v>7897</v>
      </c>
      <c r="N105" t="s">
        <v>7834</v>
      </c>
      <c r="O105">
        <v>1803413</v>
      </c>
      <c r="P105" t="s">
        <v>25</v>
      </c>
      <c r="Q105" t="s">
        <v>7915</v>
      </c>
    </row>
    <row r="106" spans="1:17" ht="15.75">
      <c r="A106" t="s">
        <v>7874</v>
      </c>
      <c r="B106" t="s">
        <v>7874</v>
      </c>
      <c r="C106" t="s">
        <v>7875</v>
      </c>
      <c r="D106" t="s">
        <v>7834</v>
      </c>
      <c r="G106" t="str">
        <f>Config!$B$7</f>
        <v>SCH/Connector.SchLib</v>
      </c>
      <c r="H106" t="s">
        <v>7876</v>
      </c>
      <c r="I106" t="s">
        <v>7835</v>
      </c>
      <c r="J106" t="s">
        <v>7874</v>
      </c>
      <c r="L106" s="1" t="s">
        <v>13429</v>
      </c>
      <c r="M106" t="s">
        <v>7898</v>
      </c>
      <c r="N106" t="s">
        <v>7834</v>
      </c>
      <c r="O106">
        <v>1841307</v>
      </c>
      <c r="P106" t="s">
        <v>25</v>
      </c>
      <c r="Q106" t="s">
        <v>7916</v>
      </c>
    </row>
    <row r="107" spans="1:17" ht="15.75">
      <c r="A107" t="s">
        <v>7877</v>
      </c>
      <c r="B107" t="s">
        <v>7877</v>
      </c>
      <c r="C107" t="s">
        <v>7878</v>
      </c>
      <c r="D107" t="s">
        <v>7834</v>
      </c>
      <c r="G107" t="str">
        <f>Config!$B$7</f>
        <v>SCH/Connector.SchLib</v>
      </c>
      <c r="H107" t="s">
        <v>7879</v>
      </c>
      <c r="I107" t="s">
        <v>7835</v>
      </c>
      <c r="J107" t="s">
        <v>7877</v>
      </c>
      <c r="L107" s="1" t="s">
        <v>13429</v>
      </c>
      <c r="M107" t="s">
        <v>7899</v>
      </c>
      <c r="N107" t="s">
        <v>7834</v>
      </c>
      <c r="O107">
        <v>1841297</v>
      </c>
      <c r="P107" t="s">
        <v>25</v>
      </c>
      <c r="Q107" t="s">
        <v>7917</v>
      </c>
    </row>
    <row r="108" spans="1:17" ht="15.75">
      <c r="A108" t="s">
        <v>7880</v>
      </c>
      <c r="B108" t="s">
        <v>7880</v>
      </c>
      <c r="C108" t="s">
        <v>7881</v>
      </c>
      <c r="D108" t="s">
        <v>7834</v>
      </c>
      <c r="G108" t="str">
        <f>Config!$B$7</f>
        <v>SCH/Connector.SchLib</v>
      </c>
      <c r="H108" t="s">
        <v>7882</v>
      </c>
      <c r="I108" t="s">
        <v>7835</v>
      </c>
      <c r="J108" t="s">
        <v>7880</v>
      </c>
      <c r="L108" s="1" t="s">
        <v>13429</v>
      </c>
      <c r="M108" t="s">
        <v>7900</v>
      </c>
      <c r="N108" t="s">
        <v>7834</v>
      </c>
      <c r="O108">
        <v>1841284</v>
      </c>
      <c r="P108" t="s">
        <v>25</v>
      </c>
      <c r="Q108" t="s">
        <v>7918</v>
      </c>
    </row>
    <row r="109" spans="1:17" ht="15.75">
      <c r="A109" t="s">
        <v>7830</v>
      </c>
      <c r="B109" t="s">
        <v>7830</v>
      </c>
      <c r="C109" t="s">
        <v>7832</v>
      </c>
      <c r="D109" t="s">
        <v>7834</v>
      </c>
      <c r="G109" t="str">
        <f>Config!$B$7</f>
        <v>SCH/Connector.SchLib</v>
      </c>
      <c r="H109" t="s">
        <v>7883</v>
      </c>
      <c r="I109" t="s">
        <v>7835</v>
      </c>
      <c r="J109" t="s">
        <v>7830</v>
      </c>
      <c r="L109" s="1" t="s">
        <v>13429</v>
      </c>
      <c r="M109" t="s">
        <v>7901</v>
      </c>
      <c r="N109" t="s">
        <v>7834</v>
      </c>
      <c r="O109">
        <v>1841271</v>
      </c>
      <c r="P109" t="s">
        <v>25</v>
      </c>
      <c r="Q109" t="s">
        <v>7919</v>
      </c>
    </row>
    <row r="110" spans="1:17" ht="15.75">
      <c r="A110" t="s">
        <v>7920</v>
      </c>
      <c r="B110">
        <v>5600200820</v>
      </c>
      <c r="C110" t="s">
        <v>7921</v>
      </c>
      <c r="D110" t="s">
        <v>6634</v>
      </c>
      <c r="G110" t="str">
        <f>Config!$B$7</f>
        <v>SCH/Connector.SchLib</v>
      </c>
      <c r="H110" t="s">
        <v>4429</v>
      </c>
      <c r="I110" t="str">
        <f>_xlfn.CONCAT(PrivateLibraryPath,"PCB/Molex.PcbLib")</f>
        <v>../altium_lib_private/PCB/Molex.PcbLib</v>
      </c>
      <c r="J110">
        <v>5600200820</v>
      </c>
      <c r="L110" s="1" t="s">
        <v>13429</v>
      </c>
      <c r="M110" s="26" t="s">
        <v>7923</v>
      </c>
      <c r="N110" t="s">
        <v>6634</v>
      </c>
      <c r="O110" s="14" t="s">
        <v>7922</v>
      </c>
      <c r="P110" t="s">
        <v>25</v>
      </c>
      <c r="Q110" t="s">
        <v>7924</v>
      </c>
    </row>
    <row r="111" spans="1:17" ht="15.75">
      <c r="A111" t="s">
        <v>7944</v>
      </c>
      <c r="B111">
        <v>21033811418</v>
      </c>
      <c r="C111" t="s">
        <v>7944</v>
      </c>
      <c r="D111" t="s">
        <v>7945</v>
      </c>
      <c r="G111" t="str">
        <f>Config!$B$7</f>
        <v>SCH/Connector.SchLib</v>
      </c>
      <c r="H111" t="s">
        <v>6362</v>
      </c>
      <c r="I111" t="str">
        <f>_xlfn.CONCAT(PrivateLibraryPath,"PCB/Harting.PcbLib")</f>
        <v>../altium_lib_private/PCB/Harting.PcbLib</v>
      </c>
      <c r="J111" t="s">
        <v>7944</v>
      </c>
      <c r="L111" s="1" t="s">
        <v>13429</v>
      </c>
      <c r="M111" s="28" t="s">
        <v>7946</v>
      </c>
      <c r="N111" t="s">
        <v>6361</v>
      </c>
      <c r="O111">
        <v>21033811418</v>
      </c>
      <c r="P111" t="s">
        <v>25</v>
      </c>
      <c r="Q111" t="s">
        <v>7947</v>
      </c>
    </row>
    <row r="112" spans="1:17" ht="15.75">
      <c r="A112" t="s">
        <v>7967</v>
      </c>
      <c r="B112" t="s">
        <v>7967</v>
      </c>
      <c r="C112" t="s">
        <v>7968</v>
      </c>
      <c r="D112" t="s">
        <v>7969</v>
      </c>
      <c r="G112" t="str">
        <f>Config!$B$7</f>
        <v>SCH/Connector.SchLib</v>
      </c>
      <c r="H112" t="s">
        <v>7970</v>
      </c>
      <c r="I112" t="s">
        <v>7971</v>
      </c>
      <c r="J112" t="s">
        <v>7972</v>
      </c>
      <c r="L112" s="1" t="s">
        <v>13429</v>
      </c>
      <c r="M112" t="s">
        <v>7973</v>
      </c>
      <c r="N112" t="s">
        <v>7974</v>
      </c>
      <c r="O112" t="s">
        <v>7975</v>
      </c>
      <c r="P112" t="s">
        <v>25</v>
      </c>
      <c r="Q112" t="s">
        <v>7976</v>
      </c>
    </row>
    <row r="113" spans="1:17" ht="15.75">
      <c r="A113" t="s">
        <v>8465</v>
      </c>
      <c r="B113" t="s">
        <v>8469</v>
      </c>
      <c r="C113" t="s">
        <v>8470</v>
      </c>
      <c r="D113" t="s">
        <v>8463</v>
      </c>
      <c r="G113" t="str">
        <f>Config!$B$7</f>
        <v>SCH/Connector.SchLib</v>
      </c>
      <c r="H113" t="s">
        <v>6556</v>
      </c>
      <c r="I113" t="s">
        <v>8464</v>
      </c>
      <c r="J113" t="s">
        <v>8465</v>
      </c>
      <c r="L113" s="1" t="s">
        <v>13429</v>
      </c>
      <c r="M113" t="s">
        <v>8466</v>
      </c>
      <c r="N113" t="s">
        <v>6371</v>
      </c>
      <c r="O113" t="s">
        <v>8467</v>
      </c>
      <c r="P113" t="s">
        <v>25</v>
      </c>
      <c r="Q113" t="s">
        <v>8468</v>
      </c>
    </row>
    <row r="114" spans="1:17" ht="15.75">
      <c r="A114" t="s">
        <v>8512</v>
      </c>
      <c r="B114" t="s">
        <v>8512</v>
      </c>
      <c r="C114" t="s">
        <v>8513</v>
      </c>
      <c r="D114" t="s">
        <v>8514</v>
      </c>
      <c r="G114" t="str">
        <f>Config!$B$7</f>
        <v>SCH/Connector.SchLib</v>
      </c>
      <c r="H114" t="s">
        <v>6967</v>
      </c>
      <c r="I114" t="s">
        <v>8515</v>
      </c>
      <c r="J114" t="s">
        <v>8512</v>
      </c>
      <c r="L114" s="1" t="s">
        <v>13429</v>
      </c>
      <c r="M114" t="s">
        <v>8516</v>
      </c>
      <c r="N114" t="s">
        <v>8517</v>
      </c>
      <c r="O114" t="s">
        <v>8512</v>
      </c>
      <c r="P114" t="s">
        <v>25</v>
      </c>
      <c r="Q114" t="s">
        <v>8518</v>
      </c>
    </row>
    <row r="115" spans="1:17" ht="15.75">
      <c r="A115" t="s">
        <v>8519</v>
      </c>
      <c r="B115" t="s">
        <v>8519</v>
      </c>
      <c r="C115" t="s">
        <v>8520</v>
      </c>
      <c r="D115" t="s">
        <v>8514</v>
      </c>
      <c r="G115" t="str">
        <f>Config!$B$7</f>
        <v>SCH/Connector.SchLib</v>
      </c>
      <c r="H115" t="s">
        <v>6967</v>
      </c>
      <c r="I115" t="s">
        <v>8515</v>
      </c>
      <c r="J115" t="s">
        <v>8519</v>
      </c>
      <c r="L115" s="1" t="s">
        <v>13429</v>
      </c>
      <c r="M115" t="s">
        <v>8521</v>
      </c>
      <c r="N115" t="s">
        <v>8517</v>
      </c>
      <c r="O115" t="s">
        <v>8519</v>
      </c>
      <c r="P115" t="s">
        <v>25</v>
      </c>
      <c r="Q115" t="s">
        <v>8522</v>
      </c>
    </row>
    <row r="116" spans="1:17" ht="15.75">
      <c r="A116" t="s">
        <v>12249</v>
      </c>
      <c r="B116" t="s">
        <v>12251</v>
      </c>
      <c r="C116" t="s">
        <v>12250</v>
      </c>
      <c r="D116" t="s">
        <v>12252</v>
      </c>
      <c r="G116" t="str">
        <f>Config!$B$7</f>
        <v>SCH/Connector.SchLib</v>
      </c>
      <c r="H116" t="s">
        <v>12257</v>
      </c>
      <c r="I116" t="s">
        <v>12256</v>
      </c>
      <c r="J116" t="s">
        <v>12255</v>
      </c>
      <c r="L116" s="1" t="s">
        <v>13429</v>
      </c>
      <c r="M116" t="s">
        <v>12254</v>
      </c>
      <c r="N116" t="s">
        <v>12252</v>
      </c>
      <c r="O116" t="s">
        <v>12249</v>
      </c>
      <c r="P116" t="s">
        <v>25</v>
      </c>
      <c r="Q116" t="s">
        <v>12253</v>
      </c>
    </row>
    <row r="117" spans="1:17" ht="15.75">
      <c r="A117" t="s">
        <v>12262</v>
      </c>
      <c r="B117" t="s">
        <v>12260</v>
      </c>
      <c r="C117" t="s">
        <v>12261</v>
      </c>
      <c r="G117" t="str">
        <f>Config!$B$7</f>
        <v>SCH/Connector.SchLib</v>
      </c>
      <c r="H117" t="s">
        <v>12258</v>
      </c>
      <c r="I117" t="s">
        <v>12256</v>
      </c>
      <c r="J117" t="s">
        <v>12259</v>
      </c>
      <c r="L117" s="1" t="s">
        <v>13429</v>
      </c>
    </row>
    <row r="118" spans="1:17" ht="15.75">
      <c r="A118" t="s">
        <v>12106</v>
      </c>
      <c r="B118" t="s">
        <v>12106</v>
      </c>
      <c r="C118" t="s">
        <v>12333</v>
      </c>
      <c r="D118" t="s">
        <v>12084</v>
      </c>
      <c r="G118" t="str">
        <f>Config!$B$7</f>
        <v>SCH/Connector.SchLib</v>
      </c>
      <c r="H118" t="s">
        <v>6975</v>
      </c>
      <c r="I118" s="39"/>
      <c r="J118" s="39"/>
      <c r="L118" s="1" t="s">
        <v>13429</v>
      </c>
      <c r="M118" t="s">
        <v>12329</v>
      </c>
      <c r="N118" t="s">
        <v>12085</v>
      </c>
      <c r="O118" t="s">
        <v>12089</v>
      </c>
      <c r="P118" t="s">
        <v>8447</v>
      </c>
      <c r="Q118">
        <v>14021770</v>
      </c>
    </row>
    <row r="119" spans="1:17" ht="15.75">
      <c r="A119" t="s">
        <v>12107</v>
      </c>
      <c r="B119" t="s">
        <v>12107</v>
      </c>
      <c r="C119" t="s">
        <v>12333</v>
      </c>
      <c r="D119" t="s">
        <v>12084</v>
      </c>
      <c r="G119" t="str">
        <f>Config!$B$7</f>
        <v>SCH/Connector.SchLib</v>
      </c>
      <c r="H119" t="s">
        <v>6975</v>
      </c>
      <c r="I119" s="39"/>
      <c r="J119" s="39"/>
      <c r="L119" s="1" t="s">
        <v>13429</v>
      </c>
      <c r="M119" t="s">
        <v>12329</v>
      </c>
      <c r="N119" t="s">
        <v>12085</v>
      </c>
      <c r="O119" t="s">
        <v>12090</v>
      </c>
      <c r="P119" t="s">
        <v>8447</v>
      </c>
      <c r="Q119">
        <v>14021767</v>
      </c>
    </row>
    <row r="120" spans="1:17" ht="15.75">
      <c r="A120" t="s">
        <v>12083</v>
      </c>
      <c r="B120" t="s">
        <v>12083</v>
      </c>
      <c r="C120" t="s">
        <v>12333</v>
      </c>
      <c r="D120" t="s">
        <v>12084</v>
      </c>
      <c r="G120" t="str">
        <f>Config!$B$7</f>
        <v>SCH/Connector.SchLib</v>
      </c>
      <c r="H120" t="s">
        <v>6975</v>
      </c>
      <c r="I120" s="39"/>
      <c r="J120" s="39"/>
      <c r="L120" s="1" t="s">
        <v>13429</v>
      </c>
      <c r="M120" t="s">
        <v>12329</v>
      </c>
      <c r="N120" t="s">
        <v>12085</v>
      </c>
      <c r="O120" t="s">
        <v>12088</v>
      </c>
      <c r="P120" t="s">
        <v>8447</v>
      </c>
      <c r="Q120">
        <v>14021765</v>
      </c>
    </row>
    <row r="121" spans="1:17" ht="15.75">
      <c r="A121" t="s">
        <v>12108</v>
      </c>
      <c r="B121" t="s">
        <v>12108</v>
      </c>
      <c r="C121" t="s">
        <v>12333</v>
      </c>
      <c r="D121" t="s">
        <v>12084</v>
      </c>
      <c r="G121" t="str">
        <f>Config!$B$7</f>
        <v>SCH/Connector.SchLib</v>
      </c>
      <c r="H121" t="s">
        <v>6975</v>
      </c>
      <c r="I121" s="39"/>
      <c r="J121" s="39"/>
      <c r="L121" s="1" t="s">
        <v>13429</v>
      </c>
      <c r="M121" t="s">
        <v>12329</v>
      </c>
      <c r="N121" t="s">
        <v>12085</v>
      </c>
      <c r="O121" t="s">
        <v>12091</v>
      </c>
      <c r="P121" t="s">
        <v>8447</v>
      </c>
      <c r="Q121">
        <v>14021766</v>
      </c>
    </row>
    <row r="122" spans="1:17" ht="15.75">
      <c r="A122" t="s">
        <v>12109</v>
      </c>
      <c r="B122" t="s">
        <v>12109</v>
      </c>
      <c r="C122" t="s">
        <v>12333</v>
      </c>
      <c r="D122" t="s">
        <v>12084</v>
      </c>
      <c r="G122" t="str">
        <f>Config!$B$7</f>
        <v>SCH/Connector.SchLib</v>
      </c>
      <c r="H122" t="s">
        <v>6975</v>
      </c>
      <c r="I122" s="39"/>
      <c r="J122" s="39"/>
      <c r="L122" s="1" t="s">
        <v>13429</v>
      </c>
      <c r="M122" t="s">
        <v>12329</v>
      </c>
      <c r="N122" t="s">
        <v>12085</v>
      </c>
      <c r="O122" t="s">
        <v>12092</v>
      </c>
      <c r="P122" t="s">
        <v>8447</v>
      </c>
      <c r="Q122">
        <v>14021768</v>
      </c>
    </row>
    <row r="123" spans="1:17" ht="15.75">
      <c r="A123" t="s">
        <v>12110</v>
      </c>
      <c r="B123" t="s">
        <v>12110</v>
      </c>
      <c r="C123" t="s">
        <v>12333</v>
      </c>
      <c r="D123" t="s">
        <v>12084</v>
      </c>
      <c r="G123" t="str">
        <f>Config!$B$7</f>
        <v>SCH/Connector.SchLib</v>
      </c>
      <c r="H123" t="s">
        <v>6975</v>
      </c>
      <c r="I123" s="39"/>
      <c r="J123" s="39"/>
      <c r="L123" s="1" t="s">
        <v>13429</v>
      </c>
      <c r="M123" t="s">
        <v>12329</v>
      </c>
      <c r="N123" t="s">
        <v>12085</v>
      </c>
      <c r="O123" t="s">
        <v>12093</v>
      </c>
      <c r="P123" t="s">
        <v>8447</v>
      </c>
      <c r="Q123">
        <v>14021769</v>
      </c>
    </row>
    <row r="124" spans="1:17" ht="15.75">
      <c r="A124" t="s">
        <v>12111</v>
      </c>
      <c r="B124" t="s">
        <v>12111</v>
      </c>
      <c r="C124" t="s">
        <v>12333</v>
      </c>
      <c r="D124" t="s">
        <v>12084</v>
      </c>
      <c r="G124" t="str">
        <f>Config!$B$7</f>
        <v>SCH/Connector.SchLib</v>
      </c>
      <c r="H124" t="s">
        <v>6975</v>
      </c>
      <c r="I124" s="39"/>
      <c r="J124" s="39"/>
      <c r="L124" s="1" t="s">
        <v>13429</v>
      </c>
      <c r="M124" t="s">
        <v>12329</v>
      </c>
      <c r="N124" t="s">
        <v>12085</v>
      </c>
      <c r="O124" t="s">
        <v>12094</v>
      </c>
      <c r="P124" t="s">
        <v>8447</v>
      </c>
      <c r="Q124">
        <v>30136205</v>
      </c>
    </row>
    <row r="125" spans="1:17" ht="15.75">
      <c r="A125" t="s">
        <v>12112</v>
      </c>
      <c r="B125" t="s">
        <v>12112</v>
      </c>
      <c r="C125" t="s">
        <v>12333</v>
      </c>
      <c r="D125" t="s">
        <v>12084</v>
      </c>
      <c r="G125" t="str">
        <f>Config!$B$7</f>
        <v>SCH/Connector.SchLib</v>
      </c>
      <c r="H125" t="s">
        <v>6975</v>
      </c>
      <c r="I125" s="39"/>
      <c r="J125" s="39"/>
      <c r="L125" s="1" t="s">
        <v>13429</v>
      </c>
      <c r="M125" t="s">
        <v>12329</v>
      </c>
      <c r="N125" t="s">
        <v>12085</v>
      </c>
      <c r="O125" t="s">
        <v>12095</v>
      </c>
      <c r="P125" t="s">
        <v>8447</v>
      </c>
      <c r="Q125">
        <v>14022426</v>
      </c>
    </row>
    <row r="126" spans="1:17" ht="15.75">
      <c r="A126" t="s">
        <v>12113</v>
      </c>
      <c r="B126" t="s">
        <v>12113</v>
      </c>
      <c r="C126" t="s">
        <v>12333</v>
      </c>
      <c r="D126" t="s">
        <v>12084</v>
      </c>
      <c r="G126" t="str">
        <f>Config!$B$7</f>
        <v>SCH/Connector.SchLib</v>
      </c>
      <c r="H126" t="s">
        <v>6975</v>
      </c>
      <c r="I126" s="39"/>
      <c r="J126" s="39"/>
      <c r="L126" s="1" t="s">
        <v>13429</v>
      </c>
      <c r="M126" t="s">
        <v>12329</v>
      </c>
      <c r="N126" t="s">
        <v>12085</v>
      </c>
      <c r="O126" t="s">
        <v>12096</v>
      </c>
      <c r="P126" t="s">
        <v>8447</v>
      </c>
      <c r="Q126">
        <v>14022425</v>
      </c>
    </row>
    <row r="127" spans="1:17" ht="15.75">
      <c r="A127" t="s">
        <v>12114</v>
      </c>
      <c r="B127" t="s">
        <v>12114</v>
      </c>
      <c r="C127" t="s">
        <v>12333</v>
      </c>
      <c r="D127" t="s">
        <v>12084</v>
      </c>
      <c r="G127" t="str">
        <f>Config!$B$7</f>
        <v>SCH/Connector.SchLib</v>
      </c>
      <c r="H127" t="s">
        <v>6975</v>
      </c>
      <c r="I127" s="39"/>
      <c r="J127" s="39"/>
      <c r="L127" s="1" t="s">
        <v>13429</v>
      </c>
      <c r="M127" t="s">
        <v>12329</v>
      </c>
      <c r="N127" t="s">
        <v>12085</v>
      </c>
      <c r="O127" t="s">
        <v>12097</v>
      </c>
      <c r="P127" t="s">
        <v>8447</v>
      </c>
      <c r="Q127">
        <v>14021772</v>
      </c>
    </row>
    <row r="128" spans="1:17" ht="15.75">
      <c r="A128" t="s">
        <v>12115</v>
      </c>
      <c r="B128" t="s">
        <v>12115</v>
      </c>
      <c r="C128" t="s">
        <v>12334</v>
      </c>
      <c r="D128" t="s">
        <v>12084</v>
      </c>
      <c r="G128" t="str">
        <f>Config!$B$7</f>
        <v>SCH/Connector.SchLib</v>
      </c>
      <c r="H128" t="s">
        <v>6975</v>
      </c>
      <c r="I128" t="s">
        <v>13386</v>
      </c>
      <c r="J128" t="s">
        <v>13387</v>
      </c>
      <c r="L128" s="1" t="s">
        <v>13429</v>
      </c>
      <c r="M128" t="s">
        <v>12330</v>
      </c>
      <c r="N128" t="s">
        <v>12085</v>
      </c>
      <c r="O128" t="s">
        <v>12098</v>
      </c>
      <c r="P128" t="s">
        <v>8447</v>
      </c>
      <c r="Q128">
        <v>30136216</v>
      </c>
    </row>
    <row r="129" spans="1:17" ht="15.75">
      <c r="A129" t="s">
        <v>12116</v>
      </c>
      <c r="B129" t="s">
        <v>12116</v>
      </c>
      <c r="C129" t="s">
        <v>12334</v>
      </c>
      <c r="D129" t="s">
        <v>12084</v>
      </c>
      <c r="G129" t="str">
        <f>Config!$B$7</f>
        <v>SCH/Connector.SchLib</v>
      </c>
      <c r="H129" t="s">
        <v>6975</v>
      </c>
      <c r="I129" t="s">
        <v>13386</v>
      </c>
      <c r="J129" t="s">
        <v>13388</v>
      </c>
      <c r="L129" s="1" t="s">
        <v>13429</v>
      </c>
      <c r="M129" t="s">
        <v>12330</v>
      </c>
      <c r="N129" t="s">
        <v>12085</v>
      </c>
      <c r="O129" t="s">
        <v>12099</v>
      </c>
      <c r="P129" t="s">
        <v>8447</v>
      </c>
      <c r="Q129">
        <v>30136217</v>
      </c>
    </row>
    <row r="130" spans="1:17" ht="15.75">
      <c r="A130" t="s">
        <v>12087</v>
      </c>
      <c r="B130" t="s">
        <v>12087</v>
      </c>
      <c r="C130" t="s">
        <v>12334</v>
      </c>
      <c r="D130" t="s">
        <v>12084</v>
      </c>
      <c r="G130" t="str">
        <f>Config!$B$7</f>
        <v>SCH/Connector.SchLib</v>
      </c>
      <c r="H130" t="s">
        <v>6975</v>
      </c>
      <c r="I130" t="s">
        <v>13386</v>
      </c>
      <c r="J130" t="s">
        <v>13385</v>
      </c>
      <c r="L130" s="1" t="s">
        <v>13429</v>
      </c>
      <c r="M130" t="s">
        <v>12330</v>
      </c>
      <c r="N130" t="s">
        <v>12085</v>
      </c>
      <c r="O130" t="s">
        <v>12086</v>
      </c>
      <c r="P130" t="s">
        <v>8447</v>
      </c>
      <c r="Q130">
        <v>30136218</v>
      </c>
    </row>
    <row r="131" spans="1:17" ht="15.75">
      <c r="A131" t="s">
        <v>12117</v>
      </c>
      <c r="B131" t="s">
        <v>12117</v>
      </c>
      <c r="C131" t="s">
        <v>12334</v>
      </c>
      <c r="D131" t="s">
        <v>12084</v>
      </c>
      <c r="G131" t="str">
        <f>Config!$B$7</f>
        <v>SCH/Connector.SchLib</v>
      </c>
      <c r="H131" t="s">
        <v>6975</v>
      </c>
      <c r="I131" t="s">
        <v>13386</v>
      </c>
      <c r="J131" t="s">
        <v>13389</v>
      </c>
      <c r="L131" s="1" t="s">
        <v>13429</v>
      </c>
      <c r="M131" t="s">
        <v>12330</v>
      </c>
      <c r="N131" t="s">
        <v>12085</v>
      </c>
      <c r="O131" t="s">
        <v>12100</v>
      </c>
      <c r="P131" t="s">
        <v>8447</v>
      </c>
      <c r="Q131">
        <v>30136219</v>
      </c>
    </row>
    <row r="132" spans="1:17" ht="15.75">
      <c r="A132" t="s">
        <v>12118</v>
      </c>
      <c r="B132" t="s">
        <v>12118</v>
      </c>
      <c r="C132" t="s">
        <v>12334</v>
      </c>
      <c r="D132" t="s">
        <v>12084</v>
      </c>
      <c r="G132" t="str">
        <f>Config!$B$7</f>
        <v>SCH/Connector.SchLib</v>
      </c>
      <c r="H132" t="s">
        <v>6975</v>
      </c>
      <c r="I132" t="s">
        <v>13386</v>
      </c>
      <c r="J132" t="s">
        <v>13390</v>
      </c>
      <c r="L132" s="1" t="s">
        <v>13429</v>
      </c>
      <c r="M132" t="s">
        <v>12330</v>
      </c>
      <c r="N132" t="s">
        <v>12085</v>
      </c>
      <c r="O132" t="s">
        <v>12101</v>
      </c>
      <c r="P132" t="s">
        <v>8447</v>
      </c>
      <c r="Q132">
        <v>30136220</v>
      </c>
    </row>
    <row r="133" spans="1:17" ht="15.75">
      <c r="A133" t="s">
        <v>12119</v>
      </c>
      <c r="B133" t="s">
        <v>12119</v>
      </c>
      <c r="C133" t="s">
        <v>12334</v>
      </c>
      <c r="D133" t="s">
        <v>12084</v>
      </c>
      <c r="G133" t="str">
        <f>Config!$B$7</f>
        <v>SCH/Connector.SchLib</v>
      </c>
      <c r="H133" t="s">
        <v>6975</v>
      </c>
      <c r="I133" t="s">
        <v>13386</v>
      </c>
      <c r="J133" t="s">
        <v>13391</v>
      </c>
      <c r="L133" s="1" t="s">
        <v>13429</v>
      </c>
      <c r="M133" t="s">
        <v>12330</v>
      </c>
      <c r="N133" t="s">
        <v>12085</v>
      </c>
      <c r="O133" t="s">
        <v>12102</v>
      </c>
      <c r="P133" t="s">
        <v>8447</v>
      </c>
      <c r="Q133">
        <v>30136221</v>
      </c>
    </row>
    <row r="134" spans="1:17" ht="15.75">
      <c r="A134" t="s">
        <v>12120</v>
      </c>
      <c r="B134" t="s">
        <v>12120</v>
      </c>
      <c r="C134" t="s">
        <v>12334</v>
      </c>
      <c r="D134" t="s">
        <v>12084</v>
      </c>
      <c r="G134" t="str">
        <f>Config!$B$7</f>
        <v>SCH/Connector.SchLib</v>
      </c>
      <c r="H134" t="s">
        <v>6975</v>
      </c>
      <c r="I134" t="s">
        <v>13386</v>
      </c>
      <c r="J134" t="s">
        <v>13392</v>
      </c>
      <c r="L134" s="1" t="s">
        <v>13429</v>
      </c>
      <c r="M134" t="s">
        <v>12330</v>
      </c>
      <c r="N134" t="s">
        <v>12085</v>
      </c>
      <c r="O134" t="s">
        <v>12103</v>
      </c>
      <c r="P134" t="s">
        <v>8447</v>
      </c>
      <c r="Q134">
        <v>30136222</v>
      </c>
    </row>
    <row r="135" spans="1:17" ht="15.75">
      <c r="A135" t="s">
        <v>12121</v>
      </c>
      <c r="B135" t="s">
        <v>12121</v>
      </c>
      <c r="C135" t="s">
        <v>12334</v>
      </c>
      <c r="D135" t="s">
        <v>12084</v>
      </c>
      <c r="G135" t="str">
        <f>Config!$B$7</f>
        <v>SCH/Connector.SchLib</v>
      </c>
      <c r="H135" t="s">
        <v>6975</v>
      </c>
      <c r="I135" t="s">
        <v>13386</v>
      </c>
      <c r="J135" t="s">
        <v>13393</v>
      </c>
      <c r="L135" s="1" t="s">
        <v>13429</v>
      </c>
      <c r="M135" t="s">
        <v>12330</v>
      </c>
      <c r="N135" t="s">
        <v>12085</v>
      </c>
      <c r="O135" t="s">
        <v>12104</v>
      </c>
      <c r="P135" t="s">
        <v>8447</v>
      </c>
      <c r="Q135">
        <v>30136223</v>
      </c>
    </row>
    <row r="136" spans="1:17" ht="15.75">
      <c r="A136" t="s">
        <v>12122</v>
      </c>
      <c r="B136" t="s">
        <v>12122</v>
      </c>
      <c r="C136" t="s">
        <v>12334</v>
      </c>
      <c r="D136" t="s">
        <v>12084</v>
      </c>
      <c r="G136" t="str">
        <f>Config!$B$7</f>
        <v>SCH/Connector.SchLib</v>
      </c>
      <c r="H136" t="s">
        <v>6975</v>
      </c>
      <c r="I136" t="s">
        <v>13386</v>
      </c>
      <c r="J136" t="s">
        <v>13394</v>
      </c>
      <c r="L136" s="1" t="s">
        <v>13429</v>
      </c>
      <c r="M136" t="s">
        <v>12330</v>
      </c>
      <c r="N136" t="s">
        <v>12085</v>
      </c>
      <c r="O136" t="s">
        <v>12105</v>
      </c>
      <c r="P136" t="s">
        <v>8447</v>
      </c>
      <c r="Q136">
        <v>30136224</v>
      </c>
    </row>
    <row r="137" spans="1:17" ht="15.75">
      <c r="A137" t="s">
        <v>12123</v>
      </c>
      <c r="B137" t="s">
        <v>12123</v>
      </c>
      <c r="C137" t="s">
        <v>12334</v>
      </c>
      <c r="D137" t="s">
        <v>12084</v>
      </c>
      <c r="G137" t="str">
        <f>Config!$B$7</f>
        <v>SCH/Connector.SchLib</v>
      </c>
      <c r="H137" t="s">
        <v>6975</v>
      </c>
      <c r="I137" t="s">
        <v>13386</v>
      </c>
      <c r="J137" t="s">
        <v>13395</v>
      </c>
      <c r="L137" s="1" t="s">
        <v>13429</v>
      </c>
      <c r="M137" t="s">
        <v>12330</v>
      </c>
      <c r="N137" t="s">
        <v>12085</v>
      </c>
      <c r="O137" t="s">
        <v>12390</v>
      </c>
    </row>
    <row r="138" spans="1:17" ht="15.75">
      <c r="A138" t="s">
        <v>16684</v>
      </c>
      <c r="B138" t="s">
        <v>12115</v>
      </c>
      <c r="C138" t="s">
        <v>12334</v>
      </c>
      <c r="D138" t="s">
        <v>12084</v>
      </c>
      <c r="G138" t="str">
        <f>Config!$B$7</f>
        <v>SCH/Connector.SchLib</v>
      </c>
      <c r="H138" t="s">
        <v>6975</v>
      </c>
      <c r="I138" t="s">
        <v>16685</v>
      </c>
      <c r="J138" t="s">
        <v>13387</v>
      </c>
      <c r="L138" s="1" t="s">
        <v>13429</v>
      </c>
      <c r="M138" t="s">
        <v>12330</v>
      </c>
      <c r="N138" t="s">
        <v>12085</v>
      </c>
      <c r="O138" t="s">
        <v>12098</v>
      </c>
      <c r="P138" t="s">
        <v>8447</v>
      </c>
      <c r="Q138">
        <v>30136216</v>
      </c>
    </row>
    <row r="139" spans="1:17" ht="15.75">
      <c r="A139" t="s">
        <v>16686</v>
      </c>
      <c r="B139" t="s">
        <v>12116</v>
      </c>
      <c r="C139" t="s">
        <v>12334</v>
      </c>
      <c r="D139" t="s">
        <v>12084</v>
      </c>
      <c r="G139" t="str">
        <f>Config!$B$7</f>
        <v>SCH/Connector.SchLib</v>
      </c>
      <c r="H139" t="s">
        <v>6975</v>
      </c>
      <c r="I139" t="s">
        <v>16685</v>
      </c>
      <c r="J139" t="s">
        <v>13388</v>
      </c>
      <c r="L139" s="1" t="s">
        <v>13429</v>
      </c>
      <c r="M139" t="s">
        <v>12330</v>
      </c>
      <c r="N139" t="s">
        <v>12085</v>
      </c>
      <c r="O139" t="s">
        <v>12099</v>
      </c>
      <c r="P139" t="s">
        <v>8447</v>
      </c>
      <c r="Q139">
        <v>30136217</v>
      </c>
    </row>
    <row r="140" spans="1:17" ht="15.75">
      <c r="A140" t="s">
        <v>16687</v>
      </c>
      <c r="B140" t="s">
        <v>12087</v>
      </c>
      <c r="C140" t="s">
        <v>12334</v>
      </c>
      <c r="D140" t="s">
        <v>12084</v>
      </c>
      <c r="G140" t="str">
        <f>Config!$B$7</f>
        <v>SCH/Connector.SchLib</v>
      </c>
      <c r="H140" t="s">
        <v>6975</v>
      </c>
      <c r="I140" t="s">
        <v>16685</v>
      </c>
      <c r="J140" t="s">
        <v>13385</v>
      </c>
      <c r="L140" s="1" t="s">
        <v>13429</v>
      </c>
      <c r="M140" t="s">
        <v>12330</v>
      </c>
      <c r="N140" t="s">
        <v>12085</v>
      </c>
      <c r="O140" t="s">
        <v>12086</v>
      </c>
      <c r="P140" t="s">
        <v>8447</v>
      </c>
      <c r="Q140">
        <v>30136218</v>
      </c>
    </row>
    <row r="141" spans="1:17" ht="15.75">
      <c r="A141" t="s">
        <v>16688</v>
      </c>
      <c r="B141" t="s">
        <v>12117</v>
      </c>
      <c r="C141" t="s">
        <v>12334</v>
      </c>
      <c r="D141" t="s">
        <v>12084</v>
      </c>
      <c r="G141" t="str">
        <f>Config!$B$7</f>
        <v>SCH/Connector.SchLib</v>
      </c>
      <c r="H141" t="s">
        <v>6975</v>
      </c>
      <c r="I141" t="s">
        <v>16685</v>
      </c>
      <c r="J141" t="s">
        <v>13389</v>
      </c>
      <c r="L141" s="1" t="s">
        <v>13429</v>
      </c>
      <c r="M141" t="s">
        <v>12330</v>
      </c>
      <c r="N141" t="s">
        <v>12085</v>
      </c>
      <c r="O141" t="s">
        <v>12100</v>
      </c>
      <c r="P141" t="s">
        <v>8447</v>
      </c>
      <c r="Q141">
        <v>30136219</v>
      </c>
    </row>
    <row r="142" spans="1:17" ht="15.75">
      <c r="A142" t="s">
        <v>16689</v>
      </c>
      <c r="B142" t="s">
        <v>12118</v>
      </c>
      <c r="C142" t="s">
        <v>12334</v>
      </c>
      <c r="D142" t="s">
        <v>12084</v>
      </c>
      <c r="G142" t="str">
        <f>Config!$B$7</f>
        <v>SCH/Connector.SchLib</v>
      </c>
      <c r="H142" t="s">
        <v>6975</v>
      </c>
      <c r="I142" t="s">
        <v>16685</v>
      </c>
      <c r="J142" t="s">
        <v>13390</v>
      </c>
      <c r="L142" s="1" t="s">
        <v>13429</v>
      </c>
      <c r="M142" t="s">
        <v>12330</v>
      </c>
      <c r="N142" t="s">
        <v>12085</v>
      </c>
      <c r="O142" t="s">
        <v>12101</v>
      </c>
      <c r="P142" t="s">
        <v>8447</v>
      </c>
      <c r="Q142">
        <v>30136220</v>
      </c>
    </row>
    <row r="143" spans="1:17" ht="15.75">
      <c r="A143" t="s">
        <v>16690</v>
      </c>
      <c r="B143" t="s">
        <v>12119</v>
      </c>
      <c r="C143" t="s">
        <v>12334</v>
      </c>
      <c r="D143" t="s">
        <v>12084</v>
      </c>
      <c r="G143" t="str">
        <f>Config!$B$7</f>
        <v>SCH/Connector.SchLib</v>
      </c>
      <c r="H143" t="s">
        <v>6975</v>
      </c>
      <c r="I143" t="s">
        <v>16685</v>
      </c>
      <c r="J143" t="s">
        <v>13391</v>
      </c>
      <c r="L143" s="1" t="s">
        <v>13429</v>
      </c>
      <c r="M143" t="s">
        <v>12330</v>
      </c>
      <c r="N143" t="s">
        <v>12085</v>
      </c>
      <c r="O143" t="s">
        <v>12102</v>
      </c>
      <c r="P143" t="s">
        <v>8447</v>
      </c>
      <c r="Q143">
        <v>30136221</v>
      </c>
    </row>
    <row r="144" spans="1:17" ht="15.75">
      <c r="A144" t="s">
        <v>16691</v>
      </c>
      <c r="B144" t="s">
        <v>12120</v>
      </c>
      <c r="C144" t="s">
        <v>12334</v>
      </c>
      <c r="D144" t="s">
        <v>12084</v>
      </c>
      <c r="G144" t="str">
        <f>Config!$B$7</f>
        <v>SCH/Connector.SchLib</v>
      </c>
      <c r="H144" t="s">
        <v>6975</v>
      </c>
      <c r="I144" t="s">
        <v>16685</v>
      </c>
      <c r="J144" t="s">
        <v>13392</v>
      </c>
      <c r="L144" s="1" t="s">
        <v>13429</v>
      </c>
      <c r="M144" t="s">
        <v>12330</v>
      </c>
      <c r="N144" t="s">
        <v>12085</v>
      </c>
      <c r="O144" t="s">
        <v>12103</v>
      </c>
      <c r="P144" t="s">
        <v>8447</v>
      </c>
      <c r="Q144">
        <v>30136222</v>
      </c>
    </row>
    <row r="145" spans="1:17" ht="15.75">
      <c r="A145" t="s">
        <v>16692</v>
      </c>
      <c r="B145" t="s">
        <v>12121</v>
      </c>
      <c r="C145" t="s">
        <v>12334</v>
      </c>
      <c r="D145" t="s">
        <v>12084</v>
      </c>
      <c r="G145" t="str">
        <f>Config!$B$7</f>
        <v>SCH/Connector.SchLib</v>
      </c>
      <c r="H145" t="s">
        <v>6975</v>
      </c>
      <c r="I145" t="s">
        <v>16685</v>
      </c>
      <c r="J145" t="s">
        <v>13393</v>
      </c>
      <c r="L145" s="1" t="s">
        <v>13429</v>
      </c>
      <c r="M145" t="s">
        <v>12330</v>
      </c>
      <c r="N145" t="s">
        <v>12085</v>
      </c>
      <c r="O145" t="s">
        <v>12104</v>
      </c>
      <c r="P145" t="s">
        <v>8447</v>
      </c>
      <c r="Q145">
        <v>30136223</v>
      </c>
    </row>
    <row r="146" spans="1:17" ht="15.75">
      <c r="A146" t="s">
        <v>16693</v>
      </c>
      <c r="B146" t="s">
        <v>12122</v>
      </c>
      <c r="C146" t="s">
        <v>12334</v>
      </c>
      <c r="D146" t="s">
        <v>12084</v>
      </c>
      <c r="G146" t="str">
        <f>Config!$B$7</f>
        <v>SCH/Connector.SchLib</v>
      </c>
      <c r="H146" t="s">
        <v>6975</v>
      </c>
      <c r="I146" t="s">
        <v>16685</v>
      </c>
      <c r="J146" t="s">
        <v>13394</v>
      </c>
      <c r="L146" s="1" t="s">
        <v>13429</v>
      </c>
      <c r="M146" t="s">
        <v>12330</v>
      </c>
      <c r="N146" t="s">
        <v>12085</v>
      </c>
      <c r="O146" t="s">
        <v>12105</v>
      </c>
      <c r="P146" t="s">
        <v>8447</v>
      </c>
      <c r="Q146">
        <v>30136224</v>
      </c>
    </row>
    <row r="147" spans="1:17" ht="15.75">
      <c r="A147" t="s">
        <v>16694</v>
      </c>
      <c r="B147" t="s">
        <v>12123</v>
      </c>
      <c r="C147" t="s">
        <v>12334</v>
      </c>
      <c r="D147" t="s">
        <v>12084</v>
      </c>
      <c r="G147" t="str">
        <f>Config!$B$7</f>
        <v>SCH/Connector.SchLib</v>
      </c>
      <c r="H147" t="s">
        <v>6975</v>
      </c>
      <c r="I147" t="s">
        <v>16685</v>
      </c>
      <c r="J147" t="s">
        <v>13395</v>
      </c>
      <c r="L147" s="1" t="s">
        <v>13429</v>
      </c>
      <c r="M147" t="s">
        <v>12330</v>
      </c>
      <c r="N147" t="s">
        <v>12085</v>
      </c>
      <c r="O147" t="s">
        <v>12390</v>
      </c>
    </row>
    <row r="148" spans="1:17" ht="15.75">
      <c r="A148" t="s">
        <v>16673</v>
      </c>
      <c r="B148" t="s">
        <v>12115</v>
      </c>
      <c r="C148" t="s">
        <v>12334</v>
      </c>
      <c r="D148" t="s">
        <v>12084</v>
      </c>
      <c r="G148" t="str">
        <f>Config!$B$7</f>
        <v>SCH/Connector.SchLib</v>
      </c>
      <c r="H148" t="s">
        <v>6975</v>
      </c>
      <c r="I148" t="s">
        <v>16683</v>
      </c>
      <c r="J148" t="s">
        <v>13387</v>
      </c>
      <c r="L148" s="1" t="s">
        <v>13429</v>
      </c>
      <c r="M148" t="s">
        <v>12330</v>
      </c>
      <c r="N148" t="s">
        <v>12085</v>
      </c>
      <c r="O148" t="s">
        <v>12098</v>
      </c>
      <c r="P148" t="s">
        <v>8447</v>
      </c>
      <c r="Q148">
        <v>30136216</v>
      </c>
    </row>
    <row r="149" spans="1:17" ht="15.75">
      <c r="A149" t="s">
        <v>16674</v>
      </c>
      <c r="B149" t="s">
        <v>12116</v>
      </c>
      <c r="C149" t="s">
        <v>12334</v>
      </c>
      <c r="D149" t="s">
        <v>12084</v>
      </c>
      <c r="G149" t="str">
        <f>Config!$B$7</f>
        <v>SCH/Connector.SchLib</v>
      </c>
      <c r="H149" t="s">
        <v>6975</v>
      </c>
      <c r="I149" t="s">
        <v>16683</v>
      </c>
      <c r="J149" t="s">
        <v>13388</v>
      </c>
      <c r="L149" s="1" t="s">
        <v>13429</v>
      </c>
      <c r="M149" t="s">
        <v>12330</v>
      </c>
      <c r="N149" t="s">
        <v>12085</v>
      </c>
      <c r="O149" t="s">
        <v>12099</v>
      </c>
      <c r="P149" t="s">
        <v>8447</v>
      </c>
      <c r="Q149">
        <v>30136217</v>
      </c>
    </row>
    <row r="150" spans="1:17" ht="15.75">
      <c r="A150" t="s">
        <v>16675</v>
      </c>
      <c r="B150" t="s">
        <v>12087</v>
      </c>
      <c r="C150" t="s">
        <v>12334</v>
      </c>
      <c r="D150" t="s">
        <v>12084</v>
      </c>
      <c r="G150" t="str">
        <f>Config!$B$7</f>
        <v>SCH/Connector.SchLib</v>
      </c>
      <c r="H150" t="s">
        <v>6975</v>
      </c>
      <c r="I150" t="s">
        <v>16683</v>
      </c>
      <c r="J150" t="s">
        <v>13385</v>
      </c>
      <c r="L150" s="1" t="s">
        <v>13429</v>
      </c>
      <c r="M150" t="s">
        <v>12330</v>
      </c>
      <c r="N150" t="s">
        <v>12085</v>
      </c>
      <c r="O150" t="s">
        <v>12086</v>
      </c>
      <c r="P150" t="s">
        <v>8447</v>
      </c>
      <c r="Q150">
        <v>30136218</v>
      </c>
    </row>
    <row r="151" spans="1:17" ht="15.75">
      <c r="A151" t="s">
        <v>16676</v>
      </c>
      <c r="B151" t="s">
        <v>12117</v>
      </c>
      <c r="C151" t="s">
        <v>12334</v>
      </c>
      <c r="D151" t="s">
        <v>12084</v>
      </c>
      <c r="G151" t="str">
        <f>Config!$B$7</f>
        <v>SCH/Connector.SchLib</v>
      </c>
      <c r="H151" t="s">
        <v>6975</v>
      </c>
      <c r="I151" t="s">
        <v>16683</v>
      </c>
      <c r="J151" t="s">
        <v>13389</v>
      </c>
      <c r="L151" s="1" t="s">
        <v>13429</v>
      </c>
      <c r="M151" t="s">
        <v>12330</v>
      </c>
      <c r="N151" t="s">
        <v>12085</v>
      </c>
      <c r="O151" t="s">
        <v>12100</v>
      </c>
      <c r="P151" t="s">
        <v>8447</v>
      </c>
      <c r="Q151">
        <v>30136219</v>
      </c>
    </row>
    <row r="152" spans="1:17" ht="15.75">
      <c r="A152" t="s">
        <v>16677</v>
      </c>
      <c r="B152" t="s">
        <v>12118</v>
      </c>
      <c r="C152" t="s">
        <v>12334</v>
      </c>
      <c r="D152" t="s">
        <v>12084</v>
      </c>
      <c r="G152" t="str">
        <f>Config!$B$7</f>
        <v>SCH/Connector.SchLib</v>
      </c>
      <c r="H152" t="s">
        <v>6975</v>
      </c>
      <c r="I152" t="s">
        <v>16683</v>
      </c>
      <c r="J152" t="s">
        <v>13390</v>
      </c>
      <c r="L152" s="1" t="s">
        <v>13429</v>
      </c>
      <c r="M152" t="s">
        <v>12330</v>
      </c>
      <c r="N152" t="s">
        <v>12085</v>
      </c>
      <c r="O152" t="s">
        <v>12101</v>
      </c>
      <c r="P152" t="s">
        <v>8447</v>
      </c>
      <c r="Q152">
        <v>30136220</v>
      </c>
    </row>
    <row r="153" spans="1:17" ht="15.75">
      <c r="A153" t="s">
        <v>16678</v>
      </c>
      <c r="B153" t="s">
        <v>12119</v>
      </c>
      <c r="C153" t="s">
        <v>12334</v>
      </c>
      <c r="D153" t="s">
        <v>12084</v>
      </c>
      <c r="G153" t="str">
        <f>Config!$B$7</f>
        <v>SCH/Connector.SchLib</v>
      </c>
      <c r="H153" t="s">
        <v>6975</v>
      </c>
      <c r="I153" t="s">
        <v>16683</v>
      </c>
      <c r="J153" t="s">
        <v>13391</v>
      </c>
      <c r="L153" s="1" t="s">
        <v>13429</v>
      </c>
      <c r="M153" t="s">
        <v>12330</v>
      </c>
      <c r="N153" t="s">
        <v>12085</v>
      </c>
      <c r="O153" t="s">
        <v>12102</v>
      </c>
      <c r="P153" t="s">
        <v>8447</v>
      </c>
      <c r="Q153">
        <v>30136221</v>
      </c>
    </row>
    <row r="154" spans="1:17" ht="15.75">
      <c r="A154" t="s">
        <v>16679</v>
      </c>
      <c r="B154" t="s">
        <v>12120</v>
      </c>
      <c r="C154" t="s">
        <v>12334</v>
      </c>
      <c r="D154" t="s">
        <v>12084</v>
      </c>
      <c r="G154" t="str">
        <f>Config!$B$7</f>
        <v>SCH/Connector.SchLib</v>
      </c>
      <c r="H154" t="s">
        <v>6975</v>
      </c>
      <c r="I154" t="s">
        <v>16683</v>
      </c>
      <c r="J154" t="s">
        <v>13392</v>
      </c>
      <c r="L154" s="1" t="s">
        <v>13429</v>
      </c>
      <c r="M154" t="s">
        <v>12330</v>
      </c>
      <c r="N154" t="s">
        <v>12085</v>
      </c>
      <c r="O154" t="s">
        <v>12103</v>
      </c>
      <c r="P154" t="s">
        <v>8447</v>
      </c>
      <c r="Q154">
        <v>30136222</v>
      </c>
    </row>
    <row r="155" spans="1:17" ht="15.75">
      <c r="A155" t="s">
        <v>16680</v>
      </c>
      <c r="B155" t="s">
        <v>12121</v>
      </c>
      <c r="C155" t="s">
        <v>12334</v>
      </c>
      <c r="D155" t="s">
        <v>12084</v>
      </c>
      <c r="G155" t="str">
        <f>Config!$B$7</f>
        <v>SCH/Connector.SchLib</v>
      </c>
      <c r="H155" t="s">
        <v>6975</v>
      </c>
      <c r="I155" t="s">
        <v>16683</v>
      </c>
      <c r="J155" t="s">
        <v>13393</v>
      </c>
      <c r="L155" s="1" t="s">
        <v>13429</v>
      </c>
      <c r="M155" t="s">
        <v>12330</v>
      </c>
      <c r="N155" t="s">
        <v>12085</v>
      </c>
      <c r="O155" t="s">
        <v>12104</v>
      </c>
      <c r="P155" t="s">
        <v>8447</v>
      </c>
      <c r="Q155">
        <v>30136223</v>
      </c>
    </row>
    <row r="156" spans="1:17" ht="15.75">
      <c r="A156" t="s">
        <v>16681</v>
      </c>
      <c r="B156" t="s">
        <v>12122</v>
      </c>
      <c r="C156" t="s">
        <v>12334</v>
      </c>
      <c r="D156" t="s">
        <v>12084</v>
      </c>
      <c r="G156" t="str">
        <f>Config!$B$7</f>
        <v>SCH/Connector.SchLib</v>
      </c>
      <c r="H156" t="s">
        <v>6975</v>
      </c>
      <c r="I156" t="s">
        <v>16683</v>
      </c>
      <c r="J156" t="s">
        <v>13394</v>
      </c>
      <c r="L156" s="1" t="s">
        <v>13429</v>
      </c>
      <c r="M156" t="s">
        <v>12330</v>
      </c>
      <c r="N156" t="s">
        <v>12085</v>
      </c>
      <c r="O156" t="s">
        <v>12105</v>
      </c>
      <c r="P156" t="s">
        <v>8447</v>
      </c>
      <c r="Q156">
        <v>30136224</v>
      </c>
    </row>
    <row r="157" spans="1:17" ht="15.75">
      <c r="A157" t="s">
        <v>16682</v>
      </c>
      <c r="B157" t="s">
        <v>12123</v>
      </c>
      <c r="C157" t="s">
        <v>12334</v>
      </c>
      <c r="D157" t="s">
        <v>12084</v>
      </c>
      <c r="G157" t="str">
        <f>Config!$B$7</f>
        <v>SCH/Connector.SchLib</v>
      </c>
      <c r="H157" t="s">
        <v>6975</v>
      </c>
      <c r="I157" t="s">
        <v>16683</v>
      </c>
      <c r="J157" t="s">
        <v>13395</v>
      </c>
      <c r="L157" s="1" t="s">
        <v>13429</v>
      </c>
      <c r="M157" t="s">
        <v>12330</v>
      </c>
      <c r="N157" t="s">
        <v>12085</v>
      </c>
      <c r="O157" t="s">
        <v>12390</v>
      </c>
    </row>
    <row r="158" spans="1:17" ht="15.75">
      <c r="A158" t="s">
        <v>16695</v>
      </c>
      <c r="B158" t="s">
        <v>12115</v>
      </c>
      <c r="C158" t="s">
        <v>12334</v>
      </c>
      <c r="D158" t="s">
        <v>12084</v>
      </c>
      <c r="G158" t="str">
        <f>Config!$B$7</f>
        <v>SCH/Connector.SchLib</v>
      </c>
      <c r="H158" t="s">
        <v>6975</v>
      </c>
      <c r="I158" t="s">
        <v>16696</v>
      </c>
      <c r="J158" t="s">
        <v>13387</v>
      </c>
      <c r="L158" s="1" t="s">
        <v>13429</v>
      </c>
      <c r="M158" t="s">
        <v>12330</v>
      </c>
      <c r="N158" t="s">
        <v>12085</v>
      </c>
      <c r="O158" t="s">
        <v>12098</v>
      </c>
      <c r="P158" t="s">
        <v>8447</v>
      </c>
      <c r="Q158">
        <v>30136216</v>
      </c>
    </row>
    <row r="159" spans="1:17" ht="15.75">
      <c r="A159" t="s">
        <v>16697</v>
      </c>
      <c r="B159" t="s">
        <v>12116</v>
      </c>
      <c r="C159" t="s">
        <v>12334</v>
      </c>
      <c r="D159" t="s">
        <v>12084</v>
      </c>
      <c r="G159" t="str">
        <f>Config!$B$7</f>
        <v>SCH/Connector.SchLib</v>
      </c>
      <c r="H159" t="s">
        <v>6975</v>
      </c>
      <c r="I159" t="s">
        <v>16696</v>
      </c>
      <c r="J159" t="s">
        <v>13388</v>
      </c>
      <c r="L159" s="1" t="s">
        <v>13429</v>
      </c>
      <c r="M159" t="s">
        <v>12330</v>
      </c>
      <c r="N159" t="s">
        <v>12085</v>
      </c>
      <c r="O159" t="s">
        <v>12099</v>
      </c>
      <c r="P159" t="s">
        <v>8447</v>
      </c>
      <c r="Q159">
        <v>30136217</v>
      </c>
    </row>
    <row r="160" spans="1:17" ht="15.75">
      <c r="A160" t="s">
        <v>16698</v>
      </c>
      <c r="B160" t="s">
        <v>12087</v>
      </c>
      <c r="C160" t="s">
        <v>12334</v>
      </c>
      <c r="D160" t="s">
        <v>12084</v>
      </c>
      <c r="G160" t="str">
        <f>Config!$B$7</f>
        <v>SCH/Connector.SchLib</v>
      </c>
      <c r="H160" t="s">
        <v>6975</v>
      </c>
      <c r="I160" t="s">
        <v>16696</v>
      </c>
      <c r="J160" t="s">
        <v>13385</v>
      </c>
      <c r="L160" s="1" t="s">
        <v>13429</v>
      </c>
      <c r="M160" t="s">
        <v>12330</v>
      </c>
      <c r="N160" t="s">
        <v>12085</v>
      </c>
      <c r="O160" t="s">
        <v>12086</v>
      </c>
      <c r="P160" t="s">
        <v>8447</v>
      </c>
      <c r="Q160">
        <v>30136218</v>
      </c>
    </row>
    <row r="161" spans="1:17" ht="15.75">
      <c r="A161" t="s">
        <v>16699</v>
      </c>
      <c r="B161" t="s">
        <v>12117</v>
      </c>
      <c r="C161" t="s">
        <v>12334</v>
      </c>
      <c r="D161" t="s">
        <v>12084</v>
      </c>
      <c r="G161" t="str">
        <f>Config!$B$7</f>
        <v>SCH/Connector.SchLib</v>
      </c>
      <c r="H161" t="s">
        <v>6975</v>
      </c>
      <c r="I161" t="s">
        <v>16696</v>
      </c>
      <c r="J161" t="s">
        <v>13389</v>
      </c>
      <c r="L161" s="1" t="s">
        <v>13429</v>
      </c>
      <c r="M161" t="s">
        <v>12330</v>
      </c>
      <c r="N161" t="s">
        <v>12085</v>
      </c>
      <c r="O161" t="s">
        <v>12100</v>
      </c>
      <c r="P161" t="s">
        <v>8447</v>
      </c>
      <c r="Q161">
        <v>30136219</v>
      </c>
    </row>
    <row r="162" spans="1:17" ht="15.75">
      <c r="A162" t="s">
        <v>16700</v>
      </c>
      <c r="B162" t="s">
        <v>12118</v>
      </c>
      <c r="C162" t="s">
        <v>12334</v>
      </c>
      <c r="D162" t="s">
        <v>12084</v>
      </c>
      <c r="G162" t="str">
        <f>Config!$B$7</f>
        <v>SCH/Connector.SchLib</v>
      </c>
      <c r="H162" t="s">
        <v>6975</v>
      </c>
      <c r="I162" t="s">
        <v>16696</v>
      </c>
      <c r="J162" t="s">
        <v>13390</v>
      </c>
      <c r="L162" s="1" t="s">
        <v>13429</v>
      </c>
      <c r="M162" t="s">
        <v>12330</v>
      </c>
      <c r="N162" t="s">
        <v>12085</v>
      </c>
      <c r="O162" t="s">
        <v>12101</v>
      </c>
      <c r="P162" t="s">
        <v>8447</v>
      </c>
      <c r="Q162">
        <v>30136220</v>
      </c>
    </row>
    <row r="163" spans="1:17" ht="15.75">
      <c r="A163" t="s">
        <v>16701</v>
      </c>
      <c r="B163" t="s">
        <v>12119</v>
      </c>
      <c r="C163" t="s">
        <v>12334</v>
      </c>
      <c r="D163" t="s">
        <v>12084</v>
      </c>
      <c r="G163" t="str">
        <f>Config!$B$7</f>
        <v>SCH/Connector.SchLib</v>
      </c>
      <c r="H163" t="s">
        <v>6975</v>
      </c>
      <c r="I163" t="s">
        <v>16696</v>
      </c>
      <c r="J163" t="s">
        <v>13391</v>
      </c>
      <c r="L163" s="1" t="s">
        <v>13429</v>
      </c>
      <c r="M163" t="s">
        <v>12330</v>
      </c>
      <c r="N163" t="s">
        <v>12085</v>
      </c>
      <c r="O163" t="s">
        <v>12102</v>
      </c>
      <c r="P163" t="s">
        <v>8447</v>
      </c>
      <c r="Q163">
        <v>30136221</v>
      </c>
    </row>
    <row r="164" spans="1:17" ht="15.75">
      <c r="A164" t="s">
        <v>16702</v>
      </c>
      <c r="B164" t="s">
        <v>12120</v>
      </c>
      <c r="C164" t="s">
        <v>12334</v>
      </c>
      <c r="D164" t="s">
        <v>12084</v>
      </c>
      <c r="G164" t="str">
        <f>Config!$B$7</f>
        <v>SCH/Connector.SchLib</v>
      </c>
      <c r="H164" t="s">
        <v>6975</v>
      </c>
      <c r="I164" t="s">
        <v>16696</v>
      </c>
      <c r="J164" t="s">
        <v>13392</v>
      </c>
      <c r="L164" s="1" t="s">
        <v>13429</v>
      </c>
      <c r="M164" t="s">
        <v>12330</v>
      </c>
      <c r="N164" t="s">
        <v>12085</v>
      </c>
      <c r="O164" t="s">
        <v>12103</v>
      </c>
      <c r="P164" t="s">
        <v>8447</v>
      </c>
      <c r="Q164">
        <v>30136222</v>
      </c>
    </row>
    <row r="165" spans="1:17" ht="15.75">
      <c r="A165" t="s">
        <v>16703</v>
      </c>
      <c r="B165" t="s">
        <v>12121</v>
      </c>
      <c r="C165" t="s">
        <v>12334</v>
      </c>
      <c r="D165" t="s">
        <v>12084</v>
      </c>
      <c r="G165" t="str">
        <f>Config!$B$7</f>
        <v>SCH/Connector.SchLib</v>
      </c>
      <c r="H165" t="s">
        <v>6975</v>
      </c>
      <c r="I165" t="s">
        <v>16696</v>
      </c>
      <c r="J165" t="s">
        <v>13393</v>
      </c>
      <c r="L165" s="1" t="s">
        <v>13429</v>
      </c>
      <c r="M165" t="s">
        <v>12330</v>
      </c>
      <c r="N165" t="s">
        <v>12085</v>
      </c>
      <c r="O165" t="s">
        <v>12104</v>
      </c>
      <c r="P165" t="s">
        <v>8447</v>
      </c>
      <c r="Q165">
        <v>30136223</v>
      </c>
    </row>
    <row r="166" spans="1:17" ht="15.75">
      <c r="A166" t="s">
        <v>16704</v>
      </c>
      <c r="B166" t="s">
        <v>12122</v>
      </c>
      <c r="C166" t="s">
        <v>12334</v>
      </c>
      <c r="D166" t="s">
        <v>12084</v>
      </c>
      <c r="G166" t="str">
        <f>Config!$B$7</f>
        <v>SCH/Connector.SchLib</v>
      </c>
      <c r="H166" t="s">
        <v>6975</v>
      </c>
      <c r="I166" t="s">
        <v>16696</v>
      </c>
      <c r="J166" t="s">
        <v>13394</v>
      </c>
      <c r="L166" s="1" t="s">
        <v>13429</v>
      </c>
      <c r="M166" t="s">
        <v>12330</v>
      </c>
      <c r="N166" t="s">
        <v>12085</v>
      </c>
      <c r="O166" t="s">
        <v>12105</v>
      </c>
      <c r="P166" t="s">
        <v>8447</v>
      </c>
      <c r="Q166">
        <v>30136224</v>
      </c>
    </row>
    <row r="167" spans="1:17" ht="15.75">
      <c r="A167" t="s">
        <v>16705</v>
      </c>
      <c r="B167" t="s">
        <v>12123</v>
      </c>
      <c r="C167" t="s">
        <v>12334</v>
      </c>
      <c r="D167" t="s">
        <v>12084</v>
      </c>
      <c r="G167" t="str">
        <f>Config!$B$7</f>
        <v>SCH/Connector.SchLib</v>
      </c>
      <c r="H167" t="s">
        <v>6975</v>
      </c>
      <c r="I167" t="s">
        <v>16696</v>
      </c>
      <c r="J167" t="s">
        <v>13395</v>
      </c>
      <c r="L167" s="1" t="s">
        <v>13429</v>
      </c>
      <c r="M167" t="s">
        <v>12330</v>
      </c>
      <c r="N167" t="s">
        <v>12085</v>
      </c>
      <c r="O167" t="s">
        <v>12390</v>
      </c>
    </row>
    <row r="168" spans="1:17" ht="15.75">
      <c r="A168" t="s">
        <v>16706</v>
      </c>
      <c r="B168" t="s">
        <v>12115</v>
      </c>
      <c r="C168" t="s">
        <v>12334</v>
      </c>
      <c r="D168" t="s">
        <v>12084</v>
      </c>
      <c r="G168" t="str">
        <f>Config!$B$7</f>
        <v>SCH/Connector.SchLib</v>
      </c>
      <c r="H168" t="s">
        <v>6975</v>
      </c>
      <c r="I168" t="s">
        <v>16707</v>
      </c>
      <c r="J168" t="s">
        <v>13387</v>
      </c>
      <c r="L168" s="1" t="s">
        <v>13429</v>
      </c>
      <c r="M168" t="s">
        <v>12330</v>
      </c>
      <c r="N168" t="s">
        <v>12085</v>
      </c>
      <c r="O168" t="s">
        <v>12098</v>
      </c>
      <c r="P168" t="s">
        <v>8447</v>
      </c>
      <c r="Q168">
        <v>30136216</v>
      </c>
    </row>
    <row r="169" spans="1:17" ht="15.75">
      <c r="A169" t="s">
        <v>16708</v>
      </c>
      <c r="B169" t="s">
        <v>12116</v>
      </c>
      <c r="C169" t="s">
        <v>12334</v>
      </c>
      <c r="D169" t="s">
        <v>12084</v>
      </c>
      <c r="G169" t="str">
        <f>Config!$B$7</f>
        <v>SCH/Connector.SchLib</v>
      </c>
      <c r="H169" t="s">
        <v>6975</v>
      </c>
      <c r="I169" t="s">
        <v>16707</v>
      </c>
      <c r="J169" t="s">
        <v>13388</v>
      </c>
      <c r="L169" s="1" t="s">
        <v>13429</v>
      </c>
      <c r="M169" t="s">
        <v>12330</v>
      </c>
      <c r="N169" t="s">
        <v>12085</v>
      </c>
      <c r="O169" t="s">
        <v>12099</v>
      </c>
      <c r="P169" t="s">
        <v>8447</v>
      </c>
      <c r="Q169">
        <v>30136217</v>
      </c>
    </row>
    <row r="170" spans="1:17" ht="15.75">
      <c r="A170" t="s">
        <v>16709</v>
      </c>
      <c r="B170" t="s">
        <v>12087</v>
      </c>
      <c r="C170" t="s">
        <v>12334</v>
      </c>
      <c r="D170" t="s">
        <v>12084</v>
      </c>
      <c r="G170" t="str">
        <f>Config!$B$7</f>
        <v>SCH/Connector.SchLib</v>
      </c>
      <c r="H170" t="s">
        <v>6975</v>
      </c>
      <c r="I170" t="s">
        <v>16707</v>
      </c>
      <c r="J170" t="s">
        <v>13385</v>
      </c>
      <c r="L170" s="1" t="s">
        <v>13429</v>
      </c>
      <c r="M170" t="s">
        <v>12330</v>
      </c>
      <c r="N170" t="s">
        <v>12085</v>
      </c>
      <c r="O170" t="s">
        <v>12086</v>
      </c>
      <c r="P170" t="s">
        <v>8447</v>
      </c>
      <c r="Q170">
        <v>30136218</v>
      </c>
    </row>
    <row r="171" spans="1:17" ht="15.75">
      <c r="A171" t="s">
        <v>16710</v>
      </c>
      <c r="B171" t="s">
        <v>12117</v>
      </c>
      <c r="C171" t="s">
        <v>12334</v>
      </c>
      <c r="D171" t="s">
        <v>12084</v>
      </c>
      <c r="G171" t="str">
        <f>Config!$B$7</f>
        <v>SCH/Connector.SchLib</v>
      </c>
      <c r="H171" t="s">
        <v>6975</v>
      </c>
      <c r="I171" t="s">
        <v>16707</v>
      </c>
      <c r="J171" t="s">
        <v>13389</v>
      </c>
      <c r="L171" s="1" t="s">
        <v>13429</v>
      </c>
      <c r="M171" t="s">
        <v>12330</v>
      </c>
      <c r="N171" t="s">
        <v>12085</v>
      </c>
      <c r="O171" t="s">
        <v>12100</v>
      </c>
      <c r="P171" t="s">
        <v>8447</v>
      </c>
      <c r="Q171">
        <v>30136219</v>
      </c>
    </row>
    <row r="172" spans="1:17" ht="15.75">
      <c r="A172" t="s">
        <v>16711</v>
      </c>
      <c r="B172" t="s">
        <v>12118</v>
      </c>
      <c r="C172" t="s">
        <v>12334</v>
      </c>
      <c r="D172" t="s">
        <v>12084</v>
      </c>
      <c r="G172" t="str">
        <f>Config!$B$7</f>
        <v>SCH/Connector.SchLib</v>
      </c>
      <c r="H172" t="s">
        <v>6975</v>
      </c>
      <c r="I172" t="s">
        <v>16707</v>
      </c>
      <c r="J172" t="s">
        <v>13390</v>
      </c>
      <c r="L172" s="1" t="s">
        <v>13429</v>
      </c>
      <c r="M172" t="s">
        <v>12330</v>
      </c>
      <c r="N172" t="s">
        <v>12085</v>
      </c>
      <c r="O172" t="s">
        <v>12101</v>
      </c>
      <c r="P172" t="s">
        <v>8447</v>
      </c>
      <c r="Q172">
        <v>30136220</v>
      </c>
    </row>
    <row r="173" spans="1:17" ht="15.75">
      <c r="A173" t="s">
        <v>16712</v>
      </c>
      <c r="B173" t="s">
        <v>12119</v>
      </c>
      <c r="C173" t="s">
        <v>12334</v>
      </c>
      <c r="D173" t="s">
        <v>12084</v>
      </c>
      <c r="G173" t="str">
        <f>Config!$B$7</f>
        <v>SCH/Connector.SchLib</v>
      </c>
      <c r="H173" t="s">
        <v>6975</v>
      </c>
      <c r="I173" t="s">
        <v>16707</v>
      </c>
      <c r="J173" t="s">
        <v>13391</v>
      </c>
      <c r="L173" s="1" t="s">
        <v>13429</v>
      </c>
      <c r="M173" t="s">
        <v>12330</v>
      </c>
      <c r="N173" t="s">
        <v>12085</v>
      </c>
      <c r="O173" t="s">
        <v>12102</v>
      </c>
      <c r="P173" t="s">
        <v>8447</v>
      </c>
      <c r="Q173">
        <v>30136221</v>
      </c>
    </row>
    <row r="174" spans="1:17" ht="15.75">
      <c r="A174" t="s">
        <v>16713</v>
      </c>
      <c r="B174" t="s">
        <v>12120</v>
      </c>
      <c r="C174" t="s">
        <v>12334</v>
      </c>
      <c r="D174" t="s">
        <v>12084</v>
      </c>
      <c r="G174" t="str">
        <f>Config!$B$7</f>
        <v>SCH/Connector.SchLib</v>
      </c>
      <c r="H174" t="s">
        <v>6975</v>
      </c>
      <c r="I174" t="s">
        <v>16707</v>
      </c>
      <c r="J174" t="s">
        <v>13392</v>
      </c>
      <c r="L174" s="1" t="s">
        <v>13429</v>
      </c>
      <c r="M174" t="s">
        <v>12330</v>
      </c>
      <c r="N174" t="s">
        <v>12085</v>
      </c>
      <c r="O174" t="s">
        <v>12103</v>
      </c>
      <c r="P174" t="s">
        <v>8447</v>
      </c>
      <c r="Q174">
        <v>30136222</v>
      </c>
    </row>
    <row r="175" spans="1:17" ht="15.75">
      <c r="A175" t="s">
        <v>16714</v>
      </c>
      <c r="B175" t="s">
        <v>12121</v>
      </c>
      <c r="C175" t="s">
        <v>12334</v>
      </c>
      <c r="D175" t="s">
        <v>12084</v>
      </c>
      <c r="G175" t="str">
        <f>Config!$B$7</f>
        <v>SCH/Connector.SchLib</v>
      </c>
      <c r="H175" t="s">
        <v>6975</v>
      </c>
      <c r="I175" t="s">
        <v>16707</v>
      </c>
      <c r="J175" t="s">
        <v>13393</v>
      </c>
      <c r="L175" s="1" t="s">
        <v>13429</v>
      </c>
      <c r="M175" t="s">
        <v>12330</v>
      </c>
      <c r="N175" t="s">
        <v>12085</v>
      </c>
      <c r="O175" t="s">
        <v>12104</v>
      </c>
      <c r="P175" t="s">
        <v>8447</v>
      </c>
      <c r="Q175">
        <v>30136223</v>
      </c>
    </row>
    <row r="176" spans="1:17" ht="15.75">
      <c r="A176" t="s">
        <v>16715</v>
      </c>
      <c r="B176" t="s">
        <v>12122</v>
      </c>
      <c r="C176" t="s">
        <v>12334</v>
      </c>
      <c r="D176" t="s">
        <v>12084</v>
      </c>
      <c r="G176" t="str">
        <f>Config!$B$7</f>
        <v>SCH/Connector.SchLib</v>
      </c>
      <c r="H176" t="s">
        <v>6975</v>
      </c>
      <c r="I176" t="s">
        <v>16707</v>
      </c>
      <c r="J176" t="s">
        <v>13394</v>
      </c>
      <c r="L176" s="1" t="s">
        <v>13429</v>
      </c>
      <c r="M176" t="s">
        <v>12330</v>
      </c>
      <c r="N176" t="s">
        <v>12085</v>
      </c>
      <c r="O176" t="s">
        <v>12105</v>
      </c>
      <c r="P176" t="s">
        <v>8447</v>
      </c>
      <c r="Q176">
        <v>30136224</v>
      </c>
    </row>
    <row r="177" spans="1:17" ht="15.75">
      <c r="A177" t="s">
        <v>16716</v>
      </c>
      <c r="B177" t="s">
        <v>12123</v>
      </c>
      <c r="C177" t="s">
        <v>12334</v>
      </c>
      <c r="D177" t="s">
        <v>12084</v>
      </c>
      <c r="G177" t="str">
        <f>Config!$B$7</f>
        <v>SCH/Connector.SchLib</v>
      </c>
      <c r="H177" t="s">
        <v>6975</v>
      </c>
      <c r="I177" t="s">
        <v>16707</v>
      </c>
      <c r="J177" t="s">
        <v>13395</v>
      </c>
      <c r="L177" s="1" t="s">
        <v>13429</v>
      </c>
      <c r="M177" t="s">
        <v>12330</v>
      </c>
      <c r="N177" t="s">
        <v>12085</v>
      </c>
      <c r="O177" t="s">
        <v>12390</v>
      </c>
    </row>
    <row r="178" spans="1:17" ht="15.75">
      <c r="A178" t="s">
        <v>16717</v>
      </c>
      <c r="B178" t="s">
        <v>12115</v>
      </c>
      <c r="C178" t="s">
        <v>12334</v>
      </c>
      <c r="D178" t="s">
        <v>12084</v>
      </c>
      <c r="G178" t="str">
        <f>Config!$B$7</f>
        <v>SCH/Connector.SchLib</v>
      </c>
      <c r="H178" t="s">
        <v>6975</v>
      </c>
      <c r="I178" t="s">
        <v>16718</v>
      </c>
      <c r="J178" t="s">
        <v>13387</v>
      </c>
      <c r="L178" s="1" t="s">
        <v>13429</v>
      </c>
      <c r="M178" t="s">
        <v>12330</v>
      </c>
      <c r="N178" t="s">
        <v>12085</v>
      </c>
      <c r="O178" t="s">
        <v>12098</v>
      </c>
      <c r="P178" t="s">
        <v>8447</v>
      </c>
      <c r="Q178">
        <v>30136216</v>
      </c>
    </row>
    <row r="179" spans="1:17" ht="15.75">
      <c r="A179" t="s">
        <v>16719</v>
      </c>
      <c r="B179" t="s">
        <v>12116</v>
      </c>
      <c r="C179" t="s">
        <v>12334</v>
      </c>
      <c r="D179" t="s">
        <v>12084</v>
      </c>
      <c r="G179" t="str">
        <f>Config!$B$7</f>
        <v>SCH/Connector.SchLib</v>
      </c>
      <c r="H179" t="s">
        <v>6975</v>
      </c>
      <c r="I179" t="s">
        <v>16718</v>
      </c>
      <c r="J179" t="s">
        <v>13388</v>
      </c>
      <c r="L179" s="1" t="s">
        <v>13429</v>
      </c>
      <c r="M179" t="s">
        <v>12330</v>
      </c>
      <c r="N179" t="s">
        <v>12085</v>
      </c>
      <c r="O179" t="s">
        <v>12099</v>
      </c>
      <c r="P179" t="s">
        <v>8447</v>
      </c>
      <c r="Q179">
        <v>30136217</v>
      </c>
    </row>
    <row r="180" spans="1:17" ht="15.75">
      <c r="A180" t="s">
        <v>16720</v>
      </c>
      <c r="B180" t="s">
        <v>12087</v>
      </c>
      <c r="C180" t="s">
        <v>12334</v>
      </c>
      <c r="D180" t="s">
        <v>12084</v>
      </c>
      <c r="G180" t="str">
        <f>Config!$B$7</f>
        <v>SCH/Connector.SchLib</v>
      </c>
      <c r="H180" t="s">
        <v>6975</v>
      </c>
      <c r="I180" t="s">
        <v>16718</v>
      </c>
      <c r="J180" t="s">
        <v>13385</v>
      </c>
      <c r="L180" s="1" t="s">
        <v>13429</v>
      </c>
      <c r="M180" t="s">
        <v>12330</v>
      </c>
      <c r="N180" t="s">
        <v>12085</v>
      </c>
      <c r="O180" t="s">
        <v>12086</v>
      </c>
      <c r="P180" t="s">
        <v>8447</v>
      </c>
      <c r="Q180">
        <v>30136218</v>
      </c>
    </row>
    <row r="181" spans="1:17" ht="15.75">
      <c r="A181" t="s">
        <v>16721</v>
      </c>
      <c r="B181" t="s">
        <v>12117</v>
      </c>
      <c r="C181" t="s">
        <v>12334</v>
      </c>
      <c r="D181" t="s">
        <v>12084</v>
      </c>
      <c r="G181" t="str">
        <f>Config!$B$7</f>
        <v>SCH/Connector.SchLib</v>
      </c>
      <c r="H181" t="s">
        <v>6975</v>
      </c>
      <c r="I181" t="s">
        <v>16718</v>
      </c>
      <c r="J181" t="s">
        <v>13389</v>
      </c>
      <c r="L181" s="1" t="s">
        <v>13429</v>
      </c>
      <c r="M181" t="s">
        <v>12330</v>
      </c>
      <c r="N181" t="s">
        <v>12085</v>
      </c>
      <c r="O181" t="s">
        <v>12100</v>
      </c>
      <c r="P181" t="s">
        <v>8447</v>
      </c>
      <c r="Q181">
        <v>30136219</v>
      </c>
    </row>
    <row r="182" spans="1:17" ht="15.75">
      <c r="A182" t="s">
        <v>16722</v>
      </c>
      <c r="B182" t="s">
        <v>12118</v>
      </c>
      <c r="C182" t="s">
        <v>12334</v>
      </c>
      <c r="D182" t="s">
        <v>12084</v>
      </c>
      <c r="G182" t="str">
        <f>Config!$B$7</f>
        <v>SCH/Connector.SchLib</v>
      </c>
      <c r="H182" t="s">
        <v>6975</v>
      </c>
      <c r="I182" t="s">
        <v>16718</v>
      </c>
      <c r="J182" t="s">
        <v>13390</v>
      </c>
      <c r="L182" s="1" t="s">
        <v>13429</v>
      </c>
      <c r="M182" t="s">
        <v>12330</v>
      </c>
      <c r="N182" t="s">
        <v>12085</v>
      </c>
      <c r="O182" t="s">
        <v>12101</v>
      </c>
      <c r="P182" t="s">
        <v>8447</v>
      </c>
      <c r="Q182">
        <v>30136220</v>
      </c>
    </row>
    <row r="183" spans="1:17" ht="15.75">
      <c r="A183" t="s">
        <v>16723</v>
      </c>
      <c r="B183" t="s">
        <v>12119</v>
      </c>
      <c r="C183" t="s">
        <v>12334</v>
      </c>
      <c r="D183" t="s">
        <v>12084</v>
      </c>
      <c r="G183" t="str">
        <f>Config!$B$7</f>
        <v>SCH/Connector.SchLib</v>
      </c>
      <c r="H183" t="s">
        <v>6975</v>
      </c>
      <c r="I183" t="s">
        <v>16718</v>
      </c>
      <c r="J183" t="s">
        <v>13391</v>
      </c>
      <c r="L183" s="1" t="s">
        <v>13429</v>
      </c>
      <c r="M183" t="s">
        <v>12330</v>
      </c>
      <c r="N183" t="s">
        <v>12085</v>
      </c>
      <c r="O183" t="s">
        <v>12102</v>
      </c>
      <c r="P183" t="s">
        <v>8447</v>
      </c>
      <c r="Q183">
        <v>30136221</v>
      </c>
    </row>
    <row r="184" spans="1:17" ht="15.75">
      <c r="A184" t="s">
        <v>16724</v>
      </c>
      <c r="B184" t="s">
        <v>12120</v>
      </c>
      <c r="C184" t="s">
        <v>12334</v>
      </c>
      <c r="D184" t="s">
        <v>12084</v>
      </c>
      <c r="G184" t="str">
        <f>Config!$B$7</f>
        <v>SCH/Connector.SchLib</v>
      </c>
      <c r="H184" t="s">
        <v>6975</v>
      </c>
      <c r="I184" t="s">
        <v>16718</v>
      </c>
      <c r="J184" t="s">
        <v>13392</v>
      </c>
      <c r="L184" s="1" t="s">
        <v>13429</v>
      </c>
      <c r="M184" t="s">
        <v>12330</v>
      </c>
      <c r="N184" t="s">
        <v>12085</v>
      </c>
      <c r="O184" t="s">
        <v>12103</v>
      </c>
      <c r="P184" t="s">
        <v>8447</v>
      </c>
      <c r="Q184">
        <v>30136222</v>
      </c>
    </row>
    <row r="185" spans="1:17" ht="15.75">
      <c r="A185" t="s">
        <v>16725</v>
      </c>
      <c r="B185" t="s">
        <v>12121</v>
      </c>
      <c r="C185" t="s">
        <v>12334</v>
      </c>
      <c r="D185" t="s">
        <v>12084</v>
      </c>
      <c r="G185" t="str">
        <f>Config!$B$7</f>
        <v>SCH/Connector.SchLib</v>
      </c>
      <c r="H185" t="s">
        <v>6975</v>
      </c>
      <c r="I185" t="s">
        <v>16718</v>
      </c>
      <c r="J185" t="s">
        <v>13393</v>
      </c>
      <c r="L185" s="1" t="s">
        <v>13429</v>
      </c>
      <c r="M185" t="s">
        <v>12330</v>
      </c>
      <c r="N185" t="s">
        <v>12085</v>
      </c>
      <c r="O185" t="s">
        <v>12104</v>
      </c>
      <c r="P185" t="s">
        <v>8447</v>
      </c>
      <c r="Q185">
        <v>30136223</v>
      </c>
    </row>
    <row r="186" spans="1:17" ht="15.75">
      <c r="A186" t="s">
        <v>16726</v>
      </c>
      <c r="B186" t="s">
        <v>12122</v>
      </c>
      <c r="C186" t="s">
        <v>12334</v>
      </c>
      <c r="D186" t="s">
        <v>12084</v>
      </c>
      <c r="G186" t="str">
        <f>Config!$B$7</f>
        <v>SCH/Connector.SchLib</v>
      </c>
      <c r="H186" t="s">
        <v>6975</v>
      </c>
      <c r="I186" t="s">
        <v>16718</v>
      </c>
      <c r="J186" t="s">
        <v>13394</v>
      </c>
      <c r="L186" s="1" t="s">
        <v>13429</v>
      </c>
      <c r="M186" t="s">
        <v>12330</v>
      </c>
      <c r="N186" t="s">
        <v>12085</v>
      </c>
      <c r="O186" t="s">
        <v>12105</v>
      </c>
      <c r="P186" t="s">
        <v>8447</v>
      </c>
      <c r="Q186">
        <v>30136224</v>
      </c>
    </row>
    <row r="187" spans="1:17" ht="15.75">
      <c r="A187" t="s">
        <v>16727</v>
      </c>
      <c r="B187" t="s">
        <v>12123</v>
      </c>
      <c r="C187" t="s">
        <v>12334</v>
      </c>
      <c r="D187" t="s">
        <v>12084</v>
      </c>
      <c r="G187" t="str">
        <f>Config!$B$7</f>
        <v>SCH/Connector.SchLib</v>
      </c>
      <c r="H187" t="s">
        <v>6975</v>
      </c>
      <c r="I187" t="s">
        <v>16718</v>
      </c>
      <c r="J187" t="s">
        <v>13395</v>
      </c>
      <c r="L187" s="1" t="s">
        <v>13429</v>
      </c>
      <c r="M187" t="s">
        <v>12330</v>
      </c>
      <c r="N187" t="s">
        <v>12085</v>
      </c>
      <c r="O187" t="s">
        <v>12390</v>
      </c>
    </row>
    <row r="188" spans="1:17" ht="15.75">
      <c r="A188" t="s">
        <v>12263</v>
      </c>
      <c r="B188" t="s">
        <v>12263</v>
      </c>
      <c r="C188" t="s">
        <v>12335</v>
      </c>
      <c r="D188" t="s">
        <v>12084</v>
      </c>
      <c r="G188" t="str">
        <f>Config!$B$7</f>
        <v>SCH/Connector.SchLib</v>
      </c>
      <c r="H188" t="s">
        <v>6997</v>
      </c>
      <c r="I188" s="39"/>
      <c r="J188" s="39"/>
      <c r="L188" s="1" t="s">
        <v>13429</v>
      </c>
      <c r="M188" t="s">
        <v>12331</v>
      </c>
      <c r="N188" t="s">
        <v>12085</v>
      </c>
      <c r="O188" t="s">
        <v>12271</v>
      </c>
    </row>
    <row r="189" spans="1:17" ht="15.75">
      <c r="A189" t="s">
        <v>12264</v>
      </c>
      <c r="B189" t="s">
        <v>12264</v>
      </c>
      <c r="C189" t="s">
        <v>12335</v>
      </c>
      <c r="D189" t="s">
        <v>12084</v>
      </c>
      <c r="G189" t="str">
        <f>Config!$B$7</f>
        <v>SCH/Connector.SchLib</v>
      </c>
      <c r="H189" t="s">
        <v>6997</v>
      </c>
      <c r="I189" s="39"/>
      <c r="J189" s="39"/>
      <c r="L189" s="1" t="s">
        <v>13429</v>
      </c>
      <c r="M189" t="s">
        <v>12331</v>
      </c>
      <c r="N189" t="s">
        <v>12085</v>
      </c>
      <c r="O189" t="s">
        <v>12272</v>
      </c>
      <c r="P189" t="s">
        <v>8447</v>
      </c>
      <c r="Q189">
        <v>14021779</v>
      </c>
    </row>
    <row r="190" spans="1:17" ht="15.75">
      <c r="A190" t="s">
        <v>12265</v>
      </c>
      <c r="B190" t="s">
        <v>12265</v>
      </c>
      <c r="C190" t="s">
        <v>12335</v>
      </c>
      <c r="D190" t="s">
        <v>12084</v>
      </c>
      <c r="G190" t="str">
        <f>Config!$B$7</f>
        <v>SCH/Connector.SchLib</v>
      </c>
      <c r="H190" t="s">
        <v>6997</v>
      </c>
      <c r="I190" s="39"/>
      <c r="J190" s="39"/>
      <c r="L190" s="1" t="s">
        <v>13429</v>
      </c>
      <c r="M190" t="s">
        <v>12331</v>
      </c>
      <c r="N190" t="s">
        <v>12085</v>
      </c>
      <c r="O190" t="s">
        <v>12273</v>
      </c>
      <c r="P190" t="s">
        <v>8447</v>
      </c>
      <c r="Q190">
        <v>14021780</v>
      </c>
    </row>
    <row r="191" spans="1:17" ht="15.75">
      <c r="A191" t="s">
        <v>12266</v>
      </c>
      <c r="B191" t="s">
        <v>12266</v>
      </c>
      <c r="C191" t="s">
        <v>12335</v>
      </c>
      <c r="D191" t="s">
        <v>12084</v>
      </c>
      <c r="G191" t="str">
        <f>Config!$B$7</f>
        <v>SCH/Connector.SchLib</v>
      </c>
      <c r="H191" t="s">
        <v>6997</v>
      </c>
      <c r="I191" s="39"/>
      <c r="J191" s="39"/>
      <c r="L191" s="1" t="s">
        <v>13429</v>
      </c>
      <c r="M191" t="s">
        <v>12331</v>
      </c>
      <c r="N191" t="s">
        <v>12085</v>
      </c>
      <c r="O191" t="s">
        <v>12274</v>
      </c>
      <c r="P191" t="s">
        <v>8447</v>
      </c>
      <c r="Q191">
        <v>14021781</v>
      </c>
    </row>
    <row r="192" spans="1:17" ht="15.75">
      <c r="A192" t="s">
        <v>12267</v>
      </c>
      <c r="B192" t="s">
        <v>12267</v>
      </c>
      <c r="C192" t="s">
        <v>12335</v>
      </c>
      <c r="D192" t="s">
        <v>12084</v>
      </c>
      <c r="G192" t="str">
        <f>Config!$B$7</f>
        <v>SCH/Connector.SchLib</v>
      </c>
      <c r="H192" t="s">
        <v>6997</v>
      </c>
      <c r="I192" s="39"/>
      <c r="J192" s="39"/>
      <c r="L192" s="1" t="s">
        <v>13429</v>
      </c>
      <c r="M192" t="s">
        <v>12331</v>
      </c>
      <c r="N192" t="s">
        <v>12085</v>
      </c>
      <c r="O192" t="s">
        <v>12275</v>
      </c>
    </row>
    <row r="193" spans="1:17" ht="15.75">
      <c r="A193" t="s">
        <v>12268</v>
      </c>
      <c r="B193" t="s">
        <v>12268</v>
      </c>
      <c r="C193" t="s">
        <v>12335</v>
      </c>
      <c r="D193" t="s">
        <v>12084</v>
      </c>
      <c r="G193" t="str">
        <f>Config!$B$7</f>
        <v>SCH/Connector.SchLib</v>
      </c>
      <c r="H193" t="s">
        <v>6997</v>
      </c>
      <c r="I193" s="39"/>
      <c r="J193" s="39"/>
      <c r="L193" s="1" t="s">
        <v>13429</v>
      </c>
      <c r="M193" t="s">
        <v>12331</v>
      </c>
      <c r="N193" t="s">
        <v>12085</v>
      </c>
      <c r="O193" t="s">
        <v>12276</v>
      </c>
    </row>
    <row r="194" spans="1:17" ht="15.75">
      <c r="A194" t="s">
        <v>12269</v>
      </c>
      <c r="B194" t="s">
        <v>12269</v>
      </c>
      <c r="C194" t="s">
        <v>12335</v>
      </c>
      <c r="D194" t="s">
        <v>12084</v>
      </c>
      <c r="G194" t="str">
        <f>Config!$B$7</f>
        <v>SCH/Connector.SchLib</v>
      </c>
      <c r="H194" t="s">
        <v>6997</v>
      </c>
      <c r="I194" s="39"/>
      <c r="J194" s="39"/>
      <c r="L194" s="1" t="s">
        <v>13429</v>
      </c>
      <c r="M194" t="s">
        <v>12331</v>
      </c>
      <c r="N194" t="s">
        <v>12085</v>
      </c>
      <c r="O194" t="s">
        <v>12277</v>
      </c>
    </row>
    <row r="195" spans="1:17" ht="15.75">
      <c r="A195" t="s">
        <v>12270</v>
      </c>
      <c r="B195" t="s">
        <v>12270</v>
      </c>
      <c r="C195" t="s">
        <v>12335</v>
      </c>
      <c r="D195" t="s">
        <v>12084</v>
      </c>
      <c r="G195" t="str">
        <f>Config!$B$7</f>
        <v>SCH/Connector.SchLib</v>
      </c>
      <c r="H195" t="s">
        <v>6997</v>
      </c>
      <c r="I195" s="39"/>
      <c r="J195" s="39"/>
      <c r="L195" s="1" t="s">
        <v>13429</v>
      </c>
      <c r="M195" t="s">
        <v>12331</v>
      </c>
      <c r="N195" t="s">
        <v>12085</v>
      </c>
      <c r="O195" t="s">
        <v>12278</v>
      </c>
    </row>
    <row r="196" spans="1:17" ht="15.75">
      <c r="A196" t="s">
        <v>12279</v>
      </c>
      <c r="B196" t="s">
        <v>12279</v>
      </c>
      <c r="C196" t="s">
        <v>12336</v>
      </c>
      <c r="D196" t="s">
        <v>12084</v>
      </c>
      <c r="G196" t="str">
        <f>Config!$B$7</f>
        <v>SCH/Connector.SchLib</v>
      </c>
      <c r="H196" t="s">
        <v>6975</v>
      </c>
      <c r="I196" s="39"/>
      <c r="J196" s="39"/>
      <c r="L196" s="1" t="s">
        <v>13429</v>
      </c>
      <c r="M196" t="s">
        <v>12332</v>
      </c>
      <c r="N196" t="s">
        <v>12085</v>
      </c>
      <c r="O196" t="s">
        <v>12289</v>
      </c>
      <c r="P196" t="s">
        <v>8447</v>
      </c>
      <c r="Q196">
        <v>30223684</v>
      </c>
    </row>
    <row r="197" spans="1:17" ht="15.75">
      <c r="A197" t="s">
        <v>12280</v>
      </c>
      <c r="B197" t="s">
        <v>12280</v>
      </c>
      <c r="C197" t="s">
        <v>12336</v>
      </c>
      <c r="D197" t="s">
        <v>12084</v>
      </c>
      <c r="G197" t="str">
        <f>Config!$B$7</f>
        <v>SCH/Connector.SchLib</v>
      </c>
      <c r="H197" t="s">
        <v>6975</v>
      </c>
      <c r="I197" s="39"/>
      <c r="J197" s="39"/>
      <c r="L197" s="1" t="s">
        <v>13429</v>
      </c>
      <c r="M197" t="s">
        <v>12332</v>
      </c>
      <c r="N197" t="s">
        <v>12085</v>
      </c>
      <c r="O197" t="s">
        <v>12290</v>
      </c>
      <c r="P197" t="s">
        <v>8447</v>
      </c>
      <c r="Q197">
        <v>30136412</v>
      </c>
    </row>
    <row r="198" spans="1:17" ht="15.75">
      <c r="A198" t="s">
        <v>12281</v>
      </c>
      <c r="B198" t="s">
        <v>12281</v>
      </c>
      <c r="C198" t="s">
        <v>12336</v>
      </c>
      <c r="D198" t="s">
        <v>12084</v>
      </c>
      <c r="G198" t="str">
        <f>Config!$B$7</f>
        <v>SCH/Connector.SchLib</v>
      </c>
      <c r="H198" t="s">
        <v>6975</v>
      </c>
      <c r="I198" s="39"/>
      <c r="J198" s="39"/>
      <c r="L198" s="1" t="s">
        <v>13429</v>
      </c>
      <c r="M198" t="s">
        <v>12332</v>
      </c>
      <c r="N198" t="s">
        <v>12085</v>
      </c>
      <c r="O198" t="s">
        <v>12291</v>
      </c>
      <c r="P198" t="s">
        <v>8447</v>
      </c>
      <c r="Q198">
        <v>30136413</v>
      </c>
    </row>
    <row r="199" spans="1:17" ht="15.75">
      <c r="A199" t="s">
        <v>12282</v>
      </c>
      <c r="B199" t="s">
        <v>12282</v>
      </c>
      <c r="C199" t="s">
        <v>12336</v>
      </c>
      <c r="D199" t="s">
        <v>12084</v>
      </c>
      <c r="G199" t="str">
        <f>Config!$B$7</f>
        <v>SCH/Connector.SchLib</v>
      </c>
      <c r="H199" t="s">
        <v>6975</v>
      </c>
      <c r="I199" s="39"/>
      <c r="J199" s="39"/>
      <c r="L199" s="1" t="s">
        <v>13429</v>
      </c>
      <c r="M199" t="s">
        <v>12332</v>
      </c>
      <c r="N199" t="s">
        <v>12085</v>
      </c>
      <c r="O199" t="s">
        <v>12292</v>
      </c>
    </row>
    <row r="200" spans="1:17" ht="15.75">
      <c r="A200" t="s">
        <v>12283</v>
      </c>
      <c r="B200" t="s">
        <v>12283</v>
      </c>
      <c r="C200" t="s">
        <v>12336</v>
      </c>
      <c r="D200" t="s">
        <v>12084</v>
      </c>
      <c r="G200" t="str">
        <f>Config!$B$7</f>
        <v>SCH/Connector.SchLib</v>
      </c>
      <c r="H200" t="s">
        <v>6975</v>
      </c>
      <c r="I200" s="39"/>
      <c r="J200" s="39"/>
      <c r="L200" s="1" t="s">
        <v>13429</v>
      </c>
      <c r="M200" t="s">
        <v>12332</v>
      </c>
      <c r="N200" t="s">
        <v>12085</v>
      </c>
      <c r="O200" t="s">
        <v>12293</v>
      </c>
      <c r="P200" t="s">
        <v>8447</v>
      </c>
      <c r="Q200">
        <v>30136415</v>
      </c>
    </row>
    <row r="201" spans="1:17" ht="15.75">
      <c r="A201" t="s">
        <v>12284</v>
      </c>
      <c r="B201" t="s">
        <v>12284</v>
      </c>
      <c r="C201" t="s">
        <v>12336</v>
      </c>
      <c r="D201" t="s">
        <v>12084</v>
      </c>
      <c r="G201" t="str">
        <f>Config!$B$7</f>
        <v>SCH/Connector.SchLib</v>
      </c>
      <c r="H201" t="s">
        <v>6975</v>
      </c>
      <c r="I201" s="39"/>
      <c r="J201" s="39"/>
      <c r="L201" s="1" t="s">
        <v>13429</v>
      </c>
      <c r="M201" t="s">
        <v>12332</v>
      </c>
      <c r="N201" t="s">
        <v>12085</v>
      </c>
      <c r="O201" t="s">
        <v>12294</v>
      </c>
    </row>
    <row r="202" spans="1:17" ht="15.75">
      <c r="A202" t="s">
        <v>12285</v>
      </c>
      <c r="B202" t="s">
        <v>12285</v>
      </c>
      <c r="C202" t="s">
        <v>12336</v>
      </c>
      <c r="D202" t="s">
        <v>12084</v>
      </c>
      <c r="G202" t="str">
        <f>Config!$B$7</f>
        <v>SCH/Connector.SchLib</v>
      </c>
      <c r="H202" t="s">
        <v>6975</v>
      </c>
      <c r="I202" s="39"/>
      <c r="J202" s="39"/>
      <c r="L202" s="1" t="s">
        <v>13429</v>
      </c>
      <c r="M202" t="s">
        <v>12332</v>
      </c>
      <c r="N202" t="s">
        <v>12085</v>
      </c>
      <c r="O202" t="s">
        <v>12295</v>
      </c>
    </row>
    <row r="203" spans="1:17" ht="15.75">
      <c r="A203" t="s">
        <v>12286</v>
      </c>
      <c r="B203" t="s">
        <v>12286</v>
      </c>
      <c r="C203" t="s">
        <v>12336</v>
      </c>
      <c r="D203" t="s">
        <v>12084</v>
      </c>
      <c r="G203" t="str">
        <f>Config!$B$7</f>
        <v>SCH/Connector.SchLib</v>
      </c>
      <c r="H203" t="s">
        <v>6975</v>
      </c>
      <c r="I203" s="39"/>
      <c r="J203" s="39"/>
      <c r="L203" s="1" t="s">
        <v>13429</v>
      </c>
      <c r="M203" t="s">
        <v>12332</v>
      </c>
      <c r="N203" t="s">
        <v>12085</v>
      </c>
      <c r="O203" t="s">
        <v>12296</v>
      </c>
      <c r="P203" t="s">
        <v>8447</v>
      </c>
    </row>
    <row r="204" spans="1:17" ht="15.75">
      <c r="A204" t="s">
        <v>12287</v>
      </c>
      <c r="B204" t="s">
        <v>12287</v>
      </c>
      <c r="C204" t="s">
        <v>12336</v>
      </c>
      <c r="D204" t="s">
        <v>12084</v>
      </c>
      <c r="G204" t="str">
        <f>Config!$B$7</f>
        <v>SCH/Connector.SchLib</v>
      </c>
      <c r="H204" t="s">
        <v>6975</v>
      </c>
      <c r="I204" s="39"/>
      <c r="J204" s="39"/>
      <c r="L204" s="1" t="s">
        <v>13429</v>
      </c>
      <c r="M204" t="s">
        <v>12332</v>
      </c>
      <c r="N204" t="s">
        <v>12085</v>
      </c>
      <c r="O204" t="s">
        <v>12297</v>
      </c>
      <c r="P204" t="s">
        <v>8447</v>
      </c>
      <c r="Q204">
        <v>30223687</v>
      </c>
    </row>
    <row r="205" spans="1:17" ht="15.75">
      <c r="A205" t="s">
        <v>12288</v>
      </c>
      <c r="B205" t="s">
        <v>12288</v>
      </c>
      <c r="C205" t="s">
        <v>12336</v>
      </c>
      <c r="D205" t="s">
        <v>12084</v>
      </c>
      <c r="G205" t="str">
        <f>Config!$B$7</f>
        <v>SCH/Connector.SchLib</v>
      </c>
      <c r="H205" t="s">
        <v>6975</v>
      </c>
      <c r="I205" s="39"/>
      <c r="J205" s="39"/>
      <c r="L205" s="1" t="s">
        <v>13429</v>
      </c>
      <c r="M205" t="s">
        <v>12332</v>
      </c>
      <c r="N205" t="s">
        <v>12085</v>
      </c>
      <c r="O205" t="s">
        <v>12298</v>
      </c>
      <c r="P205" t="s">
        <v>8447</v>
      </c>
      <c r="Q205">
        <v>30223688</v>
      </c>
    </row>
    <row r="206" spans="1:17" ht="15.75">
      <c r="A206" t="s">
        <v>12299</v>
      </c>
      <c r="B206" t="s">
        <v>12299</v>
      </c>
      <c r="C206" t="s">
        <v>12337</v>
      </c>
      <c r="D206" t="s">
        <v>12084</v>
      </c>
      <c r="G206" t="str">
        <f>Config!$B$7</f>
        <v>SCH/Connector.SchLib</v>
      </c>
      <c r="H206" t="s">
        <v>6975</v>
      </c>
      <c r="I206" s="39"/>
      <c r="J206" s="39"/>
      <c r="L206" s="1" t="s">
        <v>13429</v>
      </c>
      <c r="M206" t="s">
        <v>12415</v>
      </c>
      <c r="N206" t="s">
        <v>12085</v>
      </c>
      <c r="O206" t="s">
        <v>12340</v>
      </c>
    </row>
    <row r="207" spans="1:17" ht="15.75">
      <c r="A207" t="s">
        <v>12300</v>
      </c>
      <c r="B207" t="s">
        <v>12300</v>
      </c>
      <c r="C207" t="s">
        <v>12337</v>
      </c>
      <c r="D207" t="s">
        <v>12084</v>
      </c>
      <c r="G207" t="str">
        <f>Config!$B$7</f>
        <v>SCH/Connector.SchLib</v>
      </c>
      <c r="H207" t="s">
        <v>6975</v>
      </c>
      <c r="I207" s="39"/>
      <c r="J207" s="39"/>
      <c r="L207" s="1" t="s">
        <v>13429</v>
      </c>
      <c r="M207" t="s">
        <v>12415</v>
      </c>
      <c r="N207" t="s">
        <v>12085</v>
      </c>
      <c r="O207" t="s">
        <v>12341</v>
      </c>
    </row>
    <row r="208" spans="1:17" ht="15.75">
      <c r="A208" t="s">
        <v>12301</v>
      </c>
      <c r="B208" t="s">
        <v>12301</v>
      </c>
      <c r="C208" t="s">
        <v>12337</v>
      </c>
      <c r="D208" t="s">
        <v>12084</v>
      </c>
      <c r="G208" t="str">
        <f>Config!$B$7</f>
        <v>SCH/Connector.SchLib</v>
      </c>
      <c r="H208" t="s">
        <v>6975</v>
      </c>
      <c r="I208" s="39"/>
      <c r="J208" s="39"/>
      <c r="L208" s="1" t="s">
        <v>13429</v>
      </c>
      <c r="M208" t="s">
        <v>12415</v>
      </c>
      <c r="N208" t="s">
        <v>12085</v>
      </c>
      <c r="O208" t="s">
        <v>12342</v>
      </c>
    </row>
    <row r="209" spans="1:17" ht="15.75">
      <c r="A209" t="s">
        <v>12302</v>
      </c>
      <c r="B209" t="s">
        <v>12302</v>
      </c>
      <c r="C209" t="s">
        <v>12337</v>
      </c>
      <c r="D209" t="s">
        <v>12084</v>
      </c>
      <c r="G209" t="str">
        <f>Config!$B$7</f>
        <v>SCH/Connector.SchLib</v>
      </c>
      <c r="H209" t="s">
        <v>6975</v>
      </c>
      <c r="I209" s="39"/>
      <c r="J209" s="39"/>
      <c r="L209" s="1" t="s">
        <v>13429</v>
      </c>
      <c r="M209" t="s">
        <v>12415</v>
      </c>
      <c r="N209" t="s">
        <v>12085</v>
      </c>
      <c r="O209" t="s">
        <v>12343</v>
      </c>
    </row>
    <row r="210" spans="1:17" ht="15.75">
      <c r="A210" t="s">
        <v>12303</v>
      </c>
      <c r="B210" t="s">
        <v>12303</v>
      </c>
      <c r="C210" t="s">
        <v>12337</v>
      </c>
      <c r="D210" t="s">
        <v>12084</v>
      </c>
      <c r="G210" t="str">
        <f>Config!$B$7</f>
        <v>SCH/Connector.SchLib</v>
      </c>
      <c r="H210" t="s">
        <v>6975</v>
      </c>
      <c r="I210" s="39"/>
      <c r="J210" s="39"/>
      <c r="L210" s="1" t="s">
        <v>13429</v>
      </c>
      <c r="M210" t="s">
        <v>12415</v>
      </c>
      <c r="N210" t="s">
        <v>12085</v>
      </c>
      <c r="O210" t="s">
        <v>12344</v>
      </c>
    </row>
    <row r="211" spans="1:17" ht="15.75">
      <c r="A211" t="s">
        <v>12304</v>
      </c>
      <c r="B211" t="s">
        <v>12304</v>
      </c>
      <c r="C211" t="s">
        <v>12337</v>
      </c>
      <c r="D211" t="s">
        <v>12084</v>
      </c>
      <c r="G211" t="str">
        <f>Config!$B$7</f>
        <v>SCH/Connector.SchLib</v>
      </c>
      <c r="H211" t="s">
        <v>6975</v>
      </c>
      <c r="I211" s="39"/>
      <c r="J211" s="39"/>
      <c r="L211" s="1" t="s">
        <v>13429</v>
      </c>
      <c r="M211" t="s">
        <v>12415</v>
      </c>
      <c r="N211" t="s">
        <v>12085</v>
      </c>
      <c r="O211" t="s">
        <v>12345</v>
      </c>
    </row>
    <row r="212" spans="1:17" ht="15.75">
      <c r="A212" t="s">
        <v>12305</v>
      </c>
      <c r="B212" t="s">
        <v>12305</v>
      </c>
      <c r="C212" t="s">
        <v>12337</v>
      </c>
      <c r="D212" t="s">
        <v>12084</v>
      </c>
      <c r="G212" t="str">
        <f>Config!$B$7</f>
        <v>SCH/Connector.SchLib</v>
      </c>
      <c r="H212" t="s">
        <v>6975</v>
      </c>
      <c r="I212" s="39"/>
      <c r="J212" s="39"/>
      <c r="L212" s="1" t="s">
        <v>13429</v>
      </c>
      <c r="M212" t="s">
        <v>12415</v>
      </c>
      <c r="N212" t="s">
        <v>12085</v>
      </c>
      <c r="O212" t="s">
        <v>12346</v>
      </c>
    </row>
    <row r="213" spans="1:17" ht="15.75">
      <c r="A213" t="s">
        <v>12306</v>
      </c>
      <c r="B213" t="s">
        <v>12306</v>
      </c>
      <c r="C213" t="s">
        <v>12337</v>
      </c>
      <c r="D213" t="s">
        <v>12084</v>
      </c>
      <c r="G213" t="str">
        <f>Config!$B$7</f>
        <v>SCH/Connector.SchLib</v>
      </c>
      <c r="H213" t="s">
        <v>6975</v>
      </c>
      <c r="I213" s="39"/>
      <c r="J213" s="39"/>
      <c r="L213" s="1" t="s">
        <v>13429</v>
      </c>
      <c r="M213" t="s">
        <v>12415</v>
      </c>
      <c r="N213" t="s">
        <v>12085</v>
      </c>
      <c r="O213" t="s">
        <v>12347</v>
      </c>
      <c r="P213" t="s">
        <v>8447</v>
      </c>
      <c r="Q213">
        <v>30223530</v>
      </c>
    </row>
    <row r="214" spans="1:17" ht="15.75">
      <c r="A214" t="s">
        <v>12307</v>
      </c>
      <c r="B214" t="s">
        <v>12307</v>
      </c>
      <c r="C214" t="s">
        <v>12337</v>
      </c>
      <c r="D214" t="s">
        <v>12084</v>
      </c>
      <c r="G214" t="str">
        <f>Config!$B$7</f>
        <v>SCH/Connector.SchLib</v>
      </c>
      <c r="H214" t="s">
        <v>6975</v>
      </c>
      <c r="I214" s="39"/>
      <c r="J214" s="39"/>
      <c r="L214" s="1" t="s">
        <v>13429</v>
      </c>
      <c r="M214" t="s">
        <v>12415</v>
      </c>
      <c r="N214" t="s">
        <v>12085</v>
      </c>
      <c r="O214" t="s">
        <v>12348</v>
      </c>
      <c r="P214" t="s">
        <v>8447</v>
      </c>
      <c r="Q214">
        <v>30223531</v>
      </c>
    </row>
    <row r="215" spans="1:17" ht="15.75">
      <c r="A215" t="s">
        <v>12308</v>
      </c>
      <c r="B215" t="s">
        <v>12308</v>
      </c>
      <c r="C215" t="s">
        <v>12337</v>
      </c>
      <c r="D215" t="s">
        <v>12084</v>
      </c>
      <c r="G215" t="str">
        <f>Config!$B$7</f>
        <v>SCH/Connector.SchLib</v>
      </c>
      <c r="H215" t="s">
        <v>6975</v>
      </c>
      <c r="I215" s="39"/>
      <c r="J215" s="39"/>
      <c r="L215" s="1" t="s">
        <v>13429</v>
      </c>
      <c r="M215" t="s">
        <v>12415</v>
      </c>
      <c r="N215" t="s">
        <v>12085</v>
      </c>
      <c r="O215" t="s">
        <v>12349</v>
      </c>
      <c r="P215" t="s">
        <v>8447</v>
      </c>
    </row>
    <row r="216" spans="1:17" ht="15.75">
      <c r="A216" t="s">
        <v>12309</v>
      </c>
      <c r="B216" t="s">
        <v>12309</v>
      </c>
      <c r="C216" t="s">
        <v>12338</v>
      </c>
      <c r="D216" t="s">
        <v>12084</v>
      </c>
      <c r="G216" t="str">
        <f>Config!$B$7</f>
        <v>SCH/Connector.SchLib</v>
      </c>
      <c r="H216" t="s">
        <v>6975</v>
      </c>
      <c r="I216" s="39"/>
      <c r="J216" s="39"/>
      <c r="L216" s="1" t="s">
        <v>13429</v>
      </c>
      <c r="M216" t="s">
        <v>12416</v>
      </c>
      <c r="N216" t="s">
        <v>12085</v>
      </c>
      <c r="O216" t="s">
        <v>12350</v>
      </c>
      <c r="P216" t="s">
        <v>8447</v>
      </c>
      <c r="Q216">
        <v>30136211</v>
      </c>
    </row>
    <row r="217" spans="1:17" ht="15.75">
      <c r="A217" t="s">
        <v>12310</v>
      </c>
      <c r="B217" t="s">
        <v>12310</v>
      </c>
      <c r="C217" t="s">
        <v>12338</v>
      </c>
      <c r="D217" t="s">
        <v>12084</v>
      </c>
      <c r="G217" t="str">
        <f>Config!$B$7</f>
        <v>SCH/Connector.SchLib</v>
      </c>
      <c r="H217" t="s">
        <v>6975</v>
      </c>
      <c r="I217" s="39"/>
      <c r="J217" s="39"/>
      <c r="L217" s="1" t="s">
        <v>13429</v>
      </c>
      <c r="M217" t="s">
        <v>12416</v>
      </c>
      <c r="N217" t="s">
        <v>12085</v>
      </c>
      <c r="O217" t="s">
        <v>12351</v>
      </c>
      <c r="P217" t="s">
        <v>8447</v>
      </c>
      <c r="Q217">
        <v>14021753</v>
      </c>
    </row>
    <row r="218" spans="1:17" ht="15.75">
      <c r="A218" t="s">
        <v>12311</v>
      </c>
      <c r="B218" t="s">
        <v>12311</v>
      </c>
      <c r="C218" t="s">
        <v>12338</v>
      </c>
      <c r="D218" t="s">
        <v>12084</v>
      </c>
      <c r="G218" t="str">
        <f>Config!$B$7</f>
        <v>SCH/Connector.SchLib</v>
      </c>
      <c r="H218" t="s">
        <v>6975</v>
      </c>
      <c r="I218" s="39"/>
      <c r="J218" s="39"/>
      <c r="L218" s="1" t="s">
        <v>13429</v>
      </c>
      <c r="M218" t="s">
        <v>12416</v>
      </c>
      <c r="N218" t="s">
        <v>12085</v>
      </c>
      <c r="O218" t="s">
        <v>12352</v>
      </c>
      <c r="P218" t="s">
        <v>8447</v>
      </c>
      <c r="Q218">
        <v>14021754</v>
      </c>
    </row>
    <row r="219" spans="1:17" ht="15.75">
      <c r="A219" t="s">
        <v>12312</v>
      </c>
      <c r="B219" t="s">
        <v>12312</v>
      </c>
      <c r="C219" t="s">
        <v>12338</v>
      </c>
      <c r="D219" t="s">
        <v>12084</v>
      </c>
      <c r="G219" t="str">
        <f>Config!$B$7</f>
        <v>SCH/Connector.SchLib</v>
      </c>
      <c r="H219" t="s">
        <v>6975</v>
      </c>
      <c r="I219" s="39"/>
      <c r="J219" s="39"/>
      <c r="L219" s="1" t="s">
        <v>13429</v>
      </c>
      <c r="M219" t="s">
        <v>12416</v>
      </c>
      <c r="N219" t="s">
        <v>12085</v>
      </c>
      <c r="O219" t="s">
        <v>12353</v>
      </c>
      <c r="P219" t="s">
        <v>8447</v>
      </c>
      <c r="Q219">
        <v>14021757</v>
      </c>
    </row>
    <row r="220" spans="1:17" ht="15.75">
      <c r="A220" t="s">
        <v>12313</v>
      </c>
      <c r="B220" t="s">
        <v>12313</v>
      </c>
      <c r="C220" t="s">
        <v>12338</v>
      </c>
      <c r="D220" t="s">
        <v>12084</v>
      </c>
      <c r="G220" t="str">
        <f>Config!$B$7</f>
        <v>SCH/Connector.SchLib</v>
      </c>
      <c r="H220" t="s">
        <v>6975</v>
      </c>
      <c r="I220" s="39"/>
      <c r="J220" s="39"/>
      <c r="L220" s="1" t="s">
        <v>13429</v>
      </c>
      <c r="M220" t="s">
        <v>12416</v>
      </c>
      <c r="N220" t="s">
        <v>12085</v>
      </c>
      <c r="O220" t="s">
        <v>12354</v>
      </c>
      <c r="P220" t="s">
        <v>8447</v>
      </c>
      <c r="Q220">
        <v>14021755</v>
      </c>
    </row>
    <row r="221" spans="1:17" ht="15.75">
      <c r="A221" t="s">
        <v>12314</v>
      </c>
      <c r="B221" t="s">
        <v>12314</v>
      </c>
      <c r="C221" t="s">
        <v>12338</v>
      </c>
      <c r="D221" t="s">
        <v>12084</v>
      </c>
      <c r="G221" t="str">
        <f>Config!$B$7</f>
        <v>SCH/Connector.SchLib</v>
      </c>
      <c r="H221" t="s">
        <v>6975</v>
      </c>
      <c r="I221" s="39"/>
      <c r="J221" s="39"/>
      <c r="L221" s="1" t="s">
        <v>13429</v>
      </c>
      <c r="M221" t="s">
        <v>12416</v>
      </c>
      <c r="N221" t="s">
        <v>12085</v>
      </c>
      <c r="O221" t="s">
        <v>12355</v>
      </c>
      <c r="P221" t="s">
        <v>8447</v>
      </c>
      <c r="Q221">
        <v>14021756</v>
      </c>
    </row>
    <row r="222" spans="1:17" ht="15.75">
      <c r="A222" t="s">
        <v>12315</v>
      </c>
      <c r="B222" t="s">
        <v>12315</v>
      </c>
      <c r="C222" t="s">
        <v>12338</v>
      </c>
      <c r="D222" t="s">
        <v>12084</v>
      </c>
      <c r="G222" t="str">
        <f>Config!$B$7</f>
        <v>SCH/Connector.SchLib</v>
      </c>
      <c r="H222" t="s">
        <v>6975</v>
      </c>
      <c r="I222" s="39"/>
      <c r="J222" s="39"/>
      <c r="L222" s="1" t="s">
        <v>13429</v>
      </c>
      <c r="M222" t="s">
        <v>12416</v>
      </c>
      <c r="N222" t="s">
        <v>12085</v>
      </c>
      <c r="O222" t="s">
        <v>12356</v>
      </c>
    </row>
    <row r="223" spans="1:17" ht="15.75">
      <c r="A223" t="s">
        <v>12316</v>
      </c>
      <c r="B223" t="s">
        <v>12316</v>
      </c>
      <c r="C223" t="s">
        <v>12338</v>
      </c>
      <c r="D223" t="s">
        <v>12084</v>
      </c>
      <c r="G223" t="str">
        <f>Config!$B$7</f>
        <v>SCH/Connector.SchLib</v>
      </c>
      <c r="H223" t="s">
        <v>6975</v>
      </c>
      <c r="I223" s="39"/>
      <c r="J223" s="39"/>
      <c r="L223" s="1" t="s">
        <v>13429</v>
      </c>
      <c r="M223" t="s">
        <v>12416</v>
      </c>
      <c r="N223" t="s">
        <v>12085</v>
      </c>
      <c r="O223" t="s">
        <v>12357</v>
      </c>
      <c r="P223" t="s">
        <v>8447</v>
      </c>
      <c r="Q223">
        <v>30136213</v>
      </c>
    </row>
    <row r="224" spans="1:17" ht="15.75">
      <c r="A224" t="s">
        <v>12317</v>
      </c>
      <c r="B224" t="s">
        <v>12317</v>
      </c>
      <c r="C224" t="s">
        <v>12338</v>
      </c>
      <c r="D224" t="s">
        <v>12084</v>
      </c>
      <c r="G224" t="str">
        <f>Config!$B$7</f>
        <v>SCH/Connector.SchLib</v>
      </c>
      <c r="H224" t="s">
        <v>6975</v>
      </c>
      <c r="I224" s="39"/>
      <c r="J224" s="39"/>
      <c r="L224" s="1" t="s">
        <v>13429</v>
      </c>
      <c r="M224" t="s">
        <v>12416</v>
      </c>
      <c r="N224" t="s">
        <v>12085</v>
      </c>
      <c r="O224" t="s">
        <v>12358</v>
      </c>
    </row>
    <row r="225" spans="1:17" ht="15.75">
      <c r="A225" t="s">
        <v>12318</v>
      </c>
      <c r="B225" t="s">
        <v>12318</v>
      </c>
      <c r="C225" t="s">
        <v>12338</v>
      </c>
      <c r="D225" t="s">
        <v>12084</v>
      </c>
      <c r="G225" t="str">
        <f>Config!$B$7</f>
        <v>SCH/Connector.SchLib</v>
      </c>
      <c r="H225" t="s">
        <v>6975</v>
      </c>
      <c r="I225" s="39"/>
      <c r="J225" s="39"/>
      <c r="L225" s="1" t="s">
        <v>13429</v>
      </c>
      <c r="M225" t="s">
        <v>12416</v>
      </c>
      <c r="N225" t="s">
        <v>12085</v>
      </c>
      <c r="O225" t="s">
        <v>12359</v>
      </c>
    </row>
    <row r="226" spans="1:17" ht="15.75">
      <c r="A226" t="s">
        <v>12319</v>
      </c>
      <c r="B226" t="s">
        <v>12319</v>
      </c>
      <c r="C226" t="s">
        <v>12339</v>
      </c>
      <c r="D226" t="s">
        <v>12084</v>
      </c>
      <c r="G226" t="str">
        <f>Config!$B$7</f>
        <v>SCH/Connector.SchLib</v>
      </c>
      <c r="H226" t="s">
        <v>6975</v>
      </c>
      <c r="I226" s="39"/>
      <c r="J226" s="39"/>
      <c r="L226" s="1" t="s">
        <v>13429</v>
      </c>
      <c r="M226" t="s">
        <v>12417</v>
      </c>
      <c r="N226" t="s">
        <v>12085</v>
      </c>
      <c r="O226" t="s">
        <v>12360</v>
      </c>
      <c r="P226" t="s">
        <v>8447</v>
      </c>
      <c r="Q226">
        <v>14021809</v>
      </c>
    </row>
    <row r="227" spans="1:17" ht="15.75">
      <c r="A227" t="s">
        <v>12320</v>
      </c>
      <c r="B227" t="s">
        <v>12320</v>
      </c>
      <c r="C227" t="s">
        <v>12339</v>
      </c>
      <c r="D227" t="s">
        <v>12084</v>
      </c>
      <c r="G227" t="str">
        <f>Config!$B$7</f>
        <v>SCH/Connector.SchLib</v>
      </c>
      <c r="H227" t="s">
        <v>6975</v>
      </c>
      <c r="I227" s="39"/>
      <c r="J227" s="39"/>
      <c r="L227" s="1" t="s">
        <v>13429</v>
      </c>
      <c r="M227" t="s">
        <v>12417</v>
      </c>
      <c r="N227" t="s">
        <v>12085</v>
      </c>
      <c r="O227" t="s">
        <v>12361</v>
      </c>
      <c r="P227" t="s">
        <v>8447</v>
      </c>
      <c r="Q227">
        <v>14021804</v>
      </c>
    </row>
    <row r="228" spans="1:17" ht="15.75">
      <c r="A228" t="s">
        <v>12321</v>
      </c>
      <c r="B228" t="s">
        <v>12321</v>
      </c>
      <c r="C228" t="s">
        <v>12339</v>
      </c>
      <c r="D228" t="s">
        <v>12084</v>
      </c>
      <c r="G228" t="str">
        <f>Config!$B$7</f>
        <v>SCH/Connector.SchLib</v>
      </c>
      <c r="H228" t="s">
        <v>6975</v>
      </c>
      <c r="I228" s="39"/>
      <c r="J228" s="39"/>
      <c r="L228" s="1" t="s">
        <v>13429</v>
      </c>
      <c r="M228" t="s">
        <v>12417</v>
      </c>
      <c r="N228" t="s">
        <v>12085</v>
      </c>
      <c r="O228" t="s">
        <v>12362</v>
      </c>
      <c r="P228" t="s">
        <v>8447</v>
      </c>
      <c r="Q228">
        <v>14021805</v>
      </c>
    </row>
    <row r="229" spans="1:17" ht="15.75">
      <c r="A229" t="s">
        <v>12322</v>
      </c>
      <c r="B229" t="s">
        <v>12322</v>
      </c>
      <c r="C229" t="s">
        <v>12339</v>
      </c>
      <c r="D229" t="s">
        <v>12084</v>
      </c>
      <c r="G229" t="str">
        <f>Config!$B$7</f>
        <v>SCH/Connector.SchLib</v>
      </c>
      <c r="H229" t="s">
        <v>6975</v>
      </c>
      <c r="I229" s="39"/>
      <c r="J229" s="39"/>
      <c r="L229" s="1" t="s">
        <v>13429</v>
      </c>
      <c r="M229" t="s">
        <v>12417</v>
      </c>
      <c r="N229" t="s">
        <v>12085</v>
      </c>
      <c r="O229" t="s">
        <v>12363</v>
      </c>
      <c r="P229" t="s">
        <v>8447</v>
      </c>
      <c r="Q229">
        <v>14021808</v>
      </c>
    </row>
    <row r="230" spans="1:17" ht="15.75">
      <c r="A230" t="s">
        <v>12323</v>
      </c>
      <c r="B230" t="s">
        <v>12323</v>
      </c>
      <c r="C230" t="s">
        <v>12339</v>
      </c>
      <c r="D230" t="s">
        <v>12084</v>
      </c>
      <c r="G230" t="str">
        <f>Config!$B$7</f>
        <v>SCH/Connector.SchLib</v>
      </c>
      <c r="H230" t="s">
        <v>6975</v>
      </c>
      <c r="I230" s="39"/>
      <c r="J230" s="39"/>
      <c r="L230" s="1" t="s">
        <v>13429</v>
      </c>
      <c r="M230" t="s">
        <v>12417</v>
      </c>
      <c r="N230" t="s">
        <v>12085</v>
      </c>
      <c r="O230" t="s">
        <v>12364</v>
      </c>
    </row>
    <row r="231" spans="1:17" ht="15.75">
      <c r="A231" t="s">
        <v>12324</v>
      </c>
      <c r="B231" t="s">
        <v>12324</v>
      </c>
      <c r="C231" t="s">
        <v>12339</v>
      </c>
      <c r="D231" t="s">
        <v>12084</v>
      </c>
      <c r="G231" t="str">
        <f>Config!$B$7</f>
        <v>SCH/Connector.SchLib</v>
      </c>
      <c r="H231" t="s">
        <v>6975</v>
      </c>
      <c r="I231" s="39"/>
      <c r="J231" s="39"/>
      <c r="L231" s="1" t="s">
        <v>13429</v>
      </c>
      <c r="M231" t="s">
        <v>12417</v>
      </c>
      <c r="N231" t="s">
        <v>12085</v>
      </c>
      <c r="O231" t="s">
        <v>12365</v>
      </c>
    </row>
    <row r="232" spans="1:17" ht="15.75">
      <c r="A232" t="s">
        <v>12325</v>
      </c>
      <c r="B232" t="s">
        <v>12325</v>
      </c>
      <c r="C232" t="s">
        <v>12339</v>
      </c>
      <c r="D232" t="s">
        <v>12084</v>
      </c>
      <c r="G232" t="str">
        <f>Config!$B$7</f>
        <v>SCH/Connector.SchLib</v>
      </c>
      <c r="H232" t="s">
        <v>6975</v>
      </c>
      <c r="I232" s="39"/>
      <c r="J232" s="39"/>
      <c r="L232" s="1" t="s">
        <v>13429</v>
      </c>
      <c r="M232" t="s">
        <v>12417</v>
      </c>
      <c r="N232" t="s">
        <v>12085</v>
      </c>
      <c r="O232" t="s">
        <v>12366</v>
      </c>
    </row>
    <row r="233" spans="1:17" ht="15.75">
      <c r="A233" t="s">
        <v>12326</v>
      </c>
      <c r="B233" t="s">
        <v>12326</v>
      </c>
      <c r="C233" t="s">
        <v>12339</v>
      </c>
      <c r="D233" t="s">
        <v>12084</v>
      </c>
      <c r="G233" t="str">
        <f>Config!$B$7</f>
        <v>SCH/Connector.SchLib</v>
      </c>
      <c r="H233" t="s">
        <v>6975</v>
      </c>
      <c r="I233" s="39"/>
      <c r="J233" s="39"/>
      <c r="L233" s="1" t="s">
        <v>13429</v>
      </c>
      <c r="M233" t="s">
        <v>12417</v>
      </c>
      <c r="N233" t="s">
        <v>12085</v>
      </c>
      <c r="O233" t="s">
        <v>12367</v>
      </c>
    </row>
    <row r="234" spans="1:17" ht="15.75">
      <c r="A234" t="s">
        <v>12327</v>
      </c>
      <c r="B234" t="s">
        <v>12327</v>
      </c>
      <c r="C234" t="s">
        <v>12339</v>
      </c>
      <c r="D234" t="s">
        <v>12084</v>
      </c>
      <c r="G234" t="str">
        <f>Config!$B$7</f>
        <v>SCH/Connector.SchLib</v>
      </c>
      <c r="H234" t="s">
        <v>6975</v>
      </c>
      <c r="I234" s="39"/>
      <c r="J234" s="39"/>
      <c r="L234" s="1" t="s">
        <v>13429</v>
      </c>
      <c r="M234" t="s">
        <v>12417</v>
      </c>
      <c r="N234" t="s">
        <v>12085</v>
      </c>
      <c r="O234" t="s">
        <v>12368</v>
      </c>
    </row>
    <row r="235" spans="1:17" ht="15.75">
      <c r="A235" t="s">
        <v>12328</v>
      </c>
      <c r="B235" t="s">
        <v>12328</v>
      </c>
      <c r="C235" t="s">
        <v>12339</v>
      </c>
      <c r="D235" t="s">
        <v>12084</v>
      </c>
      <c r="G235" t="str">
        <f>Config!$B$7</f>
        <v>SCH/Connector.SchLib</v>
      </c>
      <c r="H235" t="s">
        <v>6975</v>
      </c>
      <c r="I235" s="39"/>
      <c r="J235" s="39"/>
      <c r="L235" s="1" t="s">
        <v>13429</v>
      </c>
      <c r="M235" t="s">
        <v>12417</v>
      </c>
      <c r="N235" t="s">
        <v>12085</v>
      </c>
      <c r="O235" t="s">
        <v>12369</v>
      </c>
    </row>
    <row r="236" spans="1:17" ht="15.75">
      <c r="A236" t="s">
        <v>12393</v>
      </c>
      <c r="B236" t="s">
        <v>12393</v>
      </c>
      <c r="C236" t="s">
        <v>12414</v>
      </c>
      <c r="D236" t="s">
        <v>12084</v>
      </c>
      <c r="G236" t="str">
        <f>Config!$B$7</f>
        <v>SCH/Connector.SchLib</v>
      </c>
      <c r="H236" t="s">
        <v>6975</v>
      </c>
      <c r="I236" s="39"/>
      <c r="J236" s="39"/>
      <c r="L236" s="1" t="s">
        <v>13429</v>
      </c>
      <c r="M236" t="s">
        <v>12370</v>
      </c>
      <c r="N236" t="s">
        <v>12085</v>
      </c>
      <c r="O236" t="s">
        <v>12371</v>
      </c>
    </row>
    <row r="237" spans="1:17" ht="15.75">
      <c r="A237" t="s">
        <v>12394</v>
      </c>
      <c r="B237" t="s">
        <v>12394</v>
      </c>
      <c r="C237" t="s">
        <v>12414</v>
      </c>
      <c r="D237" t="s">
        <v>12084</v>
      </c>
      <c r="G237" t="str">
        <f>Config!$B$7</f>
        <v>SCH/Connector.SchLib</v>
      </c>
      <c r="H237" t="s">
        <v>6975</v>
      </c>
      <c r="I237" s="39"/>
      <c r="J237" s="39"/>
      <c r="L237" s="1" t="s">
        <v>13429</v>
      </c>
      <c r="M237" t="s">
        <v>12370</v>
      </c>
      <c r="N237" t="s">
        <v>12085</v>
      </c>
      <c r="O237" t="s">
        <v>12372</v>
      </c>
      <c r="P237" t="s">
        <v>8447</v>
      </c>
      <c r="Q237">
        <v>30136393</v>
      </c>
    </row>
    <row r="238" spans="1:17" ht="15.75">
      <c r="A238" t="s">
        <v>12395</v>
      </c>
      <c r="B238" t="s">
        <v>12395</v>
      </c>
      <c r="C238" t="s">
        <v>12414</v>
      </c>
      <c r="D238" t="s">
        <v>12084</v>
      </c>
      <c r="G238" t="str">
        <f>Config!$B$7</f>
        <v>SCH/Connector.SchLib</v>
      </c>
      <c r="H238" t="s">
        <v>6975</v>
      </c>
      <c r="I238" s="39"/>
      <c r="J238" s="39"/>
      <c r="L238" s="1" t="s">
        <v>13429</v>
      </c>
      <c r="M238" t="s">
        <v>12370</v>
      </c>
      <c r="N238" t="s">
        <v>12085</v>
      </c>
      <c r="O238" t="s">
        <v>12373</v>
      </c>
      <c r="P238" t="s">
        <v>8447</v>
      </c>
      <c r="Q238">
        <v>30136394</v>
      </c>
    </row>
    <row r="239" spans="1:17" ht="15.75">
      <c r="A239" t="s">
        <v>12396</v>
      </c>
      <c r="B239" t="s">
        <v>12396</v>
      </c>
      <c r="C239" t="s">
        <v>12414</v>
      </c>
      <c r="D239" t="s">
        <v>12084</v>
      </c>
      <c r="G239" t="str">
        <f>Config!$B$7</f>
        <v>SCH/Connector.SchLib</v>
      </c>
      <c r="H239" t="s">
        <v>6975</v>
      </c>
      <c r="I239" s="39"/>
      <c r="J239" s="39"/>
      <c r="L239" s="1" t="s">
        <v>13429</v>
      </c>
      <c r="M239" t="s">
        <v>12370</v>
      </c>
      <c r="N239" t="s">
        <v>12085</v>
      </c>
      <c r="O239" t="s">
        <v>12374</v>
      </c>
      <c r="P239" t="s">
        <v>8447</v>
      </c>
      <c r="Q239">
        <v>30136395</v>
      </c>
    </row>
    <row r="240" spans="1:17" ht="15.75">
      <c r="A240" t="s">
        <v>12397</v>
      </c>
      <c r="B240" t="s">
        <v>12397</v>
      </c>
      <c r="C240" t="s">
        <v>12414</v>
      </c>
      <c r="D240" t="s">
        <v>12084</v>
      </c>
      <c r="G240" t="str">
        <f>Config!$B$7</f>
        <v>SCH/Connector.SchLib</v>
      </c>
      <c r="H240" t="s">
        <v>6975</v>
      </c>
      <c r="I240" s="39"/>
      <c r="J240" s="39"/>
      <c r="L240" s="1" t="s">
        <v>13429</v>
      </c>
      <c r="M240" t="s">
        <v>12370</v>
      </c>
      <c r="N240" t="s">
        <v>12085</v>
      </c>
      <c r="O240" t="s">
        <v>12375</v>
      </c>
      <c r="P240" t="s">
        <v>8447</v>
      </c>
      <c r="Q240">
        <v>30136396</v>
      </c>
    </row>
    <row r="241" spans="1:17" ht="15.75">
      <c r="A241" t="s">
        <v>12398</v>
      </c>
      <c r="B241" t="s">
        <v>12398</v>
      </c>
      <c r="C241" t="s">
        <v>12414</v>
      </c>
      <c r="D241" t="s">
        <v>12084</v>
      </c>
      <c r="G241" t="str">
        <f>Config!$B$7</f>
        <v>SCH/Connector.SchLib</v>
      </c>
      <c r="H241" t="s">
        <v>6975</v>
      </c>
      <c r="I241" s="39"/>
      <c r="J241" s="39"/>
      <c r="L241" s="1" t="s">
        <v>13429</v>
      </c>
      <c r="M241" t="s">
        <v>12370</v>
      </c>
      <c r="N241" t="s">
        <v>12085</v>
      </c>
      <c r="O241" t="s">
        <v>12376</v>
      </c>
    </row>
    <row r="242" spans="1:17" ht="15.75">
      <c r="A242" t="s">
        <v>12399</v>
      </c>
      <c r="B242" t="s">
        <v>12399</v>
      </c>
      <c r="C242" t="s">
        <v>12414</v>
      </c>
      <c r="D242" t="s">
        <v>12084</v>
      </c>
      <c r="G242" t="str">
        <f>Config!$B$7</f>
        <v>SCH/Connector.SchLib</v>
      </c>
      <c r="H242" t="s">
        <v>6975</v>
      </c>
      <c r="I242" s="39"/>
      <c r="J242" s="39"/>
      <c r="L242" s="1" t="s">
        <v>13429</v>
      </c>
      <c r="M242" t="s">
        <v>12370</v>
      </c>
      <c r="N242" t="s">
        <v>12085</v>
      </c>
      <c r="O242" t="s">
        <v>12377</v>
      </c>
    </row>
    <row r="243" spans="1:17" ht="15.75">
      <c r="A243" t="s">
        <v>12400</v>
      </c>
      <c r="B243" t="s">
        <v>12400</v>
      </c>
      <c r="C243" t="s">
        <v>12414</v>
      </c>
      <c r="D243" t="s">
        <v>12084</v>
      </c>
      <c r="G243" t="str">
        <f>Config!$B$7</f>
        <v>SCH/Connector.SchLib</v>
      </c>
      <c r="H243" t="s">
        <v>6975</v>
      </c>
      <c r="I243" s="39"/>
      <c r="J243" s="39"/>
      <c r="L243" s="1" t="s">
        <v>13429</v>
      </c>
      <c r="M243" t="s">
        <v>12370</v>
      </c>
      <c r="N243" t="s">
        <v>12085</v>
      </c>
      <c r="O243" t="s">
        <v>12378</v>
      </c>
      <c r="P243" t="s">
        <v>8447</v>
      </c>
      <c r="Q243">
        <v>30136399</v>
      </c>
    </row>
    <row r="244" spans="1:17" ht="15.75">
      <c r="A244" t="s">
        <v>12401</v>
      </c>
      <c r="B244" t="s">
        <v>12401</v>
      </c>
      <c r="C244" t="s">
        <v>12414</v>
      </c>
      <c r="D244" t="s">
        <v>12084</v>
      </c>
      <c r="G244" t="str">
        <f>Config!$B$7</f>
        <v>SCH/Connector.SchLib</v>
      </c>
      <c r="H244" t="s">
        <v>6975</v>
      </c>
      <c r="I244" s="39"/>
      <c r="J244" s="39"/>
      <c r="L244" s="1" t="s">
        <v>13429</v>
      </c>
      <c r="M244" t="s">
        <v>12370</v>
      </c>
      <c r="N244" t="s">
        <v>12085</v>
      </c>
      <c r="O244" t="s">
        <v>12379</v>
      </c>
      <c r="P244" t="s">
        <v>8447</v>
      </c>
      <c r="Q244">
        <v>30136400</v>
      </c>
    </row>
    <row r="245" spans="1:17" ht="15.75">
      <c r="A245" t="s">
        <v>12402</v>
      </c>
      <c r="B245" t="s">
        <v>12402</v>
      </c>
      <c r="C245" t="s">
        <v>12414</v>
      </c>
      <c r="D245" t="s">
        <v>12084</v>
      </c>
      <c r="G245" t="str">
        <f>Config!$B$7</f>
        <v>SCH/Connector.SchLib</v>
      </c>
      <c r="H245" t="s">
        <v>6975</v>
      </c>
      <c r="I245" s="39"/>
      <c r="J245" s="39"/>
      <c r="L245" s="1" t="s">
        <v>13429</v>
      </c>
      <c r="M245" t="s">
        <v>12370</v>
      </c>
      <c r="N245" t="s">
        <v>12085</v>
      </c>
      <c r="O245" t="s">
        <v>12380</v>
      </c>
    </row>
    <row r="246" spans="1:17" ht="15.75">
      <c r="A246" t="s">
        <v>12403</v>
      </c>
      <c r="B246" t="s">
        <v>12403</v>
      </c>
      <c r="C246" t="s">
        <v>12404</v>
      </c>
      <c r="D246" t="s">
        <v>12084</v>
      </c>
      <c r="G246" t="str">
        <f>Config!$B$7</f>
        <v>SCH/Connector.SchLib</v>
      </c>
      <c r="H246" t="s">
        <v>6975</v>
      </c>
      <c r="I246" s="39"/>
      <c r="J246" s="39"/>
      <c r="L246" s="1" t="s">
        <v>13429</v>
      </c>
      <c r="M246" t="s">
        <v>12392</v>
      </c>
      <c r="N246" t="s">
        <v>12085</v>
      </c>
      <c r="O246" t="s">
        <v>12381</v>
      </c>
    </row>
    <row r="247" spans="1:17" ht="15.75">
      <c r="A247" t="s">
        <v>12405</v>
      </c>
      <c r="B247" t="s">
        <v>12405</v>
      </c>
      <c r="C247" t="s">
        <v>12404</v>
      </c>
      <c r="D247" t="s">
        <v>12084</v>
      </c>
      <c r="G247" t="str">
        <f>Config!$B$7</f>
        <v>SCH/Connector.SchLib</v>
      </c>
      <c r="H247" t="s">
        <v>6975</v>
      </c>
      <c r="I247" s="39"/>
      <c r="J247" s="39"/>
      <c r="L247" s="1" t="s">
        <v>13429</v>
      </c>
      <c r="M247" t="s">
        <v>12392</v>
      </c>
      <c r="N247" t="s">
        <v>12085</v>
      </c>
      <c r="O247" t="s">
        <v>12382</v>
      </c>
      <c r="P247" t="s">
        <v>8447</v>
      </c>
      <c r="Q247">
        <v>30136403</v>
      </c>
    </row>
    <row r="248" spans="1:17" ht="15.75">
      <c r="A248" t="s">
        <v>12406</v>
      </c>
      <c r="B248" t="s">
        <v>12406</v>
      </c>
      <c r="C248" t="s">
        <v>12404</v>
      </c>
      <c r="D248" t="s">
        <v>12084</v>
      </c>
      <c r="G248" t="str">
        <f>Config!$B$7</f>
        <v>SCH/Connector.SchLib</v>
      </c>
      <c r="H248" t="s">
        <v>6975</v>
      </c>
      <c r="I248" s="39"/>
      <c r="J248" s="39"/>
      <c r="L248" s="1" t="s">
        <v>13429</v>
      </c>
      <c r="M248" t="s">
        <v>12392</v>
      </c>
      <c r="N248" t="s">
        <v>12085</v>
      </c>
      <c r="O248" t="s">
        <v>12383</v>
      </c>
      <c r="P248" t="s">
        <v>8447</v>
      </c>
      <c r="Q248">
        <v>30136404</v>
      </c>
    </row>
    <row r="249" spans="1:17" ht="15.75">
      <c r="A249" t="s">
        <v>12407</v>
      </c>
      <c r="B249" t="s">
        <v>12407</v>
      </c>
      <c r="C249" t="s">
        <v>12404</v>
      </c>
      <c r="D249" t="s">
        <v>12084</v>
      </c>
      <c r="G249" t="str">
        <f>Config!$B$7</f>
        <v>SCH/Connector.SchLib</v>
      </c>
      <c r="H249" t="s">
        <v>6975</v>
      </c>
      <c r="I249" s="39"/>
      <c r="J249" s="39"/>
      <c r="L249" s="1" t="s">
        <v>13429</v>
      </c>
      <c r="M249" t="s">
        <v>12392</v>
      </c>
      <c r="N249" t="s">
        <v>12085</v>
      </c>
      <c r="O249" t="s">
        <v>12384</v>
      </c>
      <c r="P249" t="s">
        <v>8447</v>
      </c>
      <c r="Q249">
        <v>30136405</v>
      </c>
    </row>
    <row r="250" spans="1:17" ht="15.75">
      <c r="A250" t="s">
        <v>12408</v>
      </c>
      <c r="B250" t="s">
        <v>12408</v>
      </c>
      <c r="C250" t="s">
        <v>12404</v>
      </c>
      <c r="D250" t="s">
        <v>12084</v>
      </c>
      <c r="G250" t="str">
        <f>Config!$B$7</f>
        <v>SCH/Connector.SchLib</v>
      </c>
      <c r="H250" t="s">
        <v>6975</v>
      </c>
      <c r="I250" s="39"/>
      <c r="J250" s="39"/>
      <c r="L250" s="1" t="s">
        <v>13429</v>
      </c>
      <c r="M250" t="s">
        <v>12392</v>
      </c>
      <c r="N250" t="s">
        <v>12085</v>
      </c>
      <c r="O250" t="s">
        <v>12385</v>
      </c>
    </row>
    <row r="251" spans="1:17" ht="15.75">
      <c r="A251" t="s">
        <v>12409</v>
      </c>
      <c r="B251" t="s">
        <v>12409</v>
      </c>
      <c r="C251" t="s">
        <v>12404</v>
      </c>
      <c r="D251" t="s">
        <v>12084</v>
      </c>
      <c r="G251" t="str">
        <f>Config!$B$7</f>
        <v>SCH/Connector.SchLib</v>
      </c>
      <c r="H251" t="s">
        <v>6975</v>
      </c>
      <c r="I251" s="39"/>
      <c r="J251" s="39"/>
      <c r="L251" s="1" t="s">
        <v>13429</v>
      </c>
      <c r="M251" t="s">
        <v>12392</v>
      </c>
      <c r="N251" t="s">
        <v>12085</v>
      </c>
      <c r="O251" t="s">
        <v>12386</v>
      </c>
    </row>
    <row r="252" spans="1:17" ht="15.75">
      <c r="A252" t="s">
        <v>12410</v>
      </c>
      <c r="B252" t="s">
        <v>12410</v>
      </c>
      <c r="C252" t="s">
        <v>12404</v>
      </c>
      <c r="D252" t="s">
        <v>12084</v>
      </c>
      <c r="G252" t="str">
        <f>Config!$B$7</f>
        <v>SCH/Connector.SchLib</v>
      </c>
      <c r="H252" t="s">
        <v>6975</v>
      </c>
      <c r="I252" s="39"/>
      <c r="J252" s="39"/>
      <c r="L252" s="1" t="s">
        <v>13429</v>
      </c>
      <c r="M252" t="s">
        <v>12392</v>
      </c>
      <c r="N252" t="s">
        <v>12085</v>
      </c>
      <c r="O252" t="s">
        <v>12387</v>
      </c>
    </row>
    <row r="253" spans="1:17" ht="15.75">
      <c r="A253" t="s">
        <v>12411</v>
      </c>
      <c r="B253" t="s">
        <v>12411</v>
      </c>
      <c r="C253" t="s">
        <v>12404</v>
      </c>
      <c r="D253" t="s">
        <v>12084</v>
      </c>
      <c r="G253" t="str">
        <f>Config!$B$7</f>
        <v>SCH/Connector.SchLib</v>
      </c>
      <c r="H253" t="s">
        <v>6975</v>
      </c>
      <c r="I253" s="39"/>
      <c r="J253" s="39"/>
      <c r="L253" s="1" t="s">
        <v>13429</v>
      </c>
      <c r="M253" t="s">
        <v>12392</v>
      </c>
      <c r="N253" t="s">
        <v>12085</v>
      </c>
      <c r="O253" t="s">
        <v>12388</v>
      </c>
      <c r="P253" t="s">
        <v>8447</v>
      </c>
      <c r="Q253">
        <v>30136409</v>
      </c>
    </row>
    <row r="254" spans="1:17" ht="15.75">
      <c r="A254" t="s">
        <v>12412</v>
      </c>
      <c r="B254" t="s">
        <v>12412</v>
      </c>
      <c r="C254" t="s">
        <v>12404</v>
      </c>
      <c r="D254" t="s">
        <v>12084</v>
      </c>
      <c r="G254" t="str">
        <f>Config!$B$7</f>
        <v>SCH/Connector.SchLib</v>
      </c>
      <c r="H254" t="s">
        <v>6975</v>
      </c>
      <c r="I254" s="39"/>
      <c r="J254" s="39"/>
      <c r="L254" s="1" t="s">
        <v>13429</v>
      </c>
      <c r="M254" t="s">
        <v>12392</v>
      </c>
      <c r="N254" t="s">
        <v>12085</v>
      </c>
      <c r="O254" t="s">
        <v>12389</v>
      </c>
      <c r="P254" t="s">
        <v>8447</v>
      </c>
      <c r="Q254">
        <v>30136410</v>
      </c>
    </row>
    <row r="255" spans="1:17" ht="15.75">
      <c r="A255" t="s">
        <v>12413</v>
      </c>
      <c r="B255" t="s">
        <v>12413</v>
      </c>
      <c r="C255" t="s">
        <v>12404</v>
      </c>
      <c r="D255" t="s">
        <v>12084</v>
      </c>
      <c r="G255" t="str">
        <f>Config!$B$7</f>
        <v>SCH/Connector.SchLib</v>
      </c>
      <c r="H255" t="s">
        <v>6975</v>
      </c>
      <c r="I255" s="39"/>
      <c r="J255" s="39"/>
      <c r="L255" s="1" t="s">
        <v>13429</v>
      </c>
      <c r="M255" t="s">
        <v>12392</v>
      </c>
      <c r="N255" t="s">
        <v>12085</v>
      </c>
      <c r="O255" t="s">
        <v>12391</v>
      </c>
    </row>
    <row r="256" spans="1:17" ht="15.75">
      <c r="A256" t="s">
        <v>18016</v>
      </c>
      <c r="B256" t="s">
        <v>18016</v>
      </c>
      <c r="C256" t="s">
        <v>18017</v>
      </c>
      <c r="D256" t="s">
        <v>21</v>
      </c>
      <c r="G256" t="str">
        <f>Config!$B$7</f>
        <v>SCH/Connector.SchLib</v>
      </c>
      <c r="H256" t="s">
        <v>6975</v>
      </c>
      <c r="I256" t="s">
        <v>6232</v>
      </c>
      <c r="J256" t="s">
        <v>18016</v>
      </c>
      <c r="L256" s="1" t="s">
        <v>13429</v>
      </c>
    </row>
    <row r="257" spans="1:25" ht="15.75">
      <c r="A257" t="s">
        <v>13940</v>
      </c>
      <c r="B257" t="s">
        <v>13940</v>
      </c>
      <c r="C257" t="s">
        <v>13941</v>
      </c>
      <c r="D257" t="s">
        <v>21</v>
      </c>
      <c r="G257" t="str">
        <f>Config!$B$7</f>
        <v>SCH/Connector.SchLib</v>
      </c>
      <c r="H257" t="s">
        <v>6975</v>
      </c>
      <c r="I257" t="s">
        <v>6232</v>
      </c>
      <c r="J257" t="s">
        <v>13940</v>
      </c>
      <c r="L257" s="1" t="s">
        <v>13429</v>
      </c>
    </row>
    <row r="258" spans="1:25" ht="15.75">
      <c r="A258" t="s">
        <v>13938</v>
      </c>
      <c r="B258" t="s">
        <v>13938</v>
      </c>
      <c r="C258" t="s">
        <v>13939</v>
      </c>
      <c r="D258" t="s">
        <v>21</v>
      </c>
      <c r="G258" t="str">
        <f>Config!$B$7</f>
        <v>SCH/Connector.SchLib</v>
      </c>
      <c r="H258" t="s">
        <v>6975</v>
      </c>
      <c r="I258" t="s">
        <v>6232</v>
      </c>
      <c r="J258" t="s">
        <v>13938</v>
      </c>
      <c r="L258" s="1" t="s">
        <v>13429</v>
      </c>
    </row>
    <row r="259" spans="1:25" ht="15.75">
      <c r="A259" t="s">
        <v>13936</v>
      </c>
      <c r="B259" t="s">
        <v>13936</v>
      </c>
      <c r="C259" t="s">
        <v>13937</v>
      </c>
      <c r="D259" t="s">
        <v>21</v>
      </c>
      <c r="G259" t="str">
        <f>Config!$B$7</f>
        <v>SCH/Connector.SchLib</v>
      </c>
      <c r="H259" t="s">
        <v>6975</v>
      </c>
      <c r="I259" t="s">
        <v>6232</v>
      </c>
      <c r="J259" t="s">
        <v>13936</v>
      </c>
      <c r="L259" s="1" t="s">
        <v>13429</v>
      </c>
    </row>
    <row r="260" spans="1:25" ht="15.75">
      <c r="A260" t="s">
        <v>13932</v>
      </c>
      <c r="B260" t="s">
        <v>13932</v>
      </c>
      <c r="C260" t="s">
        <v>13934</v>
      </c>
      <c r="D260" t="s">
        <v>21</v>
      </c>
      <c r="G260" t="str">
        <f>Config!$B$7</f>
        <v>SCH/Connector.SchLib</v>
      </c>
      <c r="H260" t="s">
        <v>6975</v>
      </c>
      <c r="I260" t="s">
        <v>6232</v>
      </c>
      <c r="J260" t="s">
        <v>13932</v>
      </c>
      <c r="L260" s="1" t="s">
        <v>13429</v>
      </c>
    </row>
    <row r="261" spans="1:25" ht="15.75">
      <c r="A261" t="s">
        <v>13933</v>
      </c>
      <c r="B261" t="s">
        <v>13933</v>
      </c>
      <c r="C261" t="s">
        <v>13935</v>
      </c>
      <c r="D261" t="s">
        <v>21</v>
      </c>
      <c r="G261" t="str">
        <f>Config!$B$7</f>
        <v>SCH/Connector.SchLib</v>
      </c>
      <c r="H261" t="s">
        <v>6975</v>
      </c>
      <c r="I261" t="s">
        <v>6232</v>
      </c>
      <c r="J261" t="s">
        <v>13933</v>
      </c>
      <c r="L261" s="1" t="s">
        <v>13429</v>
      </c>
    </row>
    <row r="262" spans="1:25" ht="15.75">
      <c r="A262" t="s">
        <v>12650</v>
      </c>
      <c r="B262" t="s">
        <v>12650</v>
      </c>
      <c r="C262" t="s">
        <v>12655</v>
      </c>
      <c r="D262" t="s">
        <v>21</v>
      </c>
      <c r="G262" t="str">
        <f>Config!$B$7</f>
        <v>SCH/Connector.SchLib</v>
      </c>
      <c r="H262" t="s">
        <v>6975</v>
      </c>
      <c r="I262" t="s">
        <v>6232</v>
      </c>
      <c r="J262" t="s">
        <v>12650</v>
      </c>
      <c r="L262" s="1" t="s">
        <v>13429</v>
      </c>
    </row>
    <row r="263" spans="1:25" ht="15.75">
      <c r="A263" t="s">
        <v>13316</v>
      </c>
      <c r="B263" t="s">
        <v>13316</v>
      </c>
      <c r="C263" t="s">
        <v>13317</v>
      </c>
      <c r="D263" t="s">
        <v>21</v>
      </c>
      <c r="G263" t="str">
        <f>Config!$B$7</f>
        <v>SCH/Connector.SchLib</v>
      </c>
      <c r="H263" t="s">
        <v>6975</v>
      </c>
      <c r="I263" t="s">
        <v>6232</v>
      </c>
      <c r="J263" t="s">
        <v>13316</v>
      </c>
      <c r="L263" s="1" t="s">
        <v>13429</v>
      </c>
    </row>
    <row r="264" spans="1:25" ht="15.75">
      <c r="A264" t="s">
        <v>12651</v>
      </c>
      <c r="B264" t="s">
        <v>12651</v>
      </c>
      <c r="C264" t="s">
        <v>12656</v>
      </c>
      <c r="D264" t="s">
        <v>21</v>
      </c>
      <c r="G264" t="str">
        <f>Config!$B$7</f>
        <v>SCH/Connector.SchLib</v>
      </c>
      <c r="H264" t="s">
        <v>6975</v>
      </c>
      <c r="I264" t="s">
        <v>6232</v>
      </c>
      <c r="J264" t="s">
        <v>12651</v>
      </c>
      <c r="L264" s="1" t="s">
        <v>13429</v>
      </c>
    </row>
    <row r="265" spans="1:25" ht="15.75">
      <c r="A265" t="s">
        <v>12662</v>
      </c>
      <c r="B265" t="s">
        <v>12662</v>
      </c>
      <c r="C265" t="s">
        <v>12663</v>
      </c>
      <c r="D265" t="s">
        <v>21</v>
      </c>
      <c r="G265" t="str">
        <f>Config!$B$7</f>
        <v>SCH/Connector.SchLib</v>
      </c>
      <c r="H265" t="s">
        <v>6975</v>
      </c>
      <c r="I265" t="s">
        <v>6232</v>
      </c>
      <c r="J265" t="s">
        <v>12662</v>
      </c>
      <c r="L265" s="1" t="s">
        <v>13429</v>
      </c>
    </row>
    <row r="266" spans="1:25" ht="15.75">
      <c r="A266" t="s">
        <v>12652</v>
      </c>
      <c r="B266" t="s">
        <v>12652</v>
      </c>
      <c r="C266" t="s">
        <v>12657</v>
      </c>
      <c r="D266" t="s">
        <v>21</v>
      </c>
      <c r="G266" t="str">
        <f>Config!$B$7</f>
        <v>SCH/Connector.SchLib</v>
      </c>
      <c r="H266" t="s">
        <v>6975</v>
      </c>
      <c r="I266" t="s">
        <v>6232</v>
      </c>
      <c r="J266" t="s">
        <v>12652</v>
      </c>
      <c r="L266" s="1" t="s">
        <v>13429</v>
      </c>
    </row>
    <row r="267" spans="1:25" ht="15.75">
      <c r="A267" t="s">
        <v>12660</v>
      </c>
      <c r="B267" t="s">
        <v>12660</v>
      </c>
      <c r="C267" t="s">
        <v>12661</v>
      </c>
      <c r="D267" t="s">
        <v>21</v>
      </c>
      <c r="G267" t="str">
        <f>Config!$B$7</f>
        <v>SCH/Connector.SchLib</v>
      </c>
      <c r="H267" t="s">
        <v>6975</v>
      </c>
      <c r="I267" t="s">
        <v>6232</v>
      </c>
      <c r="J267" t="s">
        <v>12660</v>
      </c>
      <c r="L267" s="1" t="s">
        <v>13429</v>
      </c>
    </row>
    <row r="268" spans="1:25" ht="15.75">
      <c r="A268" t="s">
        <v>12653</v>
      </c>
      <c r="B268" t="s">
        <v>12653</v>
      </c>
      <c r="C268" t="s">
        <v>12658</v>
      </c>
      <c r="D268" t="s">
        <v>21</v>
      </c>
      <c r="G268" t="str">
        <f>Config!$B$7</f>
        <v>SCH/Connector.SchLib</v>
      </c>
      <c r="H268" t="s">
        <v>6975</v>
      </c>
      <c r="I268" t="s">
        <v>6232</v>
      </c>
      <c r="J268" t="s">
        <v>12653</v>
      </c>
      <c r="L268" s="1" t="s">
        <v>13429</v>
      </c>
    </row>
    <row r="269" spans="1:25" ht="15.75">
      <c r="A269" t="s">
        <v>12654</v>
      </c>
      <c r="B269" t="s">
        <v>12654</v>
      </c>
      <c r="C269" t="s">
        <v>12659</v>
      </c>
      <c r="D269" t="s">
        <v>21</v>
      </c>
      <c r="G269" t="str">
        <f>Config!$B$7</f>
        <v>SCH/Connector.SchLib</v>
      </c>
      <c r="H269" t="s">
        <v>6975</v>
      </c>
      <c r="I269" t="s">
        <v>6232</v>
      </c>
      <c r="J269" t="s">
        <v>12654</v>
      </c>
      <c r="L269" s="1" t="s">
        <v>13429</v>
      </c>
    </row>
    <row r="270" spans="1:25" ht="15.75">
      <c r="A270" t="s">
        <v>13003</v>
      </c>
      <c r="B270">
        <v>5600200320</v>
      </c>
      <c r="C270" t="s">
        <v>13004</v>
      </c>
      <c r="D270" t="s">
        <v>6634</v>
      </c>
      <c r="G270" t="str">
        <f>Config!$B$7</f>
        <v>SCH/Connector.SchLib</v>
      </c>
      <c r="H270" t="s">
        <v>7841</v>
      </c>
      <c r="I270" t="str">
        <f>_xlfn.CONCAT(PrivateLibraryPath,"PCB/Molex.PcbLib")</f>
        <v>../altium_lib_private/PCB/Molex.PcbLib</v>
      </c>
      <c r="J270">
        <v>5600200320</v>
      </c>
      <c r="L270" s="1" t="s">
        <v>13429</v>
      </c>
      <c r="M270" t="s">
        <v>13005</v>
      </c>
      <c r="N270" t="s">
        <v>6634</v>
      </c>
      <c r="O270" s="14" t="s">
        <v>13006</v>
      </c>
      <c r="P270" t="s">
        <v>25</v>
      </c>
      <c r="Q270" t="s">
        <v>13007</v>
      </c>
      <c r="V270" t="s">
        <v>6634</v>
      </c>
      <c r="W270" s="14" t="s">
        <v>13006</v>
      </c>
      <c r="X270" t="s">
        <v>4559</v>
      </c>
      <c r="Y270" t="s">
        <v>13008</v>
      </c>
    </row>
    <row r="271" spans="1:25" ht="15.75">
      <c r="A271" t="s">
        <v>13009</v>
      </c>
      <c r="B271">
        <v>5023520300</v>
      </c>
      <c r="C271" t="s">
        <v>13010</v>
      </c>
      <c r="D271" t="s">
        <v>6634</v>
      </c>
      <c r="G271" t="str">
        <f>Config!$B$7</f>
        <v>SCH/Connector.SchLib</v>
      </c>
      <c r="H271" t="s">
        <v>7841</v>
      </c>
      <c r="I271" t="str">
        <f>_xlfn.CONCAT(PrivateLibraryPath,"PCB/Molex.PcbLib")</f>
        <v>../altium_lib_private/PCB/Molex.PcbLib</v>
      </c>
      <c r="J271">
        <v>5023520300</v>
      </c>
      <c r="L271" s="1" t="s">
        <v>13429</v>
      </c>
      <c r="M271" t="s">
        <v>13011</v>
      </c>
      <c r="N271" t="s">
        <v>6634</v>
      </c>
      <c r="O271">
        <v>5023520300</v>
      </c>
      <c r="P271" t="s">
        <v>25</v>
      </c>
      <c r="Q271" t="s">
        <v>13012</v>
      </c>
      <c r="V271" t="s">
        <v>6634</v>
      </c>
      <c r="W271">
        <v>5023520300</v>
      </c>
      <c r="X271" t="s">
        <v>4559</v>
      </c>
      <c r="Y271" t="s">
        <v>13013</v>
      </c>
    </row>
    <row r="272" spans="1:25" ht="15.75">
      <c r="A272" t="s">
        <v>13014</v>
      </c>
      <c r="B272">
        <v>5023520200</v>
      </c>
      <c r="C272" t="s">
        <v>13015</v>
      </c>
      <c r="D272" t="s">
        <v>6634</v>
      </c>
      <c r="G272" t="str">
        <f>Config!$B$7</f>
        <v>SCH/Connector.SchLib</v>
      </c>
      <c r="H272" t="s">
        <v>6997</v>
      </c>
      <c r="I272" t="str">
        <f>_xlfn.CONCAT(PrivateLibraryPath,"PCB/Molex.PcbLib")</f>
        <v>../altium_lib_private/PCB/Molex.PcbLib</v>
      </c>
      <c r="J272">
        <v>5023520200</v>
      </c>
      <c r="L272" s="1" t="s">
        <v>13429</v>
      </c>
      <c r="M272" s="28" t="s">
        <v>13017</v>
      </c>
      <c r="N272" t="s">
        <v>6634</v>
      </c>
      <c r="O272">
        <v>5023520200</v>
      </c>
      <c r="P272" t="s">
        <v>25</v>
      </c>
      <c r="Q272" t="s">
        <v>13016</v>
      </c>
      <c r="V272" t="s">
        <v>6634</v>
      </c>
      <c r="W272">
        <v>5023520200</v>
      </c>
      <c r="X272" t="s">
        <v>4559</v>
      </c>
      <c r="Y272" t="s">
        <v>13018</v>
      </c>
    </row>
    <row r="273" spans="1:26" ht="15.75">
      <c r="A273" t="s">
        <v>13238</v>
      </c>
      <c r="B273" t="s">
        <v>13239</v>
      </c>
      <c r="C273" t="s">
        <v>13240</v>
      </c>
      <c r="D273" t="s">
        <v>12978</v>
      </c>
      <c r="G273" t="str">
        <f>Config!$B$7</f>
        <v>SCH/Connector.SchLib</v>
      </c>
      <c r="H273" t="s">
        <v>13241</v>
      </c>
      <c r="I273" t="s">
        <v>7971</v>
      </c>
      <c r="J273" t="s">
        <v>13261</v>
      </c>
      <c r="L273" s="1" t="s">
        <v>13429</v>
      </c>
      <c r="M273" t="s">
        <v>13242</v>
      </c>
      <c r="N273" t="s">
        <v>12978</v>
      </c>
      <c r="O273" t="s">
        <v>13244</v>
      </c>
      <c r="P273" t="s">
        <v>25</v>
      </c>
      <c r="Q273" t="s">
        <v>13243</v>
      </c>
      <c r="V273" t="s">
        <v>13247</v>
      </c>
      <c r="W273" t="s">
        <v>13245</v>
      </c>
      <c r="X273" t="s">
        <v>4559</v>
      </c>
      <c r="Y273" t="s">
        <v>13246</v>
      </c>
    </row>
    <row r="274" spans="1:26" ht="15.75">
      <c r="A274" t="s">
        <v>14238</v>
      </c>
      <c r="B274" t="s">
        <v>14238</v>
      </c>
      <c r="C274" t="s">
        <v>14239</v>
      </c>
      <c r="D274" t="s">
        <v>6645</v>
      </c>
      <c r="G274" t="str">
        <f>Config!$B$7</f>
        <v>SCH/Connector.SchLib</v>
      </c>
      <c r="H274" t="s">
        <v>14236</v>
      </c>
      <c r="I274" t="s">
        <v>12256</v>
      </c>
      <c r="J274" t="s">
        <v>14235</v>
      </c>
      <c r="L274" s="1" t="s">
        <v>13429</v>
      </c>
      <c r="M274" t="s">
        <v>14237</v>
      </c>
      <c r="N274" t="s">
        <v>14240</v>
      </c>
      <c r="O274" t="s">
        <v>14241</v>
      </c>
      <c r="P274" t="s">
        <v>25</v>
      </c>
      <c r="Q274" t="s">
        <v>14242</v>
      </c>
      <c r="V274" t="s">
        <v>14243</v>
      </c>
      <c r="W274" t="s">
        <v>14241</v>
      </c>
      <c r="X274" t="s">
        <v>4559</v>
      </c>
      <c r="Y274" t="s">
        <v>14244</v>
      </c>
      <c r="Z274" t="s">
        <v>4727</v>
      </c>
    </row>
    <row r="275" spans="1:26" ht="15.75">
      <c r="A275" t="s">
        <v>14245</v>
      </c>
      <c r="B275" t="s">
        <v>14245</v>
      </c>
      <c r="C275" t="s">
        <v>14246</v>
      </c>
      <c r="D275" t="s">
        <v>14247</v>
      </c>
      <c r="G275" t="s">
        <v>4430</v>
      </c>
      <c r="H275" t="s">
        <v>14236</v>
      </c>
      <c r="I275" s="39"/>
      <c r="J275" s="39"/>
      <c r="L275" s="1" t="s">
        <v>13429</v>
      </c>
      <c r="M275" t="s">
        <v>14248</v>
      </c>
      <c r="N275" t="s">
        <v>12191</v>
      </c>
      <c r="O275" t="s">
        <v>14249</v>
      </c>
      <c r="P275" t="s">
        <v>25</v>
      </c>
      <c r="Q275" t="s">
        <v>14250</v>
      </c>
      <c r="V275" t="s">
        <v>14251</v>
      </c>
      <c r="W275" t="s">
        <v>14249</v>
      </c>
      <c r="X275" t="s">
        <v>4559</v>
      </c>
      <c r="Y275" t="s">
        <v>14252</v>
      </c>
      <c r="Z275" t="s">
        <v>4727</v>
      </c>
    </row>
    <row r="276" spans="1:26">
      <c r="A276" t="s">
        <v>18100</v>
      </c>
      <c r="B276" t="s">
        <v>12511</v>
      </c>
      <c r="C276" t="s">
        <v>18101</v>
      </c>
      <c r="D276" t="s">
        <v>21</v>
      </c>
      <c r="G276" t="s">
        <v>4430</v>
      </c>
      <c r="H276" t="s">
        <v>6975</v>
      </c>
      <c r="I276" t="s">
        <v>18102</v>
      </c>
      <c r="J276" t="s">
        <v>18103</v>
      </c>
      <c r="L276" t="s">
        <v>13429</v>
      </c>
    </row>
    <row r="277" spans="1:26">
      <c r="A277" t="s">
        <v>18104</v>
      </c>
      <c r="B277" t="s">
        <v>12893</v>
      </c>
      <c r="C277" t="s">
        <v>18105</v>
      </c>
      <c r="D277" t="s">
        <v>21</v>
      </c>
      <c r="G277" t="s">
        <v>4430</v>
      </c>
      <c r="H277" t="s">
        <v>6997</v>
      </c>
      <c r="I277" t="s">
        <v>18102</v>
      </c>
      <c r="J277" t="s">
        <v>18106</v>
      </c>
      <c r="L277" t="s">
        <v>13429</v>
      </c>
    </row>
    <row r="278" spans="1:26">
      <c r="A278" t="s">
        <v>18107</v>
      </c>
      <c r="B278" t="s">
        <v>12894</v>
      </c>
      <c r="C278" t="s">
        <v>18108</v>
      </c>
      <c r="D278" t="s">
        <v>21</v>
      </c>
      <c r="G278" t="s">
        <v>4430</v>
      </c>
      <c r="H278" t="s">
        <v>7841</v>
      </c>
      <c r="I278" t="s">
        <v>18102</v>
      </c>
      <c r="J278" t="s">
        <v>18109</v>
      </c>
      <c r="L278" t="s">
        <v>13429</v>
      </c>
    </row>
    <row r="279" spans="1:26">
      <c r="A279" t="s">
        <v>18110</v>
      </c>
      <c r="B279" t="s">
        <v>12895</v>
      </c>
      <c r="C279" t="s">
        <v>18111</v>
      </c>
      <c r="D279" t="s">
        <v>21</v>
      </c>
      <c r="G279" t="s">
        <v>4430</v>
      </c>
      <c r="H279" t="s">
        <v>6353</v>
      </c>
      <c r="I279" t="s">
        <v>18102</v>
      </c>
      <c r="J279" t="s">
        <v>18112</v>
      </c>
      <c r="L279" t="s">
        <v>13429</v>
      </c>
    </row>
    <row r="280" spans="1:26">
      <c r="A280" t="s">
        <v>18113</v>
      </c>
      <c r="B280" t="s">
        <v>12896</v>
      </c>
      <c r="C280" t="s">
        <v>18114</v>
      </c>
      <c r="D280" t="s">
        <v>21</v>
      </c>
      <c r="G280" t="s">
        <v>4430</v>
      </c>
      <c r="H280" t="s">
        <v>6362</v>
      </c>
      <c r="I280" t="s">
        <v>18102</v>
      </c>
      <c r="J280" t="s">
        <v>18115</v>
      </c>
      <c r="L280" t="s">
        <v>13429</v>
      </c>
    </row>
    <row r="281" spans="1:26">
      <c r="A281" t="s">
        <v>18116</v>
      </c>
      <c r="B281" t="s">
        <v>12897</v>
      </c>
      <c r="C281" t="s">
        <v>18117</v>
      </c>
      <c r="D281" t="s">
        <v>21</v>
      </c>
      <c r="G281" t="s">
        <v>4430</v>
      </c>
      <c r="H281" t="s">
        <v>6556</v>
      </c>
      <c r="I281" t="s">
        <v>18102</v>
      </c>
      <c r="J281" t="s">
        <v>18118</v>
      </c>
      <c r="L281" t="s">
        <v>13429</v>
      </c>
    </row>
    <row r="282" spans="1:26">
      <c r="A282" t="s">
        <v>18119</v>
      </c>
      <c r="B282" t="s">
        <v>12898</v>
      </c>
      <c r="C282" t="s">
        <v>18120</v>
      </c>
      <c r="D282" t="s">
        <v>21</v>
      </c>
      <c r="G282" t="s">
        <v>4430</v>
      </c>
      <c r="H282" t="s">
        <v>7849</v>
      </c>
      <c r="I282" t="s">
        <v>18102</v>
      </c>
      <c r="J282" t="s">
        <v>18121</v>
      </c>
      <c r="L282" t="s">
        <v>13429</v>
      </c>
    </row>
    <row r="283" spans="1:26">
      <c r="A283" t="s">
        <v>18122</v>
      </c>
      <c r="B283" t="s">
        <v>12899</v>
      </c>
      <c r="C283" t="s">
        <v>18123</v>
      </c>
      <c r="D283" t="s">
        <v>21</v>
      </c>
      <c r="G283" t="s">
        <v>4430</v>
      </c>
      <c r="H283" t="s">
        <v>4429</v>
      </c>
      <c r="I283" t="s">
        <v>18102</v>
      </c>
      <c r="J283" t="s">
        <v>18124</v>
      </c>
      <c r="L283" t="s">
        <v>13429</v>
      </c>
    </row>
    <row r="284" spans="1:26">
      <c r="A284" t="s">
        <v>18125</v>
      </c>
      <c r="B284" t="s">
        <v>12900</v>
      </c>
      <c r="C284" t="s">
        <v>18126</v>
      </c>
      <c r="D284" t="s">
        <v>21</v>
      </c>
      <c r="G284" t="s">
        <v>4430</v>
      </c>
      <c r="H284" t="s">
        <v>7854</v>
      </c>
      <c r="I284" t="s">
        <v>18102</v>
      </c>
      <c r="J284" t="s">
        <v>18127</v>
      </c>
      <c r="L284" t="s">
        <v>13429</v>
      </c>
    </row>
    <row r="285" spans="1:26">
      <c r="A285" t="s">
        <v>18128</v>
      </c>
      <c r="B285" t="s">
        <v>12901</v>
      </c>
      <c r="C285" t="s">
        <v>18129</v>
      </c>
      <c r="D285" t="s">
        <v>21</v>
      </c>
      <c r="G285" t="s">
        <v>4430</v>
      </c>
      <c r="H285" t="s">
        <v>6563</v>
      </c>
      <c r="I285" t="s">
        <v>18102</v>
      </c>
      <c r="J285" t="s">
        <v>18130</v>
      </c>
      <c r="L285" t="s">
        <v>13429</v>
      </c>
    </row>
    <row r="286" spans="1:26">
      <c r="A286" t="s">
        <v>18131</v>
      </c>
      <c r="B286" t="s">
        <v>12902</v>
      </c>
      <c r="C286" t="s">
        <v>18132</v>
      </c>
      <c r="D286" t="s">
        <v>21</v>
      </c>
      <c r="G286" t="s">
        <v>4430</v>
      </c>
      <c r="H286" t="s">
        <v>7862</v>
      </c>
      <c r="I286" t="s">
        <v>18102</v>
      </c>
      <c r="J286" t="s">
        <v>18133</v>
      </c>
      <c r="L286" t="s">
        <v>13429</v>
      </c>
    </row>
    <row r="287" spans="1:26">
      <c r="A287" t="s">
        <v>18134</v>
      </c>
      <c r="B287" t="s">
        <v>12903</v>
      </c>
      <c r="C287" t="s">
        <v>18135</v>
      </c>
      <c r="D287" t="s">
        <v>21</v>
      </c>
      <c r="G287" t="s">
        <v>4430</v>
      </c>
      <c r="H287" t="s">
        <v>7859</v>
      </c>
      <c r="I287" t="s">
        <v>18102</v>
      </c>
      <c r="J287" t="s">
        <v>18136</v>
      </c>
      <c r="L287" t="s">
        <v>13429</v>
      </c>
    </row>
    <row r="288" spans="1:26">
      <c r="A288" t="s">
        <v>18137</v>
      </c>
      <c r="B288" t="s">
        <v>12904</v>
      </c>
      <c r="C288" t="s">
        <v>18138</v>
      </c>
      <c r="D288" t="s">
        <v>21</v>
      </c>
      <c r="G288" t="s">
        <v>4430</v>
      </c>
      <c r="H288" t="s">
        <v>7865</v>
      </c>
      <c r="I288" t="s">
        <v>18102</v>
      </c>
      <c r="J288" t="s">
        <v>18139</v>
      </c>
      <c r="L288" t="s">
        <v>13429</v>
      </c>
    </row>
    <row r="289" spans="1:12">
      <c r="A289" t="s">
        <v>18140</v>
      </c>
      <c r="B289" t="s">
        <v>12905</v>
      </c>
      <c r="C289" t="s">
        <v>18141</v>
      </c>
      <c r="D289" t="s">
        <v>21</v>
      </c>
      <c r="G289" t="s">
        <v>4430</v>
      </c>
      <c r="H289" t="s">
        <v>6566</v>
      </c>
      <c r="I289" t="s">
        <v>18102</v>
      </c>
      <c r="J289" t="s">
        <v>18142</v>
      </c>
      <c r="L289" t="s">
        <v>13429</v>
      </c>
    </row>
    <row r="290" spans="1:12">
      <c r="A290" t="s">
        <v>18143</v>
      </c>
      <c r="B290" t="s">
        <v>12906</v>
      </c>
      <c r="C290" t="s">
        <v>18144</v>
      </c>
      <c r="D290" t="s">
        <v>21</v>
      </c>
      <c r="G290" t="s">
        <v>4430</v>
      </c>
      <c r="H290" t="s">
        <v>7870</v>
      </c>
      <c r="I290" t="s">
        <v>18102</v>
      </c>
      <c r="J290" t="s">
        <v>18145</v>
      </c>
      <c r="L290" t="s">
        <v>13429</v>
      </c>
    </row>
    <row r="291" spans="1:12">
      <c r="A291" t="s">
        <v>18146</v>
      </c>
      <c r="B291" t="s">
        <v>12907</v>
      </c>
      <c r="C291" t="s">
        <v>18147</v>
      </c>
      <c r="D291" t="s">
        <v>21</v>
      </c>
      <c r="G291" t="s">
        <v>4430</v>
      </c>
      <c r="H291" t="s">
        <v>7873</v>
      </c>
      <c r="I291" t="s">
        <v>18102</v>
      </c>
      <c r="J291" t="s">
        <v>18148</v>
      </c>
      <c r="L291" t="s">
        <v>13429</v>
      </c>
    </row>
    <row r="292" spans="1:12">
      <c r="A292" t="s">
        <v>18149</v>
      </c>
      <c r="B292" t="s">
        <v>12908</v>
      </c>
      <c r="C292" t="s">
        <v>18150</v>
      </c>
      <c r="D292" t="s">
        <v>21</v>
      </c>
      <c r="G292" t="s">
        <v>4430</v>
      </c>
      <c r="H292" t="s">
        <v>7876</v>
      </c>
      <c r="I292" t="s">
        <v>18102</v>
      </c>
      <c r="J292" t="s">
        <v>18151</v>
      </c>
      <c r="L292" t="s">
        <v>13429</v>
      </c>
    </row>
    <row r="293" spans="1:12">
      <c r="A293" t="s">
        <v>18152</v>
      </c>
      <c r="B293" t="s">
        <v>12909</v>
      </c>
      <c r="C293" t="s">
        <v>18153</v>
      </c>
      <c r="D293" t="s">
        <v>21</v>
      </c>
      <c r="G293" t="s">
        <v>4430</v>
      </c>
      <c r="H293" t="s">
        <v>7879</v>
      </c>
      <c r="I293" t="s">
        <v>18102</v>
      </c>
      <c r="J293" t="s">
        <v>18154</v>
      </c>
      <c r="L293" t="s">
        <v>13429</v>
      </c>
    </row>
    <row r="294" spans="1:12">
      <c r="A294" t="s">
        <v>18155</v>
      </c>
      <c r="B294" t="s">
        <v>12910</v>
      </c>
      <c r="C294" t="s">
        <v>18156</v>
      </c>
      <c r="D294" t="s">
        <v>21</v>
      </c>
      <c r="G294" t="s">
        <v>4430</v>
      </c>
      <c r="H294" t="s">
        <v>7882</v>
      </c>
      <c r="I294" t="s">
        <v>18102</v>
      </c>
      <c r="J294" t="s">
        <v>18157</v>
      </c>
      <c r="L294" t="s">
        <v>13429</v>
      </c>
    </row>
    <row r="295" spans="1:12">
      <c r="A295" t="s">
        <v>18158</v>
      </c>
      <c r="B295" t="s">
        <v>12911</v>
      </c>
      <c r="C295" t="s">
        <v>18159</v>
      </c>
      <c r="D295" t="s">
        <v>21</v>
      </c>
      <c r="G295" t="s">
        <v>4430</v>
      </c>
      <c r="H295" t="s">
        <v>7883</v>
      </c>
      <c r="I295" t="s">
        <v>18102</v>
      </c>
      <c r="J295" t="s">
        <v>18160</v>
      </c>
      <c r="L295" t="s">
        <v>13429</v>
      </c>
    </row>
    <row r="296" spans="1:12">
      <c r="A296" t="s">
        <v>18161</v>
      </c>
      <c r="B296" t="s">
        <v>13019</v>
      </c>
      <c r="C296" t="s">
        <v>18162</v>
      </c>
      <c r="D296" t="s">
        <v>21</v>
      </c>
      <c r="G296" t="s">
        <v>4430</v>
      </c>
      <c r="H296" t="s">
        <v>13021</v>
      </c>
      <c r="I296" t="s">
        <v>18102</v>
      </c>
      <c r="J296" t="s">
        <v>18163</v>
      </c>
      <c r="L296" t="s">
        <v>13429</v>
      </c>
    </row>
    <row r="297" spans="1:12">
      <c r="A297" t="s">
        <v>18164</v>
      </c>
      <c r="B297" t="s">
        <v>13023</v>
      </c>
      <c r="C297" t="s">
        <v>18165</v>
      </c>
      <c r="D297" t="s">
        <v>21</v>
      </c>
      <c r="G297" t="s">
        <v>4430</v>
      </c>
      <c r="H297" t="s">
        <v>13025</v>
      </c>
      <c r="I297" t="s">
        <v>18102</v>
      </c>
      <c r="J297" t="s">
        <v>18166</v>
      </c>
      <c r="L297" t="s">
        <v>13429</v>
      </c>
    </row>
    <row r="298" spans="1:12">
      <c r="A298" t="s">
        <v>18167</v>
      </c>
      <c r="B298" t="s">
        <v>13027</v>
      </c>
      <c r="C298" t="s">
        <v>18168</v>
      </c>
      <c r="D298" t="s">
        <v>21</v>
      </c>
      <c r="G298" t="s">
        <v>4430</v>
      </c>
      <c r="H298" t="s">
        <v>13029</v>
      </c>
      <c r="I298" t="s">
        <v>18102</v>
      </c>
      <c r="J298" t="s">
        <v>18169</v>
      </c>
      <c r="L298" t="s">
        <v>13429</v>
      </c>
    </row>
    <row r="299" spans="1:12">
      <c r="A299" t="s">
        <v>18170</v>
      </c>
      <c r="B299" t="s">
        <v>13031</v>
      </c>
      <c r="C299" t="s">
        <v>18171</v>
      </c>
      <c r="D299" t="s">
        <v>21</v>
      </c>
      <c r="G299" t="s">
        <v>4430</v>
      </c>
      <c r="H299" t="s">
        <v>13033</v>
      </c>
      <c r="I299" t="s">
        <v>18102</v>
      </c>
      <c r="J299" t="s">
        <v>18172</v>
      </c>
      <c r="L299" t="s">
        <v>13429</v>
      </c>
    </row>
    <row r="300" spans="1:12">
      <c r="A300" t="s">
        <v>18173</v>
      </c>
      <c r="B300" t="s">
        <v>13035</v>
      </c>
      <c r="C300" t="s">
        <v>18174</v>
      </c>
      <c r="D300" t="s">
        <v>21</v>
      </c>
      <c r="G300" t="s">
        <v>4430</v>
      </c>
      <c r="H300" t="s">
        <v>13037</v>
      </c>
      <c r="I300" t="s">
        <v>18102</v>
      </c>
      <c r="J300" t="s">
        <v>18175</v>
      </c>
      <c r="L300" t="s">
        <v>13429</v>
      </c>
    </row>
    <row r="301" spans="1:12">
      <c r="A301" t="s">
        <v>18176</v>
      </c>
      <c r="B301" t="s">
        <v>13039</v>
      </c>
      <c r="C301" t="s">
        <v>18177</v>
      </c>
      <c r="D301" t="s">
        <v>21</v>
      </c>
      <c r="G301" t="s">
        <v>4430</v>
      </c>
      <c r="H301" t="s">
        <v>13041</v>
      </c>
      <c r="I301" t="s">
        <v>18102</v>
      </c>
      <c r="J301" t="s">
        <v>18178</v>
      </c>
      <c r="L301" t="s">
        <v>13429</v>
      </c>
    </row>
    <row r="302" spans="1:12">
      <c r="A302" t="s">
        <v>18179</v>
      </c>
      <c r="B302" t="s">
        <v>13043</v>
      </c>
      <c r="C302" t="s">
        <v>18180</v>
      </c>
      <c r="D302" t="s">
        <v>21</v>
      </c>
      <c r="G302" t="s">
        <v>4430</v>
      </c>
      <c r="H302" t="s">
        <v>13045</v>
      </c>
      <c r="I302" t="s">
        <v>18102</v>
      </c>
      <c r="J302" t="s">
        <v>18181</v>
      </c>
      <c r="L302" t="s">
        <v>13429</v>
      </c>
    </row>
    <row r="303" spans="1:12">
      <c r="A303" t="s">
        <v>18182</v>
      </c>
      <c r="B303" t="s">
        <v>13047</v>
      </c>
      <c r="C303" t="s">
        <v>18183</v>
      </c>
      <c r="D303" t="s">
        <v>21</v>
      </c>
      <c r="G303" t="s">
        <v>4430</v>
      </c>
      <c r="H303" t="s">
        <v>13049</v>
      </c>
      <c r="I303" t="s">
        <v>18102</v>
      </c>
      <c r="J303" t="s">
        <v>18184</v>
      </c>
      <c r="L303" t="s">
        <v>13429</v>
      </c>
    </row>
    <row r="304" spans="1:12">
      <c r="A304" t="s">
        <v>18185</v>
      </c>
      <c r="B304" t="s">
        <v>13051</v>
      </c>
      <c r="C304" t="s">
        <v>18186</v>
      </c>
      <c r="D304" t="s">
        <v>21</v>
      </c>
      <c r="G304" t="s">
        <v>4430</v>
      </c>
      <c r="H304" t="s">
        <v>13053</v>
      </c>
      <c r="I304" t="s">
        <v>18102</v>
      </c>
      <c r="J304" t="s">
        <v>18187</v>
      </c>
      <c r="L304" t="s">
        <v>13429</v>
      </c>
    </row>
    <row r="305" spans="1:12">
      <c r="A305" t="s">
        <v>18188</v>
      </c>
      <c r="B305" t="s">
        <v>13055</v>
      </c>
      <c r="C305" t="s">
        <v>18189</v>
      </c>
      <c r="D305" t="s">
        <v>21</v>
      </c>
      <c r="G305" t="s">
        <v>4430</v>
      </c>
      <c r="H305" t="s">
        <v>13057</v>
      </c>
      <c r="I305" t="s">
        <v>18102</v>
      </c>
      <c r="J305" t="s">
        <v>18190</v>
      </c>
      <c r="L305" t="s">
        <v>13429</v>
      </c>
    </row>
    <row r="306" spans="1:12">
      <c r="A306" t="s">
        <v>18191</v>
      </c>
      <c r="B306" t="s">
        <v>13059</v>
      </c>
      <c r="C306" t="s">
        <v>18192</v>
      </c>
      <c r="D306" t="s">
        <v>21</v>
      </c>
      <c r="G306" t="s">
        <v>4430</v>
      </c>
      <c r="H306" t="s">
        <v>12258</v>
      </c>
      <c r="I306" t="s">
        <v>18102</v>
      </c>
      <c r="J306" t="s">
        <v>18193</v>
      </c>
      <c r="L306" t="s">
        <v>13429</v>
      </c>
    </row>
    <row r="307" spans="1:12">
      <c r="A307" t="s">
        <v>18194</v>
      </c>
      <c r="B307" t="s">
        <v>13062</v>
      </c>
      <c r="C307" t="s">
        <v>18195</v>
      </c>
      <c r="D307" t="s">
        <v>21</v>
      </c>
      <c r="G307" t="s">
        <v>4430</v>
      </c>
      <c r="H307" t="s">
        <v>13064</v>
      </c>
      <c r="I307" t="s">
        <v>18102</v>
      </c>
      <c r="J307" t="s">
        <v>18196</v>
      </c>
      <c r="L307" t="s">
        <v>13429</v>
      </c>
    </row>
    <row r="308" spans="1:12">
      <c r="A308" t="s">
        <v>18197</v>
      </c>
      <c r="B308" t="s">
        <v>13066</v>
      </c>
      <c r="C308" t="s">
        <v>18198</v>
      </c>
      <c r="D308" t="s">
        <v>21</v>
      </c>
      <c r="G308" t="s">
        <v>4430</v>
      </c>
      <c r="H308" t="s">
        <v>13068</v>
      </c>
      <c r="I308" t="s">
        <v>18102</v>
      </c>
      <c r="J308" t="s">
        <v>18199</v>
      </c>
      <c r="L308" t="s">
        <v>13429</v>
      </c>
    </row>
    <row r="309" spans="1:12">
      <c r="A309" t="s">
        <v>18200</v>
      </c>
      <c r="B309" t="s">
        <v>13070</v>
      </c>
      <c r="C309" t="s">
        <v>18201</v>
      </c>
      <c r="D309" t="s">
        <v>21</v>
      </c>
      <c r="G309" t="s">
        <v>4430</v>
      </c>
      <c r="H309" t="s">
        <v>13072</v>
      </c>
      <c r="I309" t="s">
        <v>18102</v>
      </c>
      <c r="J309" t="s">
        <v>18202</v>
      </c>
      <c r="L309" t="s">
        <v>13429</v>
      </c>
    </row>
    <row r="310" spans="1:12">
      <c r="A310" t="s">
        <v>18203</v>
      </c>
      <c r="B310" t="s">
        <v>13074</v>
      </c>
      <c r="C310" t="s">
        <v>18204</v>
      </c>
      <c r="D310" t="s">
        <v>21</v>
      </c>
      <c r="G310" t="s">
        <v>4430</v>
      </c>
      <c r="H310" t="s">
        <v>13076</v>
      </c>
      <c r="I310" t="s">
        <v>18102</v>
      </c>
      <c r="J310" t="s">
        <v>18205</v>
      </c>
      <c r="L310" t="s">
        <v>13429</v>
      </c>
    </row>
    <row r="311" spans="1:12">
      <c r="A311" t="s">
        <v>18206</v>
      </c>
      <c r="B311" t="s">
        <v>13078</v>
      </c>
      <c r="C311" t="s">
        <v>18207</v>
      </c>
      <c r="D311" t="s">
        <v>21</v>
      </c>
      <c r="G311" t="s">
        <v>4430</v>
      </c>
      <c r="H311" t="s">
        <v>13080</v>
      </c>
      <c r="I311" t="s">
        <v>18102</v>
      </c>
      <c r="J311" t="s">
        <v>18208</v>
      </c>
      <c r="L311" t="s">
        <v>13429</v>
      </c>
    </row>
    <row r="312" spans="1:12">
      <c r="A312" t="s">
        <v>18209</v>
      </c>
      <c r="B312" t="s">
        <v>13082</v>
      </c>
      <c r="C312" t="s">
        <v>18210</v>
      </c>
      <c r="D312" t="s">
        <v>21</v>
      </c>
      <c r="G312" t="s">
        <v>4430</v>
      </c>
      <c r="H312" t="s">
        <v>13084</v>
      </c>
      <c r="I312" t="s">
        <v>18102</v>
      </c>
      <c r="J312" t="s">
        <v>18211</v>
      </c>
      <c r="L312" t="s">
        <v>13429</v>
      </c>
    </row>
    <row r="313" spans="1:12">
      <c r="A313" t="s">
        <v>18212</v>
      </c>
      <c r="B313" t="s">
        <v>13086</v>
      </c>
      <c r="C313" t="s">
        <v>18213</v>
      </c>
      <c r="D313" t="s">
        <v>21</v>
      </c>
      <c r="G313" t="s">
        <v>4430</v>
      </c>
      <c r="H313" t="s">
        <v>13088</v>
      </c>
      <c r="I313" t="s">
        <v>18102</v>
      </c>
      <c r="J313" t="s">
        <v>18214</v>
      </c>
      <c r="L313" t="s">
        <v>13429</v>
      </c>
    </row>
    <row r="314" spans="1:12">
      <c r="A314" t="s">
        <v>18215</v>
      </c>
      <c r="B314" t="s">
        <v>13090</v>
      </c>
      <c r="C314" t="s">
        <v>18216</v>
      </c>
      <c r="D314" t="s">
        <v>21</v>
      </c>
      <c r="G314" t="s">
        <v>4430</v>
      </c>
      <c r="H314" t="s">
        <v>13092</v>
      </c>
      <c r="I314" t="s">
        <v>18102</v>
      </c>
      <c r="J314" t="s">
        <v>18217</v>
      </c>
      <c r="L314" t="s">
        <v>13429</v>
      </c>
    </row>
    <row r="315" spans="1:12">
      <c r="A315" t="s">
        <v>18218</v>
      </c>
      <c r="B315" t="s">
        <v>13094</v>
      </c>
      <c r="C315" t="s">
        <v>18219</v>
      </c>
      <c r="D315" t="s">
        <v>21</v>
      </c>
      <c r="G315" t="s">
        <v>4430</v>
      </c>
      <c r="H315" t="s">
        <v>7483</v>
      </c>
      <c r="I315" t="s">
        <v>18102</v>
      </c>
      <c r="J315" t="s">
        <v>18220</v>
      </c>
      <c r="L315" t="s">
        <v>13429</v>
      </c>
    </row>
    <row r="316" spans="1:12">
      <c r="A316" t="s">
        <v>18221</v>
      </c>
      <c r="B316" t="s">
        <v>13097</v>
      </c>
      <c r="C316" t="s">
        <v>18222</v>
      </c>
      <c r="D316" t="s">
        <v>21</v>
      </c>
      <c r="G316" t="s">
        <v>4430</v>
      </c>
      <c r="H316" t="s">
        <v>13099</v>
      </c>
      <c r="I316" t="s">
        <v>18102</v>
      </c>
      <c r="J316" t="s">
        <v>18223</v>
      </c>
      <c r="L316" t="s">
        <v>13429</v>
      </c>
    </row>
    <row r="317" spans="1:12">
      <c r="A317" t="s">
        <v>18224</v>
      </c>
      <c r="B317" t="s">
        <v>13101</v>
      </c>
      <c r="C317" t="s">
        <v>18225</v>
      </c>
      <c r="D317" t="s">
        <v>21</v>
      </c>
      <c r="G317" t="s">
        <v>4430</v>
      </c>
      <c r="H317" t="s">
        <v>13103</v>
      </c>
      <c r="I317" t="s">
        <v>18102</v>
      </c>
      <c r="J317" t="s">
        <v>18226</v>
      </c>
      <c r="L317" t="s">
        <v>13429</v>
      </c>
    </row>
    <row r="318" spans="1:12">
      <c r="A318" t="s">
        <v>18227</v>
      </c>
      <c r="B318" t="s">
        <v>13105</v>
      </c>
      <c r="C318" t="s">
        <v>18228</v>
      </c>
      <c r="D318" t="s">
        <v>21</v>
      </c>
      <c r="G318" t="s">
        <v>4430</v>
      </c>
      <c r="H318" t="s">
        <v>13107</v>
      </c>
      <c r="I318" t="s">
        <v>18102</v>
      </c>
      <c r="J318" t="s">
        <v>18229</v>
      </c>
      <c r="L318" t="s">
        <v>13429</v>
      </c>
    </row>
    <row r="319" spans="1:12">
      <c r="A319" t="s">
        <v>18230</v>
      </c>
      <c r="B319" t="s">
        <v>13109</v>
      </c>
      <c r="C319" t="s">
        <v>18231</v>
      </c>
      <c r="D319" t="s">
        <v>21</v>
      </c>
      <c r="G319" t="s">
        <v>4430</v>
      </c>
      <c r="H319" t="s">
        <v>13111</v>
      </c>
      <c r="I319" t="s">
        <v>18102</v>
      </c>
      <c r="J319" t="s">
        <v>18232</v>
      </c>
      <c r="L319" t="s">
        <v>13429</v>
      </c>
    </row>
    <row r="320" spans="1:12">
      <c r="A320" t="s">
        <v>18233</v>
      </c>
      <c r="B320" t="s">
        <v>13113</v>
      </c>
      <c r="C320" t="s">
        <v>18234</v>
      </c>
      <c r="D320" t="s">
        <v>21</v>
      </c>
      <c r="G320" t="s">
        <v>4430</v>
      </c>
      <c r="H320" t="s">
        <v>13115</v>
      </c>
      <c r="I320" t="s">
        <v>18102</v>
      </c>
      <c r="J320" t="s">
        <v>18235</v>
      </c>
      <c r="L320" t="s">
        <v>13429</v>
      </c>
    </row>
    <row r="321" spans="1:12">
      <c r="A321" t="s">
        <v>18236</v>
      </c>
      <c r="B321" t="s">
        <v>13117</v>
      </c>
      <c r="C321" t="s">
        <v>18237</v>
      </c>
      <c r="D321" t="s">
        <v>21</v>
      </c>
      <c r="G321" t="s">
        <v>4430</v>
      </c>
      <c r="H321" t="s">
        <v>13119</v>
      </c>
      <c r="I321" t="s">
        <v>18102</v>
      </c>
      <c r="J321" t="s">
        <v>18238</v>
      </c>
      <c r="L321" t="s">
        <v>13429</v>
      </c>
    </row>
    <row r="322" spans="1:12">
      <c r="A322" t="s">
        <v>18239</v>
      </c>
      <c r="B322" t="s">
        <v>13121</v>
      </c>
      <c r="C322" t="s">
        <v>18240</v>
      </c>
      <c r="D322" t="s">
        <v>21</v>
      </c>
      <c r="G322" t="s">
        <v>4430</v>
      </c>
      <c r="H322" t="s">
        <v>13123</v>
      </c>
      <c r="I322" t="s">
        <v>18102</v>
      </c>
      <c r="J322" t="s">
        <v>18241</v>
      </c>
      <c r="L322" t="s">
        <v>13429</v>
      </c>
    </row>
    <row r="323" spans="1:12">
      <c r="A323" t="s">
        <v>18242</v>
      </c>
      <c r="B323" t="s">
        <v>13125</v>
      </c>
      <c r="C323" t="s">
        <v>18243</v>
      </c>
      <c r="D323" t="s">
        <v>21</v>
      </c>
      <c r="G323" t="s">
        <v>4430</v>
      </c>
      <c r="H323" t="s">
        <v>13127</v>
      </c>
      <c r="I323" t="s">
        <v>18102</v>
      </c>
      <c r="J323" t="s">
        <v>18244</v>
      </c>
      <c r="L323" t="s">
        <v>13429</v>
      </c>
    </row>
    <row r="324" spans="1:12">
      <c r="A324" t="s">
        <v>18245</v>
      </c>
      <c r="B324" t="s">
        <v>13129</v>
      </c>
      <c r="C324" t="s">
        <v>18246</v>
      </c>
      <c r="D324" t="s">
        <v>21</v>
      </c>
      <c r="G324" t="s">
        <v>4430</v>
      </c>
      <c r="H324" t="s">
        <v>13131</v>
      </c>
      <c r="I324" t="s">
        <v>18102</v>
      </c>
      <c r="J324" t="s">
        <v>18247</v>
      </c>
      <c r="L324" t="s">
        <v>13429</v>
      </c>
    </row>
    <row r="325" spans="1:12">
      <c r="A325" t="s">
        <v>18248</v>
      </c>
      <c r="B325" t="s">
        <v>13133</v>
      </c>
      <c r="C325" t="s">
        <v>18249</v>
      </c>
      <c r="D325" t="s">
        <v>21</v>
      </c>
      <c r="G325" t="s">
        <v>4430</v>
      </c>
      <c r="H325" t="s">
        <v>13135</v>
      </c>
      <c r="I325" t="s">
        <v>18102</v>
      </c>
      <c r="J325" t="s">
        <v>18250</v>
      </c>
      <c r="L325" t="s">
        <v>13429</v>
      </c>
    </row>
    <row r="326" spans="1:12">
      <c r="A326" t="s">
        <v>18251</v>
      </c>
      <c r="B326" t="s">
        <v>13318</v>
      </c>
      <c r="C326" t="s">
        <v>18252</v>
      </c>
      <c r="D326" t="s">
        <v>21</v>
      </c>
      <c r="G326" t="s">
        <v>4430</v>
      </c>
      <c r="H326" t="s">
        <v>6997</v>
      </c>
      <c r="I326" t="s">
        <v>18102</v>
      </c>
      <c r="J326" t="s">
        <v>18253</v>
      </c>
      <c r="L326" t="s">
        <v>13429</v>
      </c>
    </row>
    <row r="327" spans="1:12">
      <c r="A327" t="s">
        <v>18254</v>
      </c>
      <c r="B327" t="s">
        <v>13321</v>
      </c>
      <c r="C327" t="s">
        <v>18255</v>
      </c>
      <c r="D327" t="s">
        <v>21</v>
      </c>
      <c r="G327" t="s">
        <v>4430</v>
      </c>
      <c r="H327" t="s">
        <v>6353</v>
      </c>
      <c r="I327" t="s">
        <v>18102</v>
      </c>
      <c r="J327" t="s">
        <v>18256</v>
      </c>
      <c r="L327" t="s">
        <v>13429</v>
      </c>
    </row>
    <row r="328" spans="1:12">
      <c r="A328" t="s">
        <v>18257</v>
      </c>
      <c r="B328" t="s">
        <v>8500</v>
      </c>
      <c r="C328" t="s">
        <v>18258</v>
      </c>
      <c r="D328" t="s">
        <v>21</v>
      </c>
      <c r="G328" t="s">
        <v>4430</v>
      </c>
      <c r="H328" t="s">
        <v>6556</v>
      </c>
      <c r="I328" t="s">
        <v>18102</v>
      </c>
      <c r="J328" t="s">
        <v>18259</v>
      </c>
      <c r="L328" t="s">
        <v>13429</v>
      </c>
    </row>
    <row r="329" spans="1:12">
      <c r="A329" t="s">
        <v>18260</v>
      </c>
      <c r="B329" t="s">
        <v>4427</v>
      </c>
      <c r="C329" t="s">
        <v>18261</v>
      </c>
      <c r="D329" t="s">
        <v>21</v>
      </c>
      <c r="G329" t="s">
        <v>4430</v>
      </c>
      <c r="H329" t="s">
        <v>4429</v>
      </c>
      <c r="I329" t="s">
        <v>18102</v>
      </c>
      <c r="J329" t="s">
        <v>18262</v>
      </c>
      <c r="L329" t="s">
        <v>13429</v>
      </c>
    </row>
    <row r="330" spans="1:12">
      <c r="A330" t="s">
        <v>18263</v>
      </c>
      <c r="B330" t="s">
        <v>13324</v>
      </c>
      <c r="C330" t="s">
        <v>18264</v>
      </c>
      <c r="D330" t="s">
        <v>21</v>
      </c>
      <c r="G330" t="s">
        <v>4430</v>
      </c>
      <c r="H330" t="s">
        <v>6563</v>
      </c>
      <c r="I330" t="s">
        <v>18102</v>
      </c>
      <c r="J330" t="s">
        <v>18265</v>
      </c>
      <c r="L330" t="s">
        <v>13429</v>
      </c>
    </row>
    <row r="331" spans="1:12">
      <c r="A331" t="s">
        <v>18266</v>
      </c>
      <c r="B331" t="s">
        <v>13327</v>
      </c>
      <c r="C331" t="s">
        <v>18267</v>
      </c>
      <c r="D331" t="s">
        <v>21</v>
      </c>
      <c r="G331" t="s">
        <v>4430</v>
      </c>
      <c r="H331" t="s">
        <v>7859</v>
      </c>
      <c r="I331" t="s">
        <v>18102</v>
      </c>
      <c r="J331" t="s">
        <v>18268</v>
      </c>
      <c r="L331" t="s">
        <v>13429</v>
      </c>
    </row>
    <row r="332" spans="1:12">
      <c r="A332" t="s">
        <v>18269</v>
      </c>
      <c r="B332" t="s">
        <v>13330</v>
      </c>
      <c r="C332" t="s">
        <v>18270</v>
      </c>
      <c r="D332" t="s">
        <v>21</v>
      </c>
      <c r="G332" t="s">
        <v>4430</v>
      </c>
      <c r="H332" t="s">
        <v>6566</v>
      </c>
      <c r="I332" t="s">
        <v>18102</v>
      </c>
      <c r="J332" t="s">
        <v>18271</v>
      </c>
      <c r="L332" t="s">
        <v>13429</v>
      </c>
    </row>
    <row r="333" spans="1:12">
      <c r="A333" t="s">
        <v>18272</v>
      </c>
      <c r="B333" t="s">
        <v>13333</v>
      </c>
      <c r="C333" t="s">
        <v>18273</v>
      </c>
      <c r="D333" t="s">
        <v>21</v>
      </c>
      <c r="G333" t="s">
        <v>4430</v>
      </c>
      <c r="H333" t="s">
        <v>7873</v>
      </c>
      <c r="I333" t="s">
        <v>18102</v>
      </c>
      <c r="J333" t="s">
        <v>18274</v>
      </c>
      <c r="L333" t="s">
        <v>13429</v>
      </c>
    </row>
    <row r="334" spans="1:12">
      <c r="A334" t="s">
        <v>18275</v>
      </c>
      <c r="B334" t="s">
        <v>13336</v>
      </c>
      <c r="C334" t="s">
        <v>18276</v>
      </c>
      <c r="D334" t="s">
        <v>21</v>
      </c>
      <c r="G334" t="s">
        <v>4430</v>
      </c>
      <c r="H334" t="s">
        <v>7879</v>
      </c>
      <c r="I334" t="s">
        <v>18102</v>
      </c>
      <c r="J334" t="s">
        <v>18277</v>
      </c>
      <c r="L334" t="s">
        <v>13429</v>
      </c>
    </row>
    <row r="335" spans="1:12">
      <c r="A335" t="s">
        <v>18278</v>
      </c>
      <c r="B335" t="s">
        <v>13339</v>
      </c>
      <c r="C335" t="s">
        <v>18279</v>
      </c>
      <c r="D335" t="s">
        <v>21</v>
      </c>
      <c r="G335" t="s">
        <v>4430</v>
      </c>
      <c r="H335" t="s">
        <v>7883</v>
      </c>
      <c r="I335" t="s">
        <v>18102</v>
      </c>
      <c r="J335" t="s">
        <v>18280</v>
      </c>
      <c r="L335" t="s">
        <v>13429</v>
      </c>
    </row>
  </sheetData>
  <phoneticPr fontId="2" type="noConversion"/>
  <conditionalFormatting sqref="G2:G274">
    <cfRule type="expression" dxfId="3" priority="1">
      <formula>AND(NOT(ISBLANK(G2)),NOT(_xlfn.ISFORMULA(G2)))</formula>
    </cfRule>
  </conditionalFormatting>
  <hyperlinks>
    <hyperlink ref="M83" r:id="rId1" display="https://www.we-online.com/components/products/datasheet/615008160121.pdf" xr:uid="{4AC1C22E-45C1-4508-861D-9AACF6AEC441}"/>
    <hyperlink ref="M84" r:id="rId2" xr:uid="{3DC67A7B-2368-41CC-B1D8-94E1ED25EDDC}"/>
    <hyperlink ref="M86" r:id="rId3" xr:uid="{0ED0D631-47A4-456A-A052-55F34B8D4DEA}"/>
    <hyperlink ref="M87" r:id="rId4" xr:uid="{7B7E56E5-0B6F-4C6C-BC18-85D081220A02}"/>
    <hyperlink ref="V87" r:id="rId5" display="https://www.lcsc.com/brand-detail/109.html" xr:uid="{371958AB-DF37-4657-9B7B-C9FF7BAF7FA3}"/>
    <hyperlink ref="M88" r:id="rId6" xr:uid="{78E51DE4-D3DA-46BD-8FA0-B7A142F78FD7}"/>
    <hyperlink ref="M89" r:id="rId7" xr:uid="{7E1B9AAB-4E33-4B3F-B9C6-06F28169E374}"/>
    <hyperlink ref="M90" r:id="rId8" xr:uid="{9A97C954-6FF8-4656-92F6-EF80BD498CE3}"/>
    <hyperlink ref="M110" r:id="rId9" xr:uid="{2B53132D-AAAB-43C0-B9AC-840EC3CBD562}"/>
    <hyperlink ref="M111" r:id="rId10" xr:uid="{B3FD250B-FC15-475F-8136-DBF362E7D9C4}"/>
    <hyperlink ref="M272" r:id="rId11" xr:uid="{D7B55DE6-B0F5-4F6A-BD52-DF8276834675}"/>
  </hyperlinks>
  <pageMargins left="0.7" right="0.7" top="0.78740157499999996" bottom="0.78740157499999996" header="0.3" footer="0.3"/>
  <pageSetup paperSize="9" orientation="portrait" r:id="rId1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43A26-CC6A-4573-83E7-C468515C5AA6}">
  <dimension ref="A1:Y20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U30" sqref="U30"/>
    </sheetView>
  </sheetViews>
  <sheetFormatPr defaultColWidth="11.5703125" defaultRowHeight="15"/>
  <cols>
    <col min="1" max="1" width="19" bestFit="1" customWidth="1"/>
    <col min="2" max="2" width="15" bestFit="1" customWidth="1"/>
    <col min="3" max="3" width="47.7109375" bestFit="1" customWidth="1"/>
  </cols>
  <sheetData>
    <row r="1" spans="1:25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4593</v>
      </c>
      <c r="V1" s="1" t="s">
        <v>4594</v>
      </c>
      <c r="W1" s="1" t="s">
        <v>4595</v>
      </c>
      <c r="X1" s="1" t="s">
        <v>4596</v>
      </c>
      <c r="Y1" s="1" t="s">
        <v>4726</v>
      </c>
    </row>
    <row r="2" spans="1:25">
      <c r="A2" t="s">
        <v>4432</v>
      </c>
      <c r="B2" t="s">
        <v>4432</v>
      </c>
      <c r="C2" t="s">
        <v>4433</v>
      </c>
      <c r="D2" t="s">
        <v>4434</v>
      </c>
      <c r="E2" t="s">
        <v>4435</v>
      </c>
      <c r="G2" t="str">
        <f>Config!$B$6</f>
        <v>SCH/Logic_IEC.SchLib</v>
      </c>
      <c r="H2" t="s">
        <v>4454</v>
      </c>
      <c r="I2" t="s">
        <v>4377</v>
      </c>
      <c r="J2" t="s">
        <v>4797</v>
      </c>
      <c r="U2" t="s">
        <v>4434</v>
      </c>
      <c r="V2" t="s">
        <v>4436</v>
      </c>
      <c r="W2" t="s">
        <v>4559</v>
      </c>
      <c r="X2" t="s">
        <v>4437</v>
      </c>
      <c r="Y2" t="s">
        <v>4727</v>
      </c>
    </row>
    <row r="3" spans="1:25">
      <c r="A3" t="s">
        <v>4438</v>
      </c>
      <c r="B3" t="s">
        <v>4438</v>
      </c>
      <c r="C3" t="s">
        <v>4439</v>
      </c>
      <c r="D3" t="s">
        <v>4401</v>
      </c>
      <c r="E3" t="s">
        <v>4440</v>
      </c>
      <c r="G3" t="str">
        <f>Config!$B$6</f>
        <v>SCH/Logic_IEC.SchLib</v>
      </c>
      <c r="H3" t="s">
        <v>4441</v>
      </c>
      <c r="I3" t="s">
        <v>4376</v>
      </c>
      <c r="J3" t="s">
        <v>4795</v>
      </c>
      <c r="U3" t="s">
        <v>4401</v>
      </c>
      <c r="V3" t="s">
        <v>4442</v>
      </c>
      <c r="W3" t="s">
        <v>4559</v>
      </c>
      <c r="X3" t="s">
        <v>4443</v>
      </c>
      <c r="Y3" t="s">
        <v>4727</v>
      </c>
    </row>
    <row r="4" spans="1:25">
      <c r="A4" t="s">
        <v>4445</v>
      </c>
      <c r="B4" t="s">
        <v>4445</v>
      </c>
      <c r="C4" t="s">
        <v>4446</v>
      </c>
      <c r="D4" t="s">
        <v>4447</v>
      </c>
      <c r="E4" t="s">
        <v>4448</v>
      </c>
      <c r="G4" t="str">
        <f>Config!$B$6</f>
        <v>SCH/Logic_IEC.SchLib</v>
      </c>
      <c r="H4" t="s">
        <v>4452</v>
      </c>
      <c r="I4" t="s">
        <v>4377</v>
      </c>
      <c r="J4" t="s">
        <v>4796</v>
      </c>
      <c r="U4" t="s">
        <v>4447</v>
      </c>
      <c r="V4" t="s">
        <v>4444</v>
      </c>
      <c r="W4" t="s">
        <v>4559</v>
      </c>
      <c r="X4" t="s">
        <v>4453</v>
      </c>
      <c r="Y4" t="s">
        <v>4727</v>
      </c>
    </row>
    <row r="5" spans="1:25">
      <c r="A5" t="s">
        <v>17989</v>
      </c>
      <c r="B5" t="str">
        <f>A5</f>
        <v>SN74LVC1G3157DCK</v>
      </c>
      <c r="C5" t="s">
        <v>6660</v>
      </c>
      <c r="D5" t="s">
        <v>6661</v>
      </c>
      <c r="E5" t="s">
        <v>4440</v>
      </c>
      <c r="G5" t="str">
        <f>Config!$B$6</f>
        <v>SCH/Logic_IEC.SchLib</v>
      </c>
      <c r="H5" t="s">
        <v>4441</v>
      </c>
      <c r="I5" t="s">
        <v>4376</v>
      </c>
      <c r="J5" t="s">
        <v>4795</v>
      </c>
      <c r="U5" t="s">
        <v>4517</v>
      </c>
      <c r="V5" t="s">
        <v>6662</v>
      </c>
      <c r="W5" t="s">
        <v>4559</v>
      </c>
      <c r="X5" t="s">
        <v>6663</v>
      </c>
      <c r="Y5" t="s">
        <v>4727</v>
      </c>
    </row>
    <row r="6" spans="1:25">
      <c r="A6" t="s">
        <v>8871</v>
      </c>
      <c r="B6" t="s">
        <v>8871</v>
      </c>
      <c r="C6" t="s">
        <v>8872</v>
      </c>
      <c r="D6" t="s">
        <v>4401</v>
      </c>
      <c r="E6" t="s">
        <v>4553</v>
      </c>
      <c r="G6" t="str">
        <f>Config!$B$6</f>
        <v>SCH/Logic_IEC.SchLib</v>
      </c>
      <c r="H6" t="s">
        <v>10659</v>
      </c>
      <c r="I6" t="s">
        <v>4376</v>
      </c>
      <c r="J6" t="s">
        <v>8877</v>
      </c>
      <c r="L6" s="26" t="s">
        <v>8873</v>
      </c>
      <c r="M6" t="s">
        <v>6273</v>
      </c>
      <c r="N6" t="s">
        <v>8874</v>
      </c>
      <c r="O6" t="s">
        <v>25</v>
      </c>
      <c r="P6" t="s">
        <v>8875</v>
      </c>
      <c r="U6" t="s">
        <v>4401</v>
      </c>
      <c r="V6" t="s">
        <v>8874</v>
      </c>
      <c r="W6" t="s">
        <v>4559</v>
      </c>
      <c r="X6" t="s">
        <v>8876</v>
      </c>
      <c r="Y6" t="s">
        <v>4727</v>
      </c>
    </row>
    <row r="7" spans="1:25">
      <c r="A7" t="s">
        <v>14033</v>
      </c>
      <c r="B7" t="s">
        <v>14033</v>
      </c>
      <c r="C7" t="s">
        <v>14034</v>
      </c>
      <c r="D7" t="s">
        <v>6661</v>
      </c>
      <c r="E7" t="s">
        <v>14035</v>
      </c>
      <c r="G7" t="str">
        <f>Config!$B$6</f>
        <v>SCH/Logic_IEC.SchLib</v>
      </c>
      <c r="H7" t="s">
        <v>14036</v>
      </c>
      <c r="I7" t="s">
        <v>4377</v>
      </c>
      <c r="J7" t="s">
        <v>11025</v>
      </c>
      <c r="L7" s="26" t="s">
        <v>14037</v>
      </c>
      <c r="M7" t="s">
        <v>4517</v>
      </c>
      <c r="N7" t="s">
        <v>14038</v>
      </c>
      <c r="P7" t="s">
        <v>14039</v>
      </c>
      <c r="U7" t="s">
        <v>6661</v>
      </c>
      <c r="V7" t="s">
        <v>14038</v>
      </c>
      <c r="W7" t="s">
        <v>4559</v>
      </c>
      <c r="X7" t="s">
        <v>14040</v>
      </c>
      <c r="Y7" t="s">
        <v>4727</v>
      </c>
    </row>
    <row r="8" spans="1:25">
      <c r="A8" t="s">
        <v>16831</v>
      </c>
      <c r="B8" t="s">
        <v>16831</v>
      </c>
      <c r="C8" t="s">
        <v>16832</v>
      </c>
      <c r="D8" t="s">
        <v>6661</v>
      </c>
      <c r="E8" t="s">
        <v>16770</v>
      </c>
      <c r="G8" t="str">
        <f>Config!$B$6</f>
        <v>SCH/Logic_IEC.SchLib</v>
      </c>
      <c r="H8" t="s">
        <v>16833</v>
      </c>
      <c r="I8" t="s">
        <v>10689</v>
      </c>
      <c r="J8" t="s">
        <v>16834</v>
      </c>
      <c r="L8" t="s">
        <v>16835</v>
      </c>
      <c r="M8" t="s">
        <v>4517</v>
      </c>
      <c r="N8" t="s">
        <v>16837</v>
      </c>
      <c r="O8" t="s">
        <v>25</v>
      </c>
      <c r="P8" t="s">
        <v>16838</v>
      </c>
      <c r="U8" t="s">
        <v>4517</v>
      </c>
      <c r="V8" t="s">
        <v>16837</v>
      </c>
      <c r="W8" t="s">
        <v>4559</v>
      </c>
      <c r="X8" t="s">
        <v>16836</v>
      </c>
    </row>
    <row r="9" spans="1:25">
      <c r="A9" t="s">
        <v>17990</v>
      </c>
      <c r="B9" t="s">
        <v>17990</v>
      </c>
      <c r="C9" t="s">
        <v>18754</v>
      </c>
      <c r="D9" t="s">
        <v>6661</v>
      </c>
      <c r="E9" t="s">
        <v>2656</v>
      </c>
      <c r="G9" t="str">
        <f>Config!$B$6</f>
        <v>SCH/Logic_IEC.SchLib</v>
      </c>
      <c r="H9" t="s">
        <v>4441</v>
      </c>
      <c r="I9" t="s">
        <v>4376</v>
      </c>
      <c r="J9" t="s">
        <v>4789</v>
      </c>
      <c r="L9" t="s">
        <v>18000</v>
      </c>
      <c r="M9" t="s">
        <v>4517</v>
      </c>
      <c r="N9" t="s">
        <v>17984</v>
      </c>
      <c r="O9" t="s">
        <v>25</v>
      </c>
      <c r="P9" t="s">
        <v>17995</v>
      </c>
    </row>
    <row r="10" spans="1:25">
      <c r="A10" t="s">
        <v>17991</v>
      </c>
      <c r="B10" t="s">
        <v>17991</v>
      </c>
      <c r="C10" t="s">
        <v>18755</v>
      </c>
      <c r="D10" t="s">
        <v>6661</v>
      </c>
      <c r="E10" t="s">
        <v>18002</v>
      </c>
      <c r="G10" t="str">
        <f>Config!$B$6</f>
        <v>SCH/Logic_IEC.SchLib</v>
      </c>
      <c r="H10" t="s">
        <v>4441</v>
      </c>
      <c r="I10" t="s">
        <v>6736</v>
      </c>
      <c r="J10" t="s">
        <v>18005</v>
      </c>
      <c r="L10" t="s">
        <v>18000</v>
      </c>
      <c r="M10" t="s">
        <v>4517</v>
      </c>
      <c r="N10" t="s">
        <v>17985</v>
      </c>
      <c r="O10" t="s">
        <v>25</v>
      </c>
      <c r="P10" t="s">
        <v>17996</v>
      </c>
    </row>
    <row r="11" spans="1:25">
      <c r="A11" t="s">
        <v>17992</v>
      </c>
      <c r="B11" t="s">
        <v>17992</v>
      </c>
      <c r="C11" t="s">
        <v>18756</v>
      </c>
      <c r="D11" t="s">
        <v>6661</v>
      </c>
      <c r="E11" t="s">
        <v>18003</v>
      </c>
      <c r="G11" t="str">
        <f>Config!$B$6</f>
        <v>SCH/Logic_IEC.SchLib</v>
      </c>
      <c r="H11" t="s">
        <v>4441</v>
      </c>
      <c r="I11" t="s">
        <v>6736</v>
      </c>
      <c r="J11" s="39"/>
      <c r="L11" t="s">
        <v>18000</v>
      </c>
      <c r="M11" t="s">
        <v>4517</v>
      </c>
      <c r="N11" t="s">
        <v>17986</v>
      </c>
      <c r="O11" t="s">
        <v>25</v>
      </c>
      <c r="P11" t="s">
        <v>17997</v>
      </c>
    </row>
    <row r="12" spans="1:25">
      <c r="A12" t="s">
        <v>17994</v>
      </c>
      <c r="B12" t="s">
        <v>17994</v>
      </c>
      <c r="C12" t="s">
        <v>18755</v>
      </c>
      <c r="D12" t="s">
        <v>6661</v>
      </c>
      <c r="E12" t="s">
        <v>18002</v>
      </c>
      <c r="G12" t="str">
        <f>Config!$B$6</f>
        <v>SCH/Logic_IEC.SchLib</v>
      </c>
      <c r="H12" t="s">
        <v>4441</v>
      </c>
      <c r="I12" t="s">
        <v>6736</v>
      </c>
      <c r="J12" t="s">
        <v>18006</v>
      </c>
      <c r="L12" t="s">
        <v>18000</v>
      </c>
      <c r="M12" t="s">
        <v>4517</v>
      </c>
      <c r="N12" t="s">
        <v>17987</v>
      </c>
      <c r="O12" t="s">
        <v>25</v>
      </c>
      <c r="P12" t="s">
        <v>17998</v>
      </c>
    </row>
    <row r="13" spans="1:25">
      <c r="A13" t="s">
        <v>17993</v>
      </c>
      <c r="B13" t="s">
        <v>17993</v>
      </c>
      <c r="C13" t="s">
        <v>18757</v>
      </c>
      <c r="D13" t="s">
        <v>6661</v>
      </c>
      <c r="E13" t="s">
        <v>18004</v>
      </c>
      <c r="G13" t="str">
        <f>Config!$B$6</f>
        <v>SCH/Logic_IEC.SchLib</v>
      </c>
      <c r="H13" t="s">
        <v>4441</v>
      </c>
      <c r="I13" t="s">
        <v>4376</v>
      </c>
      <c r="J13" t="s">
        <v>18007</v>
      </c>
      <c r="L13" t="s">
        <v>18000</v>
      </c>
      <c r="M13" t="s">
        <v>4517</v>
      </c>
      <c r="N13" t="s">
        <v>17988</v>
      </c>
      <c r="O13" t="s">
        <v>25</v>
      </c>
      <c r="P13" t="s">
        <v>17999</v>
      </c>
    </row>
    <row r="14" spans="1:25">
      <c r="A14" t="s">
        <v>18752</v>
      </c>
      <c r="B14" t="s">
        <v>18752</v>
      </c>
      <c r="C14" t="s">
        <v>18753</v>
      </c>
      <c r="D14" t="s">
        <v>6661</v>
      </c>
      <c r="E14" t="s">
        <v>6332</v>
      </c>
      <c r="G14" t="str">
        <f>Config!$B$6</f>
        <v>SCH/Logic_IEC.SchLib</v>
      </c>
      <c r="H14" t="s">
        <v>18764</v>
      </c>
      <c r="I14" t="s">
        <v>4377</v>
      </c>
      <c r="J14" t="s">
        <v>18767</v>
      </c>
      <c r="L14" t="s">
        <v>18760</v>
      </c>
      <c r="M14" t="s">
        <v>4517</v>
      </c>
      <c r="N14" t="s">
        <v>18751</v>
      </c>
      <c r="O14" t="s">
        <v>25</v>
      </c>
      <c r="P14" t="s">
        <v>18759</v>
      </c>
    </row>
    <row r="15" spans="1:25">
      <c r="A15" t="s">
        <v>18758</v>
      </c>
      <c r="B15" t="s">
        <v>18758</v>
      </c>
      <c r="C15" t="s">
        <v>18766</v>
      </c>
      <c r="D15" t="s">
        <v>6661</v>
      </c>
      <c r="E15" t="s">
        <v>18765</v>
      </c>
      <c r="G15" t="str">
        <f>Config!$B$6</f>
        <v>SCH/Logic_IEC.SchLib</v>
      </c>
      <c r="H15" t="s">
        <v>18763</v>
      </c>
      <c r="I15" t="s">
        <v>6243</v>
      </c>
      <c r="J15" t="s">
        <v>18768</v>
      </c>
      <c r="L15" t="s">
        <v>18762</v>
      </c>
      <c r="M15" t="s">
        <v>4517</v>
      </c>
      <c r="N15" t="s">
        <v>18758</v>
      </c>
      <c r="O15" t="s">
        <v>25</v>
      </c>
      <c r="P15" t="s">
        <v>18761</v>
      </c>
    </row>
    <row r="16" spans="1:25">
      <c r="A16" t="s">
        <v>18770</v>
      </c>
      <c r="B16" t="s">
        <v>18770</v>
      </c>
      <c r="C16" t="s">
        <v>18777</v>
      </c>
      <c r="D16" t="s">
        <v>6661</v>
      </c>
      <c r="E16" t="s">
        <v>18004</v>
      </c>
      <c r="G16" t="str">
        <f>Config!$B$6</f>
        <v>SCH/Logic_IEC.SchLib</v>
      </c>
      <c r="H16" t="s">
        <v>18773</v>
      </c>
      <c r="I16" t="s">
        <v>4376</v>
      </c>
      <c r="J16" t="s">
        <v>18007</v>
      </c>
      <c r="L16" t="s">
        <v>18771</v>
      </c>
      <c r="M16" t="s">
        <v>4517</v>
      </c>
      <c r="N16" t="s">
        <v>18769</v>
      </c>
      <c r="O16" t="s">
        <v>25</v>
      </c>
      <c r="P16" t="s">
        <v>18772</v>
      </c>
    </row>
    <row r="17" spans="1:25">
      <c r="A17" t="s">
        <v>18774</v>
      </c>
      <c r="B17" t="s">
        <v>18774</v>
      </c>
      <c r="C17" t="s">
        <v>18775</v>
      </c>
      <c r="D17" t="s">
        <v>6661</v>
      </c>
      <c r="E17" t="s">
        <v>18779</v>
      </c>
      <c r="G17" t="str">
        <f>Config!$B$6</f>
        <v>SCH/Logic_IEC.SchLib</v>
      </c>
      <c r="H17" t="s">
        <v>18773</v>
      </c>
      <c r="I17" t="s">
        <v>4376</v>
      </c>
      <c r="J17" t="s">
        <v>8877</v>
      </c>
      <c r="L17" t="s">
        <v>18771</v>
      </c>
      <c r="M17" t="s">
        <v>4517</v>
      </c>
      <c r="N17" t="s">
        <v>18784</v>
      </c>
      <c r="O17" t="s">
        <v>25</v>
      </c>
      <c r="P17" t="s">
        <v>18783</v>
      </c>
    </row>
    <row r="18" spans="1:25">
      <c r="A18" t="s">
        <v>18778</v>
      </c>
      <c r="B18" t="s">
        <v>18778</v>
      </c>
      <c r="C18" t="s">
        <v>18776</v>
      </c>
      <c r="D18" t="s">
        <v>6661</v>
      </c>
      <c r="E18" t="s">
        <v>18780</v>
      </c>
      <c r="G18" t="str">
        <f>Config!$B$6</f>
        <v>SCH/Logic_IEC.SchLib</v>
      </c>
      <c r="H18" t="s">
        <v>18773</v>
      </c>
      <c r="I18" t="s">
        <v>4376</v>
      </c>
      <c r="J18" t="s">
        <v>8510</v>
      </c>
      <c r="L18" t="s">
        <v>18771</v>
      </c>
      <c r="M18" t="s">
        <v>4517</v>
      </c>
      <c r="N18" t="s">
        <v>18781</v>
      </c>
      <c r="O18" t="s">
        <v>25</v>
      </c>
      <c r="P18" t="s">
        <v>18782</v>
      </c>
    </row>
    <row r="19" spans="1:25">
      <c r="A19" t="s">
        <v>18937</v>
      </c>
      <c r="B19" t="s">
        <v>18937</v>
      </c>
      <c r="C19" t="s">
        <v>18938</v>
      </c>
      <c r="D19" t="s">
        <v>6661</v>
      </c>
      <c r="E19" t="s">
        <v>18939</v>
      </c>
      <c r="G19" t="str">
        <f>Config!$B$6</f>
        <v>SCH/Logic_IEC.SchLib</v>
      </c>
      <c r="H19" t="s">
        <v>18940</v>
      </c>
      <c r="I19" t="s">
        <v>6736</v>
      </c>
      <c r="J19" t="s">
        <v>18941</v>
      </c>
      <c r="L19" t="s">
        <v>18942</v>
      </c>
      <c r="M19" t="s">
        <v>4517</v>
      </c>
      <c r="N19" t="s">
        <v>18937</v>
      </c>
      <c r="O19" t="s">
        <v>25</v>
      </c>
      <c r="P19" t="s">
        <v>18943</v>
      </c>
      <c r="U19" t="s">
        <v>4517</v>
      </c>
      <c r="V19" t="s">
        <v>18937</v>
      </c>
      <c r="W19" t="s">
        <v>4559</v>
      </c>
      <c r="X19" t="s">
        <v>18944</v>
      </c>
      <c r="Y19" t="s">
        <v>4727</v>
      </c>
    </row>
    <row r="20" spans="1:25">
      <c r="A20" t="s">
        <v>18952</v>
      </c>
      <c r="B20" t="s">
        <v>18952</v>
      </c>
      <c r="C20" t="s">
        <v>18953</v>
      </c>
      <c r="D20" t="s">
        <v>6661</v>
      </c>
      <c r="E20" t="s">
        <v>18939</v>
      </c>
      <c r="G20" t="str">
        <f>Config!$B$6</f>
        <v>SCH/Logic_IEC.SchLib</v>
      </c>
      <c r="H20" t="s">
        <v>18954</v>
      </c>
      <c r="I20" t="s">
        <v>6736</v>
      </c>
      <c r="J20" t="s">
        <v>18941</v>
      </c>
      <c r="L20" t="s">
        <v>18955</v>
      </c>
      <c r="M20" t="s">
        <v>4517</v>
      </c>
      <c r="N20" t="s">
        <v>18952</v>
      </c>
      <c r="O20" t="s">
        <v>25</v>
      </c>
      <c r="P20" t="s">
        <v>18956</v>
      </c>
      <c r="U20" t="s">
        <v>4517</v>
      </c>
      <c r="V20" t="s">
        <v>18952</v>
      </c>
      <c r="W20" t="s">
        <v>4559</v>
      </c>
      <c r="X20" t="s">
        <v>18957</v>
      </c>
    </row>
  </sheetData>
  <phoneticPr fontId="2" type="noConversion"/>
  <conditionalFormatting sqref="G2:G1048576">
    <cfRule type="expression" dxfId="1" priority="1">
      <formula>AND(NOT(ISBLANK(G2)),NOT(_xlfn.ISFORMULA(G2)))</formula>
    </cfRule>
  </conditionalFormatting>
  <hyperlinks>
    <hyperlink ref="L6" r:id="rId1" xr:uid="{ABA4D6D2-0355-4CFC-8934-30BAAF0F31AE}"/>
    <hyperlink ref="L7" r:id="rId2" xr:uid="{6F3336BA-ABEF-42F3-AD12-55C426A1E22A}"/>
  </hyperlinks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A8F6A-F5E5-42B9-9631-24C8A730FB17}">
  <dimension ref="A1:Y23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19" sqref="J19"/>
    </sheetView>
  </sheetViews>
  <sheetFormatPr defaultColWidth="11.5703125" defaultRowHeight="15"/>
  <cols>
    <col min="9" max="9" width="39.5703125" bestFit="1" customWidth="1"/>
  </cols>
  <sheetData>
    <row r="1" spans="1:25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4593</v>
      </c>
      <c r="V1" s="1" t="s">
        <v>4594</v>
      </c>
      <c r="W1" s="1" t="s">
        <v>4595</v>
      </c>
      <c r="X1" s="1" t="s">
        <v>4596</v>
      </c>
      <c r="Y1" s="1" t="s">
        <v>4726</v>
      </c>
    </row>
    <row r="2" spans="1:25">
      <c r="A2" t="s">
        <v>4350</v>
      </c>
      <c r="B2" t="s">
        <v>4350</v>
      </c>
      <c r="C2" t="s">
        <v>4351</v>
      </c>
      <c r="D2" t="s">
        <v>4352</v>
      </c>
      <c r="E2" t="s">
        <v>4353</v>
      </c>
      <c r="G2" t="s">
        <v>4354</v>
      </c>
      <c r="H2" t="s">
        <v>4350</v>
      </c>
      <c r="I2" t="s">
        <v>4431</v>
      </c>
      <c r="J2" t="s">
        <v>4350</v>
      </c>
      <c r="L2" t="s">
        <v>4355</v>
      </c>
      <c r="U2" t="s">
        <v>4357</v>
      </c>
      <c r="V2" t="s">
        <v>4350</v>
      </c>
      <c r="W2" t="s">
        <v>4559</v>
      </c>
      <c r="X2" t="s">
        <v>4356</v>
      </c>
      <c r="Y2" t="s">
        <v>4727</v>
      </c>
    </row>
    <row r="3" spans="1:25">
      <c r="A3" t="s">
        <v>4803</v>
      </c>
      <c r="B3" t="s">
        <v>4803</v>
      </c>
      <c r="C3" t="s">
        <v>4804</v>
      </c>
      <c r="D3" t="s">
        <v>4352</v>
      </c>
      <c r="E3" t="s">
        <v>4353</v>
      </c>
      <c r="G3" t="s">
        <v>4354</v>
      </c>
      <c r="H3" t="s">
        <v>4803</v>
      </c>
      <c r="I3" t="s">
        <v>4431</v>
      </c>
      <c r="J3" t="s">
        <v>4803</v>
      </c>
      <c r="U3" t="s">
        <v>4357</v>
      </c>
      <c r="V3" t="s">
        <v>4805</v>
      </c>
      <c r="W3" t="s">
        <v>4559</v>
      </c>
      <c r="X3" t="s">
        <v>4806</v>
      </c>
      <c r="Y3" t="s">
        <v>4727</v>
      </c>
    </row>
    <row r="4" spans="1:25">
      <c r="A4" t="s">
        <v>6256</v>
      </c>
      <c r="B4" t="s">
        <v>6258</v>
      </c>
      <c r="C4" t="s">
        <v>6258</v>
      </c>
      <c r="D4" t="s">
        <v>6257</v>
      </c>
      <c r="E4" t="s">
        <v>4353</v>
      </c>
      <c r="G4" t="s">
        <v>6259</v>
      </c>
      <c r="H4" t="s">
        <v>6260</v>
      </c>
      <c r="I4" t="str">
        <f>_xlfn.CONCAT(PrivateLibraryPath,"PCB/Toradex.PcbLib")</f>
        <v>../altium_lib_private/PCB/Toradex.PcbLib</v>
      </c>
      <c r="J4" t="s">
        <v>6632</v>
      </c>
      <c r="L4" t="s">
        <v>6331</v>
      </c>
      <c r="M4" t="s">
        <v>6263</v>
      </c>
      <c r="N4" t="s">
        <v>6261</v>
      </c>
      <c r="O4" t="s">
        <v>25</v>
      </c>
      <c r="P4" t="s">
        <v>6262</v>
      </c>
      <c r="U4" t="s">
        <v>6263</v>
      </c>
      <c r="V4" t="s">
        <v>6653</v>
      </c>
      <c r="W4" t="s">
        <v>4559</v>
      </c>
      <c r="X4" t="s">
        <v>6633</v>
      </c>
    </row>
    <row r="5" spans="1:25">
      <c r="A5" t="s">
        <v>13596</v>
      </c>
      <c r="B5" t="s">
        <v>13596</v>
      </c>
      <c r="C5" t="s">
        <v>13604</v>
      </c>
      <c r="D5" t="s">
        <v>13612</v>
      </c>
      <c r="E5" t="s">
        <v>469</v>
      </c>
      <c r="G5" t="s">
        <v>2655</v>
      </c>
      <c r="H5" t="s">
        <v>6758</v>
      </c>
      <c r="I5" t="s">
        <v>6756</v>
      </c>
      <c r="J5" t="s">
        <v>8024</v>
      </c>
      <c r="L5" s="26" t="s">
        <v>8025</v>
      </c>
      <c r="M5" t="s">
        <v>8026</v>
      </c>
      <c r="N5" t="s">
        <v>13613</v>
      </c>
      <c r="O5" t="s">
        <v>25</v>
      </c>
      <c r="P5" t="s">
        <v>13617</v>
      </c>
    </row>
    <row r="6" spans="1:25">
      <c r="A6" t="s">
        <v>13597</v>
      </c>
      <c r="B6" t="s">
        <v>13597</v>
      </c>
      <c r="C6" t="s">
        <v>13605</v>
      </c>
      <c r="D6" t="s">
        <v>13612</v>
      </c>
      <c r="E6" t="s">
        <v>469</v>
      </c>
      <c r="G6" t="s">
        <v>2655</v>
      </c>
      <c r="H6" t="s">
        <v>6758</v>
      </c>
      <c r="I6" t="s">
        <v>6756</v>
      </c>
      <c r="J6" t="s">
        <v>8024</v>
      </c>
      <c r="L6" s="26" t="s">
        <v>8025</v>
      </c>
      <c r="M6" t="s">
        <v>8026</v>
      </c>
      <c r="N6" t="s">
        <v>13614</v>
      </c>
      <c r="O6" t="s">
        <v>25</v>
      </c>
      <c r="P6" t="s">
        <v>13618</v>
      </c>
    </row>
    <row r="7" spans="1:25">
      <c r="A7" t="s">
        <v>13598</v>
      </c>
      <c r="B7" t="s">
        <v>13598</v>
      </c>
      <c r="C7" t="s">
        <v>13606</v>
      </c>
      <c r="D7" t="s">
        <v>13612</v>
      </c>
      <c r="E7" t="s">
        <v>469</v>
      </c>
      <c r="G7" t="s">
        <v>2655</v>
      </c>
      <c r="H7" t="s">
        <v>6758</v>
      </c>
      <c r="I7" t="s">
        <v>6756</v>
      </c>
      <c r="J7" t="s">
        <v>8024</v>
      </c>
      <c r="L7" s="26" t="s">
        <v>8025</v>
      </c>
      <c r="M7" t="s">
        <v>8026</v>
      </c>
      <c r="N7" t="s">
        <v>13615</v>
      </c>
      <c r="O7" t="s">
        <v>25</v>
      </c>
      <c r="P7" t="s">
        <v>13619</v>
      </c>
    </row>
    <row r="8" spans="1:25">
      <c r="A8" t="s">
        <v>13599</v>
      </c>
      <c r="B8" t="s">
        <v>13599</v>
      </c>
      <c r="C8" t="s">
        <v>13607</v>
      </c>
      <c r="D8" t="s">
        <v>13612</v>
      </c>
      <c r="E8" t="s">
        <v>469</v>
      </c>
      <c r="G8" t="s">
        <v>2655</v>
      </c>
      <c r="H8" t="s">
        <v>6758</v>
      </c>
      <c r="I8" t="s">
        <v>6756</v>
      </c>
      <c r="J8" t="s">
        <v>8024</v>
      </c>
      <c r="L8" s="26" t="s">
        <v>8025</v>
      </c>
      <c r="M8" t="s">
        <v>8026</v>
      </c>
      <c r="N8" t="s">
        <v>13616</v>
      </c>
      <c r="O8" t="s">
        <v>25</v>
      </c>
      <c r="P8" t="s">
        <v>13620</v>
      </c>
    </row>
    <row r="9" spans="1:25">
      <c r="A9" t="s">
        <v>8021</v>
      </c>
      <c r="B9" t="s">
        <v>8021</v>
      </c>
      <c r="C9" t="s">
        <v>8022</v>
      </c>
      <c r="D9" t="s">
        <v>13612</v>
      </c>
      <c r="E9" t="s">
        <v>469</v>
      </c>
      <c r="G9" t="s">
        <v>2655</v>
      </c>
      <c r="H9" t="s">
        <v>6758</v>
      </c>
      <c r="I9" t="s">
        <v>6756</v>
      </c>
      <c r="J9" t="s">
        <v>8024</v>
      </c>
      <c r="L9" s="26" t="s">
        <v>8025</v>
      </c>
      <c r="M9" t="s">
        <v>8026</v>
      </c>
      <c r="N9" t="s">
        <v>8027</v>
      </c>
      <c r="O9" t="s">
        <v>25</v>
      </c>
      <c r="P9" t="s">
        <v>8028</v>
      </c>
    </row>
    <row r="10" spans="1:25">
      <c r="A10" t="s">
        <v>13600</v>
      </c>
      <c r="B10" t="s">
        <v>13600</v>
      </c>
      <c r="C10" t="s">
        <v>13608</v>
      </c>
      <c r="D10" t="s">
        <v>13612</v>
      </c>
      <c r="E10" t="s">
        <v>469</v>
      </c>
      <c r="G10" t="s">
        <v>2655</v>
      </c>
      <c r="H10" t="s">
        <v>6758</v>
      </c>
      <c r="I10" t="s">
        <v>6756</v>
      </c>
      <c r="J10" t="s">
        <v>6758</v>
      </c>
      <c r="L10" s="26" t="s">
        <v>6757</v>
      </c>
      <c r="M10" t="s">
        <v>8026</v>
      </c>
      <c r="N10" t="s">
        <v>13621</v>
      </c>
      <c r="O10" t="s">
        <v>25</v>
      </c>
      <c r="P10" t="s">
        <v>13626</v>
      </c>
    </row>
    <row r="11" spans="1:25">
      <c r="A11" t="s">
        <v>13601</v>
      </c>
      <c r="B11" t="s">
        <v>13601</v>
      </c>
      <c r="C11" t="s">
        <v>13609</v>
      </c>
      <c r="D11" t="s">
        <v>13612</v>
      </c>
      <c r="E11" t="s">
        <v>469</v>
      </c>
      <c r="G11" t="s">
        <v>2655</v>
      </c>
      <c r="H11" t="s">
        <v>6758</v>
      </c>
      <c r="I11" t="s">
        <v>6756</v>
      </c>
      <c r="J11" t="s">
        <v>6758</v>
      </c>
      <c r="L11" s="26" t="s">
        <v>6757</v>
      </c>
      <c r="M11" t="s">
        <v>8026</v>
      </c>
      <c r="N11" t="s">
        <v>13622</v>
      </c>
      <c r="O11" t="s">
        <v>25</v>
      </c>
      <c r="P11" t="s">
        <v>13627</v>
      </c>
    </row>
    <row r="12" spans="1:25">
      <c r="A12" t="s">
        <v>6755</v>
      </c>
      <c r="B12" t="s">
        <v>6755</v>
      </c>
      <c r="C12" t="s">
        <v>8023</v>
      </c>
      <c r="D12" t="s">
        <v>13612</v>
      </c>
      <c r="E12" t="s">
        <v>469</v>
      </c>
      <c r="G12" t="s">
        <v>2655</v>
      </c>
      <c r="H12" t="s">
        <v>6758</v>
      </c>
      <c r="I12" t="s">
        <v>6756</v>
      </c>
      <c r="J12" t="s">
        <v>6758</v>
      </c>
      <c r="L12" s="26" t="s">
        <v>6757</v>
      </c>
      <c r="M12" t="s">
        <v>8026</v>
      </c>
      <c r="N12" t="s">
        <v>13623</v>
      </c>
      <c r="O12" t="s">
        <v>25</v>
      </c>
      <c r="P12" t="s">
        <v>13628</v>
      </c>
    </row>
    <row r="13" spans="1:25">
      <c r="A13" t="s">
        <v>13602</v>
      </c>
      <c r="B13" t="s">
        <v>13602</v>
      </c>
      <c r="C13" t="s">
        <v>13610</v>
      </c>
      <c r="D13" t="s">
        <v>13612</v>
      </c>
      <c r="E13" t="s">
        <v>469</v>
      </c>
      <c r="G13" t="s">
        <v>2655</v>
      </c>
      <c r="H13" t="s">
        <v>6758</v>
      </c>
      <c r="I13" t="s">
        <v>6756</v>
      </c>
      <c r="J13" t="s">
        <v>6758</v>
      </c>
      <c r="L13" s="26" t="s">
        <v>6757</v>
      </c>
      <c r="M13" t="s">
        <v>8026</v>
      </c>
      <c r="N13" t="s">
        <v>13624</v>
      </c>
      <c r="O13" t="s">
        <v>25</v>
      </c>
      <c r="P13" t="s">
        <v>13629</v>
      </c>
    </row>
    <row r="14" spans="1:25">
      <c r="A14" t="s">
        <v>13603</v>
      </c>
      <c r="B14" t="s">
        <v>13603</v>
      </c>
      <c r="C14" t="s">
        <v>13611</v>
      </c>
      <c r="D14" t="s">
        <v>13612</v>
      </c>
      <c r="E14" t="s">
        <v>469</v>
      </c>
      <c r="G14" t="s">
        <v>2655</v>
      </c>
      <c r="H14" t="s">
        <v>6758</v>
      </c>
      <c r="I14" t="s">
        <v>6756</v>
      </c>
      <c r="J14" t="s">
        <v>6758</v>
      </c>
      <c r="L14" s="26" t="s">
        <v>6757</v>
      </c>
      <c r="M14" t="s">
        <v>8026</v>
      </c>
      <c r="N14" t="s">
        <v>13625</v>
      </c>
      <c r="O14" t="s">
        <v>25</v>
      </c>
      <c r="P14" t="s">
        <v>13630</v>
      </c>
    </row>
    <row r="15" spans="1:25">
      <c r="A15" t="s">
        <v>8864</v>
      </c>
      <c r="B15" t="s">
        <v>8864</v>
      </c>
      <c r="C15" t="s">
        <v>8865</v>
      </c>
      <c r="D15" t="s">
        <v>8866</v>
      </c>
      <c r="E15" t="s">
        <v>469</v>
      </c>
      <c r="G15" t="s">
        <v>8870</v>
      </c>
      <c r="H15" t="s">
        <v>8864</v>
      </c>
      <c r="I15" t="s">
        <v>8867</v>
      </c>
      <c r="J15" t="s">
        <v>8868</v>
      </c>
      <c r="L15" t="s">
        <v>8869</v>
      </c>
      <c r="M15" t="s">
        <v>8866</v>
      </c>
    </row>
    <row r="16" spans="1:25">
      <c r="A16" t="s">
        <v>13817</v>
      </c>
      <c r="B16" t="s">
        <v>13817</v>
      </c>
      <c r="C16" t="s">
        <v>13819</v>
      </c>
      <c r="D16" t="s">
        <v>13821</v>
      </c>
      <c r="E16" t="s">
        <v>13822</v>
      </c>
      <c r="G16" t="s">
        <v>8870</v>
      </c>
      <c r="H16" t="s">
        <v>13817</v>
      </c>
      <c r="I16" t="s">
        <v>13825</v>
      </c>
      <c r="J16" t="s">
        <v>13817</v>
      </c>
      <c r="L16" t="s">
        <v>13815</v>
      </c>
      <c r="M16" t="s">
        <v>13823</v>
      </c>
      <c r="N16" t="s">
        <v>13817</v>
      </c>
      <c r="O16" t="s">
        <v>25</v>
      </c>
      <c r="P16" t="s">
        <v>13824</v>
      </c>
    </row>
    <row r="17" spans="1:16">
      <c r="A17" t="s">
        <v>14817</v>
      </c>
      <c r="B17" t="s">
        <v>14817</v>
      </c>
      <c r="C17" t="s">
        <v>14819</v>
      </c>
      <c r="D17" t="s">
        <v>13821</v>
      </c>
      <c r="E17" t="s">
        <v>13822</v>
      </c>
      <c r="G17" t="s">
        <v>8870</v>
      </c>
      <c r="H17" t="s">
        <v>13817</v>
      </c>
      <c r="I17" t="s">
        <v>13825</v>
      </c>
      <c r="J17" t="s">
        <v>14817</v>
      </c>
      <c r="L17" t="s">
        <v>13815</v>
      </c>
      <c r="M17" t="s">
        <v>13823</v>
      </c>
      <c r="N17" t="s">
        <v>13817</v>
      </c>
      <c r="O17" t="s">
        <v>25</v>
      </c>
      <c r="P17" t="s">
        <v>13824</v>
      </c>
    </row>
    <row r="18" spans="1:16">
      <c r="A18" t="s">
        <v>14818</v>
      </c>
      <c r="B18" t="s">
        <v>14818</v>
      </c>
      <c r="C18" t="s">
        <v>14820</v>
      </c>
      <c r="D18" t="s">
        <v>13821</v>
      </c>
      <c r="E18" t="s">
        <v>13822</v>
      </c>
      <c r="G18" t="s">
        <v>8870</v>
      </c>
      <c r="H18" t="s">
        <v>13817</v>
      </c>
      <c r="I18" t="s">
        <v>13825</v>
      </c>
      <c r="J18" t="s">
        <v>14818</v>
      </c>
      <c r="L18" t="s">
        <v>13815</v>
      </c>
      <c r="M18" t="s">
        <v>13823</v>
      </c>
      <c r="N18" t="s">
        <v>13817</v>
      </c>
      <c r="O18" t="s">
        <v>25</v>
      </c>
      <c r="P18" t="s">
        <v>13824</v>
      </c>
    </row>
    <row r="19" spans="1:16">
      <c r="A19" t="s">
        <v>13818</v>
      </c>
      <c r="B19" t="s">
        <v>13818</v>
      </c>
      <c r="C19" t="s">
        <v>13820</v>
      </c>
      <c r="D19" t="s">
        <v>13821</v>
      </c>
      <c r="E19" t="s">
        <v>13822</v>
      </c>
      <c r="G19" t="s">
        <v>8870</v>
      </c>
      <c r="H19" t="s">
        <v>13818</v>
      </c>
      <c r="I19" t="s">
        <v>13825</v>
      </c>
      <c r="J19" t="s">
        <v>13818</v>
      </c>
      <c r="L19" t="s">
        <v>13816</v>
      </c>
    </row>
    <row r="20" spans="1:16">
      <c r="A20" t="s">
        <v>13861</v>
      </c>
      <c r="B20" t="s">
        <v>13861</v>
      </c>
      <c r="C20" t="s">
        <v>13862</v>
      </c>
      <c r="D20" t="s">
        <v>13863</v>
      </c>
      <c r="E20" t="s">
        <v>13822</v>
      </c>
      <c r="G20" t="s">
        <v>8870</v>
      </c>
      <c r="H20" t="s">
        <v>13861</v>
      </c>
      <c r="L20" t="s">
        <v>13864</v>
      </c>
      <c r="M20" t="s">
        <v>13863</v>
      </c>
      <c r="N20" t="s">
        <v>13861</v>
      </c>
      <c r="O20" t="s">
        <v>25</v>
      </c>
      <c r="P20" t="s">
        <v>13865</v>
      </c>
    </row>
    <row r="21" spans="1:16">
      <c r="A21" t="s">
        <v>13866</v>
      </c>
      <c r="B21" t="s">
        <v>13866</v>
      </c>
      <c r="C21" t="s">
        <v>13867</v>
      </c>
      <c r="D21" t="s">
        <v>13868</v>
      </c>
      <c r="E21" t="s">
        <v>13822</v>
      </c>
      <c r="G21" t="s">
        <v>8870</v>
      </c>
      <c r="H21" t="s">
        <v>13866</v>
      </c>
      <c r="L21" t="s">
        <v>13869</v>
      </c>
      <c r="M21" t="s">
        <v>13868</v>
      </c>
      <c r="N21" t="s">
        <v>13866</v>
      </c>
      <c r="O21" t="s">
        <v>4349</v>
      </c>
      <c r="P21" t="s">
        <v>13870</v>
      </c>
    </row>
    <row r="22" spans="1:16">
      <c r="A22" t="s">
        <v>13871</v>
      </c>
      <c r="B22" t="s">
        <v>13871</v>
      </c>
      <c r="C22" t="s">
        <v>13872</v>
      </c>
      <c r="D22" t="s">
        <v>13868</v>
      </c>
      <c r="E22" t="s">
        <v>13822</v>
      </c>
      <c r="G22" t="s">
        <v>8870</v>
      </c>
      <c r="H22" t="s">
        <v>13871</v>
      </c>
      <c r="L22" t="s">
        <v>13873</v>
      </c>
      <c r="M22" t="s">
        <v>13868</v>
      </c>
      <c r="N22" t="s">
        <v>13871</v>
      </c>
      <c r="O22" t="s">
        <v>4349</v>
      </c>
      <c r="P22" t="s">
        <v>13874</v>
      </c>
    </row>
    <row r="23" spans="1:16">
      <c r="A23" t="s">
        <v>13875</v>
      </c>
      <c r="B23" t="s">
        <v>13875</v>
      </c>
      <c r="C23" t="s">
        <v>13878</v>
      </c>
      <c r="D23" t="s">
        <v>13868</v>
      </c>
      <c r="E23" t="s">
        <v>13822</v>
      </c>
      <c r="G23" t="s">
        <v>8870</v>
      </c>
      <c r="H23" t="s">
        <v>13871</v>
      </c>
      <c r="L23" t="s">
        <v>13877</v>
      </c>
      <c r="M23" t="s">
        <v>13868</v>
      </c>
      <c r="N23" t="s">
        <v>13875</v>
      </c>
      <c r="O23" t="s">
        <v>4349</v>
      </c>
      <c r="P23" t="s">
        <v>13876</v>
      </c>
    </row>
  </sheetData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992C59-F5E3-466D-8132-19915B114D9C}">
  <dimension ref="A1:AA276"/>
  <sheetViews>
    <sheetView zoomScaleNormal="100" workbookViewId="0">
      <pane xSplit="1" ySplit="1" topLeftCell="B259" activePane="bottomRight" state="frozen"/>
      <selection pane="topRight" activeCell="B1" sqref="B1"/>
      <selection pane="bottomLeft" activeCell="A2" sqref="A2"/>
      <selection pane="bottomRight" activeCell="A277" sqref="A277"/>
    </sheetView>
  </sheetViews>
  <sheetFormatPr defaultColWidth="9.28515625" defaultRowHeight="15"/>
  <cols>
    <col min="1" max="1" width="21.42578125" bestFit="1" customWidth="1"/>
    <col min="2" max="2" width="22" bestFit="1" customWidth="1"/>
    <col min="3" max="3" width="68.5703125" customWidth="1"/>
    <col min="4" max="4" width="14.42578125" bestFit="1" customWidth="1"/>
    <col min="5" max="5" width="15.7109375" customWidth="1"/>
    <col min="6" max="6" width="12.42578125" bestFit="1" customWidth="1"/>
    <col min="7" max="7" width="30" customWidth="1"/>
    <col min="8" max="8" width="15.28515625" bestFit="1" customWidth="1"/>
    <col min="9" max="9" width="33.28515625" customWidth="1"/>
    <col min="10" max="10" width="16.28515625" customWidth="1"/>
    <col min="11" max="11" width="16" bestFit="1" customWidth="1"/>
    <col min="12" max="12" width="29.28515625" bestFit="1" customWidth="1"/>
    <col min="13" max="13" width="10.5703125" bestFit="1" customWidth="1"/>
    <col min="14" max="14" width="23.7109375" bestFit="1" customWidth="1"/>
    <col min="15" max="15" width="16" bestFit="1" customWidth="1"/>
    <col min="16" max="16" width="29.28515625" bestFit="1" customWidth="1"/>
    <col min="17" max="17" width="10.5703125" bestFit="1" customWidth="1"/>
    <col min="18" max="18" width="23.7109375" bestFit="1" customWidth="1"/>
    <col min="19" max="19" width="26.5703125" bestFit="1" customWidth="1"/>
    <col min="20" max="20" width="28.42578125" bestFit="1" customWidth="1"/>
    <col min="21" max="21" width="10.42578125" bestFit="1" customWidth="1"/>
    <col min="22" max="22" width="23.28515625" bestFit="1" customWidth="1"/>
    <col min="23" max="26" width="23.28515625" customWidth="1"/>
  </cols>
  <sheetData>
    <row r="1" spans="1:27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4593</v>
      </c>
      <c r="T1" s="1" t="s">
        <v>4594</v>
      </c>
      <c r="U1" s="1" t="s">
        <v>4595</v>
      </c>
      <c r="V1" s="1" t="s">
        <v>4596</v>
      </c>
      <c r="W1" s="1" t="s">
        <v>18631</v>
      </c>
      <c r="X1" s="1" t="s">
        <v>18632</v>
      </c>
      <c r="Y1" s="1" t="s">
        <v>18633</v>
      </c>
      <c r="Z1" s="1" t="s">
        <v>18634</v>
      </c>
      <c r="AA1" s="1" t="s">
        <v>4726</v>
      </c>
    </row>
    <row r="2" spans="1:27">
      <c r="A2" t="s">
        <v>2652</v>
      </c>
      <c r="B2" t="s">
        <v>2652</v>
      </c>
      <c r="C2" t="s">
        <v>2653</v>
      </c>
      <c r="D2" t="s">
        <v>2654</v>
      </c>
      <c r="E2" t="s">
        <v>2656</v>
      </c>
      <c r="F2" t="s">
        <v>2655</v>
      </c>
      <c r="G2" t="s">
        <v>2652</v>
      </c>
      <c r="H2" t="s">
        <v>4376</v>
      </c>
      <c r="I2" t="s">
        <v>4801</v>
      </c>
      <c r="J2" t="s">
        <v>4608</v>
      </c>
      <c r="S2" t="s">
        <v>2654</v>
      </c>
      <c r="T2" t="s">
        <v>2652</v>
      </c>
      <c r="U2" t="s">
        <v>4559</v>
      </c>
      <c r="V2" t="s">
        <v>4762</v>
      </c>
      <c r="AA2" t="s">
        <v>4727</v>
      </c>
    </row>
    <row r="3" spans="1:27">
      <c r="A3" t="s">
        <v>2657</v>
      </c>
      <c r="B3" t="s">
        <v>2657</v>
      </c>
      <c r="C3" t="s">
        <v>2658</v>
      </c>
      <c r="D3" t="s">
        <v>2659</v>
      </c>
      <c r="E3" t="s">
        <v>10851</v>
      </c>
      <c r="F3" t="s">
        <v>2655</v>
      </c>
      <c r="G3" t="s">
        <v>2660</v>
      </c>
      <c r="H3" t="s">
        <v>4377</v>
      </c>
      <c r="I3" t="s">
        <v>10850</v>
      </c>
      <c r="J3" t="s">
        <v>4609</v>
      </c>
      <c r="S3" t="s">
        <v>2659</v>
      </c>
      <c r="T3" t="s">
        <v>2657</v>
      </c>
      <c r="U3" t="s">
        <v>4559</v>
      </c>
      <c r="V3" t="s">
        <v>2661</v>
      </c>
      <c r="AA3" t="s">
        <v>4727</v>
      </c>
    </row>
    <row r="4" spans="1:27">
      <c r="A4" t="s">
        <v>3540</v>
      </c>
      <c r="B4" t="s">
        <v>3540</v>
      </c>
      <c r="C4" t="s">
        <v>3861</v>
      </c>
      <c r="D4" t="s">
        <v>3863</v>
      </c>
      <c r="E4" t="s">
        <v>3864</v>
      </c>
      <c r="F4" t="s">
        <v>2655</v>
      </c>
      <c r="G4" t="s">
        <v>4626</v>
      </c>
      <c r="H4" t="s">
        <v>3870</v>
      </c>
      <c r="I4" t="s">
        <v>4813</v>
      </c>
      <c r="J4" t="s">
        <v>4611</v>
      </c>
      <c r="S4" t="s">
        <v>3863</v>
      </c>
      <c r="T4" t="s">
        <v>3540</v>
      </c>
      <c r="U4" t="s">
        <v>4559</v>
      </c>
      <c r="V4" t="s">
        <v>4238</v>
      </c>
      <c r="AA4" t="s">
        <v>4727</v>
      </c>
    </row>
    <row r="5" spans="1:27">
      <c r="A5" t="s">
        <v>3867</v>
      </c>
      <c r="B5" t="s">
        <v>3867</v>
      </c>
      <c r="C5" t="s">
        <v>3861</v>
      </c>
      <c r="D5" t="s">
        <v>3863</v>
      </c>
      <c r="E5" t="s">
        <v>3864</v>
      </c>
      <c r="F5" t="s">
        <v>2655</v>
      </c>
      <c r="G5" t="s">
        <v>4627</v>
      </c>
      <c r="H5" t="s">
        <v>3870</v>
      </c>
      <c r="I5" t="s">
        <v>4802</v>
      </c>
      <c r="J5" t="s">
        <v>4612</v>
      </c>
      <c r="S5" t="s">
        <v>3863</v>
      </c>
      <c r="T5" t="s">
        <v>3867</v>
      </c>
      <c r="U5" t="s">
        <v>4559</v>
      </c>
      <c r="V5" t="s">
        <v>4240</v>
      </c>
      <c r="AA5" t="s">
        <v>4727</v>
      </c>
    </row>
    <row r="6" spans="1:27">
      <c r="A6" t="s">
        <v>4625</v>
      </c>
      <c r="B6" t="s">
        <v>4625</v>
      </c>
      <c r="C6" t="s">
        <v>3861</v>
      </c>
      <c r="D6" t="s">
        <v>3863</v>
      </c>
      <c r="E6" t="s">
        <v>3864</v>
      </c>
      <c r="F6" t="s">
        <v>2655</v>
      </c>
      <c r="G6" t="s">
        <v>4628</v>
      </c>
      <c r="H6" t="s">
        <v>3870</v>
      </c>
      <c r="I6" t="s">
        <v>4802</v>
      </c>
      <c r="J6" t="s">
        <v>4629</v>
      </c>
      <c r="S6" t="s">
        <v>3863</v>
      </c>
      <c r="T6" t="s">
        <v>4625</v>
      </c>
      <c r="U6" t="s">
        <v>4559</v>
      </c>
      <c r="V6" t="s">
        <v>4630</v>
      </c>
      <c r="AA6" t="s">
        <v>4727</v>
      </c>
    </row>
    <row r="7" spans="1:27">
      <c r="A7" t="s">
        <v>4784</v>
      </c>
      <c r="B7" t="s">
        <v>4784</v>
      </c>
      <c r="C7" t="s">
        <v>3861</v>
      </c>
      <c r="D7" t="s">
        <v>3863</v>
      </c>
      <c r="E7" t="s">
        <v>3864</v>
      </c>
      <c r="F7" t="s">
        <v>2655</v>
      </c>
      <c r="G7" t="s">
        <v>4628</v>
      </c>
      <c r="H7" t="s">
        <v>3870</v>
      </c>
      <c r="I7" t="s">
        <v>4802</v>
      </c>
      <c r="J7" t="s">
        <v>4785</v>
      </c>
      <c r="S7" t="s">
        <v>3863</v>
      </c>
      <c r="T7" t="s">
        <v>4784</v>
      </c>
      <c r="U7" t="s">
        <v>4559</v>
      </c>
      <c r="V7" t="s">
        <v>4786</v>
      </c>
      <c r="AA7" t="s">
        <v>4727</v>
      </c>
    </row>
    <row r="8" spans="1:27">
      <c r="A8" t="s">
        <v>3859</v>
      </c>
      <c r="B8" t="s">
        <v>3859</v>
      </c>
      <c r="C8" t="s">
        <v>3861</v>
      </c>
      <c r="D8" t="s">
        <v>3863</v>
      </c>
      <c r="E8" t="s">
        <v>3865</v>
      </c>
      <c r="F8" t="s">
        <v>2655</v>
      </c>
      <c r="G8" t="s">
        <v>3867</v>
      </c>
      <c r="H8" t="s">
        <v>3870</v>
      </c>
      <c r="I8" t="s">
        <v>4790</v>
      </c>
      <c r="J8" t="s">
        <v>4613</v>
      </c>
      <c r="S8" t="s">
        <v>3863</v>
      </c>
      <c r="T8" t="s">
        <v>4239</v>
      </c>
      <c r="U8" t="s">
        <v>4559</v>
      </c>
      <c r="V8" t="s">
        <v>4241</v>
      </c>
      <c r="AA8" t="s">
        <v>4727</v>
      </c>
    </row>
    <row r="9" spans="1:27">
      <c r="A9" t="s">
        <v>3868</v>
      </c>
      <c r="B9" t="s">
        <v>3868</v>
      </c>
      <c r="C9" t="s">
        <v>3860</v>
      </c>
      <c r="D9" t="s">
        <v>3863</v>
      </c>
      <c r="E9" t="s">
        <v>3864</v>
      </c>
      <c r="F9" t="s">
        <v>2655</v>
      </c>
      <c r="G9" t="s">
        <v>3869</v>
      </c>
      <c r="H9" t="s">
        <v>3870</v>
      </c>
      <c r="I9" t="s">
        <v>4791</v>
      </c>
      <c r="J9" t="s">
        <v>4614</v>
      </c>
      <c r="S9" t="s">
        <v>3863</v>
      </c>
      <c r="T9" t="s">
        <v>4242</v>
      </c>
      <c r="U9" t="s">
        <v>4559</v>
      </c>
      <c r="V9" t="s">
        <v>4243</v>
      </c>
      <c r="AA9" t="s">
        <v>4727</v>
      </c>
    </row>
    <row r="10" spans="1:27">
      <c r="A10" t="s">
        <v>3866</v>
      </c>
      <c r="B10" t="s">
        <v>3866</v>
      </c>
      <c r="C10" t="s">
        <v>3860</v>
      </c>
      <c r="D10" t="s">
        <v>3863</v>
      </c>
      <c r="E10" t="s">
        <v>3864</v>
      </c>
      <c r="F10" t="s">
        <v>2655</v>
      </c>
      <c r="G10" t="s">
        <v>3869</v>
      </c>
      <c r="H10" t="s">
        <v>3870</v>
      </c>
      <c r="I10" t="s">
        <v>4791</v>
      </c>
      <c r="J10" t="s">
        <v>4615</v>
      </c>
      <c r="S10" t="s">
        <v>3863</v>
      </c>
      <c r="T10" t="s">
        <v>3866</v>
      </c>
      <c r="U10" t="s">
        <v>4559</v>
      </c>
      <c r="V10" t="s">
        <v>4244</v>
      </c>
      <c r="AA10" t="s">
        <v>4727</v>
      </c>
    </row>
    <row r="11" spans="1:27">
      <c r="A11" t="s">
        <v>3862</v>
      </c>
      <c r="B11" t="s">
        <v>3862</v>
      </c>
      <c r="C11" t="s">
        <v>3860</v>
      </c>
      <c r="D11" t="s">
        <v>3863</v>
      </c>
      <c r="E11" t="s">
        <v>3865</v>
      </c>
      <c r="F11" t="s">
        <v>2655</v>
      </c>
      <c r="G11" t="s">
        <v>3869</v>
      </c>
      <c r="H11" t="s">
        <v>3870</v>
      </c>
      <c r="I11" t="s">
        <v>4792</v>
      </c>
      <c r="J11" t="s">
        <v>4616</v>
      </c>
      <c r="S11" t="s">
        <v>3863</v>
      </c>
      <c r="T11" t="s">
        <v>4246</v>
      </c>
      <c r="U11" t="s">
        <v>4559</v>
      </c>
      <c r="V11" t="s">
        <v>4245</v>
      </c>
      <c r="AA11" t="s">
        <v>4727</v>
      </c>
    </row>
    <row r="12" spans="1:27">
      <c r="A12" t="s">
        <v>4370</v>
      </c>
      <c r="B12" t="s">
        <v>4370</v>
      </c>
      <c r="C12" t="s">
        <v>4371</v>
      </c>
      <c r="D12" t="s">
        <v>4375</v>
      </c>
      <c r="E12" t="s">
        <v>4372</v>
      </c>
      <c r="F12" t="s">
        <v>2655</v>
      </c>
      <c r="G12" t="s">
        <v>4370</v>
      </c>
      <c r="H12" t="s">
        <v>4376</v>
      </c>
      <c r="I12" t="s">
        <v>4798</v>
      </c>
      <c r="J12" t="s">
        <v>4617</v>
      </c>
      <c r="S12" t="s">
        <v>4375</v>
      </c>
      <c r="T12" t="s">
        <v>4373</v>
      </c>
      <c r="U12" t="s">
        <v>4559</v>
      </c>
      <c r="V12" s="5" t="s">
        <v>4374</v>
      </c>
      <c r="W12" s="5"/>
      <c r="X12" s="5"/>
      <c r="Y12" s="5"/>
      <c r="Z12" s="5"/>
      <c r="AA12" t="s">
        <v>4727</v>
      </c>
    </row>
    <row r="13" spans="1:27">
      <c r="A13" t="s">
        <v>4378</v>
      </c>
      <c r="B13" t="s">
        <v>4378</v>
      </c>
      <c r="C13" t="s">
        <v>4380</v>
      </c>
      <c r="D13" t="s">
        <v>4379</v>
      </c>
      <c r="E13" t="s">
        <v>4381</v>
      </c>
      <c r="F13" t="s">
        <v>2655</v>
      </c>
      <c r="G13" t="s">
        <v>4383</v>
      </c>
      <c r="H13" t="s">
        <v>4377</v>
      </c>
      <c r="I13" t="s">
        <v>4794</v>
      </c>
      <c r="J13" t="s">
        <v>4618</v>
      </c>
      <c r="S13" t="s">
        <v>4379</v>
      </c>
      <c r="T13" t="s">
        <v>4378</v>
      </c>
      <c r="U13" t="s">
        <v>4559</v>
      </c>
      <c r="V13" t="s">
        <v>4382</v>
      </c>
      <c r="AA13" t="s">
        <v>4727</v>
      </c>
    </row>
    <row r="14" spans="1:27">
      <c r="A14" t="s">
        <v>4520</v>
      </c>
      <c r="B14" t="s">
        <v>4520</v>
      </c>
      <c r="C14" t="s">
        <v>4519</v>
      </c>
      <c r="D14" t="s">
        <v>4517</v>
      </c>
      <c r="E14" t="s">
        <v>4523</v>
      </c>
      <c r="F14" t="s">
        <v>2655</v>
      </c>
      <c r="G14" t="s">
        <v>4520</v>
      </c>
      <c r="H14" t="s">
        <v>4376</v>
      </c>
      <c r="I14" t="s">
        <v>4800</v>
      </c>
      <c r="J14" t="s">
        <v>4522</v>
      </c>
      <c r="K14" t="s">
        <v>4517</v>
      </c>
      <c r="L14" t="s">
        <v>4520</v>
      </c>
      <c r="M14" t="s">
        <v>25</v>
      </c>
      <c r="N14" t="s">
        <v>4521</v>
      </c>
      <c r="S14" t="s">
        <v>4517</v>
      </c>
      <c r="T14" t="s">
        <v>4520</v>
      </c>
      <c r="U14" t="s">
        <v>4559</v>
      </c>
      <c r="V14" s="5" t="s">
        <v>4518</v>
      </c>
      <c r="W14" s="5"/>
      <c r="X14" s="5"/>
      <c r="Y14" s="5"/>
      <c r="Z14" s="5"/>
      <c r="AA14" t="s">
        <v>4727</v>
      </c>
    </row>
    <row r="15" spans="1:27">
      <c r="A15" s="5" t="s">
        <v>4527</v>
      </c>
      <c r="B15" s="5" t="s">
        <v>4527</v>
      </c>
      <c r="C15" t="s">
        <v>4528</v>
      </c>
      <c r="D15" t="s">
        <v>4526</v>
      </c>
      <c r="E15" t="s">
        <v>4553</v>
      </c>
      <c r="F15" t="s">
        <v>2655</v>
      </c>
      <c r="G15" t="s">
        <v>4527</v>
      </c>
      <c r="H15" t="s">
        <v>4376</v>
      </c>
      <c r="I15" t="s">
        <v>4799</v>
      </c>
      <c r="J15" t="s">
        <v>4621</v>
      </c>
      <c r="S15" t="s">
        <v>4526</v>
      </c>
      <c r="T15" s="5" t="s">
        <v>4524</v>
      </c>
      <c r="U15" t="s">
        <v>4559</v>
      </c>
      <c r="V15" s="5" t="s">
        <v>4525</v>
      </c>
      <c r="W15" s="5"/>
      <c r="X15" s="5"/>
      <c r="Y15" s="5"/>
      <c r="Z15" s="5"/>
      <c r="AA15" t="s">
        <v>4727</v>
      </c>
    </row>
    <row r="16" spans="1:27">
      <c r="A16" t="s">
        <v>6539</v>
      </c>
      <c r="B16" t="s">
        <v>6539</v>
      </c>
      <c r="C16" t="s">
        <v>6655</v>
      </c>
      <c r="D16" t="s">
        <v>4517</v>
      </c>
      <c r="E16" t="s">
        <v>6332</v>
      </c>
      <c r="F16" t="s">
        <v>2655</v>
      </c>
      <c r="G16" t="s">
        <v>6538</v>
      </c>
      <c r="H16" t="s">
        <v>4377</v>
      </c>
      <c r="I16" t="s">
        <v>10852</v>
      </c>
      <c r="J16" t="s">
        <v>6537</v>
      </c>
      <c r="K16" t="s">
        <v>4517</v>
      </c>
      <c r="L16" t="s">
        <v>6541</v>
      </c>
      <c r="M16" t="s">
        <v>25</v>
      </c>
      <c r="N16" t="s">
        <v>6540</v>
      </c>
      <c r="S16" t="s">
        <v>4517</v>
      </c>
      <c r="T16" s="5" t="s">
        <v>6541</v>
      </c>
      <c r="U16" t="s">
        <v>4559</v>
      </c>
      <c r="V16" s="5" t="s">
        <v>6542</v>
      </c>
      <c r="W16" s="5"/>
      <c r="X16" s="5"/>
      <c r="Y16" s="5"/>
      <c r="Z16" s="5"/>
    </row>
    <row r="17" spans="1:27">
      <c r="A17" t="s">
        <v>6233</v>
      </c>
      <c r="B17" t="s">
        <v>6233</v>
      </c>
      <c r="C17" t="s">
        <v>6656</v>
      </c>
      <c r="D17" t="s">
        <v>4517</v>
      </c>
      <c r="E17" t="s">
        <v>6236</v>
      </c>
      <c r="F17" t="s">
        <v>2655</v>
      </c>
      <c r="G17" t="s">
        <v>6233</v>
      </c>
      <c r="H17" t="s">
        <v>4377</v>
      </c>
      <c r="I17" t="s">
        <v>10850</v>
      </c>
      <c r="J17" t="s">
        <v>6237</v>
      </c>
      <c r="K17" t="s">
        <v>4517</v>
      </c>
      <c r="L17" t="s">
        <v>6233</v>
      </c>
      <c r="M17" t="s">
        <v>25</v>
      </c>
      <c r="N17" t="s">
        <v>6234</v>
      </c>
      <c r="S17" t="s">
        <v>4517</v>
      </c>
      <c r="T17" t="s">
        <v>6233</v>
      </c>
      <c r="U17" t="s">
        <v>4559</v>
      </c>
      <c r="V17" s="5" t="s">
        <v>6235</v>
      </c>
      <c r="W17" s="5"/>
      <c r="X17" s="5"/>
      <c r="Y17" s="5"/>
      <c r="Z17" s="5"/>
    </row>
    <row r="18" spans="1:27">
      <c r="A18" t="s">
        <v>6240</v>
      </c>
      <c r="B18" t="s">
        <v>6240</v>
      </c>
      <c r="D18" t="s">
        <v>6241</v>
      </c>
      <c r="E18" t="s">
        <v>6248</v>
      </c>
      <c r="F18" t="s">
        <v>2655</v>
      </c>
      <c r="G18" t="s">
        <v>6240</v>
      </c>
      <c r="H18" t="s">
        <v>6243</v>
      </c>
      <c r="I18" t="s">
        <v>6242</v>
      </c>
      <c r="J18" t="s">
        <v>6238</v>
      </c>
      <c r="K18" t="s">
        <v>6241</v>
      </c>
      <c r="L18" t="s">
        <v>6240</v>
      </c>
      <c r="M18" t="s">
        <v>25</v>
      </c>
      <c r="N18" t="s">
        <v>6239</v>
      </c>
    </row>
    <row r="19" spans="1:27">
      <c r="A19" t="s">
        <v>6251</v>
      </c>
      <c r="B19" t="s">
        <v>6251</v>
      </c>
      <c r="C19" t="s">
        <v>18803</v>
      </c>
      <c r="D19" t="s">
        <v>6246</v>
      </c>
      <c r="E19" t="s">
        <v>6236</v>
      </c>
      <c r="F19" t="s">
        <v>2655</v>
      </c>
      <c r="G19" t="s">
        <v>6249</v>
      </c>
      <c r="H19" t="s">
        <v>4377</v>
      </c>
      <c r="I19" t="s">
        <v>4794</v>
      </c>
      <c r="J19" t="s">
        <v>6247</v>
      </c>
      <c r="K19" t="s">
        <v>6246</v>
      </c>
      <c r="L19" t="s">
        <v>6245</v>
      </c>
      <c r="M19" t="s">
        <v>25</v>
      </c>
      <c r="N19" t="s">
        <v>6244</v>
      </c>
      <c r="S19" t="s">
        <v>6246</v>
      </c>
      <c r="T19" t="s">
        <v>6254</v>
      </c>
      <c r="U19" t="s">
        <v>4559</v>
      </c>
      <c r="V19" s="5" t="s">
        <v>6255</v>
      </c>
      <c r="W19" s="5"/>
      <c r="X19" s="5"/>
      <c r="Y19" s="5"/>
      <c r="Z19" s="5"/>
    </row>
    <row r="20" spans="1:27">
      <c r="A20" t="s">
        <v>6250</v>
      </c>
      <c r="B20" t="s">
        <v>6250</v>
      </c>
      <c r="C20" t="s">
        <v>6657</v>
      </c>
      <c r="D20" t="s">
        <v>6246</v>
      </c>
      <c r="E20" t="s">
        <v>6236</v>
      </c>
      <c r="F20" t="s">
        <v>2655</v>
      </c>
      <c r="G20" t="s">
        <v>6249</v>
      </c>
      <c r="H20" t="s">
        <v>4377</v>
      </c>
      <c r="I20" t="s">
        <v>4794</v>
      </c>
      <c r="J20" t="s">
        <v>6247</v>
      </c>
      <c r="K20" t="s">
        <v>6246</v>
      </c>
      <c r="L20" t="s">
        <v>6253</v>
      </c>
      <c r="M20" t="s">
        <v>25</v>
      </c>
      <c r="N20" t="s">
        <v>6252</v>
      </c>
    </row>
    <row r="21" spans="1:27" ht="15.75">
      <c r="A21" t="s">
        <v>18804</v>
      </c>
      <c r="B21" t="s">
        <v>18804</v>
      </c>
      <c r="C21" t="s">
        <v>6264</v>
      </c>
      <c r="D21" t="s">
        <v>6265</v>
      </c>
      <c r="E21" t="s">
        <v>6266</v>
      </c>
      <c r="F21" t="s">
        <v>2655</v>
      </c>
      <c r="G21" t="s">
        <v>6267</v>
      </c>
      <c r="H21" t="s">
        <v>4377</v>
      </c>
      <c r="I21" t="s">
        <v>6544</v>
      </c>
      <c r="J21" t="s">
        <v>6268</v>
      </c>
      <c r="K21" t="s">
        <v>6265</v>
      </c>
      <c r="L21" t="s">
        <v>18804</v>
      </c>
      <c r="M21" t="s">
        <v>25</v>
      </c>
      <c r="N21" t="s">
        <v>6270</v>
      </c>
      <c r="S21" t="s">
        <v>6265</v>
      </c>
      <c r="T21" t="s">
        <v>18804</v>
      </c>
      <c r="U21" t="s">
        <v>4559</v>
      </c>
      <c r="V21" s="10" t="s">
        <v>6269</v>
      </c>
      <c r="W21" s="10"/>
      <c r="X21" s="10"/>
      <c r="Y21" s="10"/>
      <c r="Z21" s="10"/>
    </row>
    <row r="22" spans="1:27">
      <c r="A22" t="s">
        <v>6322</v>
      </c>
      <c r="B22" t="s">
        <v>6322</v>
      </c>
      <c r="C22" t="s">
        <v>18805</v>
      </c>
      <c r="D22" t="s">
        <v>6320</v>
      </c>
      <c r="E22" t="s">
        <v>6321</v>
      </c>
      <c r="F22" t="s">
        <v>2655</v>
      </c>
      <c r="G22" t="s">
        <v>6409</v>
      </c>
      <c r="H22" t="s">
        <v>4377</v>
      </c>
      <c r="I22" t="s">
        <v>6543</v>
      </c>
      <c r="J22" t="s">
        <v>6323</v>
      </c>
      <c r="K22" t="s">
        <v>6324</v>
      </c>
      <c r="L22" t="s">
        <v>6322</v>
      </c>
      <c r="M22" t="s">
        <v>25</v>
      </c>
      <c r="N22" t="s">
        <v>6325</v>
      </c>
      <c r="S22" t="s">
        <v>6320</v>
      </c>
      <c r="T22" s="12" t="s">
        <v>6319</v>
      </c>
      <c r="U22" t="s">
        <v>4559</v>
      </c>
      <c r="V22" s="5" t="s">
        <v>6318</v>
      </c>
      <c r="W22" s="5"/>
      <c r="X22" s="5"/>
      <c r="Y22" s="5"/>
      <c r="Z22" s="5"/>
    </row>
    <row r="23" spans="1:27">
      <c r="A23" t="s">
        <v>6326</v>
      </c>
      <c r="B23" t="s">
        <v>6326</v>
      </c>
      <c r="C23" t="s">
        <v>6327</v>
      </c>
      <c r="D23" t="s">
        <v>4517</v>
      </c>
      <c r="E23" t="s">
        <v>6236</v>
      </c>
      <c r="F23" t="s">
        <v>2655</v>
      </c>
      <c r="G23" s="13" t="s">
        <v>6326</v>
      </c>
      <c r="H23" t="s">
        <v>4377</v>
      </c>
      <c r="I23" t="s">
        <v>4793</v>
      </c>
      <c r="J23" t="s">
        <v>6329</v>
      </c>
      <c r="K23" t="s">
        <v>4517</v>
      </c>
      <c r="L23" t="s">
        <v>6326</v>
      </c>
      <c r="M23" t="s">
        <v>25</v>
      </c>
      <c r="N23" t="s">
        <v>6328</v>
      </c>
      <c r="S23" t="s">
        <v>4517</v>
      </c>
      <c r="T23" s="5" t="s">
        <v>6326</v>
      </c>
      <c r="U23" t="s">
        <v>4559</v>
      </c>
      <c r="V23" s="5" t="s">
        <v>6330</v>
      </c>
      <c r="W23" s="5"/>
      <c r="X23" s="5"/>
      <c r="Y23" s="5"/>
      <c r="Z23" s="5"/>
    </row>
    <row r="24" spans="1:27">
      <c r="A24" t="s">
        <v>6339</v>
      </c>
      <c r="B24" t="s">
        <v>6339</v>
      </c>
      <c r="C24" t="s">
        <v>8094</v>
      </c>
      <c r="D24" t="s">
        <v>21</v>
      </c>
      <c r="E24" t="s">
        <v>6236</v>
      </c>
      <c r="F24" t="s">
        <v>2655</v>
      </c>
      <c r="G24" t="s">
        <v>6333</v>
      </c>
      <c r="H24" t="s">
        <v>4377</v>
      </c>
      <c r="I24" t="s">
        <v>4793</v>
      </c>
      <c r="J24" t="s">
        <v>6337</v>
      </c>
      <c r="K24" t="s">
        <v>6338</v>
      </c>
      <c r="L24" t="s">
        <v>6339</v>
      </c>
      <c r="M24" t="s">
        <v>25</v>
      </c>
      <c r="N24" t="s">
        <v>8092</v>
      </c>
      <c r="S24" t="s">
        <v>6338</v>
      </c>
      <c r="T24" s="5" t="s">
        <v>6339</v>
      </c>
      <c r="U24" t="s">
        <v>4559</v>
      </c>
      <c r="V24" s="5" t="s">
        <v>6340</v>
      </c>
      <c r="W24" s="5"/>
      <c r="X24" s="5"/>
      <c r="Y24" s="5"/>
      <c r="Z24" s="5"/>
    </row>
    <row r="25" spans="1:27">
      <c r="A25" t="s">
        <v>6334</v>
      </c>
      <c r="B25" t="s">
        <v>6334</v>
      </c>
      <c r="C25" t="s">
        <v>6335</v>
      </c>
      <c r="D25" t="s">
        <v>21</v>
      </c>
      <c r="E25" t="s">
        <v>6236</v>
      </c>
      <c r="F25" t="s">
        <v>2655</v>
      </c>
      <c r="G25" t="s">
        <v>6333</v>
      </c>
      <c r="H25" t="s">
        <v>4377</v>
      </c>
      <c r="I25" t="s">
        <v>4793</v>
      </c>
      <c r="J25" t="s">
        <v>8093</v>
      </c>
      <c r="K25" t="s">
        <v>6336</v>
      </c>
      <c r="L25" t="s">
        <v>6334</v>
      </c>
      <c r="M25" t="s">
        <v>25</v>
      </c>
      <c r="N25" t="s">
        <v>8095</v>
      </c>
      <c r="S25" t="s">
        <v>8091</v>
      </c>
      <c r="T25" s="5" t="s">
        <v>6334</v>
      </c>
      <c r="U25" t="s">
        <v>4559</v>
      </c>
      <c r="V25" s="31" t="s">
        <v>8090</v>
      </c>
      <c r="W25" s="31"/>
      <c r="X25" s="31"/>
      <c r="Y25" s="31"/>
      <c r="Z25" s="31"/>
    </row>
    <row r="26" spans="1:27">
      <c r="A26" t="s">
        <v>6580</v>
      </c>
      <c r="B26" t="s">
        <v>6580</v>
      </c>
      <c r="C26" t="s">
        <v>6581</v>
      </c>
      <c r="D26" t="s">
        <v>4526</v>
      </c>
      <c r="E26" t="s">
        <v>6236</v>
      </c>
      <c r="F26" t="s">
        <v>2655</v>
      </c>
      <c r="G26" t="s">
        <v>6582</v>
      </c>
      <c r="H26" t="s">
        <v>4377</v>
      </c>
      <c r="I26" t="s">
        <v>4794</v>
      </c>
      <c r="J26" t="s">
        <v>6583</v>
      </c>
      <c r="S26" t="s">
        <v>4526</v>
      </c>
      <c r="T26" t="s">
        <v>6584</v>
      </c>
      <c r="U26" t="s">
        <v>4559</v>
      </c>
      <c r="V26" t="s">
        <v>6585</v>
      </c>
      <c r="AA26" t="s">
        <v>4727</v>
      </c>
    </row>
    <row r="27" spans="1:27">
      <c r="A27" t="s">
        <v>6622</v>
      </c>
      <c r="C27" t="s">
        <v>6623</v>
      </c>
      <c r="D27" t="s">
        <v>6624</v>
      </c>
      <c r="E27" t="s">
        <v>4372</v>
      </c>
      <c r="F27" t="s">
        <v>2655</v>
      </c>
      <c r="G27" t="s">
        <v>6625</v>
      </c>
      <c r="H27" t="s">
        <v>4376</v>
      </c>
      <c r="I27" t="s">
        <v>4798</v>
      </c>
      <c r="J27" t="s">
        <v>6626</v>
      </c>
      <c r="K27" t="s">
        <v>6627</v>
      </c>
      <c r="L27" t="s">
        <v>6622</v>
      </c>
      <c r="M27" t="s">
        <v>25</v>
      </c>
      <c r="N27" t="s">
        <v>6628</v>
      </c>
      <c r="S27" t="s">
        <v>6629</v>
      </c>
      <c r="T27" t="s">
        <v>6630</v>
      </c>
      <c r="U27" t="s">
        <v>4559</v>
      </c>
      <c r="V27" t="s">
        <v>6631</v>
      </c>
    </row>
    <row r="28" spans="1:27" ht="15.75">
      <c r="A28" t="s">
        <v>6707</v>
      </c>
      <c r="B28" t="s">
        <v>6707</v>
      </c>
      <c r="C28" t="s">
        <v>18806</v>
      </c>
      <c r="D28" t="s">
        <v>6708</v>
      </c>
      <c r="E28" t="s">
        <v>6709</v>
      </c>
      <c r="F28" t="s">
        <v>2655</v>
      </c>
      <c r="G28" t="s">
        <v>6707</v>
      </c>
      <c r="H28" t="s">
        <v>6243</v>
      </c>
      <c r="I28" t="s">
        <v>6710</v>
      </c>
      <c r="J28" s="26" t="s">
        <v>6711</v>
      </c>
      <c r="K28" t="s">
        <v>6713</v>
      </c>
      <c r="L28" t="s">
        <v>6712</v>
      </c>
      <c r="M28" t="s">
        <v>25</v>
      </c>
      <c r="N28" t="s">
        <v>6714</v>
      </c>
      <c r="T28" s="10"/>
      <c r="V28" s="10"/>
      <c r="W28" s="10"/>
      <c r="X28" s="10"/>
      <c r="Y28" s="10"/>
      <c r="Z28" s="10"/>
    </row>
    <row r="29" spans="1:27" ht="15.75">
      <c r="A29" t="s">
        <v>6715</v>
      </c>
      <c r="B29" t="s">
        <v>6715</v>
      </c>
      <c r="C29" t="s">
        <v>6725</v>
      </c>
      <c r="D29" t="s">
        <v>4517</v>
      </c>
      <c r="E29" t="s">
        <v>6726</v>
      </c>
      <c r="F29" t="s">
        <v>2655</v>
      </c>
      <c r="G29" t="s">
        <v>6715</v>
      </c>
      <c r="H29" t="s">
        <v>6243</v>
      </c>
      <c r="I29" t="s">
        <v>6727</v>
      </c>
      <c r="J29" s="26" t="s">
        <v>6728</v>
      </c>
      <c r="K29" t="s">
        <v>4517</v>
      </c>
      <c r="L29" t="s">
        <v>6730</v>
      </c>
      <c r="M29" t="s">
        <v>25</v>
      </c>
      <c r="N29" t="s">
        <v>6729</v>
      </c>
      <c r="S29" t="s">
        <v>4517</v>
      </c>
      <c r="T29" t="s">
        <v>6730</v>
      </c>
      <c r="U29" t="s">
        <v>4559</v>
      </c>
      <c r="V29" s="10" t="s">
        <v>6731</v>
      </c>
      <c r="W29" s="10"/>
      <c r="X29" s="10"/>
      <c r="Y29" s="10"/>
      <c r="Z29" s="10"/>
    </row>
    <row r="30" spans="1:27">
      <c r="A30" t="s">
        <v>6741</v>
      </c>
      <c r="B30" t="s">
        <v>6741</v>
      </c>
      <c r="C30" t="s">
        <v>6742</v>
      </c>
      <c r="D30" t="s">
        <v>6743</v>
      </c>
      <c r="E30" t="s">
        <v>6744</v>
      </c>
      <c r="F30" t="s">
        <v>2655</v>
      </c>
      <c r="G30" t="s">
        <v>6741</v>
      </c>
      <c r="H30" t="s">
        <v>6243</v>
      </c>
      <c r="I30" t="s">
        <v>6745</v>
      </c>
      <c r="J30" s="26" t="s">
        <v>6746</v>
      </c>
      <c r="K30" t="s">
        <v>6713</v>
      </c>
    </row>
    <row r="31" spans="1:27" ht="15.75">
      <c r="A31" t="s">
        <v>6747</v>
      </c>
      <c r="B31" t="s">
        <v>6747</v>
      </c>
      <c r="C31" t="s">
        <v>6748</v>
      </c>
      <c r="D31" t="s">
        <v>4517</v>
      </c>
      <c r="E31" t="s">
        <v>6749</v>
      </c>
      <c r="F31" t="s">
        <v>2655</v>
      </c>
      <c r="G31" s="13" t="s">
        <v>6747</v>
      </c>
      <c r="H31" t="s">
        <v>6243</v>
      </c>
      <c r="I31" t="s">
        <v>6750</v>
      </c>
      <c r="J31" t="s">
        <v>6751</v>
      </c>
      <c r="K31" t="s">
        <v>4517</v>
      </c>
      <c r="L31" t="s">
        <v>6753</v>
      </c>
      <c r="M31" t="s">
        <v>25</v>
      </c>
      <c r="N31" t="s">
        <v>6752</v>
      </c>
      <c r="S31" t="s">
        <v>4517</v>
      </c>
      <c r="T31" s="10" t="s">
        <v>6753</v>
      </c>
      <c r="U31" t="s">
        <v>4559</v>
      </c>
      <c r="V31" s="10" t="s">
        <v>6754</v>
      </c>
      <c r="W31" s="10"/>
      <c r="X31" s="10"/>
      <c r="Y31" s="10"/>
      <c r="Z31" s="10"/>
    </row>
    <row r="32" spans="1:27">
      <c r="A32" t="s">
        <v>6774</v>
      </c>
      <c r="B32" t="s">
        <v>6774</v>
      </c>
      <c r="C32" t="s">
        <v>18807</v>
      </c>
      <c r="D32" t="s">
        <v>4517</v>
      </c>
      <c r="E32" t="s">
        <v>6775</v>
      </c>
      <c r="F32" t="s">
        <v>2655</v>
      </c>
      <c r="G32" t="s">
        <v>6774</v>
      </c>
      <c r="H32" t="s">
        <v>4376</v>
      </c>
      <c r="I32" t="s">
        <v>13859</v>
      </c>
      <c r="J32" t="s">
        <v>6779</v>
      </c>
      <c r="K32" t="s">
        <v>4517</v>
      </c>
      <c r="L32" t="s">
        <v>6776</v>
      </c>
      <c r="M32" t="s">
        <v>25</v>
      </c>
      <c r="N32" t="s">
        <v>6776</v>
      </c>
      <c r="S32" t="s">
        <v>4517</v>
      </c>
      <c r="T32" s="5" t="s">
        <v>6776</v>
      </c>
      <c r="U32" t="s">
        <v>4559</v>
      </c>
      <c r="V32" s="5" t="s">
        <v>6777</v>
      </c>
      <c r="W32" s="5"/>
      <c r="X32" s="5"/>
      <c r="Y32" s="5"/>
      <c r="Z32" s="5"/>
    </row>
    <row r="33" spans="1:27">
      <c r="A33" t="s">
        <v>6785</v>
      </c>
      <c r="B33" t="s">
        <v>6785</v>
      </c>
      <c r="C33" t="s">
        <v>18808</v>
      </c>
      <c r="D33" t="s">
        <v>4517</v>
      </c>
      <c r="E33" t="s">
        <v>6236</v>
      </c>
      <c r="F33" t="s">
        <v>2655</v>
      </c>
      <c r="G33" t="s">
        <v>6780</v>
      </c>
      <c r="H33" t="s">
        <v>4376</v>
      </c>
      <c r="I33" t="s">
        <v>4789</v>
      </c>
      <c r="J33" t="s">
        <v>6781</v>
      </c>
      <c r="K33" t="s">
        <v>4517</v>
      </c>
      <c r="L33" t="s">
        <v>6783</v>
      </c>
      <c r="M33" t="s">
        <v>25</v>
      </c>
      <c r="N33" t="s">
        <v>6782</v>
      </c>
      <c r="S33" t="s">
        <v>4517</v>
      </c>
      <c r="T33" t="s">
        <v>6783</v>
      </c>
      <c r="U33" t="s">
        <v>4559</v>
      </c>
      <c r="V33" s="5" t="s">
        <v>6784</v>
      </c>
      <c r="W33" s="5"/>
      <c r="X33" s="5"/>
      <c r="Y33" s="5"/>
      <c r="Z33" s="5"/>
    </row>
    <row r="34" spans="1:27">
      <c r="A34" t="s">
        <v>6959</v>
      </c>
      <c r="B34" t="s">
        <v>6959</v>
      </c>
      <c r="C34" t="s">
        <v>18809</v>
      </c>
      <c r="D34" t="s">
        <v>4517</v>
      </c>
      <c r="E34" t="s">
        <v>6960</v>
      </c>
      <c r="F34" t="s">
        <v>2655</v>
      </c>
      <c r="G34" t="s">
        <v>6961</v>
      </c>
      <c r="H34" t="s">
        <v>4376</v>
      </c>
      <c r="I34" t="s">
        <v>6962</v>
      </c>
      <c r="J34" s="26" t="s">
        <v>6963</v>
      </c>
      <c r="K34" t="s">
        <v>4517</v>
      </c>
      <c r="L34" t="s">
        <v>6959</v>
      </c>
      <c r="M34" t="s">
        <v>25</v>
      </c>
      <c r="N34" t="s">
        <v>6964</v>
      </c>
    </row>
    <row r="35" spans="1:27" ht="15.75">
      <c r="A35" t="s">
        <v>18810</v>
      </c>
      <c r="B35" t="s">
        <v>18810</v>
      </c>
      <c r="C35" t="s">
        <v>7002</v>
      </c>
      <c r="D35" t="s">
        <v>7000</v>
      </c>
      <c r="E35" t="s">
        <v>4553</v>
      </c>
      <c r="F35" t="s">
        <v>7005</v>
      </c>
      <c r="G35" t="s">
        <v>11110</v>
      </c>
      <c r="H35" t="s">
        <v>4376</v>
      </c>
      <c r="I35" t="s">
        <v>4799</v>
      </c>
      <c r="J35" s="26" t="s">
        <v>7001</v>
      </c>
      <c r="K35" t="s">
        <v>7000</v>
      </c>
      <c r="L35" t="s">
        <v>18810</v>
      </c>
      <c r="M35" t="s">
        <v>25</v>
      </c>
      <c r="N35" t="s">
        <v>6999</v>
      </c>
      <c r="S35" t="s">
        <v>7004</v>
      </c>
      <c r="T35" s="10" t="s">
        <v>18811</v>
      </c>
      <c r="U35" t="s">
        <v>4559</v>
      </c>
      <c r="V35" s="10" t="s">
        <v>7003</v>
      </c>
      <c r="W35" s="10"/>
      <c r="X35" s="10"/>
      <c r="Y35" s="10"/>
      <c r="Z35" s="10"/>
    </row>
    <row r="36" spans="1:27">
      <c r="A36" t="s">
        <v>7820</v>
      </c>
      <c r="B36" t="s">
        <v>7820</v>
      </c>
      <c r="C36" t="s">
        <v>18812</v>
      </c>
      <c r="D36" t="s">
        <v>7821</v>
      </c>
      <c r="E36" t="s">
        <v>4372</v>
      </c>
      <c r="F36" t="s">
        <v>2655</v>
      </c>
      <c r="G36" t="s">
        <v>4370</v>
      </c>
      <c r="H36" t="s">
        <v>4376</v>
      </c>
      <c r="I36" t="s">
        <v>4798</v>
      </c>
      <c r="J36" t="s">
        <v>7822</v>
      </c>
      <c r="S36" t="s">
        <v>7821</v>
      </c>
      <c r="T36" t="s">
        <v>7820</v>
      </c>
      <c r="U36" t="s">
        <v>4559</v>
      </c>
      <c r="V36" t="s">
        <v>7823</v>
      </c>
      <c r="AA36" t="s">
        <v>4727</v>
      </c>
    </row>
    <row r="37" spans="1:27">
      <c r="A37" t="s">
        <v>7932</v>
      </c>
      <c r="B37" t="s">
        <v>7932</v>
      </c>
      <c r="C37" t="s">
        <v>7931</v>
      </c>
      <c r="D37" t="s">
        <v>7933</v>
      </c>
      <c r="E37" t="s">
        <v>7934</v>
      </c>
      <c r="F37" t="s">
        <v>2655</v>
      </c>
      <c r="G37" t="s">
        <v>7937</v>
      </c>
      <c r="J37" t="s">
        <v>7951</v>
      </c>
      <c r="K37" t="s">
        <v>18813</v>
      </c>
      <c r="L37" t="s">
        <v>7957</v>
      </c>
      <c r="M37" t="s">
        <v>25</v>
      </c>
      <c r="N37" t="s">
        <v>7965</v>
      </c>
      <c r="O37" t="s">
        <v>18813</v>
      </c>
      <c r="P37" t="s">
        <v>7955</v>
      </c>
      <c r="Q37" t="s">
        <v>25</v>
      </c>
      <c r="R37" t="s">
        <v>7956</v>
      </c>
    </row>
    <row r="38" spans="1:27">
      <c r="A38" t="s">
        <v>7935</v>
      </c>
      <c r="B38" t="s">
        <v>7935</v>
      </c>
      <c r="C38" t="s">
        <v>7931</v>
      </c>
      <c r="D38" t="s">
        <v>7933</v>
      </c>
      <c r="E38" t="s">
        <v>7936</v>
      </c>
      <c r="F38" t="s">
        <v>2655</v>
      </c>
      <c r="G38" t="s">
        <v>7938</v>
      </c>
      <c r="J38" t="s">
        <v>7951</v>
      </c>
      <c r="K38" t="s">
        <v>18813</v>
      </c>
      <c r="L38" t="s">
        <v>7953</v>
      </c>
      <c r="M38" t="s">
        <v>25</v>
      </c>
      <c r="N38" t="s">
        <v>7954</v>
      </c>
      <c r="O38" t="s">
        <v>18813</v>
      </c>
      <c r="P38" t="s">
        <v>7958</v>
      </c>
      <c r="Q38" t="s">
        <v>25</v>
      </c>
      <c r="R38" t="s">
        <v>7966</v>
      </c>
    </row>
    <row r="39" spans="1:27">
      <c r="A39" t="s">
        <v>7948</v>
      </c>
      <c r="B39" t="s">
        <v>7948</v>
      </c>
      <c r="C39" t="s">
        <v>7950</v>
      </c>
      <c r="D39" t="s">
        <v>7933</v>
      </c>
      <c r="E39" t="s">
        <v>7949</v>
      </c>
      <c r="F39" t="s">
        <v>2655</v>
      </c>
      <c r="G39" t="s">
        <v>7948</v>
      </c>
      <c r="H39" t="s">
        <v>7963</v>
      </c>
      <c r="I39" t="s">
        <v>7964</v>
      </c>
      <c r="J39" t="s">
        <v>7952</v>
      </c>
      <c r="K39" t="s">
        <v>18813</v>
      </c>
      <c r="L39" t="s">
        <v>7959</v>
      </c>
      <c r="M39" t="s">
        <v>25</v>
      </c>
      <c r="N39" t="s">
        <v>7960</v>
      </c>
      <c r="O39" t="s">
        <v>18813</v>
      </c>
      <c r="P39" t="s">
        <v>7961</v>
      </c>
      <c r="Q39" t="s">
        <v>25</v>
      </c>
      <c r="R39" t="s">
        <v>7962</v>
      </c>
      <c r="S39" t="s">
        <v>7933</v>
      </c>
      <c r="T39" t="s">
        <v>7959</v>
      </c>
      <c r="U39" t="s">
        <v>4559</v>
      </c>
      <c r="V39" t="s">
        <v>13595</v>
      </c>
    </row>
    <row r="40" spans="1:27">
      <c r="A40" t="s">
        <v>13826</v>
      </c>
      <c r="B40" t="s">
        <v>13826</v>
      </c>
      <c r="C40" t="s">
        <v>18814</v>
      </c>
      <c r="D40" t="s">
        <v>4517</v>
      </c>
      <c r="E40" t="s">
        <v>13828</v>
      </c>
      <c r="F40" t="s">
        <v>2655</v>
      </c>
      <c r="G40" t="s">
        <v>13830</v>
      </c>
      <c r="H40" t="s">
        <v>6736</v>
      </c>
      <c r="I40" t="s">
        <v>13857</v>
      </c>
      <c r="J40" t="s">
        <v>13832</v>
      </c>
      <c r="K40" t="s">
        <v>4517</v>
      </c>
      <c r="L40" t="s">
        <v>13826</v>
      </c>
      <c r="M40" t="s">
        <v>25</v>
      </c>
      <c r="N40" t="s">
        <v>13833</v>
      </c>
      <c r="S40" t="s">
        <v>6661</v>
      </c>
      <c r="T40" t="s">
        <v>13826</v>
      </c>
      <c r="U40" t="s">
        <v>4559</v>
      </c>
      <c r="V40" t="s">
        <v>13835</v>
      </c>
      <c r="AA40" t="s">
        <v>4727</v>
      </c>
    </row>
    <row r="41" spans="1:27">
      <c r="A41" t="s">
        <v>13827</v>
      </c>
      <c r="B41" t="s">
        <v>13827</v>
      </c>
      <c r="C41" t="s">
        <v>18815</v>
      </c>
      <c r="D41" t="s">
        <v>4517</v>
      </c>
      <c r="E41" t="s">
        <v>13829</v>
      </c>
      <c r="F41" t="s">
        <v>2655</v>
      </c>
      <c r="G41" t="s">
        <v>13831</v>
      </c>
      <c r="H41" t="s">
        <v>4376</v>
      </c>
      <c r="I41" t="s">
        <v>13858</v>
      </c>
      <c r="J41" t="s">
        <v>13832</v>
      </c>
      <c r="K41" t="s">
        <v>4517</v>
      </c>
      <c r="L41" t="s">
        <v>13827</v>
      </c>
      <c r="M41" t="s">
        <v>25</v>
      </c>
      <c r="N41" t="s">
        <v>13834</v>
      </c>
      <c r="S41" t="s">
        <v>6661</v>
      </c>
      <c r="T41" t="s">
        <v>13827</v>
      </c>
      <c r="U41" t="s">
        <v>4559</v>
      </c>
      <c r="V41" t="s">
        <v>13836</v>
      </c>
      <c r="AA41" t="s">
        <v>4727</v>
      </c>
    </row>
    <row r="42" spans="1:27">
      <c r="A42" t="s">
        <v>8471</v>
      </c>
      <c r="B42" t="s">
        <v>8471</v>
      </c>
      <c r="C42" t="s">
        <v>8472</v>
      </c>
      <c r="D42" t="s">
        <v>4517</v>
      </c>
      <c r="E42" s="34" t="s">
        <v>6775</v>
      </c>
      <c r="F42" t="s">
        <v>2655</v>
      </c>
      <c r="G42" t="s">
        <v>8473</v>
      </c>
      <c r="H42" t="s">
        <v>4376</v>
      </c>
      <c r="I42" t="s">
        <v>13858</v>
      </c>
      <c r="J42" t="s">
        <v>8474</v>
      </c>
      <c r="K42" t="s">
        <v>4517</v>
      </c>
      <c r="L42" t="s">
        <v>8471</v>
      </c>
      <c r="M42" t="s">
        <v>25</v>
      </c>
      <c r="N42" t="s">
        <v>8475</v>
      </c>
    </row>
    <row r="43" spans="1:27">
      <c r="A43" t="s">
        <v>8476</v>
      </c>
      <c r="B43" t="s">
        <v>8476</v>
      </c>
      <c r="C43" t="s">
        <v>8477</v>
      </c>
      <c r="D43" t="s">
        <v>8478</v>
      </c>
      <c r="F43" t="s">
        <v>2655</v>
      </c>
      <c r="G43" t="s">
        <v>8479</v>
      </c>
      <c r="H43" t="s">
        <v>7963</v>
      </c>
      <c r="I43" t="s">
        <v>8480</v>
      </c>
      <c r="J43" t="s">
        <v>8481</v>
      </c>
      <c r="K43" t="s">
        <v>8478</v>
      </c>
      <c r="L43" t="s">
        <v>8476</v>
      </c>
      <c r="M43" t="s">
        <v>25</v>
      </c>
      <c r="N43" t="s">
        <v>8482</v>
      </c>
    </row>
    <row r="44" spans="1:27">
      <c r="A44" t="s">
        <v>8483</v>
      </c>
      <c r="B44" t="s">
        <v>8483</v>
      </c>
      <c r="C44" t="s">
        <v>18816</v>
      </c>
      <c r="D44" t="s">
        <v>6713</v>
      </c>
      <c r="E44" t="s">
        <v>6749</v>
      </c>
      <c r="F44" t="s">
        <v>2655</v>
      </c>
      <c r="G44" t="s">
        <v>8484</v>
      </c>
      <c r="H44" t="s">
        <v>6243</v>
      </c>
      <c r="I44" t="s">
        <v>8485</v>
      </c>
      <c r="J44" t="s">
        <v>8486</v>
      </c>
      <c r="K44" t="s">
        <v>6713</v>
      </c>
      <c r="L44" t="s">
        <v>8483</v>
      </c>
      <c r="M44" t="s">
        <v>25</v>
      </c>
      <c r="N44" t="s">
        <v>8487</v>
      </c>
    </row>
    <row r="45" spans="1:27">
      <c r="A45" t="s">
        <v>8488</v>
      </c>
      <c r="B45" t="s">
        <v>8488</v>
      </c>
      <c r="C45" t="s">
        <v>8489</v>
      </c>
      <c r="D45" t="s">
        <v>6624</v>
      </c>
      <c r="E45" t="s">
        <v>6236</v>
      </c>
      <c r="F45" t="s">
        <v>2655</v>
      </c>
      <c r="G45" t="s">
        <v>8490</v>
      </c>
      <c r="H45" t="s">
        <v>4377</v>
      </c>
      <c r="I45" t="s">
        <v>4793</v>
      </c>
      <c r="J45" t="s">
        <v>8491</v>
      </c>
      <c r="K45" t="s">
        <v>6624</v>
      </c>
      <c r="L45" t="s">
        <v>8488</v>
      </c>
      <c r="M45" t="s">
        <v>25</v>
      </c>
      <c r="N45" t="s">
        <v>8492</v>
      </c>
    </row>
    <row r="46" spans="1:27">
      <c r="A46" t="s">
        <v>8503</v>
      </c>
      <c r="B46" t="s">
        <v>8503</v>
      </c>
      <c r="C46" t="s">
        <v>8505</v>
      </c>
      <c r="D46" t="s">
        <v>6624</v>
      </c>
      <c r="E46" t="s">
        <v>4553</v>
      </c>
      <c r="F46" t="s">
        <v>2655</v>
      </c>
      <c r="G46" t="s">
        <v>14046</v>
      </c>
      <c r="H46" t="s">
        <v>4376</v>
      </c>
      <c r="I46" t="s">
        <v>4799</v>
      </c>
      <c r="J46" t="s">
        <v>8502</v>
      </c>
      <c r="K46" t="s">
        <v>6624</v>
      </c>
      <c r="L46" t="s">
        <v>8503</v>
      </c>
      <c r="M46" t="s">
        <v>25</v>
      </c>
      <c r="N46" t="s">
        <v>8504</v>
      </c>
    </row>
    <row r="47" spans="1:27">
      <c r="A47" t="s">
        <v>8507</v>
      </c>
      <c r="B47" t="s">
        <v>8507</v>
      </c>
      <c r="C47" t="s">
        <v>8511</v>
      </c>
      <c r="D47" t="s">
        <v>6624</v>
      </c>
      <c r="E47" t="s">
        <v>8509</v>
      </c>
      <c r="F47" t="s">
        <v>2655</v>
      </c>
      <c r="G47" t="s">
        <v>14046</v>
      </c>
      <c r="H47" t="s">
        <v>4376</v>
      </c>
      <c r="I47" t="s">
        <v>8510</v>
      </c>
      <c r="J47" t="s">
        <v>8506</v>
      </c>
      <c r="K47" t="s">
        <v>6624</v>
      </c>
      <c r="L47" t="s">
        <v>8507</v>
      </c>
      <c r="M47" t="s">
        <v>25</v>
      </c>
      <c r="N47" t="s">
        <v>8508</v>
      </c>
    </row>
    <row r="48" spans="1:27">
      <c r="A48" t="s">
        <v>10673</v>
      </c>
      <c r="B48" t="s">
        <v>10673</v>
      </c>
      <c r="C48" t="s">
        <v>18817</v>
      </c>
      <c r="D48" t="s">
        <v>10664</v>
      </c>
      <c r="E48" t="s">
        <v>10672</v>
      </c>
      <c r="F48" t="s">
        <v>10665</v>
      </c>
      <c r="G48" t="s">
        <v>10683</v>
      </c>
      <c r="H48" t="s">
        <v>10688</v>
      </c>
      <c r="I48" t="s">
        <v>10742</v>
      </c>
      <c r="J48" t="s">
        <v>10690</v>
      </c>
      <c r="K48" t="s">
        <v>7928</v>
      </c>
      <c r="L48" t="s">
        <v>10697</v>
      </c>
      <c r="M48" t="s">
        <v>25</v>
      </c>
      <c r="N48" t="s">
        <v>10698</v>
      </c>
      <c r="S48" t="s">
        <v>7928</v>
      </c>
      <c r="T48" t="s">
        <v>10697</v>
      </c>
      <c r="U48" t="s">
        <v>4559</v>
      </c>
      <c r="V48" t="s">
        <v>10731</v>
      </c>
    </row>
    <row r="49" spans="1:22">
      <c r="A49" t="s">
        <v>10674</v>
      </c>
      <c r="B49" t="s">
        <v>10674</v>
      </c>
      <c r="C49" t="s">
        <v>18818</v>
      </c>
      <c r="D49" t="s">
        <v>10664</v>
      </c>
      <c r="E49" t="s">
        <v>10672</v>
      </c>
      <c r="F49" t="s">
        <v>10665</v>
      </c>
      <c r="G49" t="s">
        <v>10683</v>
      </c>
      <c r="H49" t="s">
        <v>10688</v>
      </c>
      <c r="I49" t="s">
        <v>10742</v>
      </c>
      <c r="J49" t="s">
        <v>10691</v>
      </c>
      <c r="K49" t="s">
        <v>7928</v>
      </c>
      <c r="L49" t="s">
        <v>10701</v>
      </c>
      <c r="M49" t="s">
        <v>25</v>
      </c>
      <c r="N49" t="s">
        <v>10702</v>
      </c>
      <c r="O49" t="s">
        <v>7928</v>
      </c>
      <c r="P49" t="s">
        <v>10703</v>
      </c>
      <c r="Q49" t="s">
        <v>25</v>
      </c>
      <c r="R49" t="s">
        <v>10704</v>
      </c>
      <c r="S49" t="s">
        <v>7928</v>
      </c>
      <c r="T49" t="s">
        <v>10701</v>
      </c>
      <c r="U49" t="s">
        <v>4559</v>
      </c>
      <c r="V49" t="s">
        <v>10732</v>
      </c>
    </row>
    <row r="50" spans="1:22">
      <c r="A50" t="s">
        <v>10675</v>
      </c>
      <c r="B50" t="s">
        <v>10675</v>
      </c>
      <c r="C50" t="s">
        <v>18819</v>
      </c>
      <c r="D50" t="s">
        <v>10664</v>
      </c>
      <c r="E50" t="s">
        <v>10672</v>
      </c>
      <c r="F50" t="s">
        <v>10665</v>
      </c>
      <c r="G50" t="s">
        <v>10683</v>
      </c>
      <c r="H50" t="s">
        <v>10688</v>
      </c>
      <c r="I50" t="s">
        <v>10742</v>
      </c>
      <c r="J50" t="s">
        <v>10692</v>
      </c>
      <c r="K50" t="s">
        <v>7928</v>
      </c>
      <c r="L50" t="s">
        <v>10705</v>
      </c>
      <c r="M50" t="s">
        <v>25</v>
      </c>
      <c r="N50" t="s">
        <v>10706</v>
      </c>
      <c r="O50" t="s">
        <v>7928</v>
      </c>
      <c r="P50" t="s">
        <v>10707</v>
      </c>
      <c r="Q50" t="s">
        <v>25</v>
      </c>
      <c r="R50" t="s">
        <v>10708</v>
      </c>
      <c r="S50" t="s">
        <v>7928</v>
      </c>
      <c r="T50" t="s">
        <v>10705</v>
      </c>
      <c r="U50" t="s">
        <v>4559</v>
      </c>
      <c r="V50" t="s">
        <v>10733</v>
      </c>
    </row>
    <row r="51" spans="1:22">
      <c r="A51" t="s">
        <v>10676</v>
      </c>
      <c r="B51" t="s">
        <v>10676</v>
      </c>
      <c r="C51" t="s">
        <v>18820</v>
      </c>
      <c r="D51" t="s">
        <v>10664</v>
      </c>
      <c r="E51" t="s">
        <v>6709</v>
      </c>
      <c r="F51" t="s">
        <v>10665</v>
      </c>
      <c r="G51" t="s">
        <v>10684</v>
      </c>
      <c r="H51" t="s">
        <v>6243</v>
      </c>
      <c r="I51" t="s">
        <v>10741</v>
      </c>
      <c r="J51" t="s">
        <v>10690</v>
      </c>
      <c r="K51" t="s">
        <v>7928</v>
      </c>
    </row>
    <row r="52" spans="1:22">
      <c r="A52" t="s">
        <v>10677</v>
      </c>
      <c r="B52" t="s">
        <v>10677</v>
      </c>
      <c r="C52" t="s">
        <v>18821</v>
      </c>
      <c r="D52" t="s">
        <v>10664</v>
      </c>
      <c r="E52" t="s">
        <v>6709</v>
      </c>
      <c r="F52" t="s">
        <v>10665</v>
      </c>
      <c r="G52" t="s">
        <v>10684</v>
      </c>
      <c r="H52" t="s">
        <v>6243</v>
      </c>
      <c r="I52" t="s">
        <v>10741</v>
      </c>
      <c r="J52" t="s">
        <v>10691</v>
      </c>
      <c r="K52" t="s">
        <v>7928</v>
      </c>
    </row>
    <row r="53" spans="1:22">
      <c r="A53" t="s">
        <v>10678</v>
      </c>
      <c r="B53" t="s">
        <v>10678</v>
      </c>
      <c r="C53" t="s">
        <v>18822</v>
      </c>
      <c r="D53" t="s">
        <v>10664</v>
      </c>
      <c r="E53" t="s">
        <v>6709</v>
      </c>
      <c r="F53" t="s">
        <v>10665</v>
      </c>
      <c r="G53" t="s">
        <v>10684</v>
      </c>
      <c r="H53" t="s">
        <v>6243</v>
      </c>
      <c r="I53" t="s">
        <v>10741</v>
      </c>
      <c r="J53" t="s">
        <v>10692</v>
      </c>
      <c r="K53" t="s">
        <v>7928</v>
      </c>
      <c r="L53" t="s">
        <v>10709</v>
      </c>
      <c r="M53" t="s">
        <v>25</v>
      </c>
      <c r="N53" t="s">
        <v>10710</v>
      </c>
      <c r="O53" t="s">
        <v>7928</v>
      </c>
      <c r="P53" t="s">
        <v>10711</v>
      </c>
      <c r="Q53" t="s">
        <v>25</v>
      </c>
      <c r="R53" t="s">
        <v>10712</v>
      </c>
      <c r="S53" t="s">
        <v>7928</v>
      </c>
      <c r="T53" t="s">
        <v>10709</v>
      </c>
      <c r="U53" t="s">
        <v>4559</v>
      </c>
      <c r="V53" t="s">
        <v>10734</v>
      </c>
    </row>
    <row r="54" spans="1:22">
      <c r="A54" t="s">
        <v>10668</v>
      </c>
      <c r="B54" t="s">
        <v>10668</v>
      </c>
      <c r="C54" t="s">
        <v>18823</v>
      </c>
      <c r="D54" t="s">
        <v>10664</v>
      </c>
      <c r="E54" t="s">
        <v>7934</v>
      </c>
      <c r="F54" t="s">
        <v>10665</v>
      </c>
      <c r="G54" t="s">
        <v>10685</v>
      </c>
      <c r="H54" t="s">
        <v>10688</v>
      </c>
      <c r="I54" t="s">
        <v>10744</v>
      </c>
      <c r="J54" t="s">
        <v>10693</v>
      </c>
      <c r="K54" t="s">
        <v>7928</v>
      </c>
      <c r="L54" t="s">
        <v>10713</v>
      </c>
      <c r="M54" t="s">
        <v>25</v>
      </c>
      <c r="N54" t="s">
        <v>10714</v>
      </c>
      <c r="S54" t="s">
        <v>7928</v>
      </c>
      <c r="T54" t="s">
        <v>10713</v>
      </c>
      <c r="U54" t="s">
        <v>4559</v>
      </c>
      <c r="V54" t="s">
        <v>10735</v>
      </c>
    </row>
    <row r="55" spans="1:22">
      <c r="A55" t="s">
        <v>10667</v>
      </c>
      <c r="B55" t="s">
        <v>10667</v>
      </c>
      <c r="C55" t="s">
        <v>18824</v>
      </c>
      <c r="D55" t="s">
        <v>10664</v>
      </c>
      <c r="E55" t="s">
        <v>7934</v>
      </c>
      <c r="F55" t="s">
        <v>10665</v>
      </c>
      <c r="G55" t="s">
        <v>10685</v>
      </c>
      <c r="H55" t="s">
        <v>10688</v>
      </c>
      <c r="I55" t="s">
        <v>10744</v>
      </c>
      <c r="J55" t="s">
        <v>10694</v>
      </c>
      <c r="K55" t="s">
        <v>7928</v>
      </c>
      <c r="L55" t="s">
        <v>10715</v>
      </c>
      <c r="M55" t="s">
        <v>25</v>
      </c>
      <c r="N55" t="s">
        <v>10716</v>
      </c>
      <c r="O55" t="s">
        <v>7928</v>
      </c>
      <c r="P55" t="s">
        <v>10699</v>
      </c>
      <c r="Q55" t="s">
        <v>25</v>
      </c>
      <c r="R55" t="s">
        <v>10700</v>
      </c>
      <c r="S55" t="s">
        <v>7928</v>
      </c>
      <c r="T55" t="s">
        <v>10715</v>
      </c>
      <c r="U55" t="s">
        <v>4559</v>
      </c>
      <c r="V55" t="s">
        <v>10736</v>
      </c>
    </row>
    <row r="56" spans="1:22">
      <c r="A56" t="s">
        <v>10663</v>
      </c>
      <c r="B56" t="s">
        <v>10663</v>
      </c>
      <c r="C56" t="s">
        <v>18825</v>
      </c>
      <c r="D56" t="s">
        <v>10664</v>
      </c>
      <c r="E56" t="s">
        <v>7934</v>
      </c>
      <c r="F56" t="s">
        <v>10665</v>
      </c>
      <c r="G56" t="s">
        <v>10685</v>
      </c>
      <c r="H56" t="s">
        <v>10688</v>
      </c>
      <c r="I56" t="s">
        <v>10744</v>
      </c>
      <c r="J56" t="s">
        <v>10666</v>
      </c>
      <c r="K56" t="s">
        <v>7928</v>
      </c>
      <c r="L56" t="s">
        <v>10717</v>
      </c>
      <c r="M56" t="s">
        <v>25</v>
      </c>
      <c r="N56" t="s">
        <v>10718</v>
      </c>
      <c r="O56" t="s">
        <v>7928</v>
      </c>
      <c r="P56" t="s">
        <v>10719</v>
      </c>
      <c r="Q56" t="s">
        <v>25</v>
      </c>
      <c r="R56" t="s">
        <v>10720</v>
      </c>
      <c r="S56" t="s">
        <v>7928</v>
      </c>
      <c r="T56" t="s">
        <v>10717</v>
      </c>
      <c r="U56" t="s">
        <v>4559</v>
      </c>
      <c r="V56" t="s">
        <v>10737</v>
      </c>
    </row>
    <row r="57" spans="1:22">
      <c r="A57" t="s">
        <v>10679</v>
      </c>
      <c r="B57" t="s">
        <v>10679</v>
      </c>
      <c r="C57" t="s">
        <v>18826</v>
      </c>
      <c r="D57" t="s">
        <v>10664</v>
      </c>
      <c r="E57" t="s">
        <v>10682</v>
      </c>
      <c r="F57" t="s">
        <v>10665</v>
      </c>
      <c r="G57" t="s">
        <v>10686</v>
      </c>
      <c r="H57" t="s">
        <v>10689</v>
      </c>
      <c r="I57" t="s">
        <v>10743</v>
      </c>
      <c r="J57" t="s">
        <v>10693</v>
      </c>
      <c r="K57" t="s">
        <v>7928</v>
      </c>
    </row>
    <row r="58" spans="1:22">
      <c r="A58" t="s">
        <v>10680</v>
      </c>
      <c r="B58" t="s">
        <v>10680</v>
      </c>
      <c r="C58" t="s">
        <v>18827</v>
      </c>
      <c r="D58" t="s">
        <v>10664</v>
      </c>
      <c r="E58" t="s">
        <v>10682</v>
      </c>
      <c r="F58" t="s">
        <v>10665</v>
      </c>
      <c r="G58" t="s">
        <v>10686</v>
      </c>
      <c r="H58" t="s">
        <v>10689</v>
      </c>
      <c r="I58" t="s">
        <v>10743</v>
      </c>
      <c r="J58" t="s">
        <v>10694</v>
      </c>
      <c r="K58" t="s">
        <v>7928</v>
      </c>
    </row>
    <row r="59" spans="1:22">
      <c r="A59" t="s">
        <v>10681</v>
      </c>
      <c r="B59" t="s">
        <v>10681</v>
      </c>
      <c r="C59" t="s">
        <v>18828</v>
      </c>
      <c r="D59" t="s">
        <v>10664</v>
      </c>
      <c r="E59" t="s">
        <v>10682</v>
      </c>
      <c r="F59" t="s">
        <v>10665</v>
      </c>
      <c r="G59" t="s">
        <v>10686</v>
      </c>
      <c r="H59" t="s">
        <v>10689</v>
      </c>
      <c r="I59" t="s">
        <v>10743</v>
      </c>
      <c r="J59" t="s">
        <v>10666</v>
      </c>
      <c r="K59" t="s">
        <v>7928</v>
      </c>
      <c r="L59" t="s">
        <v>10721</v>
      </c>
      <c r="M59" t="s">
        <v>25</v>
      </c>
      <c r="N59" t="s">
        <v>10722</v>
      </c>
      <c r="O59" t="s">
        <v>7928</v>
      </c>
      <c r="P59" t="s">
        <v>10730</v>
      </c>
      <c r="Q59" t="s">
        <v>25</v>
      </c>
      <c r="R59" t="s">
        <v>10723</v>
      </c>
      <c r="S59" t="s">
        <v>7928</v>
      </c>
      <c r="T59" t="s">
        <v>10730</v>
      </c>
      <c r="U59" t="s">
        <v>4559</v>
      </c>
      <c r="V59" t="s">
        <v>10738</v>
      </c>
    </row>
    <row r="60" spans="1:22">
      <c r="A60" t="s">
        <v>10670</v>
      </c>
      <c r="B60" t="s">
        <v>10670</v>
      </c>
      <c r="C60" t="s">
        <v>18829</v>
      </c>
      <c r="D60" t="s">
        <v>10664</v>
      </c>
      <c r="E60" t="s">
        <v>10669</v>
      </c>
      <c r="F60" t="s">
        <v>10665</v>
      </c>
      <c r="G60" t="s">
        <v>10687</v>
      </c>
      <c r="H60" t="s">
        <v>10688</v>
      </c>
      <c r="I60" t="s">
        <v>10745</v>
      </c>
      <c r="J60" t="s">
        <v>10695</v>
      </c>
      <c r="K60" t="s">
        <v>7928</v>
      </c>
      <c r="L60" t="s">
        <v>10724</v>
      </c>
      <c r="M60" t="s">
        <v>25</v>
      </c>
      <c r="N60" t="s">
        <v>10725</v>
      </c>
      <c r="S60" t="s">
        <v>7928</v>
      </c>
      <c r="T60" t="s">
        <v>10724</v>
      </c>
      <c r="U60" t="s">
        <v>4559</v>
      </c>
      <c r="V60" t="s">
        <v>10739</v>
      </c>
    </row>
    <row r="61" spans="1:22">
      <c r="A61" t="s">
        <v>10671</v>
      </c>
      <c r="B61" t="s">
        <v>10671</v>
      </c>
      <c r="C61" t="s">
        <v>18830</v>
      </c>
      <c r="D61" t="s">
        <v>10664</v>
      </c>
      <c r="E61" t="s">
        <v>10669</v>
      </c>
      <c r="F61" t="s">
        <v>10665</v>
      </c>
      <c r="G61" t="s">
        <v>10687</v>
      </c>
      <c r="H61" t="s">
        <v>10688</v>
      </c>
      <c r="I61" t="s">
        <v>10745</v>
      </c>
      <c r="J61" t="s">
        <v>10696</v>
      </c>
      <c r="K61" t="s">
        <v>4517</v>
      </c>
      <c r="L61" t="s">
        <v>10726</v>
      </c>
      <c r="M61" t="s">
        <v>25</v>
      </c>
      <c r="N61" t="s">
        <v>10727</v>
      </c>
      <c r="O61" t="s">
        <v>7928</v>
      </c>
      <c r="P61" t="s">
        <v>10728</v>
      </c>
      <c r="Q61" t="s">
        <v>25</v>
      </c>
      <c r="R61" t="s">
        <v>10729</v>
      </c>
      <c r="S61" t="s">
        <v>7928</v>
      </c>
      <c r="T61" t="s">
        <v>10728</v>
      </c>
      <c r="U61" t="s">
        <v>4559</v>
      </c>
      <c r="V61" t="s">
        <v>10740</v>
      </c>
    </row>
    <row r="62" spans="1:22">
      <c r="A62" t="s">
        <v>10771</v>
      </c>
      <c r="B62" t="s">
        <v>10771</v>
      </c>
      <c r="C62" t="s">
        <v>18831</v>
      </c>
      <c r="D62" t="s">
        <v>4517</v>
      </c>
      <c r="E62" t="s">
        <v>10777</v>
      </c>
      <c r="F62" t="s">
        <v>2655</v>
      </c>
      <c r="G62" t="s">
        <v>10771</v>
      </c>
      <c r="H62" t="s">
        <v>6243</v>
      </c>
      <c r="I62" t="s">
        <v>10853</v>
      </c>
      <c r="J62" t="s">
        <v>10779</v>
      </c>
      <c r="K62" t="s">
        <v>4517</v>
      </c>
      <c r="L62" t="s">
        <v>12058</v>
      </c>
      <c r="M62" t="s">
        <v>25</v>
      </c>
      <c r="N62" t="s">
        <v>12059</v>
      </c>
      <c r="O62" t="s">
        <v>4517</v>
      </c>
      <c r="P62" t="s">
        <v>12060</v>
      </c>
      <c r="Q62" t="s">
        <v>25</v>
      </c>
      <c r="R62" t="s">
        <v>12061</v>
      </c>
      <c r="S62" t="s">
        <v>4517</v>
      </c>
      <c r="T62" t="s">
        <v>12058</v>
      </c>
      <c r="U62" t="s">
        <v>4559</v>
      </c>
      <c r="V62" t="s">
        <v>12464</v>
      </c>
    </row>
    <row r="63" spans="1:22">
      <c r="A63" t="s">
        <v>10772</v>
      </c>
      <c r="B63" t="s">
        <v>10772</v>
      </c>
      <c r="C63" t="s">
        <v>18831</v>
      </c>
      <c r="D63" t="s">
        <v>4517</v>
      </c>
      <c r="E63" t="s">
        <v>10778</v>
      </c>
      <c r="F63" t="s">
        <v>2655</v>
      </c>
      <c r="G63" t="s">
        <v>10772</v>
      </c>
      <c r="H63" t="s">
        <v>4377</v>
      </c>
      <c r="I63" t="s">
        <v>10854</v>
      </c>
      <c r="J63" t="s">
        <v>10779</v>
      </c>
      <c r="K63" t="s">
        <v>4517</v>
      </c>
      <c r="L63" t="s">
        <v>12062</v>
      </c>
      <c r="M63" t="s">
        <v>25</v>
      </c>
      <c r="N63" t="s">
        <v>12063</v>
      </c>
      <c r="O63" t="s">
        <v>4517</v>
      </c>
      <c r="P63" t="s">
        <v>12064</v>
      </c>
      <c r="Q63" t="s">
        <v>25</v>
      </c>
      <c r="R63" t="s">
        <v>12065</v>
      </c>
      <c r="S63" t="s">
        <v>4517</v>
      </c>
      <c r="T63" t="s">
        <v>12062</v>
      </c>
      <c r="U63" t="s">
        <v>4559</v>
      </c>
      <c r="V63" t="s">
        <v>12465</v>
      </c>
    </row>
    <row r="64" spans="1:22">
      <c r="A64" t="s">
        <v>10773</v>
      </c>
      <c r="B64" t="s">
        <v>10773</v>
      </c>
      <c r="C64" t="s">
        <v>18832</v>
      </c>
      <c r="D64" t="s">
        <v>4517</v>
      </c>
      <c r="E64" t="s">
        <v>10777</v>
      </c>
      <c r="F64" t="s">
        <v>2655</v>
      </c>
      <c r="G64" t="s">
        <v>10773</v>
      </c>
      <c r="H64" t="s">
        <v>6243</v>
      </c>
      <c r="I64" t="s">
        <v>10853</v>
      </c>
      <c r="J64" t="s">
        <v>10780</v>
      </c>
      <c r="K64" t="s">
        <v>4517</v>
      </c>
      <c r="L64" t="s">
        <v>12066</v>
      </c>
      <c r="M64" t="s">
        <v>25</v>
      </c>
      <c r="N64" t="s">
        <v>12067</v>
      </c>
      <c r="O64" t="s">
        <v>4517</v>
      </c>
      <c r="P64" t="s">
        <v>12068</v>
      </c>
      <c r="Q64" t="s">
        <v>25</v>
      </c>
      <c r="R64" t="s">
        <v>12069</v>
      </c>
      <c r="S64" t="s">
        <v>4517</v>
      </c>
      <c r="T64" t="s">
        <v>12066</v>
      </c>
      <c r="U64" t="s">
        <v>4559</v>
      </c>
      <c r="V64" t="s">
        <v>12466</v>
      </c>
    </row>
    <row r="65" spans="1:22">
      <c r="A65" t="s">
        <v>10774</v>
      </c>
      <c r="B65" t="s">
        <v>10774</v>
      </c>
      <c r="C65" t="s">
        <v>18832</v>
      </c>
      <c r="D65" t="s">
        <v>4517</v>
      </c>
      <c r="E65" t="s">
        <v>10778</v>
      </c>
      <c r="F65" t="s">
        <v>2655</v>
      </c>
      <c r="G65" t="s">
        <v>10774</v>
      </c>
      <c r="H65" t="s">
        <v>4377</v>
      </c>
      <c r="I65" t="s">
        <v>10854</v>
      </c>
      <c r="J65" t="s">
        <v>10780</v>
      </c>
      <c r="K65" t="s">
        <v>4517</v>
      </c>
      <c r="L65" t="s">
        <v>12070</v>
      </c>
      <c r="M65" t="s">
        <v>25</v>
      </c>
      <c r="N65" t="s">
        <v>12071</v>
      </c>
      <c r="O65" t="s">
        <v>4517</v>
      </c>
      <c r="P65" t="s">
        <v>12072</v>
      </c>
      <c r="Q65" t="s">
        <v>25</v>
      </c>
      <c r="R65" t="s">
        <v>12073</v>
      </c>
      <c r="S65" t="s">
        <v>4517</v>
      </c>
      <c r="T65" t="s">
        <v>12070</v>
      </c>
      <c r="U65" t="s">
        <v>4559</v>
      </c>
      <c r="V65" t="s">
        <v>12467</v>
      </c>
    </row>
    <row r="66" spans="1:22">
      <c r="A66" t="s">
        <v>10775</v>
      </c>
      <c r="B66" t="s">
        <v>10775</v>
      </c>
      <c r="C66" t="s">
        <v>18833</v>
      </c>
      <c r="D66" t="s">
        <v>4517</v>
      </c>
      <c r="E66" t="s">
        <v>10777</v>
      </c>
      <c r="F66" t="s">
        <v>2655</v>
      </c>
      <c r="G66" t="s">
        <v>10775</v>
      </c>
      <c r="H66" t="s">
        <v>6243</v>
      </c>
      <c r="I66" t="s">
        <v>10853</v>
      </c>
      <c r="J66" t="s">
        <v>10781</v>
      </c>
      <c r="K66" t="s">
        <v>4517</v>
      </c>
      <c r="L66" t="s">
        <v>12074</v>
      </c>
      <c r="M66" t="s">
        <v>25</v>
      </c>
      <c r="N66" t="s">
        <v>12075</v>
      </c>
      <c r="O66" t="s">
        <v>4517</v>
      </c>
      <c r="P66" t="s">
        <v>12076</v>
      </c>
      <c r="Q66" t="s">
        <v>25</v>
      </c>
      <c r="R66" t="s">
        <v>12077</v>
      </c>
      <c r="S66" t="s">
        <v>4517</v>
      </c>
      <c r="T66" t="s">
        <v>12074</v>
      </c>
      <c r="U66" t="s">
        <v>4559</v>
      </c>
      <c r="V66" t="s">
        <v>12468</v>
      </c>
    </row>
    <row r="67" spans="1:22">
      <c r="A67" t="s">
        <v>10776</v>
      </c>
      <c r="B67" t="s">
        <v>10776</v>
      </c>
      <c r="C67" t="s">
        <v>18833</v>
      </c>
      <c r="D67" t="s">
        <v>4517</v>
      </c>
      <c r="E67" t="s">
        <v>10778</v>
      </c>
      <c r="F67" t="s">
        <v>2655</v>
      </c>
      <c r="G67" t="s">
        <v>10776</v>
      </c>
      <c r="H67" t="s">
        <v>4377</v>
      </c>
      <c r="I67" t="s">
        <v>10854</v>
      </c>
      <c r="J67" t="s">
        <v>10781</v>
      </c>
      <c r="K67" t="s">
        <v>4517</v>
      </c>
      <c r="L67" t="s">
        <v>12078</v>
      </c>
      <c r="M67" t="s">
        <v>25</v>
      </c>
      <c r="N67" t="s">
        <v>12079</v>
      </c>
      <c r="O67" t="s">
        <v>4517</v>
      </c>
      <c r="P67" t="s">
        <v>12080</v>
      </c>
      <c r="Q67" t="s">
        <v>25</v>
      </c>
      <c r="R67" t="s">
        <v>12081</v>
      </c>
      <c r="S67" t="s">
        <v>4517</v>
      </c>
      <c r="T67" t="s">
        <v>12078</v>
      </c>
      <c r="U67" t="s">
        <v>4559</v>
      </c>
      <c r="V67" t="s">
        <v>12469</v>
      </c>
    </row>
    <row r="68" spans="1:22">
      <c r="A68" t="s">
        <v>10782</v>
      </c>
      <c r="B68" t="s">
        <v>10782</v>
      </c>
      <c r="C68" t="s">
        <v>10786</v>
      </c>
      <c r="D68" t="s">
        <v>6732</v>
      </c>
      <c r="E68" t="s">
        <v>2656</v>
      </c>
      <c r="F68" t="s">
        <v>2655</v>
      </c>
      <c r="G68" t="s">
        <v>10791</v>
      </c>
      <c r="H68" t="s">
        <v>4376</v>
      </c>
      <c r="I68" t="s">
        <v>4789</v>
      </c>
      <c r="J68" t="s">
        <v>10794</v>
      </c>
      <c r="K68" t="s">
        <v>6732</v>
      </c>
      <c r="L68" t="s">
        <v>10799</v>
      </c>
      <c r="M68" t="s">
        <v>25</v>
      </c>
      <c r="N68" t="s">
        <v>10800</v>
      </c>
      <c r="O68" t="s">
        <v>6732</v>
      </c>
      <c r="P68" t="s">
        <v>10801</v>
      </c>
      <c r="Q68" t="s">
        <v>25</v>
      </c>
      <c r="R68" t="s">
        <v>10802</v>
      </c>
      <c r="S68" t="s">
        <v>6732</v>
      </c>
      <c r="T68" t="s">
        <v>10782</v>
      </c>
      <c r="U68" t="s">
        <v>4559</v>
      </c>
      <c r="V68" t="s">
        <v>10824</v>
      </c>
    </row>
    <row r="69" spans="1:22">
      <c r="A69" t="s">
        <v>10783</v>
      </c>
      <c r="B69" t="s">
        <v>10783</v>
      </c>
      <c r="C69" t="s">
        <v>10787</v>
      </c>
      <c r="D69" t="s">
        <v>6732</v>
      </c>
      <c r="E69" t="s">
        <v>2656</v>
      </c>
      <c r="F69" t="s">
        <v>2655</v>
      </c>
      <c r="G69" t="s">
        <v>10791</v>
      </c>
      <c r="H69" t="s">
        <v>4376</v>
      </c>
      <c r="I69" t="s">
        <v>4789</v>
      </c>
      <c r="J69" t="s">
        <v>10794</v>
      </c>
      <c r="K69" t="s">
        <v>6732</v>
      </c>
      <c r="L69" t="s">
        <v>10820</v>
      </c>
      <c r="M69" t="s">
        <v>25</v>
      </c>
      <c r="N69" t="s">
        <v>10821</v>
      </c>
      <c r="O69" t="s">
        <v>6732</v>
      </c>
      <c r="P69" t="s">
        <v>10822</v>
      </c>
      <c r="Q69" t="s">
        <v>25</v>
      </c>
      <c r="R69" t="s">
        <v>10823</v>
      </c>
      <c r="S69" t="s">
        <v>6732</v>
      </c>
      <c r="T69" t="s">
        <v>10783</v>
      </c>
      <c r="U69" t="s">
        <v>4559</v>
      </c>
      <c r="V69" t="s">
        <v>10825</v>
      </c>
    </row>
    <row r="70" spans="1:22">
      <c r="A70" t="s">
        <v>10784</v>
      </c>
      <c r="B70" t="s">
        <v>10784</v>
      </c>
      <c r="C70" t="s">
        <v>10788</v>
      </c>
      <c r="D70" t="s">
        <v>6732</v>
      </c>
      <c r="E70" t="s">
        <v>4553</v>
      </c>
      <c r="F70" t="s">
        <v>2655</v>
      </c>
      <c r="G70" t="s">
        <v>10792</v>
      </c>
      <c r="H70" t="s">
        <v>4376</v>
      </c>
      <c r="I70" t="s">
        <v>8877</v>
      </c>
      <c r="J70" t="s">
        <v>10794</v>
      </c>
      <c r="K70" t="s">
        <v>6732</v>
      </c>
      <c r="L70" t="s">
        <v>10795</v>
      </c>
      <c r="M70" t="s">
        <v>25</v>
      </c>
      <c r="N70" t="s">
        <v>10796</v>
      </c>
      <c r="S70" t="s">
        <v>6732</v>
      </c>
      <c r="T70" t="s">
        <v>10784</v>
      </c>
      <c r="U70" t="s">
        <v>4559</v>
      </c>
      <c r="V70" t="s">
        <v>10826</v>
      </c>
    </row>
    <row r="71" spans="1:22">
      <c r="A71" t="s">
        <v>10785</v>
      </c>
      <c r="B71" t="s">
        <v>10785</v>
      </c>
      <c r="C71" t="s">
        <v>10789</v>
      </c>
      <c r="D71" t="s">
        <v>6732</v>
      </c>
      <c r="E71" t="s">
        <v>10790</v>
      </c>
      <c r="F71" t="s">
        <v>2655</v>
      </c>
      <c r="G71" t="s">
        <v>10793</v>
      </c>
      <c r="H71" t="s">
        <v>6736</v>
      </c>
      <c r="I71" t="s">
        <v>10803</v>
      </c>
      <c r="J71" t="s">
        <v>10794</v>
      </c>
      <c r="K71" t="s">
        <v>6732</v>
      </c>
      <c r="L71" t="s">
        <v>10797</v>
      </c>
      <c r="M71" t="s">
        <v>25</v>
      </c>
      <c r="N71" t="s">
        <v>10798</v>
      </c>
      <c r="S71" t="s">
        <v>6732</v>
      </c>
      <c r="T71" t="s">
        <v>10785</v>
      </c>
      <c r="U71" t="s">
        <v>4559</v>
      </c>
      <c r="V71" t="s">
        <v>10827</v>
      </c>
    </row>
    <row r="72" spans="1:22">
      <c r="A72" t="s">
        <v>10844</v>
      </c>
      <c r="B72" t="s">
        <v>10844</v>
      </c>
      <c r="C72" t="s">
        <v>10845</v>
      </c>
      <c r="D72" t="s">
        <v>6218</v>
      </c>
      <c r="E72" t="s">
        <v>10851</v>
      </c>
      <c r="F72" t="s">
        <v>2655</v>
      </c>
      <c r="G72" t="s">
        <v>10844</v>
      </c>
      <c r="H72" t="s">
        <v>4377</v>
      </c>
      <c r="I72" t="s">
        <v>10850</v>
      </c>
      <c r="J72" t="s">
        <v>10846</v>
      </c>
      <c r="K72" t="s">
        <v>6218</v>
      </c>
      <c r="L72" t="s">
        <v>10847</v>
      </c>
      <c r="M72" t="s">
        <v>25</v>
      </c>
      <c r="N72" t="s">
        <v>10848</v>
      </c>
      <c r="S72" t="s">
        <v>6218</v>
      </c>
      <c r="T72" t="s">
        <v>10847</v>
      </c>
      <c r="U72" t="s">
        <v>4559</v>
      </c>
      <c r="V72" t="s">
        <v>10849</v>
      </c>
    </row>
    <row r="73" spans="1:22">
      <c r="A73" t="s">
        <v>10945</v>
      </c>
      <c r="B73" t="s">
        <v>10945</v>
      </c>
      <c r="C73" t="s">
        <v>18834</v>
      </c>
      <c r="D73" t="s">
        <v>4517</v>
      </c>
      <c r="F73" t="s">
        <v>2655</v>
      </c>
      <c r="G73" t="s">
        <v>10945</v>
      </c>
      <c r="H73" t="s">
        <v>6243</v>
      </c>
      <c r="I73" t="s">
        <v>10946</v>
      </c>
      <c r="J73" t="s">
        <v>10947</v>
      </c>
      <c r="K73" t="s">
        <v>4517</v>
      </c>
      <c r="L73" t="s">
        <v>10951</v>
      </c>
      <c r="M73" t="s">
        <v>25</v>
      </c>
      <c r="N73" t="s">
        <v>10952</v>
      </c>
      <c r="S73" t="s">
        <v>4517</v>
      </c>
      <c r="T73" t="s">
        <v>10951</v>
      </c>
      <c r="U73" t="s">
        <v>4559</v>
      </c>
      <c r="V73" t="s">
        <v>10955</v>
      </c>
    </row>
    <row r="74" spans="1:22">
      <c r="A74" t="s">
        <v>10948</v>
      </c>
      <c r="B74" t="s">
        <v>10948</v>
      </c>
      <c r="C74" t="s">
        <v>18835</v>
      </c>
      <c r="D74" t="s">
        <v>4517</v>
      </c>
      <c r="F74" t="s">
        <v>2655</v>
      </c>
      <c r="G74" t="s">
        <v>10948</v>
      </c>
      <c r="H74" t="s">
        <v>6243</v>
      </c>
      <c r="I74" t="s">
        <v>10949</v>
      </c>
      <c r="J74" t="s">
        <v>10950</v>
      </c>
      <c r="K74" t="s">
        <v>4517</v>
      </c>
      <c r="L74" t="s">
        <v>10953</v>
      </c>
      <c r="M74" t="s">
        <v>25</v>
      </c>
      <c r="N74" t="s">
        <v>10954</v>
      </c>
      <c r="S74" t="s">
        <v>4517</v>
      </c>
      <c r="T74" t="s">
        <v>10953</v>
      </c>
      <c r="U74" t="s">
        <v>4559</v>
      </c>
      <c r="V74" t="s">
        <v>10956</v>
      </c>
    </row>
    <row r="75" spans="1:22">
      <c r="A75" t="s">
        <v>13959</v>
      </c>
      <c r="B75" t="s">
        <v>13959</v>
      </c>
      <c r="C75" t="s">
        <v>13960</v>
      </c>
      <c r="D75" t="s">
        <v>4517</v>
      </c>
      <c r="E75" t="s">
        <v>4435</v>
      </c>
      <c r="F75" t="s">
        <v>2655</v>
      </c>
      <c r="G75" t="s">
        <v>13959</v>
      </c>
      <c r="H75" t="s">
        <v>4377</v>
      </c>
      <c r="I75" t="s">
        <v>11997</v>
      </c>
      <c r="J75" t="s">
        <v>14658</v>
      </c>
      <c r="K75" t="s">
        <v>4517</v>
      </c>
      <c r="L75" t="s">
        <v>13961</v>
      </c>
      <c r="M75" t="s">
        <v>25</v>
      </c>
      <c r="N75" t="s">
        <v>13962</v>
      </c>
      <c r="O75" t="s">
        <v>4517</v>
      </c>
      <c r="P75" t="s">
        <v>13963</v>
      </c>
      <c r="Q75" t="s">
        <v>25</v>
      </c>
      <c r="R75" t="s">
        <v>13964</v>
      </c>
      <c r="S75" t="s">
        <v>6661</v>
      </c>
      <c r="T75" t="s">
        <v>13961</v>
      </c>
      <c r="U75" t="s">
        <v>4559</v>
      </c>
      <c r="V75" t="s">
        <v>13965</v>
      </c>
    </row>
    <row r="76" spans="1:22">
      <c r="A76" t="s">
        <v>10962</v>
      </c>
      <c r="B76" t="s">
        <v>10957</v>
      </c>
      <c r="C76" t="s">
        <v>18836</v>
      </c>
      <c r="D76" t="s">
        <v>6624</v>
      </c>
      <c r="E76" t="s">
        <v>10972</v>
      </c>
      <c r="F76" t="s">
        <v>2655</v>
      </c>
      <c r="G76" t="s">
        <v>10973</v>
      </c>
      <c r="H76" t="s">
        <v>4377</v>
      </c>
      <c r="I76" t="s">
        <v>4794</v>
      </c>
      <c r="J76" t="s">
        <v>10975</v>
      </c>
      <c r="K76" t="s">
        <v>6624</v>
      </c>
      <c r="L76" t="s">
        <v>10976</v>
      </c>
      <c r="M76" t="s">
        <v>25</v>
      </c>
      <c r="N76" t="s">
        <v>10977</v>
      </c>
      <c r="O76" t="s">
        <v>6624</v>
      </c>
      <c r="P76" t="s">
        <v>10978</v>
      </c>
      <c r="Q76" t="s">
        <v>25</v>
      </c>
      <c r="R76" t="s">
        <v>10979</v>
      </c>
      <c r="S76" t="s">
        <v>10982</v>
      </c>
      <c r="T76" t="s">
        <v>10978</v>
      </c>
      <c r="U76" t="s">
        <v>4559</v>
      </c>
      <c r="V76" t="s">
        <v>10983</v>
      </c>
    </row>
    <row r="77" spans="1:22">
      <c r="A77" t="s">
        <v>10963</v>
      </c>
      <c r="B77" t="s">
        <v>10958</v>
      </c>
      <c r="C77" t="s">
        <v>18837</v>
      </c>
      <c r="D77" t="s">
        <v>6624</v>
      </c>
      <c r="E77" t="s">
        <v>10972</v>
      </c>
      <c r="F77" t="s">
        <v>2655</v>
      </c>
      <c r="G77" t="s">
        <v>10973</v>
      </c>
      <c r="H77" t="s">
        <v>4377</v>
      </c>
      <c r="I77" t="s">
        <v>4794</v>
      </c>
      <c r="J77" t="s">
        <v>10975</v>
      </c>
      <c r="K77" t="s">
        <v>6624</v>
      </c>
      <c r="L77" t="s">
        <v>10985</v>
      </c>
      <c r="M77" t="s">
        <v>25</v>
      </c>
      <c r="N77" t="s">
        <v>10986</v>
      </c>
      <c r="O77" t="s">
        <v>6624</v>
      </c>
      <c r="P77" t="s">
        <v>10987</v>
      </c>
      <c r="Q77" t="s">
        <v>25</v>
      </c>
      <c r="R77" t="s">
        <v>10988</v>
      </c>
      <c r="S77" t="s">
        <v>10982</v>
      </c>
      <c r="T77" t="s">
        <v>10985</v>
      </c>
      <c r="U77" t="s">
        <v>4559</v>
      </c>
      <c r="V77" t="s">
        <v>10989</v>
      </c>
    </row>
    <row r="78" spans="1:22">
      <c r="A78" t="s">
        <v>10964</v>
      </c>
      <c r="B78" t="s">
        <v>10959</v>
      </c>
      <c r="C78" t="s">
        <v>18838</v>
      </c>
      <c r="D78" t="s">
        <v>6624</v>
      </c>
      <c r="E78" t="s">
        <v>10972</v>
      </c>
      <c r="F78" t="s">
        <v>2655</v>
      </c>
      <c r="G78" t="s">
        <v>10973</v>
      </c>
      <c r="H78" t="s">
        <v>4377</v>
      </c>
      <c r="I78" t="s">
        <v>4794</v>
      </c>
      <c r="J78" t="s">
        <v>10975</v>
      </c>
      <c r="K78" t="s">
        <v>6624</v>
      </c>
      <c r="L78" t="s">
        <v>10993</v>
      </c>
      <c r="M78" t="s">
        <v>25</v>
      </c>
      <c r="N78" t="s">
        <v>10994</v>
      </c>
      <c r="O78" t="s">
        <v>6624</v>
      </c>
      <c r="P78" t="s">
        <v>10995</v>
      </c>
      <c r="Q78" t="s">
        <v>25</v>
      </c>
      <c r="R78" t="s">
        <v>10996</v>
      </c>
      <c r="S78" t="s">
        <v>10982</v>
      </c>
      <c r="T78" t="s">
        <v>10995</v>
      </c>
      <c r="U78" t="s">
        <v>4559</v>
      </c>
      <c r="V78" t="s">
        <v>10997</v>
      </c>
    </row>
    <row r="79" spans="1:22">
      <c r="A79" t="s">
        <v>10965</v>
      </c>
      <c r="B79" t="s">
        <v>10960</v>
      </c>
      <c r="C79" t="s">
        <v>18839</v>
      </c>
      <c r="D79" t="s">
        <v>6624</v>
      </c>
      <c r="E79" t="s">
        <v>10972</v>
      </c>
      <c r="F79" t="s">
        <v>2655</v>
      </c>
      <c r="G79" t="s">
        <v>10973</v>
      </c>
      <c r="H79" t="s">
        <v>4377</v>
      </c>
      <c r="I79" t="s">
        <v>4794</v>
      </c>
      <c r="J79" t="s">
        <v>10975</v>
      </c>
      <c r="K79" t="s">
        <v>6624</v>
      </c>
      <c r="L79" t="s">
        <v>11007</v>
      </c>
      <c r="M79" t="s">
        <v>25</v>
      </c>
      <c r="N79" t="s">
        <v>11011</v>
      </c>
      <c r="O79" t="s">
        <v>6624</v>
      </c>
      <c r="P79" t="s">
        <v>11012</v>
      </c>
      <c r="Q79" t="s">
        <v>25</v>
      </c>
      <c r="R79" t="s">
        <v>11013</v>
      </c>
      <c r="S79" t="s">
        <v>10982</v>
      </c>
      <c r="T79" t="s">
        <v>11007</v>
      </c>
      <c r="U79" t="s">
        <v>4559</v>
      </c>
      <c r="V79" t="s">
        <v>11008</v>
      </c>
    </row>
    <row r="80" spans="1:22">
      <c r="A80" t="s">
        <v>10966</v>
      </c>
      <c r="B80" t="s">
        <v>10961</v>
      </c>
      <c r="C80" t="s">
        <v>18840</v>
      </c>
      <c r="D80" t="s">
        <v>6624</v>
      </c>
      <c r="E80" t="s">
        <v>10972</v>
      </c>
      <c r="F80" t="s">
        <v>2655</v>
      </c>
      <c r="G80" t="s">
        <v>10973</v>
      </c>
      <c r="H80" t="s">
        <v>4377</v>
      </c>
      <c r="I80" t="s">
        <v>4794</v>
      </c>
      <c r="J80" t="s">
        <v>10975</v>
      </c>
      <c r="K80" t="s">
        <v>6624</v>
      </c>
      <c r="L80" t="s">
        <v>11009</v>
      </c>
      <c r="M80" t="s">
        <v>25</v>
      </c>
      <c r="N80" t="s">
        <v>11014</v>
      </c>
      <c r="O80" t="s">
        <v>6624</v>
      </c>
      <c r="P80" t="s">
        <v>11015</v>
      </c>
      <c r="Q80" t="s">
        <v>25</v>
      </c>
      <c r="R80" t="s">
        <v>11016</v>
      </c>
      <c r="S80" t="s">
        <v>10982</v>
      </c>
      <c r="T80" t="s">
        <v>11009</v>
      </c>
      <c r="U80" t="s">
        <v>4559</v>
      </c>
      <c r="V80" t="s">
        <v>11010</v>
      </c>
    </row>
    <row r="81" spans="1:22">
      <c r="A81" t="s">
        <v>10967</v>
      </c>
      <c r="B81" t="s">
        <v>10957</v>
      </c>
      <c r="C81" t="s">
        <v>18841</v>
      </c>
      <c r="D81" t="s">
        <v>6624</v>
      </c>
      <c r="E81" t="s">
        <v>8075</v>
      </c>
      <c r="F81" t="s">
        <v>2655</v>
      </c>
      <c r="G81" t="s">
        <v>10974</v>
      </c>
      <c r="H81" t="s">
        <v>7963</v>
      </c>
      <c r="I81" t="s">
        <v>11032</v>
      </c>
      <c r="J81" t="s">
        <v>10975</v>
      </c>
      <c r="K81" t="s">
        <v>6624</v>
      </c>
      <c r="L81" t="s">
        <v>10980</v>
      </c>
      <c r="M81" t="s">
        <v>25</v>
      </c>
      <c r="N81" t="s">
        <v>10981</v>
      </c>
      <c r="S81" t="s">
        <v>10982</v>
      </c>
      <c r="T81" t="s">
        <v>10980</v>
      </c>
      <c r="U81" t="s">
        <v>4559</v>
      </c>
      <c r="V81" t="s">
        <v>10984</v>
      </c>
    </row>
    <row r="82" spans="1:22">
      <c r="A82" t="s">
        <v>10968</v>
      </c>
      <c r="B82" t="s">
        <v>10958</v>
      </c>
      <c r="C82" t="s">
        <v>18842</v>
      </c>
      <c r="D82" t="s">
        <v>6624</v>
      </c>
      <c r="E82" t="s">
        <v>8075</v>
      </c>
      <c r="F82" t="s">
        <v>2655</v>
      </c>
      <c r="G82" t="s">
        <v>10974</v>
      </c>
      <c r="H82" t="s">
        <v>7963</v>
      </c>
      <c r="I82" t="s">
        <v>11032</v>
      </c>
      <c r="J82" t="s">
        <v>10975</v>
      </c>
      <c r="K82" t="s">
        <v>6624</v>
      </c>
      <c r="L82" t="s">
        <v>10990</v>
      </c>
      <c r="M82" t="s">
        <v>25</v>
      </c>
      <c r="N82" t="s">
        <v>10992</v>
      </c>
      <c r="S82" t="s">
        <v>10982</v>
      </c>
      <c r="T82" t="s">
        <v>10990</v>
      </c>
      <c r="U82" t="s">
        <v>4559</v>
      </c>
      <c r="V82" t="s">
        <v>10991</v>
      </c>
    </row>
    <row r="83" spans="1:22">
      <c r="A83" t="s">
        <v>10969</v>
      </c>
      <c r="B83" t="s">
        <v>10959</v>
      </c>
      <c r="C83" t="s">
        <v>18843</v>
      </c>
      <c r="D83" t="s">
        <v>6624</v>
      </c>
      <c r="E83" t="s">
        <v>8075</v>
      </c>
      <c r="F83" t="s">
        <v>2655</v>
      </c>
      <c r="G83" t="s">
        <v>10974</v>
      </c>
      <c r="H83" t="s">
        <v>7963</v>
      </c>
      <c r="I83" t="s">
        <v>11032</v>
      </c>
      <c r="J83" t="s">
        <v>10975</v>
      </c>
      <c r="K83" t="s">
        <v>6624</v>
      </c>
      <c r="L83" t="s">
        <v>10998</v>
      </c>
      <c r="M83" t="s">
        <v>25</v>
      </c>
      <c r="N83" t="s">
        <v>10999</v>
      </c>
      <c r="S83" t="s">
        <v>10982</v>
      </c>
      <c r="T83" t="s">
        <v>10998</v>
      </c>
      <c r="U83" t="s">
        <v>4559</v>
      </c>
      <c r="V83" t="s">
        <v>11000</v>
      </c>
    </row>
    <row r="84" spans="1:22">
      <c r="A84" t="s">
        <v>10970</v>
      </c>
      <c r="B84" t="s">
        <v>10960</v>
      </c>
      <c r="C84" t="s">
        <v>18844</v>
      </c>
      <c r="D84" t="s">
        <v>6624</v>
      </c>
      <c r="E84" t="s">
        <v>8075</v>
      </c>
      <c r="F84" t="s">
        <v>2655</v>
      </c>
      <c r="G84" t="s">
        <v>10974</v>
      </c>
      <c r="H84" t="s">
        <v>7963</v>
      </c>
      <c r="I84" t="s">
        <v>11032</v>
      </c>
      <c r="J84" t="s">
        <v>10975</v>
      </c>
      <c r="K84" t="s">
        <v>6624</v>
      </c>
      <c r="L84" t="s">
        <v>11001</v>
      </c>
      <c r="M84" t="s">
        <v>25</v>
      </c>
      <c r="N84" t="s">
        <v>11005</v>
      </c>
      <c r="S84" t="s">
        <v>10982</v>
      </c>
      <c r="T84" t="s">
        <v>11001</v>
      </c>
      <c r="U84" t="s">
        <v>4559</v>
      </c>
      <c r="V84" t="s">
        <v>11002</v>
      </c>
    </row>
    <row r="85" spans="1:22">
      <c r="A85" t="s">
        <v>10971</v>
      </c>
      <c r="B85" t="s">
        <v>10961</v>
      </c>
      <c r="C85" t="s">
        <v>18845</v>
      </c>
      <c r="D85" t="s">
        <v>6624</v>
      </c>
      <c r="E85" t="s">
        <v>8075</v>
      </c>
      <c r="F85" t="s">
        <v>2655</v>
      </c>
      <c r="G85" t="s">
        <v>10974</v>
      </c>
      <c r="H85" t="s">
        <v>7963</v>
      </c>
      <c r="I85" t="s">
        <v>11032</v>
      </c>
      <c r="J85" t="s">
        <v>10975</v>
      </c>
      <c r="K85" t="s">
        <v>6624</v>
      </c>
      <c r="L85" t="s">
        <v>11003</v>
      </c>
      <c r="M85" t="s">
        <v>25</v>
      </c>
      <c r="N85" t="s">
        <v>11006</v>
      </c>
      <c r="S85" t="s">
        <v>10982</v>
      </c>
      <c r="T85" t="s">
        <v>11003</v>
      </c>
      <c r="U85" t="s">
        <v>4559</v>
      </c>
      <c r="V85" t="s">
        <v>11004</v>
      </c>
    </row>
    <row r="86" spans="1:22">
      <c r="A86" t="s">
        <v>11096</v>
      </c>
      <c r="B86" t="s">
        <v>11022</v>
      </c>
      <c r="C86" t="s">
        <v>18846</v>
      </c>
      <c r="D86" t="s">
        <v>4517</v>
      </c>
      <c r="E86" t="s">
        <v>4553</v>
      </c>
      <c r="F86" t="s">
        <v>7005</v>
      </c>
      <c r="G86" t="s">
        <v>11094</v>
      </c>
      <c r="H86" t="s">
        <v>4376</v>
      </c>
      <c r="I86" t="s">
        <v>8877</v>
      </c>
      <c r="J86" t="s">
        <v>11031</v>
      </c>
      <c r="K86" t="s">
        <v>4517</v>
      </c>
      <c r="L86" t="s">
        <v>11017</v>
      </c>
      <c r="M86" t="s">
        <v>25</v>
      </c>
      <c r="N86" t="s">
        <v>11033</v>
      </c>
      <c r="O86" t="s">
        <v>4517</v>
      </c>
      <c r="P86" t="s">
        <v>11018</v>
      </c>
      <c r="Q86" t="s">
        <v>25</v>
      </c>
      <c r="R86" t="s">
        <v>11034</v>
      </c>
      <c r="S86" t="s">
        <v>4517</v>
      </c>
      <c r="T86" t="s">
        <v>11017</v>
      </c>
      <c r="U86" t="s">
        <v>4559</v>
      </c>
      <c r="V86" t="s">
        <v>11044</v>
      </c>
    </row>
    <row r="87" spans="1:22">
      <c r="A87" t="s">
        <v>11105</v>
      </c>
      <c r="B87" t="s">
        <v>11021</v>
      </c>
      <c r="C87" t="s">
        <v>18846</v>
      </c>
      <c r="D87" t="s">
        <v>4517</v>
      </c>
      <c r="E87" t="s">
        <v>11029</v>
      </c>
      <c r="F87" t="s">
        <v>7005</v>
      </c>
      <c r="G87" t="s">
        <v>11095</v>
      </c>
      <c r="H87" t="s">
        <v>4376</v>
      </c>
      <c r="I87" t="s">
        <v>8510</v>
      </c>
      <c r="J87" t="s">
        <v>11031</v>
      </c>
      <c r="K87" t="s">
        <v>4517</v>
      </c>
      <c r="L87" t="s">
        <v>11035</v>
      </c>
      <c r="M87" t="s">
        <v>25</v>
      </c>
      <c r="N87" t="s">
        <v>11037</v>
      </c>
      <c r="O87" t="s">
        <v>4517</v>
      </c>
      <c r="P87" t="s">
        <v>11019</v>
      </c>
      <c r="Q87" t="s">
        <v>25</v>
      </c>
      <c r="R87" t="s">
        <v>11038</v>
      </c>
      <c r="S87" t="s">
        <v>4517</v>
      </c>
      <c r="T87" t="s">
        <v>11035</v>
      </c>
      <c r="U87" t="s">
        <v>4559</v>
      </c>
      <c r="V87" t="s">
        <v>11045</v>
      </c>
    </row>
    <row r="88" spans="1:22">
      <c r="A88" t="s">
        <v>11100</v>
      </c>
      <c r="B88" t="s">
        <v>11023</v>
      </c>
      <c r="C88" t="s">
        <v>18847</v>
      </c>
      <c r="D88" t="s">
        <v>4517</v>
      </c>
      <c r="E88" t="s">
        <v>6332</v>
      </c>
      <c r="F88" t="s">
        <v>7005</v>
      </c>
      <c r="G88" t="s">
        <v>11097</v>
      </c>
      <c r="H88" t="s">
        <v>4377</v>
      </c>
      <c r="I88" t="s">
        <v>11030</v>
      </c>
      <c r="J88" t="s">
        <v>11031</v>
      </c>
      <c r="K88" t="s">
        <v>4517</v>
      </c>
      <c r="L88" t="s">
        <v>11020</v>
      </c>
      <c r="M88" t="s">
        <v>25</v>
      </c>
      <c r="N88" t="s">
        <v>11039</v>
      </c>
      <c r="O88" t="s">
        <v>4517</v>
      </c>
      <c r="P88" t="s">
        <v>11036</v>
      </c>
      <c r="Q88" t="s">
        <v>25</v>
      </c>
      <c r="R88" t="s">
        <v>11040</v>
      </c>
      <c r="S88" t="s">
        <v>4517</v>
      </c>
      <c r="T88" t="s">
        <v>11020</v>
      </c>
      <c r="U88" t="s">
        <v>4559</v>
      </c>
      <c r="V88" t="s">
        <v>11046</v>
      </c>
    </row>
    <row r="89" spans="1:22">
      <c r="A89" t="s">
        <v>11101</v>
      </c>
      <c r="B89" t="s">
        <v>11027</v>
      </c>
      <c r="C89" t="s">
        <v>18847</v>
      </c>
      <c r="D89" t="s">
        <v>4517</v>
      </c>
      <c r="E89" t="s">
        <v>6236</v>
      </c>
      <c r="F89" t="s">
        <v>7005</v>
      </c>
      <c r="G89" t="s">
        <v>11097</v>
      </c>
      <c r="H89" t="s">
        <v>4377</v>
      </c>
      <c r="I89" t="s">
        <v>4794</v>
      </c>
      <c r="J89" t="s">
        <v>11031</v>
      </c>
      <c r="K89" t="s">
        <v>4517</v>
      </c>
      <c r="L89" t="s">
        <v>11026</v>
      </c>
      <c r="M89" t="s">
        <v>25</v>
      </c>
      <c r="N89" t="s">
        <v>11041</v>
      </c>
      <c r="S89" t="s">
        <v>4517</v>
      </c>
      <c r="T89" t="s">
        <v>11026</v>
      </c>
      <c r="U89" t="s">
        <v>4559</v>
      </c>
      <c r="V89" t="s">
        <v>11047</v>
      </c>
    </row>
    <row r="90" spans="1:22">
      <c r="A90" t="s">
        <v>11102</v>
      </c>
      <c r="B90" t="s">
        <v>11024</v>
      </c>
      <c r="C90" t="s">
        <v>18847</v>
      </c>
      <c r="D90" t="s">
        <v>4517</v>
      </c>
      <c r="E90" t="s">
        <v>11028</v>
      </c>
      <c r="F90" t="s">
        <v>7005</v>
      </c>
      <c r="G90" t="s">
        <v>11098</v>
      </c>
      <c r="H90" t="s">
        <v>4377</v>
      </c>
      <c r="I90" t="s">
        <v>11025</v>
      </c>
      <c r="J90" t="s">
        <v>11031</v>
      </c>
      <c r="K90" t="s">
        <v>4517</v>
      </c>
      <c r="L90" t="s">
        <v>11042</v>
      </c>
      <c r="M90" t="s">
        <v>25</v>
      </c>
      <c r="N90" t="s">
        <v>11043</v>
      </c>
      <c r="S90" t="s">
        <v>4517</v>
      </c>
      <c r="T90" t="s">
        <v>11042</v>
      </c>
      <c r="U90" t="s">
        <v>4559</v>
      </c>
      <c r="V90" t="s">
        <v>11048</v>
      </c>
    </row>
    <row r="91" spans="1:22">
      <c r="A91" t="s">
        <v>11103</v>
      </c>
      <c r="B91" t="s">
        <v>11049</v>
      </c>
      <c r="C91" t="s">
        <v>18848</v>
      </c>
      <c r="D91" t="s">
        <v>4517</v>
      </c>
      <c r="E91" t="s">
        <v>4553</v>
      </c>
      <c r="F91" t="s">
        <v>7005</v>
      </c>
      <c r="G91" t="s">
        <v>11095</v>
      </c>
      <c r="H91" t="s">
        <v>4376</v>
      </c>
      <c r="I91" t="s">
        <v>8877</v>
      </c>
      <c r="J91" t="s">
        <v>11063</v>
      </c>
      <c r="K91" t="s">
        <v>4517</v>
      </c>
      <c r="L91" t="s">
        <v>11055</v>
      </c>
      <c r="M91" t="s">
        <v>25</v>
      </c>
      <c r="N91" t="s">
        <v>11066</v>
      </c>
      <c r="O91" t="s">
        <v>4517</v>
      </c>
      <c r="P91" t="s">
        <v>11068</v>
      </c>
      <c r="Q91" t="s">
        <v>25</v>
      </c>
      <c r="R91" t="s">
        <v>11067</v>
      </c>
      <c r="S91" t="s">
        <v>4517</v>
      </c>
      <c r="T91" t="s">
        <v>11055</v>
      </c>
      <c r="U91" t="s">
        <v>4559</v>
      </c>
      <c r="V91" t="s">
        <v>11079</v>
      </c>
    </row>
    <row r="92" spans="1:22">
      <c r="A92" t="s">
        <v>11104</v>
      </c>
      <c r="B92" t="s">
        <v>11050</v>
      </c>
      <c r="C92" t="s">
        <v>18848</v>
      </c>
      <c r="D92" t="s">
        <v>4517</v>
      </c>
      <c r="E92" t="s">
        <v>11029</v>
      </c>
      <c r="F92" t="s">
        <v>7005</v>
      </c>
      <c r="G92" t="s">
        <v>11095</v>
      </c>
      <c r="H92" t="s">
        <v>4376</v>
      </c>
      <c r="I92" t="s">
        <v>8510</v>
      </c>
      <c r="J92" t="s">
        <v>11063</v>
      </c>
      <c r="K92" t="s">
        <v>4517</v>
      </c>
      <c r="L92" t="s">
        <v>11056</v>
      </c>
      <c r="M92" t="s">
        <v>25</v>
      </c>
      <c r="N92" t="s">
        <v>11069</v>
      </c>
      <c r="S92" t="s">
        <v>4517</v>
      </c>
      <c r="T92" t="s">
        <v>11056</v>
      </c>
      <c r="U92" t="s">
        <v>4559</v>
      </c>
      <c r="V92" t="s">
        <v>11078</v>
      </c>
    </row>
    <row r="93" spans="1:22">
      <c r="A93" t="s">
        <v>11106</v>
      </c>
      <c r="B93" t="s">
        <v>11051</v>
      </c>
      <c r="C93" t="s">
        <v>18848</v>
      </c>
      <c r="D93" t="s">
        <v>4517</v>
      </c>
      <c r="E93" t="s">
        <v>11061</v>
      </c>
      <c r="F93" t="s">
        <v>7005</v>
      </c>
      <c r="G93" t="s">
        <v>11095</v>
      </c>
      <c r="H93" t="s">
        <v>4376</v>
      </c>
      <c r="I93" t="s">
        <v>11064</v>
      </c>
      <c r="J93" t="s">
        <v>11063</v>
      </c>
      <c r="K93" t="s">
        <v>4517</v>
      </c>
      <c r="L93" t="s">
        <v>11057</v>
      </c>
      <c r="M93" t="s">
        <v>25</v>
      </c>
      <c r="N93" t="s">
        <v>11070</v>
      </c>
      <c r="S93" t="s">
        <v>4517</v>
      </c>
      <c r="T93" t="s">
        <v>11057</v>
      </c>
      <c r="U93" t="s">
        <v>4559</v>
      </c>
      <c r="V93" t="s">
        <v>11077</v>
      </c>
    </row>
    <row r="94" spans="1:22">
      <c r="A94" t="s">
        <v>11107</v>
      </c>
      <c r="B94" t="s">
        <v>11052</v>
      </c>
      <c r="C94" t="s">
        <v>18849</v>
      </c>
      <c r="D94" t="s">
        <v>4517</v>
      </c>
      <c r="E94" t="s">
        <v>6332</v>
      </c>
      <c r="F94" t="s">
        <v>7005</v>
      </c>
      <c r="G94" t="s">
        <v>11097</v>
      </c>
      <c r="H94" t="s">
        <v>4377</v>
      </c>
      <c r="I94" t="s">
        <v>11030</v>
      </c>
      <c r="J94" t="s">
        <v>11063</v>
      </c>
      <c r="K94" t="s">
        <v>4517</v>
      </c>
      <c r="L94" t="s">
        <v>11058</v>
      </c>
      <c r="M94" t="s">
        <v>25</v>
      </c>
      <c r="N94" t="s">
        <v>11071</v>
      </c>
      <c r="S94" t="s">
        <v>4517</v>
      </c>
      <c r="T94" t="s">
        <v>11058</v>
      </c>
      <c r="U94" t="s">
        <v>4559</v>
      </c>
      <c r="V94" t="s">
        <v>11076</v>
      </c>
    </row>
    <row r="95" spans="1:22">
      <c r="A95" t="s">
        <v>11108</v>
      </c>
      <c r="B95" t="s">
        <v>11053</v>
      </c>
      <c r="C95" t="s">
        <v>18849</v>
      </c>
      <c r="D95" t="s">
        <v>4517</v>
      </c>
      <c r="E95" t="s">
        <v>11062</v>
      </c>
      <c r="F95" t="s">
        <v>7005</v>
      </c>
      <c r="G95" t="s">
        <v>11097</v>
      </c>
      <c r="H95" t="s">
        <v>6243</v>
      </c>
      <c r="I95" t="s">
        <v>11065</v>
      </c>
      <c r="J95" t="s">
        <v>11063</v>
      </c>
      <c r="K95" t="s">
        <v>4517</v>
      </c>
      <c r="L95" t="s">
        <v>11059</v>
      </c>
      <c r="M95" t="s">
        <v>25</v>
      </c>
      <c r="N95" t="s">
        <v>11072</v>
      </c>
      <c r="S95" t="s">
        <v>4517</v>
      </c>
      <c r="T95" t="s">
        <v>11059</v>
      </c>
      <c r="U95" t="s">
        <v>4559</v>
      </c>
      <c r="V95" t="s">
        <v>11075</v>
      </c>
    </row>
    <row r="96" spans="1:22">
      <c r="A96" t="s">
        <v>11109</v>
      </c>
      <c r="B96" t="s">
        <v>11054</v>
      </c>
      <c r="C96" t="s">
        <v>18850</v>
      </c>
      <c r="D96" t="s">
        <v>4517</v>
      </c>
      <c r="E96" t="s">
        <v>11028</v>
      </c>
      <c r="F96" t="s">
        <v>7005</v>
      </c>
      <c r="G96" t="s">
        <v>11099</v>
      </c>
      <c r="H96" t="s">
        <v>4377</v>
      </c>
      <c r="I96" t="s">
        <v>11025</v>
      </c>
      <c r="J96" t="s">
        <v>11063</v>
      </c>
      <c r="K96" t="s">
        <v>4517</v>
      </c>
      <c r="L96" t="s">
        <v>11060</v>
      </c>
      <c r="M96" t="s">
        <v>25</v>
      </c>
      <c r="N96" t="s">
        <v>11073</v>
      </c>
      <c r="S96" t="s">
        <v>4517</v>
      </c>
      <c r="T96" t="s">
        <v>11060</v>
      </c>
      <c r="U96" t="s">
        <v>4559</v>
      </c>
      <c r="V96" t="s">
        <v>11074</v>
      </c>
    </row>
    <row r="97" spans="1:22">
      <c r="A97" t="s">
        <v>11118</v>
      </c>
      <c r="B97" t="s">
        <v>11118</v>
      </c>
      <c r="C97" t="s">
        <v>18851</v>
      </c>
      <c r="D97" t="s">
        <v>4517</v>
      </c>
      <c r="E97" t="s">
        <v>11124</v>
      </c>
      <c r="F97" t="s">
        <v>2655</v>
      </c>
      <c r="G97" t="s">
        <v>11119</v>
      </c>
      <c r="H97" t="s">
        <v>4377</v>
      </c>
      <c r="I97" t="s">
        <v>10850</v>
      </c>
      <c r="J97" t="s">
        <v>11125</v>
      </c>
      <c r="K97" t="s">
        <v>4517</v>
      </c>
      <c r="L97" t="s">
        <v>11126</v>
      </c>
      <c r="M97" t="s">
        <v>25</v>
      </c>
      <c r="N97" t="s">
        <v>11123</v>
      </c>
      <c r="S97" t="s">
        <v>4517</v>
      </c>
      <c r="T97" t="s">
        <v>11126</v>
      </c>
      <c r="U97" t="s">
        <v>4559</v>
      </c>
      <c r="V97" t="s">
        <v>11133</v>
      </c>
    </row>
    <row r="98" spans="1:22">
      <c r="A98" t="s">
        <v>11120</v>
      </c>
      <c r="B98" t="s">
        <v>11120</v>
      </c>
      <c r="C98" t="s">
        <v>18852</v>
      </c>
      <c r="D98" t="s">
        <v>4517</v>
      </c>
      <c r="E98" t="s">
        <v>11124</v>
      </c>
      <c r="F98" t="s">
        <v>2655</v>
      </c>
      <c r="G98" t="s">
        <v>11119</v>
      </c>
      <c r="H98" t="s">
        <v>4377</v>
      </c>
      <c r="I98" t="s">
        <v>10850</v>
      </c>
      <c r="J98" t="s">
        <v>11125</v>
      </c>
      <c r="K98" t="s">
        <v>4517</v>
      </c>
      <c r="L98" t="s">
        <v>11128</v>
      </c>
      <c r="M98" t="s">
        <v>25</v>
      </c>
      <c r="N98" t="s">
        <v>11127</v>
      </c>
      <c r="S98" t="s">
        <v>4517</v>
      </c>
      <c r="T98" t="s">
        <v>11128</v>
      </c>
      <c r="U98" t="s">
        <v>4559</v>
      </c>
      <c r="V98" t="s">
        <v>11134</v>
      </c>
    </row>
    <row r="99" spans="1:22">
      <c r="A99" t="s">
        <v>11121</v>
      </c>
      <c r="B99" t="s">
        <v>11121</v>
      </c>
      <c r="C99" t="s">
        <v>18853</v>
      </c>
      <c r="D99" t="s">
        <v>4517</v>
      </c>
      <c r="E99" t="s">
        <v>11124</v>
      </c>
      <c r="F99" t="s">
        <v>2655</v>
      </c>
      <c r="G99" t="s">
        <v>11119</v>
      </c>
      <c r="H99" t="s">
        <v>4377</v>
      </c>
      <c r="I99" t="s">
        <v>10850</v>
      </c>
      <c r="J99" t="s">
        <v>11125</v>
      </c>
      <c r="K99" t="s">
        <v>4517</v>
      </c>
      <c r="L99" t="s">
        <v>11132</v>
      </c>
      <c r="M99" t="s">
        <v>25</v>
      </c>
      <c r="N99" t="s">
        <v>11131</v>
      </c>
      <c r="S99" t="s">
        <v>4517</v>
      </c>
      <c r="T99" t="s">
        <v>11132</v>
      </c>
      <c r="U99" t="s">
        <v>4559</v>
      </c>
      <c r="V99" t="s">
        <v>11135</v>
      </c>
    </row>
    <row r="100" spans="1:22">
      <c r="A100" t="s">
        <v>11122</v>
      </c>
      <c r="B100" t="s">
        <v>11122</v>
      </c>
      <c r="C100" t="s">
        <v>18854</v>
      </c>
      <c r="D100" t="s">
        <v>4517</v>
      </c>
      <c r="E100" t="s">
        <v>11124</v>
      </c>
      <c r="F100" t="s">
        <v>2655</v>
      </c>
      <c r="G100" t="s">
        <v>11119</v>
      </c>
      <c r="H100" t="s">
        <v>4377</v>
      </c>
      <c r="I100" t="s">
        <v>10850</v>
      </c>
      <c r="J100" t="s">
        <v>11125</v>
      </c>
      <c r="K100" t="s">
        <v>4517</v>
      </c>
      <c r="L100" t="s">
        <v>11130</v>
      </c>
      <c r="M100" t="s">
        <v>25</v>
      </c>
      <c r="N100" t="s">
        <v>11129</v>
      </c>
      <c r="S100" t="s">
        <v>4517</v>
      </c>
      <c r="T100" t="s">
        <v>11130</v>
      </c>
      <c r="U100" t="s">
        <v>4559</v>
      </c>
      <c r="V100" t="s">
        <v>11136</v>
      </c>
    </row>
    <row r="101" spans="1:22">
      <c r="A101" t="s">
        <v>11187</v>
      </c>
      <c r="B101" t="s">
        <v>11187</v>
      </c>
      <c r="C101" t="s">
        <v>18855</v>
      </c>
      <c r="D101" t="s">
        <v>4517</v>
      </c>
      <c r="E101" t="s">
        <v>4372</v>
      </c>
      <c r="F101" t="s">
        <v>2655</v>
      </c>
      <c r="G101" t="s">
        <v>11188</v>
      </c>
      <c r="H101" t="s">
        <v>4376</v>
      </c>
      <c r="I101" t="s">
        <v>4789</v>
      </c>
      <c r="J101" t="s">
        <v>11184</v>
      </c>
      <c r="K101" t="s">
        <v>4517</v>
      </c>
      <c r="L101" t="s">
        <v>11185</v>
      </c>
      <c r="M101" t="s">
        <v>25</v>
      </c>
      <c r="N101" t="s">
        <v>11189</v>
      </c>
      <c r="S101" t="s">
        <v>4517</v>
      </c>
      <c r="T101" t="s">
        <v>11185</v>
      </c>
      <c r="U101" t="s">
        <v>4559</v>
      </c>
      <c r="V101" t="s">
        <v>11191</v>
      </c>
    </row>
    <row r="102" spans="1:22">
      <c r="A102" t="s">
        <v>11188</v>
      </c>
      <c r="B102" t="s">
        <v>11188</v>
      </c>
      <c r="C102" t="s">
        <v>18855</v>
      </c>
      <c r="D102" t="s">
        <v>4517</v>
      </c>
      <c r="E102" t="s">
        <v>4372</v>
      </c>
      <c r="F102" t="s">
        <v>2655</v>
      </c>
      <c r="G102" t="s">
        <v>11188</v>
      </c>
      <c r="H102" t="s">
        <v>4376</v>
      </c>
      <c r="I102" t="s">
        <v>4789</v>
      </c>
      <c r="J102" t="s">
        <v>11184</v>
      </c>
      <c r="K102" t="s">
        <v>4517</v>
      </c>
      <c r="L102" t="s">
        <v>11186</v>
      </c>
      <c r="M102" t="s">
        <v>25</v>
      </c>
      <c r="N102" t="s">
        <v>11190</v>
      </c>
      <c r="S102" t="s">
        <v>4517</v>
      </c>
      <c r="T102" t="s">
        <v>11186</v>
      </c>
      <c r="U102" t="s">
        <v>4559</v>
      </c>
      <c r="V102" t="s">
        <v>11192</v>
      </c>
    </row>
    <row r="103" spans="1:22">
      <c r="A103" t="s">
        <v>11979</v>
      </c>
      <c r="B103" t="s">
        <v>11979</v>
      </c>
      <c r="C103" t="s">
        <v>12024</v>
      </c>
      <c r="D103" t="s">
        <v>12028</v>
      </c>
      <c r="E103" t="s">
        <v>12030</v>
      </c>
      <c r="F103" t="s">
        <v>2655</v>
      </c>
      <c r="G103" t="s">
        <v>11991</v>
      </c>
      <c r="H103" t="s">
        <v>4377</v>
      </c>
      <c r="I103" t="s">
        <v>6544</v>
      </c>
      <c r="J103" t="s">
        <v>11995</v>
      </c>
      <c r="K103" t="s">
        <v>6265</v>
      </c>
      <c r="L103" t="s">
        <v>18856</v>
      </c>
      <c r="M103" t="s">
        <v>25</v>
      </c>
      <c r="N103" t="s">
        <v>11999</v>
      </c>
    </row>
    <row r="104" spans="1:22">
      <c r="A104" t="s">
        <v>11980</v>
      </c>
      <c r="B104" t="s">
        <v>11980</v>
      </c>
      <c r="C104" t="s">
        <v>12024</v>
      </c>
      <c r="D104" t="s">
        <v>12028</v>
      </c>
      <c r="E104" t="s">
        <v>12031</v>
      </c>
      <c r="F104" t="s">
        <v>2655</v>
      </c>
      <c r="G104" t="s">
        <v>11991</v>
      </c>
      <c r="H104" t="s">
        <v>4377</v>
      </c>
      <c r="I104" t="s">
        <v>11998</v>
      </c>
      <c r="J104" t="s">
        <v>11995</v>
      </c>
      <c r="K104" t="s">
        <v>6265</v>
      </c>
      <c r="L104" t="s">
        <v>18857</v>
      </c>
      <c r="M104" t="s">
        <v>25</v>
      </c>
      <c r="N104" t="s">
        <v>12003</v>
      </c>
      <c r="O104" t="s">
        <v>4517</v>
      </c>
      <c r="P104" t="s">
        <v>12004</v>
      </c>
      <c r="Q104" t="s">
        <v>25</v>
      </c>
      <c r="R104" t="s">
        <v>12005</v>
      </c>
      <c r="S104" t="s">
        <v>13430</v>
      </c>
      <c r="T104" t="s">
        <v>18857</v>
      </c>
      <c r="U104" t="s">
        <v>4559</v>
      </c>
      <c r="V104" t="s">
        <v>13437</v>
      </c>
    </row>
    <row r="105" spans="1:22">
      <c r="A105" t="s">
        <v>11981</v>
      </c>
      <c r="B105" t="s">
        <v>11981</v>
      </c>
      <c r="C105" t="s">
        <v>12024</v>
      </c>
      <c r="D105" t="s">
        <v>12028</v>
      </c>
      <c r="E105" t="s">
        <v>12032</v>
      </c>
      <c r="F105" t="s">
        <v>2655</v>
      </c>
      <c r="G105" t="s">
        <v>11991</v>
      </c>
      <c r="H105" t="s">
        <v>4377</v>
      </c>
      <c r="I105" t="s">
        <v>11997</v>
      </c>
      <c r="J105" t="s">
        <v>11995</v>
      </c>
      <c r="K105" t="s">
        <v>6265</v>
      </c>
      <c r="L105" t="s">
        <v>18858</v>
      </c>
      <c r="M105" t="s">
        <v>25</v>
      </c>
      <c r="N105" t="s">
        <v>12007</v>
      </c>
      <c r="O105" t="s">
        <v>4517</v>
      </c>
      <c r="P105" t="s">
        <v>12008</v>
      </c>
      <c r="Q105" t="s">
        <v>25</v>
      </c>
      <c r="R105" t="s">
        <v>12009</v>
      </c>
      <c r="S105" t="s">
        <v>13430</v>
      </c>
      <c r="T105" t="s">
        <v>18858</v>
      </c>
      <c r="U105" t="s">
        <v>4559</v>
      </c>
      <c r="V105" t="s">
        <v>13438</v>
      </c>
    </row>
    <row r="106" spans="1:22">
      <c r="A106" t="s">
        <v>11982</v>
      </c>
      <c r="B106" t="s">
        <v>11982</v>
      </c>
      <c r="C106" t="s">
        <v>12024</v>
      </c>
      <c r="D106" t="s">
        <v>12028</v>
      </c>
      <c r="E106" t="s">
        <v>12033</v>
      </c>
      <c r="F106" t="s">
        <v>2655</v>
      </c>
      <c r="G106" t="s">
        <v>11992</v>
      </c>
      <c r="H106" t="s">
        <v>4377</v>
      </c>
      <c r="I106" t="s">
        <v>10854</v>
      </c>
      <c r="J106" t="s">
        <v>11995</v>
      </c>
    </row>
    <row r="107" spans="1:22">
      <c r="A107" t="s">
        <v>11984</v>
      </c>
      <c r="B107" t="s">
        <v>11984</v>
      </c>
      <c r="C107" t="s">
        <v>12024</v>
      </c>
      <c r="D107" t="s">
        <v>12028</v>
      </c>
      <c r="E107" t="s">
        <v>12035</v>
      </c>
      <c r="F107" t="s">
        <v>2655</v>
      </c>
      <c r="G107" t="s">
        <v>11993</v>
      </c>
      <c r="H107" t="s">
        <v>6243</v>
      </c>
      <c r="I107" t="s">
        <v>11994</v>
      </c>
      <c r="J107" t="s">
        <v>11995</v>
      </c>
      <c r="K107" t="s">
        <v>6265</v>
      </c>
      <c r="L107" t="s">
        <v>18859</v>
      </c>
      <c r="M107" t="s">
        <v>25</v>
      </c>
      <c r="N107" t="s">
        <v>12036</v>
      </c>
      <c r="S107" t="s">
        <v>13430</v>
      </c>
      <c r="T107" t="s">
        <v>18859</v>
      </c>
      <c r="U107" t="s">
        <v>4559</v>
      </c>
      <c r="V107" t="s">
        <v>13439</v>
      </c>
    </row>
    <row r="108" spans="1:22">
      <c r="A108" t="s">
        <v>11983</v>
      </c>
      <c r="B108" t="s">
        <v>11983</v>
      </c>
      <c r="C108" t="s">
        <v>12024</v>
      </c>
      <c r="D108" t="s">
        <v>12028</v>
      </c>
      <c r="E108" t="s">
        <v>12034</v>
      </c>
      <c r="F108" t="s">
        <v>2655</v>
      </c>
      <c r="G108" t="s">
        <v>11993</v>
      </c>
      <c r="H108" t="s">
        <v>6243</v>
      </c>
      <c r="I108" t="s">
        <v>11996</v>
      </c>
      <c r="J108" t="s">
        <v>11995</v>
      </c>
    </row>
    <row r="109" spans="1:22">
      <c r="A109" t="s">
        <v>11985</v>
      </c>
      <c r="B109" t="s">
        <v>11985</v>
      </c>
      <c r="C109" t="s">
        <v>12025</v>
      </c>
      <c r="D109" t="s">
        <v>12028</v>
      </c>
      <c r="E109" t="s">
        <v>12030</v>
      </c>
      <c r="F109" t="s">
        <v>2655</v>
      </c>
      <c r="G109" t="s">
        <v>11991</v>
      </c>
      <c r="H109" t="s">
        <v>4377</v>
      </c>
      <c r="I109" t="s">
        <v>6544</v>
      </c>
      <c r="J109" t="s">
        <v>11995</v>
      </c>
      <c r="K109" t="s">
        <v>6265</v>
      </c>
      <c r="L109" t="s">
        <v>18860</v>
      </c>
      <c r="M109" t="s">
        <v>25</v>
      </c>
      <c r="N109" t="s">
        <v>12000</v>
      </c>
      <c r="O109" t="s">
        <v>4517</v>
      </c>
      <c r="P109" t="s">
        <v>12001</v>
      </c>
      <c r="Q109" t="s">
        <v>25</v>
      </c>
      <c r="R109" t="s">
        <v>12002</v>
      </c>
      <c r="S109" t="s">
        <v>13430</v>
      </c>
      <c r="T109" t="s">
        <v>18860</v>
      </c>
      <c r="U109" t="s">
        <v>4559</v>
      </c>
      <c r="V109" t="s">
        <v>13432</v>
      </c>
    </row>
    <row r="110" spans="1:22">
      <c r="A110" t="s">
        <v>11986</v>
      </c>
      <c r="B110" t="s">
        <v>11986</v>
      </c>
      <c r="C110" t="s">
        <v>12025</v>
      </c>
      <c r="D110" t="s">
        <v>12028</v>
      </c>
      <c r="E110" t="s">
        <v>12031</v>
      </c>
      <c r="F110" t="s">
        <v>2655</v>
      </c>
      <c r="G110" t="s">
        <v>11991</v>
      </c>
      <c r="H110" t="s">
        <v>4377</v>
      </c>
      <c r="I110" t="s">
        <v>11998</v>
      </c>
      <c r="J110" t="s">
        <v>11995</v>
      </c>
      <c r="K110" t="s">
        <v>6265</v>
      </c>
      <c r="L110" t="s">
        <v>18861</v>
      </c>
      <c r="M110" t="s">
        <v>25</v>
      </c>
      <c r="N110" t="s">
        <v>12006</v>
      </c>
      <c r="S110" t="s">
        <v>13430</v>
      </c>
      <c r="T110" t="s">
        <v>18861</v>
      </c>
      <c r="U110" t="s">
        <v>4559</v>
      </c>
      <c r="V110" t="s">
        <v>13433</v>
      </c>
    </row>
    <row r="111" spans="1:22">
      <c r="A111" t="s">
        <v>11987</v>
      </c>
      <c r="B111" t="s">
        <v>11987</v>
      </c>
      <c r="C111" t="s">
        <v>12025</v>
      </c>
      <c r="D111" t="s">
        <v>12028</v>
      </c>
      <c r="E111" t="s">
        <v>12032</v>
      </c>
      <c r="F111" t="s">
        <v>2655</v>
      </c>
      <c r="G111" t="s">
        <v>11991</v>
      </c>
      <c r="H111" t="s">
        <v>4377</v>
      </c>
      <c r="I111" t="s">
        <v>11997</v>
      </c>
      <c r="J111" t="s">
        <v>11995</v>
      </c>
      <c r="K111" t="s">
        <v>6265</v>
      </c>
      <c r="L111" t="s">
        <v>18862</v>
      </c>
      <c r="M111" t="s">
        <v>25</v>
      </c>
      <c r="N111" t="s">
        <v>12010</v>
      </c>
      <c r="S111" t="s">
        <v>13430</v>
      </c>
      <c r="T111" t="s">
        <v>18862</v>
      </c>
      <c r="U111" t="s">
        <v>4559</v>
      </c>
      <c r="V111" t="s">
        <v>13431</v>
      </c>
    </row>
    <row r="112" spans="1:22">
      <c r="A112" t="s">
        <v>11988</v>
      </c>
      <c r="B112" t="s">
        <v>11988</v>
      </c>
      <c r="C112" t="s">
        <v>12025</v>
      </c>
      <c r="D112" t="s">
        <v>12028</v>
      </c>
      <c r="E112" t="s">
        <v>12033</v>
      </c>
      <c r="F112" t="s">
        <v>2655</v>
      </c>
      <c r="G112" t="s">
        <v>11992</v>
      </c>
      <c r="H112" t="s">
        <v>4377</v>
      </c>
      <c r="I112" t="s">
        <v>10854</v>
      </c>
      <c r="J112" t="s">
        <v>11995</v>
      </c>
    </row>
    <row r="113" spans="1:22">
      <c r="A113" t="s">
        <v>11989</v>
      </c>
      <c r="B113" t="s">
        <v>11989</v>
      </c>
      <c r="C113" t="s">
        <v>12025</v>
      </c>
      <c r="D113" t="s">
        <v>12028</v>
      </c>
      <c r="E113" t="s">
        <v>12035</v>
      </c>
      <c r="F113" t="s">
        <v>2655</v>
      </c>
      <c r="G113" t="s">
        <v>11993</v>
      </c>
      <c r="H113" t="s">
        <v>6243</v>
      </c>
      <c r="I113" t="s">
        <v>11994</v>
      </c>
      <c r="J113" t="s">
        <v>11995</v>
      </c>
      <c r="K113" t="s">
        <v>6265</v>
      </c>
      <c r="L113" t="s">
        <v>18863</v>
      </c>
      <c r="M113" t="s">
        <v>25</v>
      </c>
      <c r="N113" t="s">
        <v>12037</v>
      </c>
      <c r="O113" t="s">
        <v>4517</v>
      </c>
      <c r="P113" t="s">
        <v>12038</v>
      </c>
      <c r="Q113" t="s">
        <v>25</v>
      </c>
      <c r="R113" t="s">
        <v>12039</v>
      </c>
      <c r="S113" t="s">
        <v>13430</v>
      </c>
      <c r="T113" t="s">
        <v>18863</v>
      </c>
      <c r="U113" t="s">
        <v>4559</v>
      </c>
      <c r="V113" t="s">
        <v>13434</v>
      </c>
    </row>
    <row r="114" spans="1:22">
      <c r="A114" t="s">
        <v>11990</v>
      </c>
      <c r="B114" t="s">
        <v>11990</v>
      </c>
      <c r="C114" t="s">
        <v>12025</v>
      </c>
      <c r="D114" t="s">
        <v>12028</v>
      </c>
      <c r="E114" t="s">
        <v>12034</v>
      </c>
      <c r="F114" t="s">
        <v>2655</v>
      </c>
      <c r="G114" t="s">
        <v>11993</v>
      </c>
      <c r="H114" t="s">
        <v>6243</v>
      </c>
      <c r="I114" t="s">
        <v>11996</v>
      </c>
      <c r="J114" t="s">
        <v>11995</v>
      </c>
      <c r="K114" t="s">
        <v>6265</v>
      </c>
      <c r="L114" t="s">
        <v>18864</v>
      </c>
      <c r="M114" t="s">
        <v>25</v>
      </c>
      <c r="N114" t="s">
        <v>12040</v>
      </c>
      <c r="O114" t="s">
        <v>4517</v>
      </c>
      <c r="P114" t="s">
        <v>12041</v>
      </c>
      <c r="Q114" t="s">
        <v>25</v>
      </c>
      <c r="R114" t="s">
        <v>12042</v>
      </c>
      <c r="S114" t="s">
        <v>13430</v>
      </c>
      <c r="T114" t="s">
        <v>18864</v>
      </c>
      <c r="U114" t="s">
        <v>4559</v>
      </c>
      <c r="V114" t="s">
        <v>13435</v>
      </c>
    </row>
    <row r="115" spans="1:22">
      <c r="A115" t="s">
        <v>12011</v>
      </c>
      <c r="B115" t="s">
        <v>12013</v>
      </c>
      <c r="C115" t="s">
        <v>12026</v>
      </c>
      <c r="D115" t="s">
        <v>12029</v>
      </c>
      <c r="E115" t="s">
        <v>12032</v>
      </c>
      <c r="F115" t="s">
        <v>2655</v>
      </c>
      <c r="G115" t="s">
        <v>11991</v>
      </c>
      <c r="H115" t="s">
        <v>4377</v>
      </c>
      <c r="I115" t="s">
        <v>11997</v>
      </c>
      <c r="J115" t="s">
        <v>12015</v>
      </c>
      <c r="K115" t="s">
        <v>6265</v>
      </c>
      <c r="L115" t="s">
        <v>12020</v>
      </c>
      <c r="M115" t="s">
        <v>25</v>
      </c>
      <c r="N115" t="s">
        <v>12021</v>
      </c>
    </row>
    <row r="116" spans="1:22">
      <c r="A116" t="s">
        <v>12016</v>
      </c>
      <c r="B116" t="s">
        <v>12018</v>
      </c>
      <c r="C116" t="s">
        <v>12026</v>
      </c>
      <c r="D116" t="s">
        <v>12029</v>
      </c>
      <c r="E116" t="s">
        <v>12034</v>
      </c>
      <c r="F116" t="s">
        <v>2655</v>
      </c>
      <c r="G116" t="s">
        <v>11993</v>
      </c>
      <c r="H116" t="s">
        <v>6243</v>
      </c>
      <c r="I116" t="s">
        <v>11996</v>
      </c>
      <c r="J116" t="s">
        <v>12015</v>
      </c>
      <c r="K116" t="s">
        <v>6265</v>
      </c>
      <c r="L116" t="s">
        <v>18865</v>
      </c>
      <c r="M116" t="s">
        <v>25</v>
      </c>
      <c r="N116" t="s">
        <v>12043</v>
      </c>
    </row>
    <row r="117" spans="1:22">
      <c r="A117" t="s">
        <v>12012</v>
      </c>
      <c r="B117" t="s">
        <v>12014</v>
      </c>
      <c r="C117" t="s">
        <v>12027</v>
      </c>
      <c r="D117" t="s">
        <v>12029</v>
      </c>
      <c r="E117" t="s">
        <v>12032</v>
      </c>
      <c r="F117" t="s">
        <v>2655</v>
      </c>
      <c r="G117" t="s">
        <v>11991</v>
      </c>
      <c r="H117" t="s">
        <v>4377</v>
      </c>
      <c r="I117" t="s">
        <v>11997</v>
      </c>
      <c r="J117" t="s">
        <v>12015</v>
      </c>
      <c r="K117" t="s">
        <v>6265</v>
      </c>
      <c r="L117" t="s">
        <v>12022</v>
      </c>
      <c r="M117" t="s">
        <v>25</v>
      </c>
      <c r="N117" t="s">
        <v>12023</v>
      </c>
      <c r="S117" t="s">
        <v>13430</v>
      </c>
      <c r="T117" t="s">
        <v>12022</v>
      </c>
      <c r="U117" t="s">
        <v>4559</v>
      </c>
      <c r="V117" t="s">
        <v>13436</v>
      </c>
    </row>
    <row r="118" spans="1:22">
      <c r="A118" t="s">
        <v>12017</v>
      </c>
      <c r="B118" t="s">
        <v>12019</v>
      </c>
      <c r="C118" t="s">
        <v>12027</v>
      </c>
      <c r="D118" t="s">
        <v>12029</v>
      </c>
      <c r="E118" t="s">
        <v>12034</v>
      </c>
      <c r="F118" t="s">
        <v>7005</v>
      </c>
      <c r="G118" t="s">
        <v>11993</v>
      </c>
      <c r="H118" t="s">
        <v>6243</v>
      </c>
      <c r="I118" t="s">
        <v>11996</v>
      </c>
      <c r="J118" t="s">
        <v>12015</v>
      </c>
      <c r="K118" t="s">
        <v>6265</v>
      </c>
      <c r="L118" t="s">
        <v>12044</v>
      </c>
      <c r="M118" t="s">
        <v>25</v>
      </c>
      <c r="N118" t="s">
        <v>12045</v>
      </c>
    </row>
    <row r="119" spans="1:22">
      <c r="A119" t="s">
        <v>16641</v>
      </c>
      <c r="B119" t="s">
        <v>16641</v>
      </c>
      <c r="C119" t="s">
        <v>16646</v>
      </c>
      <c r="D119" t="s">
        <v>4517</v>
      </c>
      <c r="E119" t="s">
        <v>12032</v>
      </c>
      <c r="F119" t="s">
        <v>2655</v>
      </c>
      <c r="G119" t="s">
        <v>11991</v>
      </c>
      <c r="H119" t="s">
        <v>4377</v>
      </c>
      <c r="I119" t="s">
        <v>11997</v>
      </c>
      <c r="J119" t="s">
        <v>16642</v>
      </c>
      <c r="K119" t="s">
        <v>4517</v>
      </c>
      <c r="L119" t="s">
        <v>16643</v>
      </c>
      <c r="M119" t="s">
        <v>25</v>
      </c>
      <c r="N119" t="s">
        <v>16644</v>
      </c>
      <c r="S119" t="s">
        <v>6661</v>
      </c>
      <c r="T119" t="s">
        <v>16643</v>
      </c>
      <c r="U119" t="s">
        <v>4559</v>
      </c>
      <c r="V119" t="s">
        <v>16645</v>
      </c>
    </row>
    <row r="120" spans="1:22">
      <c r="A120" t="s">
        <v>12418</v>
      </c>
      <c r="B120" t="s">
        <v>12418</v>
      </c>
      <c r="C120" t="s">
        <v>18866</v>
      </c>
      <c r="D120" t="s">
        <v>4517</v>
      </c>
      <c r="E120" t="s">
        <v>10972</v>
      </c>
      <c r="F120" t="s">
        <v>7005</v>
      </c>
      <c r="G120" t="s">
        <v>12425</v>
      </c>
      <c r="H120" t="s">
        <v>4377</v>
      </c>
      <c r="I120" t="s">
        <v>4794</v>
      </c>
      <c r="J120" t="s">
        <v>12428</v>
      </c>
      <c r="K120" t="s">
        <v>4517</v>
      </c>
      <c r="L120" t="s">
        <v>12429</v>
      </c>
      <c r="M120" t="s">
        <v>25</v>
      </c>
      <c r="N120" t="s">
        <v>12430</v>
      </c>
      <c r="O120" t="s">
        <v>4517</v>
      </c>
      <c r="P120" t="s">
        <v>12431</v>
      </c>
      <c r="Q120" t="s">
        <v>25</v>
      </c>
      <c r="R120" t="s">
        <v>12432</v>
      </c>
      <c r="S120" t="s">
        <v>4517</v>
      </c>
      <c r="T120" t="s">
        <v>12429</v>
      </c>
      <c r="U120" t="s">
        <v>4559</v>
      </c>
      <c r="V120" t="s">
        <v>12433</v>
      </c>
    </row>
    <row r="121" spans="1:22">
      <c r="A121" t="s">
        <v>12419</v>
      </c>
      <c r="B121" t="s">
        <v>12419</v>
      </c>
      <c r="C121" t="s">
        <v>18866</v>
      </c>
      <c r="D121" t="s">
        <v>4517</v>
      </c>
      <c r="E121" t="s">
        <v>4553</v>
      </c>
      <c r="F121" t="s">
        <v>7005</v>
      </c>
      <c r="G121" t="s">
        <v>11094</v>
      </c>
      <c r="H121" t="s">
        <v>4376</v>
      </c>
      <c r="I121" t="s">
        <v>8877</v>
      </c>
      <c r="J121" t="s">
        <v>12428</v>
      </c>
      <c r="K121" t="s">
        <v>4517</v>
      </c>
      <c r="L121" t="s">
        <v>12434</v>
      </c>
      <c r="M121" t="s">
        <v>25</v>
      </c>
      <c r="N121" t="s">
        <v>12435</v>
      </c>
      <c r="O121" t="s">
        <v>4517</v>
      </c>
      <c r="P121" t="s">
        <v>12436</v>
      </c>
      <c r="Q121" t="s">
        <v>25</v>
      </c>
      <c r="R121" t="s">
        <v>12437</v>
      </c>
      <c r="S121" t="s">
        <v>4517</v>
      </c>
      <c r="T121" t="s">
        <v>12434</v>
      </c>
      <c r="U121" t="s">
        <v>4559</v>
      </c>
      <c r="V121" t="s">
        <v>12438</v>
      </c>
    </row>
    <row r="122" spans="1:22">
      <c r="A122" t="s">
        <v>12422</v>
      </c>
      <c r="B122" t="s">
        <v>12422</v>
      </c>
      <c r="C122" t="s">
        <v>18866</v>
      </c>
      <c r="D122" t="s">
        <v>4517</v>
      </c>
      <c r="E122" t="s">
        <v>6332</v>
      </c>
      <c r="F122" t="s">
        <v>7005</v>
      </c>
      <c r="G122" t="s">
        <v>12425</v>
      </c>
      <c r="H122" t="s">
        <v>4377</v>
      </c>
      <c r="I122" t="s">
        <v>11030</v>
      </c>
      <c r="J122" t="s">
        <v>12428</v>
      </c>
      <c r="K122" t="s">
        <v>4517</v>
      </c>
      <c r="L122" t="s">
        <v>12439</v>
      </c>
      <c r="M122" t="s">
        <v>25</v>
      </c>
      <c r="N122" t="s">
        <v>12440</v>
      </c>
      <c r="O122" t="s">
        <v>4517</v>
      </c>
      <c r="P122" t="s">
        <v>12441</v>
      </c>
      <c r="Q122" t="s">
        <v>25</v>
      </c>
      <c r="R122" t="s">
        <v>12442</v>
      </c>
      <c r="S122" t="s">
        <v>4517</v>
      </c>
      <c r="T122" t="s">
        <v>12439</v>
      </c>
      <c r="U122" t="s">
        <v>4559</v>
      </c>
      <c r="V122" t="s">
        <v>12443</v>
      </c>
    </row>
    <row r="123" spans="1:22">
      <c r="A123" t="s">
        <v>12420</v>
      </c>
      <c r="B123" t="s">
        <v>12420</v>
      </c>
      <c r="C123" t="s">
        <v>18867</v>
      </c>
      <c r="D123" t="s">
        <v>4517</v>
      </c>
      <c r="E123" t="s">
        <v>10972</v>
      </c>
      <c r="F123" t="s">
        <v>7005</v>
      </c>
      <c r="G123" t="s">
        <v>11097</v>
      </c>
      <c r="H123" t="s">
        <v>4377</v>
      </c>
      <c r="I123" t="s">
        <v>4794</v>
      </c>
      <c r="J123" t="s">
        <v>12428</v>
      </c>
      <c r="K123" t="s">
        <v>4517</v>
      </c>
      <c r="L123" t="s">
        <v>12444</v>
      </c>
      <c r="M123" t="s">
        <v>25</v>
      </c>
      <c r="N123" t="s">
        <v>12445</v>
      </c>
      <c r="O123" t="s">
        <v>4517</v>
      </c>
      <c r="P123" t="s">
        <v>12446</v>
      </c>
      <c r="Q123" t="s">
        <v>25</v>
      </c>
      <c r="R123" t="s">
        <v>12447</v>
      </c>
      <c r="S123" t="s">
        <v>4517</v>
      </c>
      <c r="T123" t="s">
        <v>12444</v>
      </c>
      <c r="U123" t="s">
        <v>4559</v>
      </c>
      <c r="V123" t="s">
        <v>12448</v>
      </c>
    </row>
    <row r="124" spans="1:22">
      <c r="A124" t="s">
        <v>12423</v>
      </c>
      <c r="B124" t="s">
        <v>12423</v>
      </c>
      <c r="C124" t="s">
        <v>18867</v>
      </c>
      <c r="D124" t="s">
        <v>4517</v>
      </c>
      <c r="E124" t="s">
        <v>6332</v>
      </c>
      <c r="F124" t="s">
        <v>7005</v>
      </c>
      <c r="G124" t="s">
        <v>11097</v>
      </c>
      <c r="H124" t="s">
        <v>4377</v>
      </c>
      <c r="I124" t="s">
        <v>11030</v>
      </c>
      <c r="J124" t="s">
        <v>12428</v>
      </c>
      <c r="K124" t="s">
        <v>4517</v>
      </c>
      <c r="L124" t="s">
        <v>12449</v>
      </c>
      <c r="M124" t="s">
        <v>25</v>
      </c>
      <c r="N124" t="s">
        <v>12450</v>
      </c>
      <c r="O124" t="s">
        <v>4517</v>
      </c>
      <c r="P124" t="s">
        <v>12451</v>
      </c>
      <c r="Q124" t="s">
        <v>25</v>
      </c>
      <c r="R124" t="s">
        <v>12452</v>
      </c>
      <c r="S124" t="s">
        <v>4517</v>
      </c>
      <c r="T124" t="s">
        <v>12449</v>
      </c>
      <c r="U124" t="s">
        <v>4559</v>
      </c>
      <c r="V124" t="s">
        <v>12453</v>
      </c>
    </row>
    <row r="125" spans="1:22">
      <c r="A125" t="s">
        <v>12421</v>
      </c>
      <c r="B125" t="s">
        <v>12421</v>
      </c>
      <c r="C125" t="s">
        <v>18868</v>
      </c>
      <c r="D125" t="s">
        <v>4517</v>
      </c>
      <c r="E125" t="s">
        <v>12426</v>
      </c>
      <c r="F125" t="s">
        <v>7005</v>
      </c>
      <c r="G125" t="s">
        <v>11098</v>
      </c>
      <c r="H125" t="s">
        <v>4377</v>
      </c>
      <c r="I125" t="s">
        <v>12427</v>
      </c>
      <c r="J125" t="s">
        <v>12428</v>
      </c>
      <c r="K125" t="s">
        <v>4517</v>
      </c>
      <c r="L125" t="s">
        <v>12454</v>
      </c>
      <c r="M125" t="s">
        <v>25</v>
      </c>
      <c r="N125" t="s">
        <v>12455</v>
      </c>
      <c r="O125" t="s">
        <v>4517</v>
      </c>
      <c r="P125" t="s">
        <v>12456</v>
      </c>
      <c r="Q125" t="s">
        <v>25</v>
      </c>
      <c r="R125" t="s">
        <v>12457</v>
      </c>
      <c r="S125" t="s">
        <v>4517</v>
      </c>
      <c r="T125" t="s">
        <v>12454</v>
      </c>
      <c r="U125" t="s">
        <v>4559</v>
      </c>
      <c r="V125" t="s">
        <v>12458</v>
      </c>
    </row>
    <row r="126" spans="1:22">
      <c r="A126" t="s">
        <v>12424</v>
      </c>
      <c r="B126" t="s">
        <v>12424</v>
      </c>
      <c r="C126" t="s">
        <v>18868</v>
      </c>
      <c r="D126" t="s">
        <v>4517</v>
      </c>
      <c r="E126" t="s">
        <v>11028</v>
      </c>
      <c r="F126" t="s">
        <v>7005</v>
      </c>
      <c r="G126" t="s">
        <v>11098</v>
      </c>
      <c r="H126" t="s">
        <v>4377</v>
      </c>
      <c r="I126" t="s">
        <v>11025</v>
      </c>
      <c r="J126" t="s">
        <v>12428</v>
      </c>
      <c r="K126" t="s">
        <v>4517</v>
      </c>
      <c r="L126" t="s">
        <v>12459</v>
      </c>
      <c r="M126" t="s">
        <v>25</v>
      </c>
      <c r="N126" t="s">
        <v>12460</v>
      </c>
      <c r="O126" t="s">
        <v>4517</v>
      </c>
      <c r="P126" t="s">
        <v>12461</v>
      </c>
      <c r="Q126" t="s">
        <v>25</v>
      </c>
      <c r="R126" t="s">
        <v>12462</v>
      </c>
      <c r="S126" t="s">
        <v>4517</v>
      </c>
      <c r="T126" t="s">
        <v>12459</v>
      </c>
      <c r="U126" t="s">
        <v>4559</v>
      </c>
      <c r="V126" t="s">
        <v>12463</v>
      </c>
    </row>
    <row r="127" spans="1:22">
      <c r="A127" t="s">
        <v>12953</v>
      </c>
      <c r="B127" t="s">
        <v>12953</v>
      </c>
      <c r="C127" t="s">
        <v>12955</v>
      </c>
      <c r="D127" t="s">
        <v>6246</v>
      </c>
      <c r="E127" t="s">
        <v>12946</v>
      </c>
      <c r="F127" t="s">
        <v>2655</v>
      </c>
      <c r="G127" t="s">
        <v>12947</v>
      </c>
      <c r="H127" t="s">
        <v>4377</v>
      </c>
      <c r="I127" t="s">
        <v>4793</v>
      </c>
      <c r="J127" t="s">
        <v>12943</v>
      </c>
      <c r="K127" t="s">
        <v>6246</v>
      </c>
      <c r="L127" t="s">
        <v>12951</v>
      </c>
      <c r="M127" t="s">
        <v>25</v>
      </c>
      <c r="N127" t="s">
        <v>12957</v>
      </c>
      <c r="O127" t="s">
        <v>6246</v>
      </c>
      <c r="P127" t="s">
        <v>12953</v>
      </c>
      <c r="Q127" t="s">
        <v>25</v>
      </c>
      <c r="R127" t="s">
        <v>12949</v>
      </c>
      <c r="S127" t="s">
        <v>6246</v>
      </c>
      <c r="T127" t="s">
        <v>12953</v>
      </c>
      <c r="U127" t="s">
        <v>4559</v>
      </c>
      <c r="V127" t="s">
        <v>12959</v>
      </c>
    </row>
    <row r="128" spans="1:22">
      <c r="A128" t="s">
        <v>12954</v>
      </c>
      <c r="B128" t="s">
        <v>12954</v>
      </c>
      <c r="C128" t="s">
        <v>12955</v>
      </c>
      <c r="D128" t="s">
        <v>6246</v>
      </c>
      <c r="E128" t="s">
        <v>6236</v>
      </c>
      <c r="F128" t="s">
        <v>2655</v>
      </c>
      <c r="G128" t="s">
        <v>12947</v>
      </c>
      <c r="H128" t="s">
        <v>4377</v>
      </c>
      <c r="I128" t="s">
        <v>4793</v>
      </c>
      <c r="J128" t="s">
        <v>12943</v>
      </c>
      <c r="K128" t="s">
        <v>6246</v>
      </c>
      <c r="L128" t="s">
        <v>12952</v>
      </c>
      <c r="M128" t="s">
        <v>25</v>
      </c>
      <c r="N128" t="s">
        <v>12958</v>
      </c>
      <c r="O128" t="s">
        <v>6246</v>
      </c>
      <c r="P128" t="s">
        <v>12954</v>
      </c>
      <c r="Q128" t="s">
        <v>25</v>
      </c>
      <c r="R128" t="s">
        <v>12950</v>
      </c>
      <c r="S128" t="s">
        <v>6246</v>
      </c>
      <c r="T128" t="s">
        <v>12952</v>
      </c>
      <c r="U128" t="s">
        <v>4559</v>
      </c>
      <c r="V128" t="s">
        <v>12960</v>
      </c>
    </row>
    <row r="129" spans="1:27">
      <c r="A129" t="s">
        <v>12945</v>
      </c>
      <c r="B129" t="s">
        <v>12945</v>
      </c>
      <c r="C129" t="s">
        <v>12956</v>
      </c>
      <c r="D129" t="s">
        <v>6246</v>
      </c>
      <c r="E129" t="s">
        <v>6236</v>
      </c>
      <c r="F129" t="s">
        <v>2655</v>
      </c>
      <c r="G129" t="s">
        <v>12947</v>
      </c>
      <c r="H129" s="11" t="s">
        <v>12948</v>
      </c>
      <c r="I129" s="11"/>
      <c r="J129" t="s">
        <v>12943</v>
      </c>
      <c r="K129" t="s">
        <v>6246</v>
      </c>
      <c r="L129" t="s">
        <v>12945</v>
      </c>
      <c r="M129" t="s">
        <v>25</v>
      </c>
      <c r="N129" t="s">
        <v>12944</v>
      </c>
    </row>
    <row r="130" spans="1:27">
      <c r="A130" t="s">
        <v>12961</v>
      </c>
      <c r="B130" t="s">
        <v>12961</v>
      </c>
      <c r="C130" t="s">
        <v>18869</v>
      </c>
      <c r="D130" t="s">
        <v>6265</v>
      </c>
      <c r="E130" t="s">
        <v>12962</v>
      </c>
      <c r="F130" t="s">
        <v>2655</v>
      </c>
      <c r="G130" t="s">
        <v>12985</v>
      </c>
      <c r="H130" t="s">
        <v>6243</v>
      </c>
      <c r="I130" t="s">
        <v>12986</v>
      </c>
      <c r="J130" t="s">
        <v>12963</v>
      </c>
      <c r="K130" t="s">
        <v>6265</v>
      </c>
      <c r="L130" t="s">
        <v>18870</v>
      </c>
      <c r="M130" t="s">
        <v>25</v>
      </c>
      <c r="N130" t="s">
        <v>12964</v>
      </c>
      <c r="S130" t="s">
        <v>6265</v>
      </c>
      <c r="T130" t="s">
        <v>18870</v>
      </c>
      <c r="U130" t="s">
        <v>4559</v>
      </c>
      <c r="V130" t="s">
        <v>12965</v>
      </c>
    </row>
    <row r="131" spans="1:27">
      <c r="A131" t="s">
        <v>13248</v>
      </c>
      <c r="B131" t="s">
        <v>13248</v>
      </c>
      <c r="C131" t="s">
        <v>13252</v>
      </c>
      <c r="D131" t="s">
        <v>10664</v>
      </c>
      <c r="E131" t="s">
        <v>10778</v>
      </c>
      <c r="F131" t="s">
        <v>10665</v>
      </c>
      <c r="G131" t="s">
        <v>13249</v>
      </c>
      <c r="H131" t="s">
        <v>4377</v>
      </c>
      <c r="I131" t="s">
        <v>10854</v>
      </c>
      <c r="J131" t="s">
        <v>13250</v>
      </c>
      <c r="K131" t="s">
        <v>7928</v>
      </c>
      <c r="L131" t="s">
        <v>13291</v>
      </c>
      <c r="M131" t="s">
        <v>25</v>
      </c>
      <c r="N131" t="s">
        <v>13251</v>
      </c>
      <c r="S131" t="s">
        <v>7928</v>
      </c>
      <c r="T131" t="s">
        <v>13253</v>
      </c>
      <c r="U131" t="s">
        <v>4559</v>
      </c>
      <c r="V131" t="s">
        <v>13254</v>
      </c>
    </row>
    <row r="132" spans="1:27">
      <c r="A132" t="s">
        <v>13288</v>
      </c>
      <c r="B132" t="s">
        <v>13288</v>
      </c>
      <c r="C132" t="s">
        <v>13252</v>
      </c>
      <c r="D132" t="s">
        <v>10664</v>
      </c>
      <c r="E132" t="s">
        <v>10778</v>
      </c>
      <c r="F132" t="s">
        <v>10665</v>
      </c>
      <c r="G132" t="s">
        <v>13249</v>
      </c>
      <c r="H132" t="s">
        <v>4377</v>
      </c>
      <c r="I132" t="s">
        <v>10854</v>
      </c>
      <c r="J132" t="s">
        <v>13289</v>
      </c>
      <c r="K132" t="s">
        <v>7928</v>
      </c>
      <c r="L132" t="s">
        <v>13290</v>
      </c>
      <c r="M132" t="s">
        <v>25</v>
      </c>
      <c r="N132" t="s">
        <v>13292</v>
      </c>
      <c r="S132" t="s">
        <v>7928</v>
      </c>
      <c r="T132" t="s">
        <v>13293</v>
      </c>
      <c r="U132" t="s">
        <v>4559</v>
      </c>
      <c r="V132" t="s">
        <v>13294</v>
      </c>
    </row>
    <row r="133" spans="1:27">
      <c r="A133" t="s">
        <v>13255</v>
      </c>
      <c r="B133" t="s">
        <v>13255</v>
      </c>
      <c r="C133" t="s">
        <v>18871</v>
      </c>
      <c r="D133" t="s">
        <v>4517</v>
      </c>
      <c r="E133" t="s">
        <v>13258</v>
      </c>
      <c r="F133" t="s">
        <v>2655</v>
      </c>
      <c r="G133" t="s">
        <v>13255</v>
      </c>
      <c r="H133" t="s">
        <v>6243</v>
      </c>
      <c r="I133" t="s">
        <v>13260</v>
      </c>
      <c r="J133" t="s">
        <v>13259</v>
      </c>
      <c r="K133" t="s">
        <v>4517</v>
      </c>
      <c r="L133" t="s">
        <v>13256</v>
      </c>
      <c r="M133" t="s">
        <v>25</v>
      </c>
      <c r="N133" t="s">
        <v>13257</v>
      </c>
      <c r="S133" t="s">
        <v>4517</v>
      </c>
      <c r="T133" t="s">
        <v>13256</v>
      </c>
      <c r="U133" t="s">
        <v>4559</v>
      </c>
      <c r="V133" t="s">
        <v>13440</v>
      </c>
    </row>
    <row r="134" spans="1:27" ht="16.5">
      <c r="A134" t="s">
        <v>13441</v>
      </c>
      <c r="B134" t="s">
        <v>13441</v>
      </c>
      <c r="C134" t="s">
        <v>18872</v>
      </c>
      <c r="D134" t="s">
        <v>13442</v>
      </c>
      <c r="E134" t="s">
        <v>6236</v>
      </c>
      <c r="F134" t="s">
        <v>2655</v>
      </c>
      <c r="G134" t="s">
        <v>13443</v>
      </c>
      <c r="H134" t="s">
        <v>4377</v>
      </c>
      <c r="I134" t="s">
        <v>4794</v>
      </c>
      <c r="J134" t="s">
        <v>13444</v>
      </c>
      <c r="K134" t="s">
        <v>13442</v>
      </c>
      <c r="L134" t="s">
        <v>13441</v>
      </c>
      <c r="M134" t="s">
        <v>25</v>
      </c>
      <c r="N134" t="s">
        <v>13445</v>
      </c>
      <c r="S134" t="s">
        <v>13442</v>
      </c>
      <c r="T134" t="s">
        <v>13441</v>
      </c>
      <c r="U134" t="s">
        <v>4559</v>
      </c>
      <c r="V134" s="9" t="s">
        <v>13446</v>
      </c>
      <c r="W134" s="9"/>
      <c r="X134" s="9"/>
      <c r="Y134" s="9"/>
      <c r="Z134" s="9"/>
    </row>
    <row r="135" spans="1:27">
      <c r="A135" t="s">
        <v>13635</v>
      </c>
      <c r="B135" t="s">
        <v>13635</v>
      </c>
      <c r="C135" t="s">
        <v>18873</v>
      </c>
      <c r="D135" t="s">
        <v>10664</v>
      </c>
      <c r="E135" t="s">
        <v>7934</v>
      </c>
      <c r="F135" t="s">
        <v>10665</v>
      </c>
      <c r="G135" t="s">
        <v>13664</v>
      </c>
      <c r="H135" t="s">
        <v>10688</v>
      </c>
      <c r="I135" t="s">
        <v>10744</v>
      </c>
      <c r="J135" s="26" t="s">
        <v>13678</v>
      </c>
      <c r="S135" t="s">
        <v>7928</v>
      </c>
      <c r="T135" t="s">
        <v>13731</v>
      </c>
      <c r="U135" t="s">
        <v>4559</v>
      </c>
      <c r="V135" t="s">
        <v>13732</v>
      </c>
      <c r="AA135" t="s">
        <v>4727</v>
      </c>
    </row>
    <row r="136" spans="1:27">
      <c r="A136" t="s">
        <v>13636</v>
      </c>
      <c r="B136" t="s">
        <v>13636</v>
      </c>
      <c r="C136" t="s">
        <v>18874</v>
      </c>
      <c r="D136" t="s">
        <v>10664</v>
      </c>
      <c r="E136" t="s">
        <v>7934</v>
      </c>
      <c r="F136" t="s">
        <v>10665</v>
      </c>
      <c r="G136" t="s">
        <v>13664</v>
      </c>
      <c r="H136" t="s">
        <v>10688</v>
      </c>
      <c r="I136" t="s">
        <v>10744</v>
      </c>
      <c r="J136" s="26" t="s">
        <v>13679</v>
      </c>
      <c r="S136" t="s">
        <v>7928</v>
      </c>
      <c r="T136" t="s">
        <v>13733</v>
      </c>
      <c r="U136" t="s">
        <v>4559</v>
      </c>
      <c r="V136" t="s">
        <v>13734</v>
      </c>
      <c r="AA136" t="s">
        <v>4727</v>
      </c>
    </row>
    <row r="137" spans="1:27">
      <c r="A137" t="s">
        <v>13637</v>
      </c>
      <c r="B137" t="s">
        <v>13637</v>
      </c>
      <c r="C137" t="s">
        <v>18875</v>
      </c>
      <c r="D137" t="s">
        <v>10664</v>
      </c>
      <c r="E137" t="s">
        <v>7934</v>
      </c>
      <c r="F137" t="s">
        <v>10665</v>
      </c>
      <c r="G137" t="s">
        <v>13664</v>
      </c>
      <c r="H137" t="s">
        <v>10688</v>
      </c>
      <c r="I137" t="s">
        <v>10744</v>
      </c>
      <c r="J137" s="26" t="s">
        <v>13680</v>
      </c>
      <c r="K137" t="s">
        <v>7928</v>
      </c>
      <c r="L137" t="s">
        <v>13695</v>
      </c>
      <c r="M137" t="s">
        <v>25</v>
      </c>
      <c r="N137" t="s">
        <v>13696</v>
      </c>
      <c r="O137" t="s">
        <v>7928</v>
      </c>
      <c r="P137" t="s">
        <v>13697</v>
      </c>
      <c r="Q137" t="s">
        <v>25</v>
      </c>
      <c r="R137" t="s">
        <v>13698</v>
      </c>
      <c r="S137" t="s">
        <v>7928</v>
      </c>
      <c r="T137" t="s">
        <v>13695</v>
      </c>
      <c r="U137" t="s">
        <v>4559</v>
      </c>
      <c r="V137" t="s">
        <v>13735</v>
      </c>
      <c r="AA137" t="s">
        <v>4727</v>
      </c>
    </row>
    <row r="138" spans="1:27">
      <c r="A138" t="s">
        <v>13641</v>
      </c>
      <c r="B138" t="s">
        <v>13641</v>
      </c>
      <c r="C138" t="s">
        <v>18876</v>
      </c>
      <c r="D138" t="s">
        <v>10664</v>
      </c>
      <c r="E138" t="s">
        <v>10669</v>
      </c>
      <c r="F138" t="s">
        <v>10665</v>
      </c>
      <c r="G138" t="s">
        <v>13671</v>
      </c>
      <c r="H138" t="s">
        <v>10688</v>
      </c>
      <c r="I138" t="s">
        <v>10745</v>
      </c>
      <c r="J138" s="26" t="s">
        <v>13681</v>
      </c>
      <c r="K138" t="s">
        <v>7928</v>
      </c>
      <c r="L138" t="s">
        <v>13701</v>
      </c>
      <c r="M138" t="s">
        <v>25</v>
      </c>
      <c r="N138" t="s">
        <v>13702</v>
      </c>
      <c r="O138" t="s">
        <v>7928</v>
      </c>
      <c r="P138" t="s">
        <v>13703</v>
      </c>
      <c r="Q138" t="s">
        <v>25</v>
      </c>
      <c r="R138" t="s">
        <v>13704</v>
      </c>
      <c r="S138" t="s">
        <v>7928</v>
      </c>
      <c r="T138" t="s">
        <v>13701</v>
      </c>
      <c r="U138" t="s">
        <v>4559</v>
      </c>
      <c r="V138" t="s">
        <v>13736</v>
      </c>
      <c r="AA138" t="s">
        <v>4727</v>
      </c>
    </row>
    <row r="139" spans="1:27">
      <c r="A139" t="s">
        <v>13642</v>
      </c>
      <c r="B139" t="s">
        <v>13642</v>
      </c>
      <c r="C139" t="s">
        <v>18877</v>
      </c>
      <c r="D139" t="s">
        <v>10664</v>
      </c>
      <c r="E139" t="s">
        <v>10669</v>
      </c>
      <c r="F139" t="s">
        <v>10665</v>
      </c>
      <c r="G139" t="s">
        <v>13671</v>
      </c>
      <c r="H139" t="s">
        <v>10688</v>
      </c>
      <c r="I139" t="s">
        <v>10745</v>
      </c>
      <c r="J139" s="26" t="s">
        <v>13682</v>
      </c>
      <c r="K139" t="s">
        <v>7928</v>
      </c>
      <c r="L139" t="s">
        <v>13705</v>
      </c>
      <c r="M139" t="s">
        <v>25</v>
      </c>
      <c r="N139" t="s">
        <v>13706</v>
      </c>
      <c r="O139" t="s">
        <v>7928</v>
      </c>
      <c r="P139" t="s">
        <v>13707</v>
      </c>
      <c r="Q139" t="s">
        <v>25</v>
      </c>
      <c r="R139" t="s">
        <v>13708</v>
      </c>
      <c r="S139" t="s">
        <v>7928</v>
      </c>
      <c r="T139" t="s">
        <v>13705</v>
      </c>
      <c r="U139" t="s">
        <v>4559</v>
      </c>
      <c r="V139" t="s">
        <v>13737</v>
      </c>
      <c r="AA139" t="s">
        <v>4727</v>
      </c>
    </row>
    <row r="140" spans="1:27">
      <c r="A140" t="s">
        <v>13643</v>
      </c>
      <c r="B140" t="s">
        <v>13643</v>
      </c>
      <c r="C140" t="s">
        <v>18878</v>
      </c>
      <c r="D140" t="s">
        <v>10664</v>
      </c>
      <c r="E140" t="s">
        <v>10669</v>
      </c>
      <c r="F140" t="s">
        <v>10665</v>
      </c>
      <c r="G140" t="s">
        <v>13671</v>
      </c>
      <c r="H140" t="s">
        <v>10688</v>
      </c>
      <c r="I140" t="s">
        <v>10745</v>
      </c>
      <c r="J140" s="26" t="s">
        <v>13677</v>
      </c>
      <c r="K140" t="s">
        <v>7928</v>
      </c>
      <c r="L140" t="s">
        <v>13709</v>
      </c>
      <c r="M140" t="s">
        <v>25</v>
      </c>
      <c r="N140" t="s">
        <v>13710</v>
      </c>
      <c r="O140" t="s">
        <v>7928</v>
      </c>
      <c r="P140" t="s">
        <v>13711</v>
      </c>
      <c r="Q140" t="s">
        <v>25</v>
      </c>
      <c r="R140" t="s">
        <v>13712</v>
      </c>
      <c r="S140" t="s">
        <v>7928</v>
      </c>
      <c r="T140" t="s">
        <v>13709</v>
      </c>
      <c r="U140" t="s">
        <v>4559</v>
      </c>
      <c r="V140" t="s">
        <v>13738</v>
      </c>
      <c r="AA140" t="s">
        <v>4727</v>
      </c>
    </row>
    <row r="141" spans="1:27">
      <c r="A141" t="s">
        <v>13644</v>
      </c>
      <c r="B141" t="s">
        <v>13644</v>
      </c>
      <c r="C141" t="s">
        <v>18879</v>
      </c>
      <c r="D141" t="s">
        <v>10664</v>
      </c>
      <c r="E141" t="s">
        <v>13668</v>
      </c>
      <c r="F141" t="s">
        <v>10665</v>
      </c>
      <c r="G141" t="s">
        <v>13672</v>
      </c>
      <c r="H141" t="s">
        <v>10688</v>
      </c>
      <c r="I141" t="s">
        <v>13762</v>
      </c>
      <c r="J141" s="26" t="s">
        <v>13683</v>
      </c>
      <c r="S141" t="s">
        <v>7928</v>
      </c>
      <c r="T141" t="s">
        <v>13739</v>
      </c>
      <c r="U141" t="s">
        <v>4559</v>
      </c>
      <c r="V141" t="s">
        <v>13740</v>
      </c>
      <c r="AA141" t="s">
        <v>4727</v>
      </c>
    </row>
    <row r="142" spans="1:27">
      <c r="A142" t="s">
        <v>13645</v>
      </c>
      <c r="B142" t="s">
        <v>13645</v>
      </c>
      <c r="C142" t="s">
        <v>18880</v>
      </c>
      <c r="D142" t="s">
        <v>10664</v>
      </c>
      <c r="E142" t="s">
        <v>13668</v>
      </c>
      <c r="F142" t="s">
        <v>10665</v>
      </c>
      <c r="G142" t="s">
        <v>13672</v>
      </c>
      <c r="H142" t="s">
        <v>10688</v>
      </c>
      <c r="I142" t="s">
        <v>13762</v>
      </c>
      <c r="J142" s="26" t="s">
        <v>13684</v>
      </c>
      <c r="S142" t="s">
        <v>7928</v>
      </c>
      <c r="T142" t="s">
        <v>13741</v>
      </c>
      <c r="U142" t="s">
        <v>4559</v>
      </c>
      <c r="V142" t="s">
        <v>13742</v>
      </c>
      <c r="AA142" t="s">
        <v>4727</v>
      </c>
    </row>
    <row r="143" spans="1:27">
      <c r="A143" t="s">
        <v>13646</v>
      </c>
      <c r="B143" t="s">
        <v>13646</v>
      </c>
      <c r="C143" t="s">
        <v>18881</v>
      </c>
      <c r="D143" t="s">
        <v>10664</v>
      </c>
      <c r="E143" t="s">
        <v>13668</v>
      </c>
      <c r="F143" t="s">
        <v>10665</v>
      </c>
      <c r="G143" t="s">
        <v>13672</v>
      </c>
      <c r="H143" t="s">
        <v>10688</v>
      </c>
      <c r="I143" t="s">
        <v>13762</v>
      </c>
      <c r="J143" s="26" t="s">
        <v>13685</v>
      </c>
      <c r="K143" t="s">
        <v>7928</v>
      </c>
      <c r="L143" t="s">
        <v>13713</v>
      </c>
      <c r="M143" t="s">
        <v>25</v>
      </c>
      <c r="N143" t="s">
        <v>13714</v>
      </c>
      <c r="O143" t="s">
        <v>7928</v>
      </c>
      <c r="P143" t="s">
        <v>13715</v>
      </c>
      <c r="Q143" t="s">
        <v>25</v>
      </c>
      <c r="R143" t="s">
        <v>13716</v>
      </c>
      <c r="S143" t="s">
        <v>7928</v>
      </c>
      <c r="T143" t="s">
        <v>13713</v>
      </c>
      <c r="U143" t="s">
        <v>4559</v>
      </c>
      <c r="V143" t="s">
        <v>13743</v>
      </c>
      <c r="AA143" t="s">
        <v>4727</v>
      </c>
    </row>
    <row r="144" spans="1:27">
      <c r="A144" t="s">
        <v>13647</v>
      </c>
      <c r="B144" t="s">
        <v>13647</v>
      </c>
      <c r="C144" t="s">
        <v>18882</v>
      </c>
      <c r="D144" t="s">
        <v>10664</v>
      </c>
      <c r="E144" t="s">
        <v>13669</v>
      </c>
      <c r="F144" t="s">
        <v>10665</v>
      </c>
      <c r="G144" t="s">
        <v>13673</v>
      </c>
      <c r="H144" t="s">
        <v>10688</v>
      </c>
      <c r="I144" t="s">
        <v>13763</v>
      </c>
      <c r="J144" s="26" t="s">
        <v>13686</v>
      </c>
      <c r="K144" t="s">
        <v>7928</v>
      </c>
      <c r="L144" t="s">
        <v>13717</v>
      </c>
      <c r="M144" t="s">
        <v>25</v>
      </c>
      <c r="N144" t="s">
        <v>13718</v>
      </c>
      <c r="S144" t="s">
        <v>7928</v>
      </c>
      <c r="T144" t="s">
        <v>13717</v>
      </c>
      <c r="U144" t="s">
        <v>4559</v>
      </c>
      <c r="V144" t="s">
        <v>13744</v>
      </c>
      <c r="AA144" t="s">
        <v>4727</v>
      </c>
    </row>
    <row r="145" spans="1:27">
      <c r="A145" t="s">
        <v>13648</v>
      </c>
      <c r="B145" t="s">
        <v>13648</v>
      </c>
      <c r="C145" t="s">
        <v>18883</v>
      </c>
      <c r="D145" t="s">
        <v>10664</v>
      </c>
      <c r="E145" t="s">
        <v>13669</v>
      </c>
      <c r="F145" t="s">
        <v>10665</v>
      </c>
      <c r="G145" t="s">
        <v>13673</v>
      </c>
      <c r="H145" t="s">
        <v>10688</v>
      </c>
      <c r="I145" t="s">
        <v>13763</v>
      </c>
      <c r="J145" s="26" t="s">
        <v>13687</v>
      </c>
      <c r="S145" t="s">
        <v>7928</v>
      </c>
      <c r="T145" t="s">
        <v>13745</v>
      </c>
      <c r="U145" t="s">
        <v>4559</v>
      </c>
      <c r="V145" t="s">
        <v>13746</v>
      </c>
      <c r="AA145" t="s">
        <v>4727</v>
      </c>
    </row>
    <row r="146" spans="1:27">
      <c r="A146" t="s">
        <v>13649</v>
      </c>
      <c r="B146" t="s">
        <v>13649</v>
      </c>
      <c r="C146" t="s">
        <v>18884</v>
      </c>
      <c r="D146" t="s">
        <v>10664</v>
      </c>
      <c r="E146" t="s">
        <v>13669</v>
      </c>
      <c r="F146" t="s">
        <v>10665</v>
      </c>
      <c r="G146" t="s">
        <v>13673</v>
      </c>
      <c r="H146" t="s">
        <v>10688</v>
      </c>
      <c r="I146" t="s">
        <v>13763</v>
      </c>
      <c r="J146" s="26" t="s">
        <v>13688</v>
      </c>
      <c r="K146" t="s">
        <v>7928</v>
      </c>
      <c r="L146" t="s">
        <v>13719</v>
      </c>
      <c r="M146" t="s">
        <v>25</v>
      </c>
      <c r="N146" t="s">
        <v>13720</v>
      </c>
      <c r="O146" t="s">
        <v>7928</v>
      </c>
      <c r="P146" t="s">
        <v>13721</v>
      </c>
      <c r="Q146" t="s">
        <v>25</v>
      </c>
      <c r="R146" t="s">
        <v>13722</v>
      </c>
      <c r="S146" t="s">
        <v>7928</v>
      </c>
      <c r="T146" t="s">
        <v>13747</v>
      </c>
      <c r="U146" t="s">
        <v>4559</v>
      </c>
      <c r="V146" t="s">
        <v>13748</v>
      </c>
      <c r="AA146" t="s">
        <v>4727</v>
      </c>
    </row>
    <row r="147" spans="1:27">
      <c r="A147" t="s">
        <v>13650</v>
      </c>
      <c r="B147" t="s">
        <v>13650</v>
      </c>
      <c r="C147" t="s">
        <v>18885</v>
      </c>
      <c r="D147" t="s">
        <v>10664</v>
      </c>
      <c r="E147" t="s">
        <v>13670</v>
      </c>
      <c r="F147" t="s">
        <v>10665</v>
      </c>
      <c r="G147" t="s">
        <v>13674</v>
      </c>
      <c r="H147" t="s">
        <v>10688</v>
      </c>
      <c r="I147" t="s">
        <v>13764</v>
      </c>
      <c r="J147" s="26" t="s">
        <v>13689</v>
      </c>
      <c r="K147" t="s">
        <v>7928</v>
      </c>
      <c r="L147" t="s">
        <v>13725</v>
      </c>
      <c r="M147" t="s">
        <v>25</v>
      </c>
      <c r="N147" t="s">
        <v>13726</v>
      </c>
      <c r="S147" t="s">
        <v>7928</v>
      </c>
      <c r="T147" t="s">
        <v>13725</v>
      </c>
      <c r="U147" t="s">
        <v>4559</v>
      </c>
      <c r="V147" t="s">
        <v>13749</v>
      </c>
      <c r="AA147" t="s">
        <v>4727</v>
      </c>
    </row>
    <row r="148" spans="1:27">
      <c r="A148" t="s">
        <v>13651</v>
      </c>
      <c r="B148" t="s">
        <v>13651</v>
      </c>
      <c r="C148" t="s">
        <v>18886</v>
      </c>
      <c r="D148" t="s">
        <v>10664</v>
      </c>
      <c r="E148" t="s">
        <v>13670</v>
      </c>
      <c r="F148" t="s">
        <v>10665</v>
      </c>
      <c r="G148" t="s">
        <v>13674</v>
      </c>
      <c r="H148" t="s">
        <v>10688</v>
      </c>
      <c r="I148" t="s">
        <v>13764</v>
      </c>
      <c r="J148" s="26" t="s">
        <v>13690</v>
      </c>
      <c r="S148" t="s">
        <v>7928</v>
      </c>
      <c r="T148" t="s">
        <v>13750</v>
      </c>
      <c r="U148" t="s">
        <v>4559</v>
      </c>
      <c r="V148" t="s">
        <v>13751</v>
      </c>
      <c r="AA148" t="s">
        <v>4727</v>
      </c>
    </row>
    <row r="149" spans="1:27">
      <c r="A149" t="s">
        <v>13652</v>
      </c>
      <c r="B149" t="s">
        <v>13652</v>
      </c>
      <c r="C149" t="s">
        <v>18887</v>
      </c>
      <c r="D149" t="s">
        <v>10664</v>
      </c>
      <c r="E149" t="s">
        <v>13670</v>
      </c>
      <c r="F149" t="s">
        <v>10665</v>
      </c>
      <c r="G149" t="s">
        <v>13674</v>
      </c>
      <c r="H149" t="s">
        <v>10688</v>
      </c>
      <c r="I149" t="s">
        <v>13764</v>
      </c>
      <c r="J149" s="26" t="s">
        <v>13691</v>
      </c>
      <c r="K149" t="s">
        <v>7928</v>
      </c>
      <c r="L149" t="s">
        <v>13727</v>
      </c>
      <c r="M149" t="s">
        <v>25</v>
      </c>
      <c r="N149" t="s">
        <v>13728</v>
      </c>
      <c r="O149" t="s">
        <v>7928</v>
      </c>
      <c r="P149" t="s">
        <v>13729</v>
      </c>
      <c r="Q149" t="s">
        <v>25</v>
      </c>
      <c r="R149" t="s">
        <v>13730</v>
      </c>
      <c r="S149" t="s">
        <v>7928</v>
      </c>
      <c r="T149" t="s">
        <v>13727</v>
      </c>
      <c r="U149" t="s">
        <v>4559</v>
      </c>
      <c r="V149" t="s">
        <v>13752</v>
      </c>
      <c r="AA149" t="s">
        <v>4727</v>
      </c>
    </row>
    <row r="150" spans="1:27">
      <c r="A150" t="s">
        <v>13638</v>
      </c>
      <c r="B150" t="s">
        <v>13638</v>
      </c>
      <c r="C150" t="s">
        <v>18888</v>
      </c>
      <c r="D150" t="s">
        <v>10664</v>
      </c>
      <c r="E150" t="s">
        <v>7936</v>
      </c>
      <c r="F150" t="s">
        <v>10665</v>
      </c>
      <c r="G150" t="s">
        <v>13665</v>
      </c>
      <c r="H150" t="s">
        <v>6243</v>
      </c>
      <c r="I150" t="s">
        <v>13761</v>
      </c>
      <c r="J150" s="26" t="s">
        <v>13678</v>
      </c>
      <c r="S150" t="s">
        <v>7928</v>
      </c>
      <c r="T150" t="s">
        <v>13753</v>
      </c>
      <c r="U150" t="s">
        <v>4559</v>
      </c>
      <c r="V150" t="s">
        <v>13754</v>
      </c>
      <c r="AA150" t="s">
        <v>4727</v>
      </c>
    </row>
    <row r="151" spans="1:27">
      <c r="A151" t="s">
        <v>13639</v>
      </c>
      <c r="B151" t="s">
        <v>13639</v>
      </c>
      <c r="C151" t="s">
        <v>18889</v>
      </c>
      <c r="D151" t="s">
        <v>10664</v>
      </c>
      <c r="E151" t="s">
        <v>7936</v>
      </c>
      <c r="F151" t="s">
        <v>10665</v>
      </c>
      <c r="G151" t="s">
        <v>13665</v>
      </c>
      <c r="H151" t="s">
        <v>6243</v>
      </c>
      <c r="I151" t="s">
        <v>13761</v>
      </c>
      <c r="J151" s="26" t="s">
        <v>13679</v>
      </c>
      <c r="S151" t="s">
        <v>7928</v>
      </c>
      <c r="T151" t="s">
        <v>13755</v>
      </c>
      <c r="U151" t="s">
        <v>4559</v>
      </c>
      <c r="V151" t="s">
        <v>13756</v>
      </c>
      <c r="AA151" t="s">
        <v>4727</v>
      </c>
    </row>
    <row r="152" spans="1:27">
      <c r="A152" t="s">
        <v>13640</v>
      </c>
      <c r="B152" t="s">
        <v>13640</v>
      </c>
      <c r="C152" t="s">
        <v>18890</v>
      </c>
      <c r="D152" t="s">
        <v>10664</v>
      </c>
      <c r="E152" t="s">
        <v>7936</v>
      </c>
      <c r="F152" t="s">
        <v>10665</v>
      </c>
      <c r="G152" t="s">
        <v>13665</v>
      </c>
      <c r="H152" t="s">
        <v>6243</v>
      </c>
      <c r="I152" t="s">
        <v>13761</v>
      </c>
      <c r="J152" s="26" t="s">
        <v>13680</v>
      </c>
      <c r="K152" t="s">
        <v>7928</v>
      </c>
      <c r="L152" t="s">
        <v>13699</v>
      </c>
      <c r="M152" t="s">
        <v>25</v>
      </c>
      <c r="N152" t="s">
        <v>13700</v>
      </c>
      <c r="S152" t="s">
        <v>7928</v>
      </c>
      <c r="T152" t="s">
        <v>13699</v>
      </c>
      <c r="U152" t="s">
        <v>4559</v>
      </c>
      <c r="V152" t="s">
        <v>13757</v>
      </c>
      <c r="AA152" t="s">
        <v>4727</v>
      </c>
    </row>
    <row r="153" spans="1:27">
      <c r="A153" t="s">
        <v>13653</v>
      </c>
      <c r="B153" t="s">
        <v>13653</v>
      </c>
      <c r="C153" t="s">
        <v>18891</v>
      </c>
      <c r="D153" t="s">
        <v>10664</v>
      </c>
      <c r="E153" t="s">
        <v>13675</v>
      </c>
      <c r="F153" t="s">
        <v>10665</v>
      </c>
      <c r="G153" t="s">
        <v>13676</v>
      </c>
      <c r="H153" t="s">
        <v>10689</v>
      </c>
      <c r="I153" t="s">
        <v>13767</v>
      </c>
      <c r="J153" s="26" t="s">
        <v>13683</v>
      </c>
      <c r="AA153" t="s">
        <v>4727</v>
      </c>
    </row>
    <row r="154" spans="1:27">
      <c r="A154" t="s">
        <v>13654</v>
      </c>
      <c r="B154" t="s">
        <v>13654</v>
      </c>
      <c r="C154" t="s">
        <v>18892</v>
      </c>
      <c r="D154" t="s">
        <v>10664</v>
      </c>
      <c r="E154" t="s">
        <v>13675</v>
      </c>
      <c r="F154" t="s">
        <v>10665</v>
      </c>
      <c r="G154" t="s">
        <v>13676</v>
      </c>
      <c r="H154" t="s">
        <v>10689</v>
      </c>
      <c r="I154" t="s">
        <v>13767</v>
      </c>
      <c r="J154" s="26" t="s">
        <v>13684</v>
      </c>
      <c r="AA154" t="s">
        <v>4727</v>
      </c>
    </row>
    <row r="155" spans="1:27">
      <c r="A155" t="s">
        <v>13655</v>
      </c>
      <c r="B155" t="s">
        <v>13655</v>
      </c>
      <c r="C155" t="s">
        <v>18893</v>
      </c>
      <c r="D155" t="s">
        <v>10664</v>
      </c>
      <c r="E155" t="s">
        <v>13675</v>
      </c>
      <c r="F155" t="s">
        <v>10665</v>
      </c>
      <c r="G155" t="s">
        <v>13676</v>
      </c>
      <c r="H155" t="s">
        <v>10689</v>
      </c>
      <c r="I155" t="s">
        <v>13767</v>
      </c>
      <c r="J155" s="26" t="s">
        <v>13685</v>
      </c>
      <c r="S155" t="s">
        <v>7928</v>
      </c>
      <c r="T155" t="s">
        <v>13758</v>
      </c>
      <c r="U155" t="s">
        <v>4559</v>
      </c>
      <c r="V155" t="s">
        <v>13759</v>
      </c>
      <c r="AA155" t="s">
        <v>4727</v>
      </c>
    </row>
    <row r="156" spans="1:27">
      <c r="A156" t="s">
        <v>13659</v>
      </c>
      <c r="B156" t="s">
        <v>13659</v>
      </c>
      <c r="C156" t="s">
        <v>18894</v>
      </c>
      <c r="D156" t="s">
        <v>10664</v>
      </c>
      <c r="E156" t="s">
        <v>13662</v>
      </c>
      <c r="F156" t="s">
        <v>10665</v>
      </c>
      <c r="G156" t="s">
        <v>13666</v>
      </c>
      <c r="H156" t="s">
        <v>10689</v>
      </c>
      <c r="I156" t="s">
        <v>13765</v>
      </c>
      <c r="J156" s="26" t="s">
        <v>13686</v>
      </c>
      <c r="AA156" t="s">
        <v>4727</v>
      </c>
    </row>
    <row r="157" spans="1:27">
      <c r="A157" t="s">
        <v>13660</v>
      </c>
      <c r="B157" t="s">
        <v>13660</v>
      </c>
      <c r="C157" t="s">
        <v>18895</v>
      </c>
      <c r="D157" t="s">
        <v>10664</v>
      </c>
      <c r="E157" t="s">
        <v>13662</v>
      </c>
      <c r="F157" t="s">
        <v>10665</v>
      </c>
      <c r="G157" t="s">
        <v>13666</v>
      </c>
      <c r="H157" t="s">
        <v>10689</v>
      </c>
      <c r="I157" t="s">
        <v>13765</v>
      </c>
      <c r="J157" s="26" t="s">
        <v>13687</v>
      </c>
      <c r="AA157" t="s">
        <v>4727</v>
      </c>
    </row>
    <row r="158" spans="1:27">
      <c r="A158" t="s">
        <v>13661</v>
      </c>
      <c r="B158" t="s">
        <v>13661</v>
      </c>
      <c r="C158" t="s">
        <v>18896</v>
      </c>
      <c r="D158" t="s">
        <v>10664</v>
      </c>
      <c r="E158" t="s">
        <v>13662</v>
      </c>
      <c r="F158" t="s">
        <v>10665</v>
      </c>
      <c r="G158" t="s">
        <v>13666</v>
      </c>
      <c r="H158" t="s">
        <v>10689</v>
      </c>
      <c r="I158" t="s">
        <v>13765</v>
      </c>
      <c r="J158" s="26" t="s">
        <v>13688</v>
      </c>
      <c r="K158" t="s">
        <v>7928</v>
      </c>
      <c r="L158" t="s">
        <v>13723</v>
      </c>
      <c r="M158" t="s">
        <v>25</v>
      </c>
      <c r="N158" t="s">
        <v>13724</v>
      </c>
      <c r="S158" t="s">
        <v>7928</v>
      </c>
      <c r="T158" t="s">
        <v>13723</v>
      </c>
      <c r="U158" t="s">
        <v>4559</v>
      </c>
      <c r="V158" t="s">
        <v>13760</v>
      </c>
      <c r="AA158" t="s">
        <v>4727</v>
      </c>
    </row>
    <row r="159" spans="1:27">
      <c r="A159" t="s">
        <v>13656</v>
      </c>
      <c r="B159" t="s">
        <v>13656</v>
      </c>
      <c r="C159" t="s">
        <v>18897</v>
      </c>
      <c r="D159" t="s">
        <v>10664</v>
      </c>
      <c r="E159" t="s">
        <v>13663</v>
      </c>
      <c r="F159" t="s">
        <v>10665</v>
      </c>
      <c r="G159" t="s">
        <v>13667</v>
      </c>
      <c r="H159" t="s">
        <v>10689</v>
      </c>
      <c r="I159" t="s">
        <v>13766</v>
      </c>
      <c r="J159" s="26" t="s">
        <v>13692</v>
      </c>
      <c r="AA159" t="s">
        <v>4727</v>
      </c>
    </row>
    <row r="160" spans="1:27">
      <c r="A160" t="s">
        <v>13657</v>
      </c>
      <c r="B160" t="s">
        <v>13657</v>
      </c>
      <c r="C160" t="s">
        <v>18898</v>
      </c>
      <c r="D160" t="s">
        <v>10664</v>
      </c>
      <c r="E160" t="s">
        <v>13663</v>
      </c>
      <c r="F160" t="s">
        <v>10665</v>
      </c>
      <c r="G160" t="s">
        <v>13667</v>
      </c>
      <c r="H160" t="s">
        <v>10689</v>
      </c>
      <c r="I160" t="s">
        <v>13766</v>
      </c>
      <c r="J160" s="26" t="s">
        <v>13693</v>
      </c>
      <c r="AA160" t="s">
        <v>4727</v>
      </c>
    </row>
    <row r="161" spans="1:27">
      <c r="A161" t="s">
        <v>13658</v>
      </c>
      <c r="B161" t="s">
        <v>13658</v>
      </c>
      <c r="C161" t="s">
        <v>18899</v>
      </c>
      <c r="D161" t="s">
        <v>10664</v>
      </c>
      <c r="E161" t="s">
        <v>13663</v>
      </c>
      <c r="F161" t="s">
        <v>10665</v>
      </c>
      <c r="G161" t="s">
        <v>13667</v>
      </c>
      <c r="H161" t="s">
        <v>10689</v>
      </c>
      <c r="I161" t="s">
        <v>13766</v>
      </c>
      <c r="J161" s="26" t="s">
        <v>13694</v>
      </c>
      <c r="AA161" t="s">
        <v>4727</v>
      </c>
    </row>
    <row r="162" spans="1:27">
      <c r="A162" t="s">
        <v>13805</v>
      </c>
      <c r="B162" t="s">
        <v>13805</v>
      </c>
      <c r="C162" t="s">
        <v>13806</v>
      </c>
      <c r="D162" t="s">
        <v>6338</v>
      </c>
      <c r="E162" t="s">
        <v>8075</v>
      </c>
      <c r="F162" t="s">
        <v>2655</v>
      </c>
      <c r="G162" t="s">
        <v>13807</v>
      </c>
      <c r="H162" t="s">
        <v>6736</v>
      </c>
      <c r="I162" t="s">
        <v>13808</v>
      </c>
      <c r="J162" t="s">
        <v>13809</v>
      </c>
      <c r="K162" t="s">
        <v>13810</v>
      </c>
      <c r="L162" t="s">
        <v>13812</v>
      </c>
      <c r="M162" t="s">
        <v>25</v>
      </c>
      <c r="N162" t="s">
        <v>13813</v>
      </c>
      <c r="O162" t="s">
        <v>13810</v>
      </c>
      <c r="P162" t="s">
        <v>13805</v>
      </c>
      <c r="Q162" t="s">
        <v>25</v>
      </c>
      <c r="R162" t="s">
        <v>13811</v>
      </c>
      <c r="S162" t="s">
        <v>6338</v>
      </c>
      <c r="T162" t="s">
        <v>13805</v>
      </c>
      <c r="U162" t="s">
        <v>4559</v>
      </c>
      <c r="V162" t="s">
        <v>13814</v>
      </c>
      <c r="AA162" t="s">
        <v>4727</v>
      </c>
    </row>
    <row r="163" spans="1:27">
      <c r="A163" t="s">
        <v>13837</v>
      </c>
      <c r="B163" t="s">
        <v>13837</v>
      </c>
      <c r="C163" t="s">
        <v>13838</v>
      </c>
      <c r="D163" t="s">
        <v>4517</v>
      </c>
      <c r="E163" t="s">
        <v>13839</v>
      </c>
      <c r="F163" t="s">
        <v>2655</v>
      </c>
      <c r="G163" t="s">
        <v>13853</v>
      </c>
      <c r="H163" t="s">
        <v>4376</v>
      </c>
      <c r="I163" t="s">
        <v>13859</v>
      </c>
      <c r="J163" t="s">
        <v>13841</v>
      </c>
      <c r="K163" t="s">
        <v>4517</v>
      </c>
      <c r="L163" t="s">
        <v>13837</v>
      </c>
      <c r="M163" t="s">
        <v>25</v>
      </c>
      <c r="N163" t="s">
        <v>13843</v>
      </c>
      <c r="S163" t="s">
        <v>6661</v>
      </c>
      <c r="T163" t="s">
        <v>13837</v>
      </c>
      <c r="U163" t="s">
        <v>4559</v>
      </c>
      <c r="V163" t="s">
        <v>13845</v>
      </c>
      <c r="AA163" t="s">
        <v>4727</v>
      </c>
    </row>
    <row r="164" spans="1:27">
      <c r="A164" t="s">
        <v>13840</v>
      </c>
      <c r="B164" t="s">
        <v>13840</v>
      </c>
      <c r="C164" t="s">
        <v>13838</v>
      </c>
      <c r="D164" t="s">
        <v>4517</v>
      </c>
      <c r="E164" t="s">
        <v>13842</v>
      </c>
      <c r="F164" t="s">
        <v>2655</v>
      </c>
      <c r="G164" t="s">
        <v>13854</v>
      </c>
      <c r="H164" t="s">
        <v>10689</v>
      </c>
      <c r="I164" t="s">
        <v>13860</v>
      </c>
      <c r="J164" t="s">
        <v>13841</v>
      </c>
      <c r="K164" t="s">
        <v>4517</v>
      </c>
      <c r="L164" t="s">
        <v>13840</v>
      </c>
      <c r="M164" t="s">
        <v>25</v>
      </c>
      <c r="N164" t="s">
        <v>13844</v>
      </c>
    </row>
    <row r="165" spans="1:27">
      <c r="A165" t="s">
        <v>13847</v>
      </c>
      <c r="B165" t="s">
        <v>13847</v>
      </c>
      <c r="C165" t="s">
        <v>13849</v>
      </c>
      <c r="D165" t="s">
        <v>4517</v>
      </c>
      <c r="E165" t="s">
        <v>13839</v>
      </c>
      <c r="F165" t="s">
        <v>2655</v>
      </c>
      <c r="G165" t="s">
        <v>13855</v>
      </c>
      <c r="H165" t="s">
        <v>4376</v>
      </c>
      <c r="I165" t="s">
        <v>13859</v>
      </c>
      <c r="J165" t="s">
        <v>13846</v>
      </c>
      <c r="K165" t="s">
        <v>4517</v>
      </c>
      <c r="L165" t="s">
        <v>13847</v>
      </c>
      <c r="M165" t="s">
        <v>25</v>
      </c>
      <c r="N165" t="s">
        <v>13850</v>
      </c>
      <c r="S165" t="s">
        <v>6661</v>
      </c>
      <c r="T165" t="s">
        <v>13847</v>
      </c>
      <c r="U165" t="s">
        <v>4559</v>
      </c>
      <c r="V165" t="s">
        <v>13852</v>
      </c>
      <c r="AA165" t="s">
        <v>4727</v>
      </c>
    </row>
    <row r="166" spans="1:27">
      <c r="A166" t="s">
        <v>13848</v>
      </c>
      <c r="B166" t="s">
        <v>13848</v>
      </c>
      <c r="C166" t="s">
        <v>13849</v>
      </c>
      <c r="D166" t="s">
        <v>4517</v>
      </c>
      <c r="E166" t="s">
        <v>13842</v>
      </c>
      <c r="F166" t="s">
        <v>2655</v>
      </c>
      <c r="G166" t="s">
        <v>13856</v>
      </c>
      <c r="H166" t="s">
        <v>10689</v>
      </c>
      <c r="I166" t="s">
        <v>13860</v>
      </c>
      <c r="J166" t="s">
        <v>13846</v>
      </c>
      <c r="K166" t="s">
        <v>4517</v>
      </c>
      <c r="L166" t="s">
        <v>13848</v>
      </c>
      <c r="M166" t="s">
        <v>25</v>
      </c>
      <c r="N166" t="s">
        <v>13851</v>
      </c>
    </row>
    <row r="167" spans="1:27">
      <c r="A167" t="s">
        <v>13942</v>
      </c>
      <c r="B167" t="s">
        <v>13942</v>
      </c>
      <c r="C167" t="s">
        <v>13944</v>
      </c>
      <c r="D167" t="s">
        <v>4517</v>
      </c>
      <c r="E167" t="s">
        <v>13945</v>
      </c>
      <c r="F167" t="s">
        <v>2655</v>
      </c>
      <c r="G167" t="s">
        <v>13942</v>
      </c>
      <c r="H167" t="s">
        <v>4377</v>
      </c>
      <c r="I167" t="s">
        <v>13958</v>
      </c>
      <c r="J167" t="s">
        <v>13946</v>
      </c>
      <c r="K167" t="s">
        <v>4517</v>
      </c>
      <c r="L167" t="s">
        <v>13947</v>
      </c>
      <c r="M167" t="s">
        <v>25</v>
      </c>
      <c r="N167" t="s">
        <v>13948</v>
      </c>
      <c r="O167" t="s">
        <v>4517</v>
      </c>
      <c r="P167" t="s">
        <v>13949</v>
      </c>
      <c r="Q167" t="s">
        <v>25</v>
      </c>
      <c r="R167" t="s">
        <v>13950</v>
      </c>
      <c r="S167" t="s">
        <v>6661</v>
      </c>
      <c r="T167" t="s">
        <v>13947</v>
      </c>
      <c r="U167" t="s">
        <v>4559</v>
      </c>
      <c r="V167" t="s">
        <v>13951</v>
      </c>
      <c r="AA167" t="s">
        <v>4727</v>
      </c>
    </row>
    <row r="168" spans="1:27">
      <c r="A168" t="s">
        <v>13943</v>
      </c>
      <c r="B168" t="s">
        <v>13943</v>
      </c>
      <c r="C168" t="s">
        <v>13944</v>
      </c>
      <c r="D168" t="s">
        <v>4517</v>
      </c>
      <c r="E168" t="s">
        <v>6248</v>
      </c>
      <c r="F168" t="s">
        <v>2655</v>
      </c>
      <c r="G168" t="s">
        <v>13943</v>
      </c>
      <c r="H168" t="s">
        <v>6243</v>
      </c>
      <c r="I168" t="s">
        <v>13957</v>
      </c>
      <c r="J168" t="s">
        <v>13946</v>
      </c>
      <c r="K168" t="s">
        <v>4517</v>
      </c>
      <c r="L168" t="s">
        <v>13952</v>
      </c>
      <c r="M168" t="s">
        <v>25</v>
      </c>
      <c r="N168" t="s">
        <v>13953</v>
      </c>
      <c r="O168" t="s">
        <v>4517</v>
      </c>
      <c r="P168" t="s">
        <v>13954</v>
      </c>
      <c r="Q168" t="s">
        <v>25</v>
      </c>
      <c r="R168" t="s">
        <v>13955</v>
      </c>
      <c r="S168" t="s">
        <v>6661</v>
      </c>
      <c r="T168" t="s">
        <v>13952</v>
      </c>
      <c r="U168" t="s">
        <v>4559</v>
      </c>
      <c r="V168" t="s">
        <v>13956</v>
      </c>
      <c r="AA168" t="s">
        <v>4727</v>
      </c>
    </row>
    <row r="169" spans="1:27">
      <c r="A169" t="s">
        <v>14026</v>
      </c>
      <c r="B169" t="s">
        <v>14026</v>
      </c>
      <c r="C169" t="s">
        <v>18900</v>
      </c>
      <c r="D169" t="s">
        <v>4517</v>
      </c>
      <c r="E169" t="s">
        <v>14027</v>
      </c>
      <c r="F169" t="s">
        <v>2655</v>
      </c>
      <c r="G169" t="s">
        <v>14026</v>
      </c>
      <c r="H169" t="s">
        <v>6243</v>
      </c>
      <c r="I169" t="s">
        <v>14032</v>
      </c>
      <c r="J169" t="s">
        <v>14028</v>
      </c>
      <c r="K169" t="s">
        <v>4517</v>
      </c>
      <c r="L169" t="s">
        <v>14029</v>
      </c>
      <c r="M169" t="s">
        <v>25</v>
      </c>
      <c r="N169" t="s">
        <v>14030</v>
      </c>
      <c r="S169" t="s">
        <v>6661</v>
      </c>
      <c r="T169" t="s">
        <v>14029</v>
      </c>
      <c r="U169" t="s">
        <v>4559</v>
      </c>
      <c r="V169" t="s">
        <v>14031</v>
      </c>
      <c r="AA169" t="s">
        <v>4727</v>
      </c>
    </row>
    <row r="170" spans="1:27">
      <c r="A170" t="s">
        <v>14048</v>
      </c>
      <c r="B170" t="s">
        <v>14048</v>
      </c>
      <c r="C170" t="s">
        <v>18901</v>
      </c>
      <c r="D170" t="s">
        <v>4517</v>
      </c>
      <c r="E170" t="s">
        <v>4553</v>
      </c>
      <c r="F170" t="s">
        <v>2655</v>
      </c>
      <c r="G170" t="s">
        <v>14047</v>
      </c>
      <c r="H170" t="s">
        <v>4376</v>
      </c>
      <c r="I170" t="s">
        <v>4799</v>
      </c>
      <c r="J170" t="s">
        <v>14064</v>
      </c>
      <c r="K170" t="s">
        <v>4517</v>
      </c>
      <c r="L170" t="s">
        <v>14065</v>
      </c>
      <c r="M170" t="s">
        <v>25</v>
      </c>
      <c r="N170" t="s">
        <v>14066</v>
      </c>
      <c r="O170" t="s">
        <v>4517</v>
      </c>
      <c r="P170" t="s">
        <v>14067</v>
      </c>
      <c r="Q170" t="s">
        <v>25</v>
      </c>
      <c r="R170" t="s">
        <v>14068</v>
      </c>
      <c r="S170" t="s">
        <v>6661</v>
      </c>
      <c r="T170" t="s">
        <v>14065</v>
      </c>
      <c r="U170" t="s">
        <v>4559</v>
      </c>
      <c r="V170" t="s">
        <v>14069</v>
      </c>
      <c r="AA170" t="s">
        <v>4727</v>
      </c>
    </row>
    <row r="171" spans="1:27">
      <c r="A171" t="s">
        <v>14055</v>
      </c>
      <c r="B171" t="s">
        <v>14055</v>
      </c>
      <c r="C171" t="s">
        <v>18901</v>
      </c>
      <c r="D171" t="s">
        <v>4517</v>
      </c>
      <c r="E171" t="s">
        <v>4553</v>
      </c>
      <c r="F171" t="s">
        <v>2655</v>
      </c>
      <c r="G171" t="s">
        <v>14047</v>
      </c>
      <c r="H171" t="s">
        <v>4376</v>
      </c>
      <c r="I171" t="s">
        <v>4799</v>
      </c>
      <c r="J171" t="s">
        <v>14064</v>
      </c>
      <c r="K171" t="s">
        <v>4517</v>
      </c>
      <c r="L171" t="s">
        <v>14070</v>
      </c>
      <c r="M171" t="s">
        <v>25</v>
      </c>
      <c r="N171" t="s">
        <v>14071</v>
      </c>
      <c r="O171" t="s">
        <v>4517</v>
      </c>
      <c r="P171" t="s">
        <v>14072</v>
      </c>
      <c r="Q171" t="s">
        <v>25</v>
      </c>
      <c r="R171" t="s">
        <v>14073</v>
      </c>
      <c r="S171" t="s">
        <v>6661</v>
      </c>
      <c r="T171" t="s">
        <v>14070</v>
      </c>
      <c r="U171" t="s">
        <v>4559</v>
      </c>
      <c r="V171" t="s">
        <v>14074</v>
      </c>
      <c r="AA171" t="s">
        <v>4727</v>
      </c>
    </row>
    <row r="172" spans="1:27">
      <c r="A172" t="s">
        <v>14049</v>
      </c>
      <c r="B172" t="s">
        <v>14049</v>
      </c>
      <c r="C172" t="s">
        <v>18902</v>
      </c>
      <c r="D172" t="s">
        <v>4517</v>
      </c>
      <c r="E172" t="s">
        <v>4553</v>
      </c>
      <c r="F172" t="s">
        <v>2655</v>
      </c>
      <c r="G172" t="s">
        <v>14047</v>
      </c>
      <c r="H172" t="s">
        <v>4376</v>
      </c>
      <c r="I172" t="s">
        <v>4799</v>
      </c>
      <c r="J172" t="s">
        <v>14064</v>
      </c>
      <c r="K172" t="s">
        <v>4517</v>
      </c>
      <c r="L172" t="s">
        <v>14075</v>
      </c>
      <c r="M172" t="s">
        <v>25</v>
      </c>
      <c r="N172" t="s">
        <v>14076</v>
      </c>
      <c r="O172" t="s">
        <v>4517</v>
      </c>
      <c r="P172" t="s">
        <v>14077</v>
      </c>
      <c r="Q172" t="s">
        <v>25</v>
      </c>
      <c r="R172" t="s">
        <v>14078</v>
      </c>
      <c r="S172" t="s">
        <v>6661</v>
      </c>
      <c r="T172" t="s">
        <v>14075</v>
      </c>
      <c r="U172" t="s">
        <v>4559</v>
      </c>
      <c r="V172" t="s">
        <v>14079</v>
      </c>
      <c r="AA172" t="s">
        <v>4727</v>
      </c>
    </row>
    <row r="173" spans="1:27">
      <c r="A173" t="s">
        <v>14056</v>
      </c>
      <c r="B173" t="s">
        <v>14056</v>
      </c>
      <c r="C173" t="s">
        <v>18902</v>
      </c>
      <c r="D173" t="s">
        <v>4517</v>
      </c>
      <c r="E173" t="s">
        <v>4553</v>
      </c>
      <c r="F173" t="s">
        <v>2655</v>
      </c>
      <c r="G173" t="s">
        <v>14047</v>
      </c>
      <c r="H173" t="s">
        <v>4376</v>
      </c>
      <c r="I173" t="s">
        <v>4799</v>
      </c>
      <c r="J173" t="s">
        <v>14064</v>
      </c>
      <c r="K173" t="s">
        <v>4517</v>
      </c>
      <c r="L173" t="s">
        <v>14080</v>
      </c>
      <c r="M173" t="s">
        <v>25</v>
      </c>
      <c r="N173" t="s">
        <v>14081</v>
      </c>
      <c r="O173" t="s">
        <v>4517</v>
      </c>
      <c r="P173" t="s">
        <v>14082</v>
      </c>
      <c r="Q173" t="s">
        <v>25</v>
      </c>
      <c r="R173" t="s">
        <v>14083</v>
      </c>
      <c r="S173" t="s">
        <v>6661</v>
      </c>
      <c r="T173" t="s">
        <v>14080</v>
      </c>
      <c r="U173" t="s">
        <v>4559</v>
      </c>
      <c r="V173" t="s">
        <v>14084</v>
      </c>
      <c r="AA173" t="s">
        <v>4727</v>
      </c>
    </row>
    <row r="174" spans="1:27">
      <c r="A174" t="s">
        <v>14050</v>
      </c>
      <c r="B174" t="s">
        <v>14050</v>
      </c>
      <c r="C174" t="s">
        <v>18903</v>
      </c>
      <c r="D174" t="s">
        <v>4517</v>
      </c>
      <c r="E174" t="s">
        <v>4553</v>
      </c>
      <c r="F174" t="s">
        <v>2655</v>
      </c>
      <c r="G174" t="s">
        <v>14047</v>
      </c>
      <c r="H174" t="s">
        <v>4376</v>
      </c>
      <c r="I174" t="s">
        <v>4799</v>
      </c>
      <c r="J174" t="s">
        <v>14064</v>
      </c>
      <c r="K174" t="s">
        <v>4517</v>
      </c>
      <c r="L174" t="s">
        <v>14085</v>
      </c>
      <c r="M174" t="s">
        <v>25</v>
      </c>
      <c r="N174" t="s">
        <v>14086</v>
      </c>
      <c r="O174" t="s">
        <v>4517</v>
      </c>
      <c r="P174" t="s">
        <v>14087</v>
      </c>
      <c r="Q174" t="s">
        <v>25</v>
      </c>
      <c r="R174" t="s">
        <v>14088</v>
      </c>
      <c r="S174" t="s">
        <v>6661</v>
      </c>
      <c r="T174" t="s">
        <v>14085</v>
      </c>
      <c r="U174" t="s">
        <v>4559</v>
      </c>
      <c r="V174" t="s">
        <v>14089</v>
      </c>
      <c r="AA174" t="s">
        <v>4727</v>
      </c>
    </row>
    <row r="175" spans="1:27">
      <c r="A175" t="s">
        <v>14057</v>
      </c>
      <c r="B175" t="s">
        <v>14057</v>
      </c>
      <c r="C175" t="s">
        <v>18903</v>
      </c>
      <c r="D175" t="s">
        <v>4517</v>
      </c>
      <c r="E175" t="s">
        <v>4553</v>
      </c>
      <c r="F175" t="s">
        <v>2655</v>
      </c>
      <c r="G175" t="s">
        <v>14047</v>
      </c>
      <c r="H175" t="s">
        <v>4376</v>
      </c>
      <c r="I175" t="s">
        <v>4799</v>
      </c>
      <c r="J175" t="s">
        <v>14064</v>
      </c>
      <c r="K175" t="s">
        <v>4517</v>
      </c>
      <c r="L175" t="s">
        <v>14090</v>
      </c>
      <c r="M175" t="s">
        <v>25</v>
      </c>
      <c r="N175" t="s">
        <v>14091</v>
      </c>
      <c r="O175" t="s">
        <v>4517</v>
      </c>
      <c r="P175" t="s">
        <v>14092</v>
      </c>
      <c r="Q175" t="s">
        <v>25</v>
      </c>
      <c r="R175" t="s">
        <v>14093</v>
      </c>
      <c r="S175" t="s">
        <v>6661</v>
      </c>
      <c r="T175" t="s">
        <v>14090</v>
      </c>
      <c r="U175" t="s">
        <v>4559</v>
      </c>
      <c r="V175" t="s">
        <v>14094</v>
      </c>
      <c r="AA175" t="s">
        <v>4727</v>
      </c>
    </row>
    <row r="176" spans="1:27">
      <c r="A176" t="s">
        <v>14051</v>
      </c>
      <c r="B176" t="s">
        <v>14051</v>
      </c>
      <c r="C176" t="s">
        <v>18904</v>
      </c>
      <c r="D176" t="s">
        <v>4517</v>
      </c>
      <c r="E176" t="s">
        <v>4553</v>
      </c>
      <c r="F176" t="s">
        <v>2655</v>
      </c>
      <c r="G176" t="s">
        <v>14047</v>
      </c>
      <c r="H176" t="s">
        <v>4376</v>
      </c>
      <c r="I176" t="s">
        <v>4799</v>
      </c>
      <c r="J176" t="s">
        <v>14064</v>
      </c>
      <c r="K176" t="s">
        <v>4517</v>
      </c>
      <c r="L176" t="s">
        <v>14095</v>
      </c>
      <c r="M176" t="s">
        <v>25</v>
      </c>
      <c r="N176" t="s">
        <v>14096</v>
      </c>
      <c r="O176" t="s">
        <v>4517</v>
      </c>
      <c r="P176" t="s">
        <v>14097</v>
      </c>
      <c r="Q176" t="s">
        <v>25</v>
      </c>
      <c r="R176" t="s">
        <v>14098</v>
      </c>
      <c r="S176" t="s">
        <v>6661</v>
      </c>
      <c r="T176" t="s">
        <v>14095</v>
      </c>
      <c r="U176" t="s">
        <v>4559</v>
      </c>
      <c r="V176" t="s">
        <v>14099</v>
      </c>
      <c r="AA176" t="s">
        <v>4727</v>
      </c>
    </row>
    <row r="177" spans="1:27">
      <c r="A177" t="s">
        <v>14058</v>
      </c>
      <c r="B177" t="s">
        <v>14058</v>
      </c>
      <c r="C177" t="s">
        <v>18904</v>
      </c>
      <c r="D177" t="s">
        <v>4517</v>
      </c>
      <c r="E177" t="s">
        <v>4553</v>
      </c>
      <c r="F177" t="s">
        <v>2655</v>
      </c>
      <c r="G177" t="s">
        <v>14047</v>
      </c>
      <c r="H177" t="s">
        <v>4376</v>
      </c>
      <c r="I177" t="s">
        <v>4799</v>
      </c>
      <c r="J177" t="s">
        <v>14064</v>
      </c>
      <c r="K177" t="s">
        <v>4517</v>
      </c>
      <c r="L177" t="s">
        <v>14100</v>
      </c>
      <c r="M177" t="s">
        <v>25</v>
      </c>
      <c r="N177" t="s">
        <v>14101</v>
      </c>
      <c r="O177" t="s">
        <v>4517</v>
      </c>
      <c r="P177" t="s">
        <v>14102</v>
      </c>
      <c r="Q177" t="s">
        <v>25</v>
      </c>
      <c r="R177" t="s">
        <v>14103</v>
      </c>
      <c r="S177" t="s">
        <v>6661</v>
      </c>
      <c r="T177" t="s">
        <v>14100</v>
      </c>
      <c r="U177" t="s">
        <v>4559</v>
      </c>
      <c r="V177" t="s">
        <v>14104</v>
      </c>
      <c r="AA177" t="s">
        <v>4727</v>
      </c>
    </row>
    <row r="178" spans="1:27">
      <c r="A178" t="s">
        <v>14052</v>
      </c>
      <c r="B178" t="s">
        <v>14052</v>
      </c>
      <c r="C178" t="s">
        <v>18905</v>
      </c>
      <c r="D178" t="s">
        <v>4517</v>
      </c>
      <c r="E178" t="s">
        <v>4553</v>
      </c>
      <c r="F178" t="s">
        <v>2655</v>
      </c>
      <c r="G178" t="s">
        <v>14047</v>
      </c>
      <c r="H178" t="s">
        <v>4376</v>
      </c>
      <c r="I178" t="s">
        <v>4799</v>
      </c>
      <c r="J178" t="s">
        <v>14064</v>
      </c>
      <c r="K178" t="s">
        <v>4517</v>
      </c>
      <c r="L178" t="s">
        <v>14105</v>
      </c>
      <c r="M178" t="s">
        <v>25</v>
      </c>
      <c r="N178" t="s">
        <v>14106</v>
      </c>
      <c r="O178" t="s">
        <v>4517</v>
      </c>
      <c r="P178" t="s">
        <v>14107</v>
      </c>
      <c r="Q178" t="s">
        <v>25</v>
      </c>
      <c r="R178" t="s">
        <v>14108</v>
      </c>
      <c r="S178" t="s">
        <v>6661</v>
      </c>
      <c r="T178" t="s">
        <v>14105</v>
      </c>
      <c r="U178" t="s">
        <v>4559</v>
      </c>
      <c r="V178" t="s">
        <v>14109</v>
      </c>
      <c r="AA178" t="s">
        <v>4727</v>
      </c>
    </row>
    <row r="179" spans="1:27">
      <c r="A179" t="s">
        <v>14059</v>
      </c>
      <c r="B179" t="s">
        <v>14059</v>
      </c>
      <c r="C179" t="s">
        <v>18902</v>
      </c>
      <c r="D179" t="s">
        <v>4517</v>
      </c>
      <c r="E179" t="s">
        <v>4553</v>
      </c>
      <c r="F179" t="s">
        <v>2655</v>
      </c>
      <c r="G179" t="s">
        <v>14047</v>
      </c>
      <c r="H179" t="s">
        <v>4376</v>
      </c>
      <c r="I179" t="s">
        <v>4799</v>
      </c>
      <c r="J179" t="s">
        <v>14064</v>
      </c>
      <c r="K179" t="s">
        <v>4517</v>
      </c>
      <c r="L179" t="s">
        <v>14110</v>
      </c>
      <c r="M179" t="s">
        <v>25</v>
      </c>
      <c r="N179" t="s">
        <v>14111</v>
      </c>
      <c r="O179" t="s">
        <v>4517</v>
      </c>
      <c r="P179" t="s">
        <v>14112</v>
      </c>
      <c r="Q179" t="s">
        <v>25</v>
      </c>
      <c r="R179" t="s">
        <v>14113</v>
      </c>
      <c r="S179" t="s">
        <v>6661</v>
      </c>
      <c r="T179" t="s">
        <v>14110</v>
      </c>
      <c r="U179" t="s">
        <v>4559</v>
      </c>
      <c r="V179" t="s">
        <v>14114</v>
      </c>
      <c r="AA179" t="s">
        <v>4727</v>
      </c>
    </row>
    <row r="180" spans="1:27">
      <c r="A180" t="s">
        <v>14053</v>
      </c>
      <c r="B180" t="s">
        <v>14053</v>
      </c>
      <c r="C180" t="s">
        <v>18902</v>
      </c>
      <c r="D180" t="s">
        <v>4517</v>
      </c>
      <c r="E180" t="s">
        <v>4553</v>
      </c>
      <c r="F180" t="s">
        <v>2655</v>
      </c>
      <c r="G180" t="s">
        <v>14047</v>
      </c>
      <c r="H180" t="s">
        <v>4376</v>
      </c>
      <c r="I180" t="s">
        <v>4799</v>
      </c>
      <c r="J180" t="s">
        <v>14064</v>
      </c>
      <c r="K180" t="s">
        <v>4517</v>
      </c>
      <c r="L180" t="s">
        <v>14115</v>
      </c>
      <c r="M180" t="s">
        <v>25</v>
      </c>
      <c r="N180" t="s">
        <v>14116</v>
      </c>
      <c r="O180" t="s">
        <v>4517</v>
      </c>
      <c r="P180" t="s">
        <v>14117</v>
      </c>
      <c r="Q180" t="s">
        <v>25</v>
      </c>
      <c r="R180" t="s">
        <v>14118</v>
      </c>
      <c r="S180" t="s">
        <v>6661</v>
      </c>
      <c r="T180" t="s">
        <v>14115</v>
      </c>
      <c r="U180" t="s">
        <v>4559</v>
      </c>
      <c r="V180" t="s">
        <v>14119</v>
      </c>
      <c r="AA180" t="s">
        <v>4727</v>
      </c>
    </row>
    <row r="181" spans="1:27">
      <c r="A181" t="s">
        <v>14060</v>
      </c>
      <c r="B181" t="s">
        <v>14060</v>
      </c>
      <c r="C181" t="s">
        <v>18902</v>
      </c>
      <c r="D181" t="s">
        <v>4517</v>
      </c>
      <c r="E181" t="s">
        <v>4553</v>
      </c>
      <c r="F181" t="s">
        <v>2655</v>
      </c>
      <c r="G181" t="s">
        <v>14047</v>
      </c>
      <c r="H181" t="s">
        <v>4376</v>
      </c>
      <c r="I181" t="s">
        <v>4799</v>
      </c>
      <c r="J181" t="s">
        <v>14064</v>
      </c>
      <c r="K181" t="s">
        <v>4517</v>
      </c>
      <c r="L181" t="s">
        <v>14120</v>
      </c>
      <c r="M181" t="s">
        <v>25</v>
      </c>
      <c r="N181" t="s">
        <v>14121</v>
      </c>
      <c r="O181" t="s">
        <v>4517</v>
      </c>
      <c r="P181" t="s">
        <v>14122</v>
      </c>
      <c r="Q181" t="s">
        <v>25</v>
      </c>
      <c r="R181" t="s">
        <v>14123</v>
      </c>
      <c r="S181" t="s">
        <v>6661</v>
      </c>
      <c r="T181" t="s">
        <v>14120</v>
      </c>
      <c r="U181" t="s">
        <v>4559</v>
      </c>
      <c r="V181" t="s">
        <v>14124</v>
      </c>
      <c r="AA181" t="s">
        <v>4727</v>
      </c>
    </row>
    <row r="182" spans="1:27">
      <c r="A182" t="s">
        <v>14054</v>
      </c>
      <c r="B182" t="s">
        <v>14054</v>
      </c>
      <c r="C182" t="s">
        <v>18902</v>
      </c>
      <c r="D182" t="s">
        <v>4517</v>
      </c>
      <c r="E182" t="s">
        <v>4553</v>
      </c>
      <c r="F182" t="s">
        <v>2655</v>
      </c>
      <c r="G182" t="s">
        <v>14047</v>
      </c>
      <c r="H182" t="s">
        <v>4376</v>
      </c>
      <c r="I182" t="s">
        <v>4799</v>
      </c>
      <c r="J182" t="s">
        <v>14064</v>
      </c>
      <c r="K182" t="s">
        <v>4517</v>
      </c>
      <c r="L182" t="s">
        <v>14125</v>
      </c>
      <c r="M182" t="s">
        <v>25</v>
      </c>
      <c r="N182" t="s">
        <v>14126</v>
      </c>
      <c r="O182" t="s">
        <v>4517</v>
      </c>
      <c r="P182" t="s">
        <v>14127</v>
      </c>
      <c r="Q182" t="s">
        <v>25</v>
      </c>
      <c r="R182" t="s">
        <v>14128</v>
      </c>
      <c r="S182" t="s">
        <v>6661</v>
      </c>
      <c r="T182" t="s">
        <v>14125</v>
      </c>
      <c r="U182" t="s">
        <v>4559</v>
      </c>
      <c r="V182" t="s">
        <v>14129</v>
      </c>
      <c r="AA182" t="s">
        <v>4727</v>
      </c>
    </row>
    <row r="183" spans="1:27">
      <c r="A183" t="s">
        <v>14061</v>
      </c>
      <c r="B183" t="s">
        <v>14061</v>
      </c>
      <c r="C183" t="s">
        <v>18902</v>
      </c>
      <c r="D183" t="s">
        <v>4517</v>
      </c>
      <c r="E183" t="s">
        <v>4553</v>
      </c>
      <c r="F183" t="s">
        <v>2655</v>
      </c>
      <c r="G183" t="s">
        <v>14047</v>
      </c>
      <c r="H183" t="s">
        <v>4376</v>
      </c>
      <c r="I183" t="s">
        <v>4799</v>
      </c>
      <c r="J183" t="s">
        <v>14064</v>
      </c>
      <c r="K183" t="s">
        <v>4517</v>
      </c>
      <c r="L183" t="s">
        <v>14130</v>
      </c>
      <c r="M183" t="s">
        <v>25</v>
      </c>
      <c r="N183" t="s">
        <v>14131</v>
      </c>
      <c r="O183" t="s">
        <v>4517</v>
      </c>
      <c r="P183" t="s">
        <v>14132</v>
      </c>
      <c r="Q183" t="s">
        <v>25</v>
      </c>
      <c r="R183" t="s">
        <v>14133</v>
      </c>
      <c r="S183" t="s">
        <v>6661</v>
      </c>
      <c r="T183" t="s">
        <v>14130</v>
      </c>
      <c r="U183" t="s">
        <v>4559</v>
      </c>
      <c r="V183" t="s">
        <v>14134</v>
      </c>
      <c r="AA183" t="s">
        <v>4727</v>
      </c>
    </row>
    <row r="184" spans="1:27">
      <c r="A184" t="s">
        <v>14062</v>
      </c>
      <c r="B184" t="s">
        <v>14062</v>
      </c>
      <c r="C184" t="s">
        <v>18902</v>
      </c>
      <c r="D184" t="s">
        <v>4517</v>
      </c>
      <c r="E184" t="s">
        <v>4553</v>
      </c>
      <c r="F184" t="s">
        <v>2655</v>
      </c>
      <c r="G184" t="s">
        <v>14047</v>
      </c>
      <c r="H184" t="s">
        <v>4376</v>
      </c>
      <c r="I184" t="s">
        <v>4799</v>
      </c>
      <c r="J184" t="s">
        <v>14064</v>
      </c>
      <c r="K184" t="s">
        <v>4517</v>
      </c>
      <c r="L184" t="s">
        <v>14135</v>
      </c>
      <c r="M184" t="s">
        <v>25</v>
      </c>
      <c r="N184" t="s">
        <v>14136</v>
      </c>
      <c r="O184" t="s">
        <v>4517</v>
      </c>
      <c r="P184" t="s">
        <v>14137</v>
      </c>
      <c r="Q184" t="s">
        <v>25</v>
      </c>
      <c r="R184" t="s">
        <v>14138</v>
      </c>
      <c r="S184" t="s">
        <v>6661</v>
      </c>
      <c r="T184" t="s">
        <v>14135</v>
      </c>
      <c r="U184" t="s">
        <v>4559</v>
      </c>
      <c r="V184" t="s">
        <v>14139</v>
      </c>
      <c r="AA184" t="s">
        <v>4727</v>
      </c>
    </row>
    <row r="185" spans="1:27">
      <c r="A185" t="s">
        <v>14063</v>
      </c>
      <c r="B185" t="s">
        <v>14063</v>
      </c>
      <c r="C185" t="s">
        <v>18902</v>
      </c>
      <c r="D185" t="s">
        <v>4517</v>
      </c>
      <c r="E185" t="s">
        <v>4553</v>
      </c>
      <c r="F185" t="s">
        <v>2655</v>
      </c>
      <c r="G185" t="s">
        <v>14047</v>
      </c>
      <c r="H185" t="s">
        <v>4376</v>
      </c>
      <c r="I185" t="s">
        <v>4799</v>
      </c>
      <c r="J185" t="s">
        <v>14064</v>
      </c>
      <c r="K185" t="s">
        <v>4517</v>
      </c>
      <c r="L185" t="s">
        <v>14140</v>
      </c>
      <c r="M185" t="s">
        <v>25</v>
      </c>
      <c r="N185" t="s">
        <v>14141</v>
      </c>
      <c r="O185" t="s">
        <v>4517</v>
      </c>
      <c r="P185" t="s">
        <v>14142</v>
      </c>
      <c r="Q185" t="s">
        <v>25</v>
      </c>
      <c r="R185" t="s">
        <v>14143</v>
      </c>
      <c r="S185" t="s">
        <v>6661</v>
      </c>
      <c r="T185" t="s">
        <v>14144</v>
      </c>
      <c r="U185" t="s">
        <v>4559</v>
      </c>
      <c r="V185" t="s">
        <v>14145</v>
      </c>
      <c r="AA185" t="s">
        <v>4727</v>
      </c>
    </row>
    <row r="186" spans="1:27">
      <c r="A186" t="s">
        <v>14146</v>
      </c>
      <c r="B186" t="s">
        <v>14146</v>
      </c>
      <c r="C186" t="s">
        <v>14147</v>
      </c>
      <c r="D186" t="s">
        <v>14148</v>
      </c>
      <c r="E186" t="s">
        <v>4372</v>
      </c>
      <c r="F186" t="s">
        <v>2655</v>
      </c>
      <c r="G186" t="s">
        <v>14149</v>
      </c>
      <c r="H186" t="s">
        <v>4376</v>
      </c>
      <c r="I186" t="s">
        <v>4798</v>
      </c>
      <c r="J186" t="s">
        <v>14150</v>
      </c>
      <c r="K186" t="s">
        <v>14151</v>
      </c>
      <c r="L186" t="s">
        <v>14146</v>
      </c>
      <c r="M186" t="s">
        <v>25</v>
      </c>
      <c r="N186" t="s">
        <v>14152</v>
      </c>
      <c r="S186" t="s">
        <v>14153</v>
      </c>
      <c r="T186" t="s">
        <v>14146</v>
      </c>
      <c r="U186" t="s">
        <v>4559</v>
      </c>
      <c r="V186" t="s">
        <v>14154</v>
      </c>
      <c r="AA186" t="s">
        <v>4728</v>
      </c>
    </row>
    <row r="187" spans="1:27">
      <c r="A187" t="s">
        <v>14155</v>
      </c>
      <c r="B187" t="s">
        <v>14155</v>
      </c>
      <c r="C187" t="s">
        <v>18906</v>
      </c>
      <c r="D187" t="s">
        <v>14156</v>
      </c>
      <c r="E187" t="s">
        <v>14157</v>
      </c>
      <c r="F187" t="s">
        <v>2655</v>
      </c>
      <c r="G187" t="s">
        <v>14186</v>
      </c>
      <c r="J187" t="s">
        <v>14158</v>
      </c>
      <c r="S187" t="s">
        <v>14159</v>
      </c>
      <c r="T187" t="s">
        <v>14155</v>
      </c>
      <c r="U187" t="s">
        <v>4559</v>
      </c>
      <c r="V187" t="s">
        <v>14160</v>
      </c>
      <c r="AA187" t="s">
        <v>4728</v>
      </c>
    </row>
    <row r="188" spans="1:27">
      <c r="A188" t="s">
        <v>14161</v>
      </c>
      <c r="B188" t="s">
        <v>14161</v>
      </c>
      <c r="C188" t="s">
        <v>14187</v>
      </c>
      <c r="D188" t="s">
        <v>14163</v>
      </c>
      <c r="E188" t="s">
        <v>14157</v>
      </c>
      <c r="F188" t="s">
        <v>2655</v>
      </c>
      <c r="G188" t="s">
        <v>14185</v>
      </c>
      <c r="J188" t="s">
        <v>14162</v>
      </c>
      <c r="S188" t="s">
        <v>14163</v>
      </c>
      <c r="T188" t="s">
        <v>14161</v>
      </c>
      <c r="U188" t="s">
        <v>4559</v>
      </c>
      <c r="V188" t="s">
        <v>14164</v>
      </c>
      <c r="AA188" t="s">
        <v>4728</v>
      </c>
    </row>
    <row r="189" spans="1:27">
      <c r="A189" t="s">
        <v>14165</v>
      </c>
      <c r="B189" t="s">
        <v>14165</v>
      </c>
      <c r="C189" t="s">
        <v>14183</v>
      </c>
      <c r="D189" t="s">
        <v>14170</v>
      </c>
      <c r="E189" t="s">
        <v>14166</v>
      </c>
      <c r="F189" t="s">
        <v>2655</v>
      </c>
      <c r="G189" t="s">
        <v>14182</v>
      </c>
      <c r="H189" t="s">
        <v>4376</v>
      </c>
      <c r="I189" t="s">
        <v>12497</v>
      </c>
      <c r="J189" t="s">
        <v>14167</v>
      </c>
      <c r="S189" t="s">
        <v>14168</v>
      </c>
      <c r="T189" t="s">
        <v>14165</v>
      </c>
      <c r="U189" t="s">
        <v>4559</v>
      </c>
      <c r="V189" t="s">
        <v>14169</v>
      </c>
      <c r="AA189" t="s">
        <v>4728</v>
      </c>
    </row>
    <row r="190" spans="1:27">
      <c r="A190" t="s">
        <v>14171</v>
      </c>
      <c r="B190" t="s">
        <v>14171</v>
      </c>
      <c r="C190" t="s">
        <v>14184</v>
      </c>
      <c r="D190" t="s">
        <v>14170</v>
      </c>
      <c r="E190" t="s">
        <v>14166</v>
      </c>
      <c r="F190" t="s">
        <v>2655</v>
      </c>
      <c r="G190" t="s">
        <v>14182</v>
      </c>
      <c r="H190" t="s">
        <v>4376</v>
      </c>
      <c r="I190" t="s">
        <v>12497</v>
      </c>
      <c r="J190" t="s">
        <v>14172</v>
      </c>
      <c r="S190" t="s">
        <v>14168</v>
      </c>
      <c r="T190" t="s">
        <v>14171</v>
      </c>
      <c r="U190" t="s">
        <v>4559</v>
      </c>
      <c r="V190" t="s">
        <v>14173</v>
      </c>
      <c r="AA190" t="s">
        <v>4728</v>
      </c>
    </row>
    <row r="191" spans="1:27">
      <c r="A191" t="s">
        <v>14174</v>
      </c>
      <c r="B191" t="s">
        <v>14174</v>
      </c>
      <c r="C191" t="s">
        <v>14181</v>
      </c>
      <c r="D191" t="s">
        <v>10664</v>
      </c>
      <c r="E191" t="s">
        <v>14175</v>
      </c>
      <c r="F191" t="s">
        <v>2655</v>
      </c>
      <c r="G191" t="s">
        <v>14180</v>
      </c>
      <c r="H191" t="s">
        <v>6700</v>
      </c>
      <c r="I191" t="s">
        <v>6965</v>
      </c>
      <c r="J191" t="s">
        <v>14176</v>
      </c>
      <c r="K191" t="s">
        <v>7928</v>
      </c>
      <c r="L191" t="s">
        <v>14174</v>
      </c>
      <c r="M191" t="s">
        <v>25</v>
      </c>
      <c r="N191" t="s">
        <v>14177</v>
      </c>
      <c r="S191" t="s">
        <v>14178</v>
      </c>
      <c r="T191" t="s">
        <v>14174</v>
      </c>
      <c r="U191" t="s">
        <v>4559</v>
      </c>
      <c r="V191" t="s">
        <v>14179</v>
      </c>
      <c r="AA191" t="s">
        <v>4728</v>
      </c>
    </row>
    <row r="192" spans="1:27">
      <c r="A192" t="s">
        <v>14659</v>
      </c>
      <c r="B192" t="s">
        <v>14659</v>
      </c>
      <c r="C192" t="s">
        <v>14684</v>
      </c>
      <c r="D192" t="s">
        <v>4517</v>
      </c>
      <c r="E192" t="s">
        <v>4553</v>
      </c>
      <c r="F192" t="s">
        <v>2655</v>
      </c>
      <c r="G192" t="s">
        <v>14688</v>
      </c>
      <c r="H192" t="s">
        <v>4376</v>
      </c>
      <c r="I192" t="s">
        <v>4799</v>
      </c>
      <c r="J192" t="s">
        <v>14663</v>
      </c>
      <c r="K192" t="s">
        <v>4517</v>
      </c>
      <c r="L192" t="s">
        <v>14664</v>
      </c>
      <c r="M192" t="s">
        <v>25</v>
      </c>
      <c r="N192" t="s">
        <v>14665</v>
      </c>
      <c r="O192" t="s">
        <v>4517</v>
      </c>
      <c r="P192" t="s">
        <v>14666</v>
      </c>
      <c r="Q192" t="s">
        <v>25</v>
      </c>
      <c r="R192" t="s">
        <v>14667</v>
      </c>
      <c r="S192" t="s">
        <v>6661</v>
      </c>
      <c r="T192" t="s">
        <v>14664</v>
      </c>
      <c r="U192" t="s">
        <v>4559</v>
      </c>
      <c r="V192" t="s">
        <v>14680</v>
      </c>
      <c r="AA192" t="s">
        <v>4727</v>
      </c>
    </row>
    <row r="193" spans="1:27">
      <c r="A193" t="s">
        <v>14660</v>
      </c>
      <c r="B193" t="s">
        <v>14660</v>
      </c>
      <c r="C193" t="s">
        <v>14685</v>
      </c>
      <c r="D193" t="s">
        <v>4517</v>
      </c>
      <c r="E193" t="s">
        <v>4553</v>
      </c>
      <c r="F193" t="s">
        <v>2655</v>
      </c>
      <c r="G193" t="s">
        <v>14688</v>
      </c>
      <c r="H193" t="s">
        <v>4376</v>
      </c>
      <c r="I193" t="s">
        <v>4799</v>
      </c>
      <c r="J193" t="s">
        <v>14663</v>
      </c>
      <c r="K193" t="s">
        <v>4517</v>
      </c>
      <c r="L193" t="s">
        <v>14668</v>
      </c>
      <c r="M193" t="s">
        <v>25</v>
      </c>
      <c r="N193" t="s">
        <v>14669</v>
      </c>
      <c r="O193" t="s">
        <v>4517</v>
      </c>
      <c r="P193" t="s">
        <v>14670</v>
      </c>
      <c r="Q193" t="s">
        <v>25</v>
      </c>
      <c r="R193" t="s">
        <v>14671</v>
      </c>
      <c r="S193" t="s">
        <v>6661</v>
      </c>
      <c r="T193" t="s">
        <v>14668</v>
      </c>
      <c r="U193" t="s">
        <v>4559</v>
      </c>
      <c r="V193" t="s">
        <v>14681</v>
      </c>
      <c r="AA193" t="s">
        <v>4727</v>
      </c>
    </row>
    <row r="194" spans="1:27">
      <c r="A194" t="s">
        <v>14661</v>
      </c>
      <c r="B194" t="s">
        <v>14661</v>
      </c>
      <c r="C194" t="s">
        <v>14686</v>
      </c>
      <c r="D194" t="s">
        <v>4517</v>
      </c>
      <c r="E194" t="s">
        <v>4553</v>
      </c>
      <c r="F194" t="s">
        <v>2655</v>
      </c>
      <c r="G194" t="s">
        <v>14688</v>
      </c>
      <c r="H194" t="s">
        <v>4376</v>
      </c>
      <c r="I194" t="s">
        <v>4799</v>
      </c>
      <c r="J194" t="s">
        <v>14663</v>
      </c>
      <c r="K194" t="s">
        <v>4517</v>
      </c>
      <c r="L194" t="s">
        <v>14672</v>
      </c>
      <c r="M194" t="s">
        <v>25</v>
      </c>
      <c r="N194" t="s">
        <v>14673</v>
      </c>
      <c r="O194" t="s">
        <v>4517</v>
      </c>
      <c r="P194" t="s">
        <v>14674</v>
      </c>
      <c r="Q194" t="s">
        <v>25</v>
      </c>
      <c r="R194" t="s">
        <v>14675</v>
      </c>
      <c r="S194" t="s">
        <v>6661</v>
      </c>
      <c r="T194" t="s">
        <v>14672</v>
      </c>
      <c r="U194" t="s">
        <v>4559</v>
      </c>
      <c r="V194" t="s">
        <v>14682</v>
      </c>
      <c r="AA194" t="s">
        <v>4727</v>
      </c>
    </row>
    <row r="195" spans="1:27">
      <c r="A195" t="s">
        <v>14662</v>
      </c>
      <c r="B195" t="s">
        <v>14662</v>
      </c>
      <c r="C195" t="s">
        <v>14687</v>
      </c>
      <c r="D195" t="s">
        <v>4517</v>
      </c>
      <c r="E195" t="s">
        <v>4553</v>
      </c>
      <c r="F195" t="s">
        <v>2655</v>
      </c>
      <c r="G195" t="s">
        <v>14688</v>
      </c>
      <c r="H195" t="s">
        <v>4376</v>
      </c>
      <c r="I195" t="s">
        <v>4799</v>
      </c>
      <c r="J195" t="s">
        <v>14663</v>
      </c>
      <c r="K195" t="s">
        <v>4517</v>
      </c>
      <c r="L195" t="s">
        <v>14676</v>
      </c>
      <c r="M195" t="s">
        <v>25</v>
      </c>
      <c r="N195" t="s">
        <v>14677</v>
      </c>
      <c r="O195" t="s">
        <v>4517</v>
      </c>
      <c r="P195" t="s">
        <v>14678</v>
      </c>
      <c r="Q195" t="s">
        <v>25</v>
      </c>
      <c r="R195" t="s">
        <v>14679</v>
      </c>
      <c r="S195" t="s">
        <v>6661</v>
      </c>
      <c r="T195" t="s">
        <v>14676</v>
      </c>
      <c r="U195" t="s">
        <v>4559</v>
      </c>
      <c r="V195" t="s">
        <v>14683</v>
      </c>
      <c r="AA195" t="s">
        <v>4727</v>
      </c>
    </row>
    <row r="196" spans="1:27">
      <c r="A196" t="s">
        <v>14691</v>
      </c>
      <c r="B196" t="s">
        <v>14691</v>
      </c>
      <c r="C196" t="s">
        <v>14689</v>
      </c>
      <c r="D196" t="s">
        <v>6218</v>
      </c>
      <c r="E196" t="s">
        <v>14715</v>
      </c>
      <c r="F196" t="s">
        <v>2655</v>
      </c>
      <c r="G196" t="s">
        <v>14690</v>
      </c>
      <c r="H196" t="s">
        <v>4377</v>
      </c>
      <c r="I196" t="s">
        <v>14717</v>
      </c>
      <c r="J196" t="s">
        <v>14714</v>
      </c>
      <c r="K196" t="s">
        <v>6218</v>
      </c>
      <c r="L196" t="s">
        <v>14694</v>
      </c>
      <c r="M196" t="s">
        <v>25</v>
      </c>
      <c r="N196" t="s">
        <v>14695</v>
      </c>
    </row>
    <row r="197" spans="1:27">
      <c r="A197" t="s">
        <v>14692</v>
      </c>
      <c r="B197" t="s">
        <v>14692</v>
      </c>
      <c r="C197" t="s">
        <v>14689</v>
      </c>
      <c r="D197" t="s">
        <v>6218</v>
      </c>
      <c r="E197" t="s">
        <v>14715</v>
      </c>
      <c r="F197" t="s">
        <v>2655</v>
      </c>
      <c r="G197" t="s">
        <v>14690</v>
      </c>
      <c r="H197" t="s">
        <v>4377</v>
      </c>
      <c r="I197" t="s">
        <v>14717</v>
      </c>
      <c r="J197" t="s">
        <v>14714</v>
      </c>
      <c r="K197" t="s">
        <v>6218</v>
      </c>
      <c r="L197" t="s">
        <v>14696</v>
      </c>
      <c r="M197" t="s">
        <v>25</v>
      </c>
      <c r="N197" t="s">
        <v>14697</v>
      </c>
      <c r="S197" t="s">
        <v>14709</v>
      </c>
      <c r="T197" t="s">
        <v>14710</v>
      </c>
      <c r="U197" t="s">
        <v>4559</v>
      </c>
      <c r="V197" t="s">
        <v>14711</v>
      </c>
      <c r="AA197" t="s">
        <v>4727</v>
      </c>
    </row>
    <row r="198" spans="1:27">
      <c r="A198" t="s">
        <v>14693</v>
      </c>
      <c r="B198" t="s">
        <v>14693</v>
      </c>
      <c r="C198" t="s">
        <v>14689</v>
      </c>
      <c r="D198" t="s">
        <v>6218</v>
      </c>
      <c r="E198" t="s">
        <v>14715</v>
      </c>
      <c r="F198" t="s">
        <v>2655</v>
      </c>
      <c r="G198" t="s">
        <v>14690</v>
      </c>
      <c r="H198" t="s">
        <v>4377</v>
      </c>
      <c r="I198" t="s">
        <v>14717</v>
      </c>
      <c r="J198" t="s">
        <v>14714</v>
      </c>
      <c r="K198" t="s">
        <v>6218</v>
      </c>
      <c r="L198" t="s">
        <v>14698</v>
      </c>
      <c r="M198" t="s">
        <v>25</v>
      </c>
      <c r="N198" t="s">
        <v>14699</v>
      </c>
      <c r="S198" t="s">
        <v>14709</v>
      </c>
      <c r="T198" t="s">
        <v>14712</v>
      </c>
      <c r="U198" t="s">
        <v>4559</v>
      </c>
      <c r="V198" t="s">
        <v>14713</v>
      </c>
      <c r="AA198" t="s">
        <v>4727</v>
      </c>
    </row>
    <row r="199" spans="1:27">
      <c r="A199" t="s">
        <v>14700</v>
      </c>
      <c r="B199" t="s">
        <v>14700</v>
      </c>
      <c r="C199" t="s">
        <v>14689</v>
      </c>
      <c r="D199" t="s">
        <v>6218</v>
      </c>
      <c r="E199" t="s">
        <v>14716</v>
      </c>
      <c r="F199" t="s">
        <v>2655</v>
      </c>
      <c r="G199" t="s">
        <v>14690</v>
      </c>
      <c r="H199" t="s">
        <v>4377</v>
      </c>
      <c r="I199" t="s">
        <v>14718</v>
      </c>
      <c r="J199" t="s">
        <v>14714</v>
      </c>
      <c r="K199" t="s">
        <v>6218</v>
      </c>
      <c r="L199" t="s">
        <v>14703</v>
      </c>
      <c r="M199" t="s">
        <v>25</v>
      </c>
      <c r="N199" t="s">
        <v>14704</v>
      </c>
    </row>
    <row r="200" spans="1:27">
      <c r="A200" t="s">
        <v>14701</v>
      </c>
      <c r="B200" t="s">
        <v>14701</v>
      </c>
      <c r="C200" t="s">
        <v>14689</v>
      </c>
      <c r="D200" t="s">
        <v>6218</v>
      </c>
      <c r="E200" t="s">
        <v>14716</v>
      </c>
      <c r="F200" t="s">
        <v>2655</v>
      </c>
      <c r="G200" t="s">
        <v>14690</v>
      </c>
      <c r="H200" t="s">
        <v>4377</v>
      </c>
      <c r="I200" t="s">
        <v>14718</v>
      </c>
      <c r="J200" t="s">
        <v>14714</v>
      </c>
      <c r="K200" t="s">
        <v>6218</v>
      </c>
      <c r="L200" t="s">
        <v>14705</v>
      </c>
      <c r="M200" t="s">
        <v>25</v>
      </c>
      <c r="N200" t="s">
        <v>14706</v>
      </c>
    </row>
    <row r="201" spans="1:27">
      <c r="A201" t="s">
        <v>14702</v>
      </c>
      <c r="B201" t="s">
        <v>14702</v>
      </c>
      <c r="C201" t="s">
        <v>14689</v>
      </c>
      <c r="D201" t="s">
        <v>6218</v>
      </c>
      <c r="E201" t="s">
        <v>14716</v>
      </c>
      <c r="F201" t="s">
        <v>2655</v>
      </c>
      <c r="G201" t="s">
        <v>14690</v>
      </c>
      <c r="H201" t="s">
        <v>4377</v>
      </c>
      <c r="I201" t="s">
        <v>14718</v>
      </c>
      <c r="J201" t="s">
        <v>14714</v>
      </c>
      <c r="K201" t="s">
        <v>6218</v>
      </c>
      <c r="L201" t="s">
        <v>14707</v>
      </c>
      <c r="M201" t="s">
        <v>25</v>
      </c>
      <c r="N201" t="s">
        <v>14708</v>
      </c>
    </row>
    <row r="202" spans="1:27">
      <c r="A202" t="s">
        <v>16762</v>
      </c>
      <c r="B202" t="s">
        <v>16762</v>
      </c>
      <c r="C202" t="s">
        <v>16763</v>
      </c>
      <c r="D202" t="s">
        <v>4517</v>
      </c>
      <c r="E202" t="s">
        <v>11062</v>
      </c>
      <c r="F202" t="s">
        <v>2655</v>
      </c>
      <c r="G202" t="s">
        <v>16762</v>
      </c>
      <c r="H202" t="s">
        <v>6243</v>
      </c>
      <c r="I202" t="s">
        <v>11065</v>
      </c>
      <c r="J202" t="s">
        <v>16764</v>
      </c>
      <c r="K202" t="s">
        <v>4517</v>
      </c>
      <c r="L202" t="s">
        <v>16766</v>
      </c>
      <c r="M202" t="s">
        <v>25</v>
      </c>
      <c r="N202" t="s">
        <v>16765</v>
      </c>
      <c r="S202" t="s">
        <v>4517</v>
      </c>
      <c r="T202" t="s">
        <v>16766</v>
      </c>
      <c r="U202" t="s">
        <v>4559</v>
      </c>
      <c r="V202" t="s">
        <v>16767</v>
      </c>
    </row>
    <row r="203" spans="1:27">
      <c r="A203" t="s">
        <v>18931</v>
      </c>
      <c r="B203" t="s">
        <v>18931</v>
      </c>
      <c r="C203" t="s">
        <v>18932</v>
      </c>
      <c r="D203" t="s">
        <v>4517</v>
      </c>
      <c r="E203" t="s">
        <v>11062</v>
      </c>
      <c r="F203" t="s">
        <v>2655</v>
      </c>
      <c r="G203" t="s">
        <v>16762</v>
      </c>
      <c r="H203" t="s">
        <v>6243</v>
      </c>
      <c r="I203" t="s">
        <v>11065</v>
      </c>
      <c r="J203" s="26" t="s">
        <v>18933</v>
      </c>
      <c r="K203" t="s">
        <v>4517</v>
      </c>
      <c r="L203" t="s">
        <v>18934</v>
      </c>
      <c r="M203" t="s">
        <v>25</v>
      </c>
      <c r="N203" t="s">
        <v>18935</v>
      </c>
      <c r="S203" t="s">
        <v>4517</v>
      </c>
      <c r="T203" t="s">
        <v>18934</v>
      </c>
      <c r="U203" t="s">
        <v>4559</v>
      </c>
      <c r="V203" t="s">
        <v>18936</v>
      </c>
    </row>
    <row r="204" spans="1:27">
      <c r="A204" t="s">
        <v>16768</v>
      </c>
      <c r="B204" t="s">
        <v>16768</v>
      </c>
      <c r="C204" t="s">
        <v>16778</v>
      </c>
      <c r="D204" t="s">
        <v>16769</v>
      </c>
      <c r="E204" t="s">
        <v>16770</v>
      </c>
      <c r="F204" t="s">
        <v>7005</v>
      </c>
      <c r="G204" t="s">
        <v>16771</v>
      </c>
      <c r="H204" t="s">
        <v>10689</v>
      </c>
      <c r="I204" t="s">
        <v>16772</v>
      </c>
      <c r="J204" t="s">
        <v>16773</v>
      </c>
      <c r="K204" t="s">
        <v>16774</v>
      </c>
      <c r="L204" t="s">
        <v>16775</v>
      </c>
      <c r="M204" t="s">
        <v>25</v>
      </c>
      <c r="N204" t="s">
        <v>16776</v>
      </c>
      <c r="S204" t="s">
        <v>16774</v>
      </c>
      <c r="T204" t="s">
        <v>16776</v>
      </c>
      <c r="U204" t="s">
        <v>4559</v>
      </c>
      <c r="V204" t="s">
        <v>16777</v>
      </c>
    </row>
    <row r="205" spans="1:27">
      <c r="A205" t="s">
        <v>16779</v>
      </c>
      <c r="B205" t="s">
        <v>16782</v>
      </c>
      <c r="C205" t="s">
        <v>16783</v>
      </c>
      <c r="D205" t="s">
        <v>6320</v>
      </c>
      <c r="E205" t="s">
        <v>16770</v>
      </c>
      <c r="F205" t="s">
        <v>7005</v>
      </c>
      <c r="G205" t="s">
        <v>11094</v>
      </c>
      <c r="H205" t="s">
        <v>10689</v>
      </c>
      <c r="I205" t="s">
        <v>16786</v>
      </c>
      <c r="J205" t="s">
        <v>16788</v>
      </c>
      <c r="K205" t="s">
        <v>6320</v>
      </c>
      <c r="L205" t="s">
        <v>16779</v>
      </c>
      <c r="M205" t="s">
        <v>25</v>
      </c>
      <c r="N205" t="s">
        <v>16789</v>
      </c>
      <c r="S205" t="s">
        <v>6320</v>
      </c>
      <c r="T205" t="s">
        <v>16779</v>
      </c>
      <c r="U205" t="s">
        <v>4559</v>
      </c>
      <c r="V205" t="s">
        <v>16791</v>
      </c>
    </row>
    <row r="206" spans="1:27">
      <c r="A206" t="s">
        <v>16780</v>
      </c>
      <c r="B206" t="s">
        <v>16781</v>
      </c>
      <c r="C206" t="s">
        <v>16784</v>
      </c>
      <c r="D206" t="s">
        <v>6320</v>
      </c>
      <c r="E206" t="s">
        <v>16770</v>
      </c>
      <c r="F206" t="s">
        <v>7005</v>
      </c>
      <c r="G206" t="s">
        <v>16785</v>
      </c>
      <c r="H206" t="s">
        <v>10689</v>
      </c>
      <c r="I206" t="s">
        <v>16787</v>
      </c>
      <c r="J206" t="s">
        <v>16788</v>
      </c>
      <c r="K206" t="s">
        <v>6320</v>
      </c>
      <c r="L206" t="s">
        <v>16780</v>
      </c>
      <c r="M206" t="s">
        <v>25</v>
      </c>
      <c r="N206" t="s">
        <v>16790</v>
      </c>
      <c r="S206" t="s">
        <v>6320</v>
      </c>
      <c r="T206" t="s">
        <v>16780</v>
      </c>
      <c r="U206" t="s">
        <v>4559</v>
      </c>
      <c r="V206" t="s">
        <v>16792</v>
      </c>
    </row>
    <row r="207" spans="1:27">
      <c r="A207" t="s">
        <v>16794</v>
      </c>
      <c r="B207" t="s">
        <v>16794</v>
      </c>
      <c r="C207" t="s">
        <v>16795</v>
      </c>
      <c r="D207" t="s">
        <v>16796</v>
      </c>
      <c r="E207" t="s">
        <v>16797</v>
      </c>
      <c r="F207" t="s">
        <v>2655</v>
      </c>
      <c r="G207" t="s">
        <v>16798</v>
      </c>
      <c r="H207" t="s">
        <v>6243</v>
      </c>
      <c r="I207" t="s">
        <v>16793</v>
      </c>
      <c r="J207" t="s">
        <v>16799</v>
      </c>
      <c r="K207" t="s">
        <v>16796</v>
      </c>
      <c r="L207" t="s">
        <v>18907</v>
      </c>
      <c r="M207" t="s">
        <v>25</v>
      </c>
      <c r="N207" t="s">
        <v>16800</v>
      </c>
      <c r="S207" t="s">
        <v>16796</v>
      </c>
      <c r="T207" t="s">
        <v>18907</v>
      </c>
      <c r="U207" t="s">
        <v>4559</v>
      </c>
      <c r="V207" t="s">
        <v>16801</v>
      </c>
    </row>
    <row r="208" spans="1:27">
      <c r="A208" t="s">
        <v>16802</v>
      </c>
      <c r="B208" t="s">
        <v>16802</v>
      </c>
      <c r="C208" t="s">
        <v>16805</v>
      </c>
      <c r="D208" t="s">
        <v>6320</v>
      </c>
      <c r="E208" t="s">
        <v>6236</v>
      </c>
      <c r="F208" t="s">
        <v>2655</v>
      </c>
      <c r="G208" t="s">
        <v>16808</v>
      </c>
      <c r="H208" t="s">
        <v>4377</v>
      </c>
      <c r="I208" t="s">
        <v>10850</v>
      </c>
      <c r="J208" t="s">
        <v>16806</v>
      </c>
      <c r="K208" t="s">
        <v>6320</v>
      </c>
      <c r="L208" t="s">
        <v>16811</v>
      </c>
      <c r="M208" t="s">
        <v>25</v>
      </c>
      <c r="N208" t="s">
        <v>16810</v>
      </c>
    </row>
    <row r="209" spans="1:22">
      <c r="A209" t="s">
        <v>16803</v>
      </c>
      <c r="B209" t="s">
        <v>16803</v>
      </c>
      <c r="C209" t="s">
        <v>16805</v>
      </c>
      <c r="D209" t="s">
        <v>6320</v>
      </c>
      <c r="E209" t="s">
        <v>6332</v>
      </c>
      <c r="F209" t="s">
        <v>2655</v>
      </c>
      <c r="G209" t="s">
        <v>16808</v>
      </c>
      <c r="H209" t="s">
        <v>4377</v>
      </c>
      <c r="I209" t="s">
        <v>11030</v>
      </c>
      <c r="J209" t="s">
        <v>16806</v>
      </c>
      <c r="K209" t="s">
        <v>6320</v>
      </c>
      <c r="L209" t="s">
        <v>16813</v>
      </c>
      <c r="M209" t="s">
        <v>25</v>
      </c>
      <c r="N209" t="s">
        <v>16812</v>
      </c>
      <c r="S209" t="s">
        <v>6320</v>
      </c>
      <c r="T209" t="s">
        <v>16818</v>
      </c>
      <c r="U209" t="s">
        <v>4559</v>
      </c>
      <c r="V209" t="s">
        <v>16817</v>
      </c>
    </row>
    <row r="210" spans="1:22">
      <c r="A210" t="s">
        <v>16804</v>
      </c>
      <c r="B210" t="s">
        <v>16804</v>
      </c>
      <c r="C210" t="s">
        <v>16805</v>
      </c>
      <c r="D210" t="s">
        <v>6320</v>
      </c>
      <c r="E210" t="s">
        <v>16816</v>
      </c>
      <c r="F210" t="s">
        <v>2655</v>
      </c>
      <c r="G210" t="s">
        <v>16807</v>
      </c>
      <c r="H210" t="s">
        <v>7963</v>
      </c>
      <c r="I210" t="s">
        <v>16809</v>
      </c>
      <c r="J210" t="s">
        <v>16806</v>
      </c>
      <c r="K210" t="s">
        <v>6320</v>
      </c>
      <c r="L210" t="s">
        <v>16815</v>
      </c>
      <c r="M210" t="s">
        <v>25</v>
      </c>
      <c r="N210" t="s">
        <v>16814</v>
      </c>
    </row>
    <row r="211" spans="1:22">
      <c r="A211" t="s">
        <v>16823</v>
      </c>
      <c r="B211" t="s">
        <v>16823</v>
      </c>
      <c r="C211" t="s">
        <v>16824</v>
      </c>
      <c r="D211" t="s">
        <v>16822</v>
      </c>
      <c r="E211" t="s">
        <v>16770</v>
      </c>
      <c r="F211" t="s">
        <v>18011</v>
      </c>
      <c r="G211" t="s">
        <v>16823</v>
      </c>
      <c r="H211" t="s">
        <v>10689</v>
      </c>
      <c r="I211" t="s">
        <v>16819</v>
      </c>
      <c r="J211" t="s">
        <v>16825</v>
      </c>
      <c r="K211" t="s">
        <v>16822</v>
      </c>
      <c r="L211" t="s">
        <v>16821</v>
      </c>
      <c r="M211" t="s">
        <v>25</v>
      </c>
      <c r="N211" t="s">
        <v>16820</v>
      </c>
    </row>
    <row r="212" spans="1:22">
      <c r="A212" t="s">
        <v>17972</v>
      </c>
      <c r="B212" t="s">
        <v>17972</v>
      </c>
      <c r="C212" t="s">
        <v>18908</v>
      </c>
      <c r="D212" t="s">
        <v>16822</v>
      </c>
      <c r="E212" t="s">
        <v>16770</v>
      </c>
      <c r="F212" t="s">
        <v>18011</v>
      </c>
      <c r="G212" t="s">
        <v>17972</v>
      </c>
      <c r="H212" t="s">
        <v>10689</v>
      </c>
      <c r="I212" t="s">
        <v>17973</v>
      </c>
      <c r="J212" t="s">
        <v>17974</v>
      </c>
      <c r="K212" t="s">
        <v>16822</v>
      </c>
      <c r="L212" t="s">
        <v>17971</v>
      </c>
      <c r="M212" t="s">
        <v>25</v>
      </c>
      <c r="N212" t="s">
        <v>17975</v>
      </c>
    </row>
    <row r="213" spans="1:22">
      <c r="A213" t="s">
        <v>16826</v>
      </c>
      <c r="B213" t="s">
        <v>16826</v>
      </c>
      <c r="C213" t="s">
        <v>16827</v>
      </c>
      <c r="D213" t="s">
        <v>6320</v>
      </c>
      <c r="E213" t="s">
        <v>4553</v>
      </c>
      <c r="F213" t="s">
        <v>2655</v>
      </c>
      <c r="G213" t="s">
        <v>16826</v>
      </c>
      <c r="H213" t="s">
        <v>4376</v>
      </c>
      <c r="I213" t="s">
        <v>8877</v>
      </c>
      <c r="J213" t="s">
        <v>16830</v>
      </c>
      <c r="K213" t="s">
        <v>6320</v>
      </c>
      <c r="L213" t="s">
        <v>16829</v>
      </c>
      <c r="M213" t="s">
        <v>25</v>
      </c>
      <c r="N213" t="s">
        <v>16828</v>
      </c>
    </row>
    <row r="214" spans="1:22">
      <c r="A214" t="s">
        <v>16839</v>
      </c>
      <c r="B214" t="s">
        <v>16839</v>
      </c>
      <c r="C214" t="s">
        <v>16875</v>
      </c>
      <c r="D214" t="s">
        <v>4517</v>
      </c>
      <c r="E214" t="s">
        <v>16770</v>
      </c>
      <c r="F214" t="s">
        <v>2655</v>
      </c>
      <c r="G214" t="s">
        <v>16889</v>
      </c>
      <c r="H214" t="s">
        <v>10689</v>
      </c>
      <c r="I214" t="s">
        <v>16890</v>
      </c>
      <c r="J214" t="s">
        <v>16891</v>
      </c>
      <c r="K214" t="s">
        <v>4517</v>
      </c>
      <c r="L214" t="s">
        <v>16839</v>
      </c>
      <c r="M214" t="s">
        <v>25</v>
      </c>
      <c r="N214" t="s">
        <v>16857</v>
      </c>
      <c r="S214" t="s">
        <v>4517</v>
      </c>
      <c r="T214" t="s">
        <v>16839</v>
      </c>
      <c r="U214" t="s">
        <v>4559</v>
      </c>
      <c r="V214" t="s">
        <v>16933</v>
      </c>
    </row>
    <row r="215" spans="1:22">
      <c r="A215" t="s">
        <v>16840</v>
      </c>
      <c r="B215" t="s">
        <v>16840</v>
      </c>
      <c r="C215" t="s">
        <v>16876</v>
      </c>
      <c r="D215" t="s">
        <v>4517</v>
      </c>
      <c r="E215" t="s">
        <v>16770</v>
      </c>
      <c r="F215" t="s">
        <v>2655</v>
      </c>
      <c r="G215" t="s">
        <v>16889</v>
      </c>
      <c r="H215" t="s">
        <v>10689</v>
      </c>
      <c r="I215" t="s">
        <v>16890</v>
      </c>
      <c r="J215" t="s">
        <v>16891</v>
      </c>
      <c r="K215" t="s">
        <v>4517</v>
      </c>
      <c r="L215" t="s">
        <v>16840</v>
      </c>
      <c r="M215" t="s">
        <v>25</v>
      </c>
      <c r="N215" t="s">
        <v>16858</v>
      </c>
      <c r="S215" t="s">
        <v>4517</v>
      </c>
      <c r="T215" t="s">
        <v>16840</v>
      </c>
      <c r="U215" t="s">
        <v>4559</v>
      </c>
      <c r="V215" t="s">
        <v>16934</v>
      </c>
    </row>
    <row r="216" spans="1:22">
      <c r="A216" t="s">
        <v>16841</v>
      </c>
      <c r="B216" t="s">
        <v>16841</v>
      </c>
      <c r="C216" t="s">
        <v>16877</v>
      </c>
      <c r="D216" t="s">
        <v>4517</v>
      </c>
      <c r="E216" t="s">
        <v>16770</v>
      </c>
      <c r="F216" t="s">
        <v>2655</v>
      </c>
      <c r="G216" t="s">
        <v>16889</v>
      </c>
      <c r="H216" t="s">
        <v>10689</v>
      </c>
      <c r="I216" t="s">
        <v>16890</v>
      </c>
      <c r="J216" t="s">
        <v>16891</v>
      </c>
      <c r="K216" t="s">
        <v>4517</v>
      </c>
      <c r="L216" t="s">
        <v>16841</v>
      </c>
      <c r="M216" t="s">
        <v>25</v>
      </c>
      <c r="N216" t="s">
        <v>16859</v>
      </c>
      <c r="S216" t="s">
        <v>4517</v>
      </c>
      <c r="T216" t="s">
        <v>16841</v>
      </c>
      <c r="U216" t="s">
        <v>4559</v>
      </c>
      <c r="V216" t="s">
        <v>16935</v>
      </c>
    </row>
    <row r="217" spans="1:22">
      <c r="A217" t="s">
        <v>16842</v>
      </c>
      <c r="B217" t="s">
        <v>16842</v>
      </c>
      <c r="C217" t="s">
        <v>16878</v>
      </c>
      <c r="D217" t="s">
        <v>4517</v>
      </c>
      <c r="E217" t="s">
        <v>16770</v>
      </c>
      <c r="F217" t="s">
        <v>2655</v>
      </c>
      <c r="G217" t="s">
        <v>16889</v>
      </c>
      <c r="H217" t="s">
        <v>10689</v>
      </c>
      <c r="I217" t="s">
        <v>16890</v>
      </c>
      <c r="J217" t="s">
        <v>16891</v>
      </c>
      <c r="K217" t="s">
        <v>4517</v>
      </c>
      <c r="L217" t="s">
        <v>16842</v>
      </c>
      <c r="M217" t="s">
        <v>25</v>
      </c>
      <c r="N217" t="s">
        <v>16860</v>
      </c>
      <c r="S217" t="s">
        <v>4517</v>
      </c>
      <c r="T217" t="s">
        <v>16842</v>
      </c>
      <c r="U217" t="s">
        <v>4559</v>
      </c>
      <c r="V217" t="s">
        <v>16936</v>
      </c>
    </row>
    <row r="218" spans="1:22">
      <c r="A218" t="s">
        <v>16843</v>
      </c>
      <c r="B218" t="s">
        <v>16843</v>
      </c>
      <c r="C218" t="s">
        <v>16879</v>
      </c>
      <c r="D218" t="s">
        <v>4517</v>
      </c>
      <c r="E218" t="s">
        <v>16770</v>
      </c>
      <c r="F218" t="s">
        <v>2655</v>
      </c>
      <c r="G218" t="s">
        <v>16889</v>
      </c>
      <c r="H218" t="s">
        <v>10689</v>
      </c>
      <c r="I218" t="s">
        <v>16890</v>
      </c>
      <c r="J218" t="s">
        <v>16891</v>
      </c>
      <c r="K218" t="s">
        <v>4517</v>
      </c>
      <c r="L218" t="s">
        <v>16843</v>
      </c>
      <c r="M218" t="s">
        <v>25</v>
      </c>
      <c r="N218" t="s">
        <v>16861</v>
      </c>
      <c r="S218" t="s">
        <v>4517</v>
      </c>
      <c r="T218" t="s">
        <v>16843</v>
      </c>
      <c r="U218" t="s">
        <v>4559</v>
      </c>
      <c r="V218" t="s">
        <v>16937</v>
      </c>
    </row>
    <row r="219" spans="1:22">
      <c r="A219" t="s">
        <v>16844</v>
      </c>
      <c r="B219" t="s">
        <v>16844</v>
      </c>
      <c r="C219" t="s">
        <v>16880</v>
      </c>
      <c r="D219" t="s">
        <v>4517</v>
      </c>
      <c r="E219" t="s">
        <v>16770</v>
      </c>
      <c r="F219" t="s">
        <v>2655</v>
      </c>
      <c r="G219" t="s">
        <v>16889</v>
      </c>
      <c r="H219" t="s">
        <v>10689</v>
      </c>
      <c r="I219" t="s">
        <v>16890</v>
      </c>
      <c r="J219" t="s">
        <v>16891</v>
      </c>
      <c r="K219" t="s">
        <v>4517</v>
      </c>
      <c r="L219" t="s">
        <v>16844</v>
      </c>
      <c r="M219" t="s">
        <v>25</v>
      </c>
      <c r="N219" t="s">
        <v>16862</v>
      </c>
      <c r="S219" t="s">
        <v>4517</v>
      </c>
      <c r="T219" t="s">
        <v>16844</v>
      </c>
      <c r="U219" t="s">
        <v>4559</v>
      </c>
      <c r="V219" t="s">
        <v>16938</v>
      </c>
    </row>
    <row r="220" spans="1:22">
      <c r="A220" t="s">
        <v>16845</v>
      </c>
      <c r="B220" t="s">
        <v>16845</v>
      </c>
      <c r="C220" t="s">
        <v>16881</v>
      </c>
      <c r="D220" t="s">
        <v>4517</v>
      </c>
      <c r="E220" t="s">
        <v>16770</v>
      </c>
      <c r="F220" t="s">
        <v>2655</v>
      </c>
      <c r="G220" t="s">
        <v>16889</v>
      </c>
      <c r="H220" t="s">
        <v>10689</v>
      </c>
      <c r="I220" t="s">
        <v>16890</v>
      </c>
      <c r="J220" t="s">
        <v>16891</v>
      </c>
      <c r="K220" t="s">
        <v>4517</v>
      </c>
      <c r="L220" t="s">
        <v>16845</v>
      </c>
      <c r="M220" t="s">
        <v>25</v>
      </c>
      <c r="N220" t="s">
        <v>16863</v>
      </c>
      <c r="S220" t="s">
        <v>4517</v>
      </c>
      <c r="T220" t="s">
        <v>16845</v>
      </c>
      <c r="U220" t="s">
        <v>4559</v>
      </c>
      <c r="V220" t="s">
        <v>16939</v>
      </c>
    </row>
    <row r="221" spans="1:22">
      <c r="A221" t="s">
        <v>16846</v>
      </c>
      <c r="B221" t="s">
        <v>16846</v>
      </c>
      <c r="C221" t="s">
        <v>16882</v>
      </c>
      <c r="D221" t="s">
        <v>4517</v>
      </c>
      <c r="E221" t="s">
        <v>16770</v>
      </c>
      <c r="F221" t="s">
        <v>2655</v>
      </c>
      <c r="G221" t="s">
        <v>16889</v>
      </c>
      <c r="H221" t="s">
        <v>10689</v>
      </c>
      <c r="I221" t="s">
        <v>16890</v>
      </c>
      <c r="J221" t="s">
        <v>16891</v>
      </c>
      <c r="K221" t="s">
        <v>4517</v>
      </c>
      <c r="L221" t="s">
        <v>16846</v>
      </c>
      <c r="M221" t="s">
        <v>25</v>
      </c>
      <c r="N221" t="s">
        <v>16864</v>
      </c>
      <c r="S221" t="s">
        <v>4517</v>
      </c>
      <c r="T221" t="s">
        <v>16846</v>
      </c>
      <c r="U221" t="s">
        <v>4559</v>
      </c>
      <c r="V221" t="s">
        <v>16940</v>
      </c>
    </row>
    <row r="222" spans="1:22">
      <c r="A222" t="s">
        <v>16847</v>
      </c>
      <c r="B222" t="s">
        <v>16847</v>
      </c>
      <c r="C222" t="s">
        <v>16883</v>
      </c>
      <c r="D222" t="s">
        <v>4517</v>
      </c>
      <c r="E222" t="s">
        <v>16770</v>
      </c>
      <c r="F222" t="s">
        <v>2655</v>
      </c>
      <c r="G222" t="s">
        <v>16889</v>
      </c>
      <c r="H222" t="s">
        <v>10689</v>
      </c>
      <c r="I222" t="s">
        <v>16890</v>
      </c>
      <c r="J222" t="s">
        <v>16891</v>
      </c>
      <c r="K222" t="s">
        <v>4517</v>
      </c>
      <c r="L222" t="s">
        <v>16847</v>
      </c>
      <c r="M222" t="s">
        <v>25</v>
      </c>
      <c r="N222" t="s">
        <v>16865</v>
      </c>
      <c r="S222" t="s">
        <v>4517</v>
      </c>
      <c r="T222" t="s">
        <v>16847</v>
      </c>
      <c r="U222" t="s">
        <v>4559</v>
      </c>
      <c r="V222" t="s">
        <v>16941</v>
      </c>
    </row>
    <row r="223" spans="1:22">
      <c r="A223" t="s">
        <v>16848</v>
      </c>
      <c r="B223" t="s">
        <v>16848</v>
      </c>
      <c r="C223" t="s">
        <v>16884</v>
      </c>
      <c r="D223" t="s">
        <v>4517</v>
      </c>
      <c r="E223" t="s">
        <v>16770</v>
      </c>
      <c r="F223" t="s">
        <v>2655</v>
      </c>
      <c r="G223" t="s">
        <v>16889</v>
      </c>
      <c r="H223" t="s">
        <v>10689</v>
      </c>
      <c r="I223" t="s">
        <v>16890</v>
      </c>
      <c r="J223" t="s">
        <v>16891</v>
      </c>
      <c r="K223" t="s">
        <v>4517</v>
      </c>
      <c r="L223" t="s">
        <v>16848</v>
      </c>
      <c r="M223" t="s">
        <v>25</v>
      </c>
      <c r="N223" t="s">
        <v>16866</v>
      </c>
      <c r="S223" t="s">
        <v>4517</v>
      </c>
      <c r="T223" t="s">
        <v>16848</v>
      </c>
      <c r="U223" t="s">
        <v>4559</v>
      </c>
      <c r="V223" t="s">
        <v>16942</v>
      </c>
    </row>
    <row r="224" spans="1:22">
      <c r="A224" t="s">
        <v>16849</v>
      </c>
      <c r="B224" t="s">
        <v>16849</v>
      </c>
      <c r="C224" t="s">
        <v>16880</v>
      </c>
      <c r="D224" t="s">
        <v>4517</v>
      </c>
      <c r="E224" t="s">
        <v>16770</v>
      </c>
      <c r="F224" t="s">
        <v>2655</v>
      </c>
      <c r="G224" t="s">
        <v>16889</v>
      </c>
      <c r="H224" t="s">
        <v>10689</v>
      </c>
      <c r="I224" t="s">
        <v>16890</v>
      </c>
      <c r="J224" t="s">
        <v>16891</v>
      </c>
      <c r="K224" t="s">
        <v>4517</v>
      </c>
      <c r="L224" t="s">
        <v>16849</v>
      </c>
      <c r="M224" t="s">
        <v>25</v>
      </c>
      <c r="N224" t="s">
        <v>16867</v>
      </c>
    </row>
    <row r="225" spans="1:27">
      <c r="A225" t="s">
        <v>16850</v>
      </c>
      <c r="B225" t="s">
        <v>16850</v>
      </c>
      <c r="C225" t="s">
        <v>16885</v>
      </c>
      <c r="D225" t="s">
        <v>4517</v>
      </c>
      <c r="E225" t="s">
        <v>16770</v>
      </c>
      <c r="F225" t="s">
        <v>2655</v>
      </c>
      <c r="G225" t="s">
        <v>16889</v>
      </c>
      <c r="H225" t="s">
        <v>10689</v>
      </c>
      <c r="I225" t="s">
        <v>16890</v>
      </c>
      <c r="J225" t="s">
        <v>16891</v>
      </c>
      <c r="K225" t="s">
        <v>4517</v>
      </c>
      <c r="L225" t="s">
        <v>16850</v>
      </c>
      <c r="M225" t="s">
        <v>25</v>
      </c>
      <c r="N225" t="s">
        <v>16868</v>
      </c>
    </row>
    <row r="226" spans="1:27">
      <c r="A226" t="s">
        <v>16851</v>
      </c>
      <c r="B226" t="s">
        <v>16851</v>
      </c>
      <c r="C226" t="s">
        <v>16878</v>
      </c>
      <c r="D226" t="s">
        <v>4517</v>
      </c>
      <c r="E226" t="s">
        <v>16770</v>
      </c>
      <c r="F226" t="s">
        <v>2655</v>
      </c>
      <c r="G226" t="s">
        <v>16889</v>
      </c>
      <c r="H226" t="s">
        <v>10689</v>
      </c>
      <c r="I226" t="s">
        <v>16890</v>
      </c>
      <c r="J226" t="s">
        <v>16891</v>
      </c>
      <c r="K226" t="s">
        <v>4517</v>
      </c>
      <c r="L226" t="s">
        <v>16851</v>
      </c>
      <c r="M226" t="s">
        <v>25</v>
      </c>
      <c r="N226" t="s">
        <v>16869</v>
      </c>
    </row>
    <row r="227" spans="1:27">
      <c r="A227" t="s">
        <v>16852</v>
      </c>
      <c r="B227" t="s">
        <v>16852</v>
      </c>
      <c r="C227" t="s">
        <v>16886</v>
      </c>
      <c r="D227" t="s">
        <v>4517</v>
      </c>
      <c r="E227" t="s">
        <v>16770</v>
      </c>
      <c r="F227" t="s">
        <v>2655</v>
      </c>
      <c r="G227" t="s">
        <v>16889</v>
      </c>
      <c r="H227" t="s">
        <v>10689</v>
      </c>
      <c r="I227" t="s">
        <v>16890</v>
      </c>
      <c r="J227" t="s">
        <v>16891</v>
      </c>
      <c r="K227" t="s">
        <v>4517</v>
      </c>
      <c r="L227" t="s">
        <v>16852</v>
      </c>
      <c r="M227" t="s">
        <v>25</v>
      </c>
      <c r="N227" t="s">
        <v>16870</v>
      </c>
    </row>
    <row r="228" spans="1:27">
      <c r="A228" t="s">
        <v>16853</v>
      </c>
      <c r="B228" t="s">
        <v>16853</v>
      </c>
      <c r="C228" t="s">
        <v>16887</v>
      </c>
      <c r="D228" t="s">
        <v>4517</v>
      </c>
      <c r="E228" t="s">
        <v>16770</v>
      </c>
      <c r="F228" t="s">
        <v>2655</v>
      </c>
      <c r="G228" t="s">
        <v>16889</v>
      </c>
      <c r="H228" t="s">
        <v>10689</v>
      </c>
      <c r="I228" t="s">
        <v>16890</v>
      </c>
      <c r="J228" t="s">
        <v>16891</v>
      </c>
      <c r="K228" t="s">
        <v>4517</v>
      </c>
      <c r="L228" t="s">
        <v>16853</v>
      </c>
      <c r="M228" t="s">
        <v>25</v>
      </c>
      <c r="N228" t="s">
        <v>16871</v>
      </c>
      <c r="S228" t="s">
        <v>4517</v>
      </c>
      <c r="T228" t="s">
        <v>16853</v>
      </c>
      <c r="U228" t="s">
        <v>4559</v>
      </c>
      <c r="V228" t="s">
        <v>16943</v>
      </c>
    </row>
    <row r="229" spans="1:27">
      <c r="A229" t="s">
        <v>16854</v>
      </c>
      <c r="B229" t="s">
        <v>16854</v>
      </c>
      <c r="C229" t="s">
        <v>16888</v>
      </c>
      <c r="D229" t="s">
        <v>4517</v>
      </c>
      <c r="E229" t="s">
        <v>16770</v>
      </c>
      <c r="F229" t="s">
        <v>2655</v>
      </c>
      <c r="G229" t="s">
        <v>16889</v>
      </c>
      <c r="H229" t="s">
        <v>10689</v>
      </c>
      <c r="I229" t="s">
        <v>16890</v>
      </c>
      <c r="J229" t="s">
        <v>16891</v>
      </c>
      <c r="K229" t="s">
        <v>4517</v>
      </c>
      <c r="L229" t="s">
        <v>16854</v>
      </c>
      <c r="M229" t="s">
        <v>25</v>
      </c>
      <c r="N229" t="s">
        <v>16872</v>
      </c>
      <c r="S229" t="s">
        <v>4517</v>
      </c>
      <c r="T229" t="s">
        <v>16854</v>
      </c>
      <c r="U229" t="s">
        <v>4559</v>
      </c>
      <c r="V229" t="s">
        <v>16944</v>
      </c>
    </row>
    <row r="230" spans="1:27">
      <c r="A230" t="s">
        <v>16855</v>
      </c>
      <c r="B230" t="s">
        <v>16855</v>
      </c>
      <c r="C230" t="s">
        <v>16877</v>
      </c>
      <c r="D230" t="s">
        <v>4517</v>
      </c>
      <c r="E230" t="s">
        <v>16770</v>
      </c>
      <c r="F230" t="s">
        <v>2655</v>
      </c>
      <c r="G230" t="s">
        <v>16889</v>
      </c>
      <c r="H230" t="s">
        <v>10689</v>
      </c>
      <c r="I230" t="s">
        <v>16890</v>
      </c>
      <c r="J230" t="s">
        <v>16891</v>
      </c>
      <c r="K230" t="s">
        <v>4517</v>
      </c>
      <c r="L230" t="s">
        <v>16855</v>
      </c>
      <c r="M230" t="s">
        <v>25</v>
      </c>
      <c r="N230" t="s">
        <v>16873</v>
      </c>
      <c r="S230" t="s">
        <v>4517</v>
      </c>
      <c r="T230" t="s">
        <v>16855</v>
      </c>
      <c r="U230" t="s">
        <v>4559</v>
      </c>
      <c r="V230" t="s">
        <v>16945</v>
      </c>
    </row>
    <row r="231" spans="1:27">
      <c r="A231" t="s">
        <v>16856</v>
      </c>
      <c r="B231" t="s">
        <v>16856</v>
      </c>
      <c r="C231" t="s">
        <v>16875</v>
      </c>
      <c r="D231" t="s">
        <v>4517</v>
      </c>
      <c r="E231" t="s">
        <v>16770</v>
      </c>
      <c r="F231" t="s">
        <v>2655</v>
      </c>
      <c r="G231" t="s">
        <v>16889</v>
      </c>
      <c r="H231" t="s">
        <v>10689</v>
      </c>
      <c r="I231" t="s">
        <v>16890</v>
      </c>
      <c r="J231" t="s">
        <v>16891</v>
      </c>
      <c r="K231" t="s">
        <v>4517</v>
      </c>
      <c r="L231" t="s">
        <v>16856</v>
      </c>
      <c r="M231" t="s">
        <v>25</v>
      </c>
      <c r="N231" t="s">
        <v>16874</v>
      </c>
      <c r="S231" t="s">
        <v>4517</v>
      </c>
      <c r="T231" t="s">
        <v>16856</v>
      </c>
      <c r="U231" t="s">
        <v>4559</v>
      </c>
      <c r="V231" t="s">
        <v>16946</v>
      </c>
    </row>
    <row r="232" spans="1:27">
      <c r="A232" t="s">
        <v>16917</v>
      </c>
      <c r="B232" t="s">
        <v>16917</v>
      </c>
      <c r="C232" t="s">
        <v>16909</v>
      </c>
      <c r="D232" t="s">
        <v>4517</v>
      </c>
      <c r="E232" t="s">
        <v>16925</v>
      </c>
      <c r="F232" t="s">
        <v>2655</v>
      </c>
      <c r="G232" t="s">
        <v>16926</v>
      </c>
      <c r="H232" t="s">
        <v>6243</v>
      </c>
      <c r="I232" t="s">
        <v>16927</v>
      </c>
      <c r="J232" t="s">
        <v>16892</v>
      </c>
      <c r="K232" t="s">
        <v>4517</v>
      </c>
      <c r="L232" t="s">
        <v>16893</v>
      </c>
      <c r="M232" t="s">
        <v>25</v>
      </c>
      <c r="N232" t="s">
        <v>16901</v>
      </c>
      <c r="S232" t="s">
        <v>4517</v>
      </c>
      <c r="T232" t="s">
        <v>16893</v>
      </c>
      <c r="U232" t="s">
        <v>4559</v>
      </c>
      <c r="V232" t="s">
        <v>16928</v>
      </c>
    </row>
    <row r="233" spans="1:27">
      <c r="A233" t="s">
        <v>16918</v>
      </c>
      <c r="B233" t="s">
        <v>16918</v>
      </c>
      <c r="C233" t="s">
        <v>16910</v>
      </c>
      <c r="D233" t="s">
        <v>4517</v>
      </c>
      <c r="E233" t="s">
        <v>16925</v>
      </c>
      <c r="F233" t="s">
        <v>2655</v>
      </c>
      <c r="G233" t="s">
        <v>16926</v>
      </c>
      <c r="H233" t="s">
        <v>6243</v>
      </c>
      <c r="I233" t="s">
        <v>16927</v>
      </c>
      <c r="J233" t="s">
        <v>16892</v>
      </c>
      <c r="K233" t="s">
        <v>4517</v>
      </c>
      <c r="L233" t="s">
        <v>16894</v>
      </c>
      <c r="M233" t="s">
        <v>25</v>
      </c>
      <c r="N233" t="s">
        <v>16902</v>
      </c>
      <c r="S233" t="s">
        <v>4517</v>
      </c>
      <c r="T233" t="s">
        <v>16894</v>
      </c>
      <c r="U233" t="s">
        <v>4559</v>
      </c>
      <c r="V233" t="s">
        <v>16929</v>
      </c>
    </row>
    <row r="234" spans="1:27">
      <c r="A234" t="s">
        <v>16919</v>
      </c>
      <c r="B234" t="s">
        <v>16919</v>
      </c>
      <c r="C234" t="s">
        <v>16911</v>
      </c>
      <c r="D234" t="s">
        <v>4517</v>
      </c>
      <c r="E234" t="s">
        <v>16925</v>
      </c>
      <c r="F234" t="s">
        <v>2655</v>
      </c>
      <c r="G234" t="s">
        <v>16926</v>
      </c>
      <c r="H234" t="s">
        <v>6243</v>
      </c>
      <c r="I234" t="s">
        <v>16927</v>
      </c>
      <c r="J234" t="s">
        <v>16892</v>
      </c>
      <c r="K234" t="s">
        <v>4517</v>
      </c>
      <c r="L234" t="s">
        <v>16895</v>
      </c>
      <c r="M234" t="s">
        <v>25</v>
      </c>
      <c r="N234" t="s">
        <v>16903</v>
      </c>
    </row>
    <row r="235" spans="1:27">
      <c r="A235" t="s">
        <v>16920</v>
      </c>
      <c r="B235" t="s">
        <v>16920</v>
      </c>
      <c r="C235" t="s">
        <v>16912</v>
      </c>
      <c r="D235" t="s">
        <v>4517</v>
      </c>
      <c r="E235" t="s">
        <v>16925</v>
      </c>
      <c r="F235" t="s">
        <v>2655</v>
      </c>
      <c r="G235" t="s">
        <v>16926</v>
      </c>
      <c r="H235" t="s">
        <v>6243</v>
      </c>
      <c r="I235" t="s">
        <v>16927</v>
      </c>
      <c r="J235" t="s">
        <v>16892</v>
      </c>
      <c r="K235" t="s">
        <v>4517</v>
      </c>
      <c r="L235" t="s">
        <v>16896</v>
      </c>
      <c r="M235" t="s">
        <v>25</v>
      </c>
      <c r="N235" t="s">
        <v>16904</v>
      </c>
      <c r="S235" t="s">
        <v>4517</v>
      </c>
      <c r="T235" t="s">
        <v>16896</v>
      </c>
      <c r="U235" t="s">
        <v>4559</v>
      </c>
      <c r="V235" t="s">
        <v>16930</v>
      </c>
    </row>
    <row r="236" spans="1:27">
      <c r="A236" t="s">
        <v>16921</v>
      </c>
      <c r="B236" t="s">
        <v>16921</v>
      </c>
      <c r="C236" t="s">
        <v>16913</v>
      </c>
      <c r="D236" t="s">
        <v>4517</v>
      </c>
      <c r="E236" t="s">
        <v>16925</v>
      </c>
      <c r="F236" t="s">
        <v>2655</v>
      </c>
      <c r="G236" t="s">
        <v>16926</v>
      </c>
      <c r="H236" t="s">
        <v>6243</v>
      </c>
      <c r="I236" t="s">
        <v>16927</v>
      </c>
      <c r="J236" t="s">
        <v>16892</v>
      </c>
      <c r="K236" t="s">
        <v>4517</v>
      </c>
      <c r="L236" t="s">
        <v>16897</v>
      </c>
      <c r="M236" t="s">
        <v>25</v>
      </c>
      <c r="N236" t="s">
        <v>16905</v>
      </c>
    </row>
    <row r="237" spans="1:27">
      <c r="A237" t="s">
        <v>16922</v>
      </c>
      <c r="B237" t="s">
        <v>16922</v>
      </c>
      <c r="C237" t="s">
        <v>16914</v>
      </c>
      <c r="D237" t="s">
        <v>4517</v>
      </c>
      <c r="E237" t="s">
        <v>16925</v>
      </c>
      <c r="F237" t="s">
        <v>2655</v>
      </c>
      <c r="G237" t="s">
        <v>16926</v>
      </c>
      <c r="H237" t="s">
        <v>6243</v>
      </c>
      <c r="I237" t="s">
        <v>16927</v>
      </c>
      <c r="J237" t="s">
        <v>16892</v>
      </c>
      <c r="K237" t="s">
        <v>4517</v>
      </c>
      <c r="L237" t="s">
        <v>16898</v>
      </c>
      <c r="M237" t="s">
        <v>25</v>
      </c>
      <c r="N237" t="s">
        <v>16906</v>
      </c>
      <c r="S237" t="s">
        <v>4517</v>
      </c>
      <c r="T237" t="s">
        <v>16898</v>
      </c>
      <c r="U237" t="s">
        <v>4559</v>
      </c>
      <c r="V237" t="s">
        <v>16932</v>
      </c>
    </row>
    <row r="238" spans="1:27">
      <c r="A238" t="s">
        <v>16923</v>
      </c>
      <c r="B238" t="s">
        <v>16923</v>
      </c>
      <c r="C238" t="s">
        <v>16915</v>
      </c>
      <c r="D238" t="s">
        <v>4517</v>
      </c>
      <c r="E238" t="s">
        <v>16925</v>
      </c>
      <c r="F238" t="s">
        <v>2655</v>
      </c>
      <c r="G238" t="s">
        <v>16926</v>
      </c>
      <c r="H238" t="s">
        <v>6243</v>
      </c>
      <c r="I238" t="s">
        <v>16927</v>
      </c>
      <c r="J238" t="s">
        <v>16892</v>
      </c>
      <c r="K238" t="s">
        <v>4517</v>
      </c>
      <c r="L238" t="s">
        <v>16899</v>
      </c>
      <c r="M238" t="s">
        <v>25</v>
      </c>
      <c r="N238" t="s">
        <v>16907</v>
      </c>
    </row>
    <row r="239" spans="1:27">
      <c r="A239" t="s">
        <v>16924</v>
      </c>
      <c r="B239" t="s">
        <v>16924</v>
      </c>
      <c r="C239" t="s">
        <v>16916</v>
      </c>
      <c r="D239" t="s">
        <v>4517</v>
      </c>
      <c r="E239" t="s">
        <v>16925</v>
      </c>
      <c r="F239" t="s">
        <v>2655</v>
      </c>
      <c r="G239" t="s">
        <v>16926</v>
      </c>
      <c r="H239" t="s">
        <v>6243</v>
      </c>
      <c r="I239" t="s">
        <v>16927</v>
      </c>
      <c r="J239" t="s">
        <v>16892</v>
      </c>
      <c r="K239" t="s">
        <v>4517</v>
      </c>
      <c r="L239" t="s">
        <v>16900</v>
      </c>
      <c r="M239" t="s">
        <v>25</v>
      </c>
      <c r="N239" t="s">
        <v>16908</v>
      </c>
      <c r="S239" t="s">
        <v>4517</v>
      </c>
      <c r="T239" t="s">
        <v>16900</v>
      </c>
      <c r="U239" t="s">
        <v>4559</v>
      </c>
      <c r="V239" t="s">
        <v>16931</v>
      </c>
    </row>
    <row r="240" spans="1:27">
      <c r="A240" t="s">
        <v>17942</v>
      </c>
      <c r="B240" t="s">
        <v>17942</v>
      </c>
      <c r="C240" t="s">
        <v>17951</v>
      </c>
      <c r="D240" t="s">
        <v>4517</v>
      </c>
      <c r="E240" t="s">
        <v>17960</v>
      </c>
      <c r="F240" t="s">
        <v>2655</v>
      </c>
      <c r="G240" t="s">
        <v>17941</v>
      </c>
      <c r="H240" t="s">
        <v>6736</v>
      </c>
      <c r="I240" t="s">
        <v>17939</v>
      </c>
      <c r="J240" t="s">
        <v>17940</v>
      </c>
      <c r="K240" t="s">
        <v>4517</v>
      </c>
      <c r="L240" t="s">
        <v>17962</v>
      </c>
      <c r="M240" t="s">
        <v>25</v>
      </c>
      <c r="N240" t="s">
        <v>17961</v>
      </c>
      <c r="S240" t="s">
        <v>4517</v>
      </c>
      <c r="T240" t="s">
        <v>17962</v>
      </c>
      <c r="U240" t="s">
        <v>4559</v>
      </c>
      <c r="V240" t="s">
        <v>18527</v>
      </c>
      <c r="AA240" t="s">
        <v>4727</v>
      </c>
    </row>
    <row r="241" spans="1:27">
      <c r="A241" t="s">
        <v>17943</v>
      </c>
      <c r="B241" t="s">
        <v>17943</v>
      </c>
      <c r="C241" t="s">
        <v>17952</v>
      </c>
      <c r="D241" t="s">
        <v>4517</v>
      </c>
      <c r="E241" t="s">
        <v>17960</v>
      </c>
      <c r="F241" t="s">
        <v>2655</v>
      </c>
      <c r="G241" t="s">
        <v>17941</v>
      </c>
      <c r="H241" t="s">
        <v>6736</v>
      </c>
      <c r="I241" t="s">
        <v>17939</v>
      </c>
      <c r="J241" t="s">
        <v>17940</v>
      </c>
      <c r="K241" t="s">
        <v>4517</v>
      </c>
      <c r="L241" t="s">
        <v>17964</v>
      </c>
      <c r="M241" t="s">
        <v>25</v>
      </c>
      <c r="N241" t="s">
        <v>17963</v>
      </c>
    </row>
    <row r="242" spans="1:27">
      <c r="A242" t="s">
        <v>17944</v>
      </c>
      <c r="B242" t="s">
        <v>17944</v>
      </c>
      <c r="C242" t="s">
        <v>17953</v>
      </c>
      <c r="D242" t="s">
        <v>4517</v>
      </c>
      <c r="E242" t="s">
        <v>17960</v>
      </c>
      <c r="F242" t="s">
        <v>2655</v>
      </c>
      <c r="G242" t="s">
        <v>17941</v>
      </c>
      <c r="H242" t="s">
        <v>6736</v>
      </c>
      <c r="I242" t="s">
        <v>17939</v>
      </c>
      <c r="J242" t="s">
        <v>17940</v>
      </c>
      <c r="K242" t="s">
        <v>4517</v>
      </c>
      <c r="L242" t="s">
        <v>17966</v>
      </c>
      <c r="M242" t="s">
        <v>25</v>
      </c>
      <c r="N242" t="s">
        <v>17965</v>
      </c>
    </row>
    <row r="243" spans="1:27">
      <c r="A243" t="s">
        <v>17945</v>
      </c>
      <c r="B243" t="s">
        <v>17945</v>
      </c>
      <c r="C243" t="s">
        <v>17954</v>
      </c>
      <c r="D243" t="s">
        <v>4517</v>
      </c>
      <c r="E243" t="s">
        <v>17960</v>
      </c>
      <c r="F243" t="s">
        <v>2655</v>
      </c>
      <c r="G243" t="s">
        <v>17941</v>
      </c>
      <c r="H243" t="s">
        <v>6736</v>
      </c>
      <c r="I243" t="s">
        <v>17939</v>
      </c>
      <c r="J243" t="s">
        <v>17940</v>
      </c>
      <c r="K243" t="s">
        <v>4517</v>
      </c>
      <c r="L243" t="s">
        <v>17968</v>
      </c>
      <c r="M243" t="s">
        <v>25</v>
      </c>
      <c r="N243" t="s">
        <v>17967</v>
      </c>
    </row>
    <row r="244" spans="1:27">
      <c r="A244" t="s">
        <v>17946</v>
      </c>
      <c r="B244" t="s">
        <v>17946</v>
      </c>
      <c r="C244" t="s">
        <v>17955</v>
      </c>
      <c r="D244" t="s">
        <v>4517</v>
      </c>
      <c r="E244" t="s">
        <v>17960</v>
      </c>
      <c r="F244" t="s">
        <v>2655</v>
      </c>
      <c r="G244" t="s">
        <v>17941</v>
      </c>
      <c r="H244" t="s">
        <v>6736</v>
      </c>
      <c r="I244" t="s">
        <v>17939</v>
      </c>
      <c r="J244" t="s">
        <v>17940</v>
      </c>
      <c r="K244" t="s">
        <v>4517</v>
      </c>
      <c r="M244" t="s">
        <v>25</v>
      </c>
    </row>
    <row r="245" spans="1:27">
      <c r="A245" t="s">
        <v>17947</v>
      </c>
      <c r="B245" t="s">
        <v>17947</v>
      </c>
      <c r="C245" t="s">
        <v>17956</v>
      </c>
      <c r="D245" t="s">
        <v>4517</v>
      </c>
      <c r="E245" t="s">
        <v>17960</v>
      </c>
      <c r="F245" t="s">
        <v>2655</v>
      </c>
      <c r="G245" t="s">
        <v>17941</v>
      </c>
      <c r="H245" t="s">
        <v>6736</v>
      </c>
      <c r="I245" t="s">
        <v>17939</v>
      </c>
      <c r="J245" t="s">
        <v>17940</v>
      </c>
      <c r="K245" t="s">
        <v>4517</v>
      </c>
      <c r="M245" t="s">
        <v>25</v>
      </c>
    </row>
    <row r="246" spans="1:27">
      <c r="A246" t="s">
        <v>17948</v>
      </c>
      <c r="B246" t="s">
        <v>17948</v>
      </c>
      <c r="C246" t="s">
        <v>17957</v>
      </c>
      <c r="D246" t="s">
        <v>4517</v>
      </c>
      <c r="E246" t="s">
        <v>17960</v>
      </c>
      <c r="F246" t="s">
        <v>2655</v>
      </c>
      <c r="G246" t="s">
        <v>17941</v>
      </c>
      <c r="H246" t="s">
        <v>6736</v>
      </c>
      <c r="I246" t="s">
        <v>17939</v>
      </c>
      <c r="J246" t="s">
        <v>17940</v>
      </c>
      <c r="K246" t="s">
        <v>4517</v>
      </c>
      <c r="M246" t="s">
        <v>25</v>
      </c>
    </row>
    <row r="247" spans="1:27">
      <c r="A247" t="s">
        <v>17949</v>
      </c>
      <c r="B247" t="s">
        <v>17949</v>
      </c>
      <c r="C247" t="s">
        <v>17958</v>
      </c>
      <c r="D247" t="s">
        <v>4517</v>
      </c>
      <c r="E247" t="s">
        <v>17960</v>
      </c>
      <c r="F247" t="s">
        <v>2655</v>
      </c>
      <c r="G247" t="s">
        <v>17941</v>
      </c>
      <c r="H247" t="s">
        <v>6736</v>
      </c>
      <c r="I247" t="s">
        <v>17939</v>
      </c>
      <c r="J247" t="s">
        <v>17940</v>
      </c>
      <c r="K247" t="s">
        <v>4517</v>
      </c>
      <c r="M247" t="s">
        <v>25</v>
      </c>
    </row>
    <row r="248" spans="1:27">
      <c r="A248" t="s">
        <v>17950</v>
      </c>
      <c r="B248" t="s">
        <v>17950</v>
      </c>
      <c r="C248" t="s">
        <v>17959</v>
      </c>
      <c r="D248" t="s">
        <v>4517</v>
      </c>
      <c r="E248" t="s">
        <v>17960</v>
      </c>
      <c r="F248" t="s">
        <v>2655</v>
      </c>
      <c r="G248" t="s">
        <v>17941</v>
      </c>
      <c r="H248" t="s">
        <v>6736</v>
      </c>
      <c r="I248" t="s">
        <v>17939</v>
      </c>
      <c r="J248" t="s">
        <v>17940</v>
      </c>
      <c r="K248" t="s">
        <v>4517</v>
      </c>
      <c r="L248" t="s">
        <v>17970</v>
      </c>
      <c r="M248" t="s">
        <v>25</v>
      </c>
      <c r="N248" t="s">
        <v>17969</v>
      </c>
    </row>
    <row r="249" spans="1:27">
      <c r="A249" t="s">
        <v>18015</v>
      </c>
      <c r="B249" t="s">
        <v>18015</v>
      </c>
      <c r="C249" t="s">
        <v>18014</v>
      </c>
      <c r="D249" t="s">
        <v>16822</v>
      </c>
      <c r="E249" t="s">
        <v>18013</v>
      </c>
      <c r="F249" t="s">
        <v>18011</v>
      </c>
      <c r="G249" t="s">
        <v>18012</v>
      </c>
      <c r="H249" t="s">
        <v>10689</v>
      </c>
      <c r="I249" t="s">
        <v>18010</v>
      </c>
      <c r="J249" t="s">
        <v>18009</v>
      </c>
      <c r="K249" t="s">
        <v>16822</v>
      </c>
      <c r="L249" t="s">
        <v>18528</v>
      </c>
      <c r="M249" t="s">
        <v>25</v>
      </c>
      <c r="N249" t="s">
        <v>18008</v>
      </c>
      <c r="S249" t="s">
        <v>18529</v>
      </c>
      <c r="T249" t="s">
        <v>18528</v>
      </c>
      <c r="U249" t="s">
        <v>4559</v>
      </c>
      <c r="V249" t="s">
        <v>18530</v>
      </c>
      <c r="AA249" t="s">
        <v>4727</v>
      </c>
    </row>
    <row r="250" spans="1:27">
      <c r="A250" t="s">
        <v>18541</v>
      </c>
      <c r="B250" t="s">
        <v>18541</v>
      </c>
      <c r="C250" t="s">
        <v>18554</v>
      </c>
      <c r="D250" t="s">
        <v>4517</v>
      </c>
      <c r="E250" t="s">
        <v>4553</v>
      </c>
      <c r="F250" t="s">
        <v>2655</v>
      </c>
      <c r="G250" t="s">
        <v>14046</v>
      </c>
      <c r="H250" t="s">
        <v>4376</v>
      </c>
      <c r="I250" t="s">
        <v>8877</v>
      </c>
      <c r="J250" t="s">
        <v>16891</v>
      </c>
      <c r="K250" t="s">
        <v>4517</v>
      </c>
      <c r="L250" t="s">
        <v>18541</v>
      </c>
      <c r="M250" t="s">
        <v>25</v>
      </c>
      <c r="N250" t="s">
        <v>18568</v>
      </c>
      <c r="S250" t="s">
        <v>4517</v>
      </c>
      <c r="T250" t="s">
        <v>18541</v>
      </c>
      <c r="U250" t="s">
        <v>4559</v>
      </c>
      <c r="V250" t="s">
        <v>18591</v>
      </c>
    </row>
    <row r="251" spans="1:27">
      <c r="A251" t="s">
        <v>18586</v>
      </c>
      <c r="B251" t="s">
        <v>18586</v>
      </c>
      <c r="C251" t="s">
        <v>18555</v>
      </c>
      <c r="D251" t="s">
        <v>4517</v>
      </c>
      <c r="E251" t="s">
        <v>4553</v>
      </c>
      <c r="F251" t="s">
        <v>2655</v>
      </c>
      <c r="G251" t="s">
        <v>14046</v>
      </c>
      <c r="H251" t="s">
        <v>4376</v>
      </c>
      <c r="I251" t="s">
        <v>8877</v>
      </c>
      <c r="J251" t="s">
        <v>16891</v>
      </c>
      <c r="K251" t="s">
        <v>4517</v>
      </c>
      <c r="L251" t="s">
        <v>18586</v>
      </c>
      <c r="M251" t="s">
        <v>25</v>
      </c>
      <c r="N251" t="s">
        <v>18581</v>
      </c>
      <c r="S251" t="s">
        <v>4517</v>
      </c>
      <c r="T251" t="s">
        <v>18586</v>
      </c>
      <c r="U251" t="s">
        <v>4559</v>
      </c>
      <c r="V251" t="s">
        <v>18592</v>
      </c>
    </row>
    <row r="252" spans="1:27">
      <c r="A252" t="s">
        <v>18587</v>
      </c>
      <c r="B252" t="s">
        <v>18587</v>
      </c>
      <c r="C252" t="s">
        <v>18556</v>
      </c>
      <c r="D252" t="s">
        <v>4517</v>
      </c>
      <c r="E252" t="s">
        <v>4553</v>
      </c>
      <c r="F252" t="s">
        <v>2655</v>
      </c>
      <c r="G252" t="s">
        <v>14046</v>
      </c>
      <c r="H252" t="s">
        <v>4376</v>
      </c>
      <c r="I252" t="s">
        <v>8877</v>
      </c>
      <c r="J252" t="s">
        <v>16891</v>
      </c>
      <c r="K252" t="s">
        <v>4517</v>
      </c>
      <c r="L252" t="s">
        <v>18587</v>
      </c>
      <c r="M252" t="s">
        <v>25</v>
      </c>
      <c r="N252" t="s">
        <v>18582</v>
      </c>
      <c r="S252" t="s">
        <v>4517</v>
      </c>
      <c r="T252" t="s">
        <v>18587</v>
      </c>
      <c r="U252" t="s">
        <v>4559</v>
      </c>
      <c r="V252" t="s">
        <v>18593</v>
      </c>
    </row>
    <row r="253" spans="1:27">
      <c r="A253" t="s">
        <v>18588</v>
      </c>
      <c r="B253" t="s">
        <v>18588</v>
      </c>
      <c r="C253" t="s">
        <v>18557</v>
      </c>
      <c r="D253" t="s">
        <v>4517</v>
      </c>
      <c r="E253" t="s">
        <v>4553</v>
      </c>
      <c r="F253" t="s">
        <v>2655</v>
      </c>
      <c r="G253" t="s">
        <v>14046</v>
      </c>
      <c r="H253" t="s">
        <v>4376</v>
      </c>
      <c r="I253" t="s">
        <v>8877</v>
      </c>
      <c r="J253" t="s">
        <v>16891</v>
      </c>
      <c r="K253" t="s">
        <v>4517</v>
      </c>
      <c r="L253" t="s">
        <v>18588</v>
      </c>
      <c r="M253" t="s">
        <v>25</v>
      </c>
      <c r="N253" t="s">
        <v>18583</v>
      </c>
      <c r="S253" t="s">
        <v>4517</v>
      </c>
      <c r="T253" t="s">
        <v>18588</v>
      </c>
      <c r="U253" t="s">
        <v>4559</v>
      </c>
      <c r="V253" t="s">
        <v>18594</v>
      </c>
    </row>
    <row r="254" spans="1:27">
      <c r="A254" t="s">
        <v>18542</v>
      </c>
      <c r="B254" t="s">
        <v>18542</v>
      </c>
      <c r="C254" t="s">
        <v>18558</v>
      </c>
      <c r="D254" t="s">
        <v>4517</v>
      </c>
      <c r="E254" t="s">
        <v>4553</v>
      </c>
      <c r="F254" t="s">
        <v>2655</v>
      </c>
      <c r="G254" t="s">
        <v>14046</v>
      </c>
      <c r="H254" t="s">
        <v>4376</v>
      </c>
      <c r="I254" t="s">
        <v>8877</v>
      </c>
      <c r="J254" t="s">
        <v>16891</v>
      </c>
      <c r="K254" t="s">
        <v>4517</v>
      </c>
      <c r="L254" t="s">
        <v>18542</v>
      </c>
      <c r="M254" t="s">
        <v>25</v>
      </c>
      <c r="N254" t="s">
        <v>18569</v>
      </c>
    </row>
    <row r="255" spans="1:27">
      <c r="A255" t="s">
        <v>18543</v>
      </c>
      <c r="B255" t="s">
        <v>18543</v>
      </c>
      <c r="C255" t="s">
        <v>18559</v>
      </c>
      <c r="D255" t="s">
        <v>4517</v>
      </c>
      <c r="E255" t="s">
        <v>4553</v>
      </c>
      <c r="F255" t="s">
        <v>2655</v>
      </c>
      <c r="G255" t="s">
        <v>14046</v>
      </c>
      <c r="H255" t="s">
        <v>4376</v>
      </c>
      <c r="I255" t="s">
        <v>8877</v>
      </c>
      <c r="J255" t="s">
        <v>16891</v>
      </c>
      <c r="K255" t="s">
        <v>4517</v>
      </c>
      <c r="L255" t="s">
        <v>18543</v>
      </c>
      <c r="M255" t="s">
        <v>25</v>
      </c>
      <c r="N255" t="s">
        <v>18570</v>
      </c>
      <c r="S255" t="s">
        <v>4517</v>
      </c>
      <c r="T255" t="s">
        <v>18543</v>
      </c>
      <c r="U255" t="s">
        <v>4559</v>
      </c>
      <c r="V255" t="s">
        <v>18595</v>
      </c>
    </row>
    <row r="256" spans="1:27">
      <c r="A256" t="s">
        <v>18544</v>
      </c>
      <c r="B256" t="s">
        <v>18544</v>
      </c>
      <c r="C256" t="s">
        <v>18560</v>
      </c>
      <c r="D256" t="s">
        <v>4517</v>
      </c>
      <c r="E256" t="s">
        <v>4553</v>
      </c>
      <c r="F256" t="s">
        <v>2655</v>
      </c>
      <c r="G256" t="s">
        <v>14046</v>
      </c>
      <c r="H256" t="s">
        <v>4376</v>
      </c>
      <c r="I256" t="s">
        <v>8877</v>
      </c>
      <c r="J256" t="s">
        <v>16891</v>
      </c>
      <c r="K256" t="s">
        <v>4517</v>
      </c>
      <c r="L256" t="s">
        <v>18544</v>
      </c>
      <c r="M256" t="s">
        <v>25</v>
      </c>
      <c r="N256" t="s">
        <v>18571</v>
      </c>
      <c r="S256" t="s">
        <v>4517</v>
      </c>
      <c r="T256" t="s">
        <v>18544</v>
      </c>
      <c r="U256" t="s">
        <v>4559</v>
      </c>
      <c r="V256" t="s">
        <v>18596</v>
      </c>
    </row>
    <row r="257" spans="1:27">
      <c r="A257" t="s">
        <v>18589</v>
      </c>
      <c r="B257" t="s">
        <v>18589</v>
      </c>
      <c r="C257" t="s">
        <v>18561</v>
      </c>
      <c r="D257" t="s">
        <v>4517</v>
      </c>
      <c r="E257" t="s">
        <v>4553</v>
      </c>
      <c r="F257" t="s">
        <v>2655</v>
      </c>
      <c r="G257" t="s">
        <v>14046</v>
      </c>
      <c r="H257" t="s">
        <v>4376</v>
      </c>
      <c r="I257" t="s">
        <v>8877</v>
      </c>
      <c r="J257" t="s">
        <v>16891</v>
      </c>
      <c r="K257" t="s">
        <v>4517</v>
      </c>
      <c r="L257" t="s">
        <v>18589</v>
      </c>
      <c r="M257" t="s">
        <v>25</v>
      </c>
      <c r="N257" t="s">
        <v>18584</v>
      </c>
      <c r="S257" t="s">
        <v>4517</v>
      </c>
      <c r="T257" t="s">
        <v>18589</v>
      </c>
      <c r="U257" t="s">
        <v>4559</v>
      </c>
      <c r="V257" t="s">
        <v>18597</v>
      </c>
    </row>
    <row r="258" spans="1:27">
      <c r="A258" t="s">
        <v>18590</v>
      </c>
      <c r="B258" t="s">
        <v>18590</v>
      </c>
      <c r="C258" t="s">
        <v>18562</v>
      </c>
      <c r="D258" t="s">
        <v>4517</v>
      </c>
      <c r="E258" t="s">
        <v>4553</v>
      </c>
      <c r="F258" t="s">
        <v>2655</v>
      </c>
      <c r="G258" t="s">
        <v>14046</v>
      </c>
      <c r="H258" t="s">
        <v>4376</v>
      </c>
      <c r="I258" t="s">
        <v>8877</v>
      </c>
      <c r="J258" t="s">
        <v>16891</v>
      </c>
      <c r="K258" t="s">
        <v>4517</v>
      </c>
      <c r="L258" t="s">
        <v>18590</v>
      </c>
      <c r="M258" t="s">
        <v>25</v>
      </c>
      <c r="N258" t="s">
        <v>18585</v>
      </c>
      <c r="S258" t="s">
        <v>4517</v>
      </c>
      <c r="T258" t="s">
        <v>18590</v>
      </c>
      <c r="U258" t="s">
        <v>4559</v>
      </c>
      <c r="V258" t="s">
        <v>18594</v>
      </c>
    </row>
    <row r="259" spans="1:27">
      <c r="A259" t="s">
        <v>18545</v>
      </c>
      <c r="B259" t="s">
        <v>18545</v>
      </c>
      <c r="C259" t="s">
        <v>18563</v>
      </c>
      <c r="D259" t="s">
        <v>4517</v>
      </c>
      <c r="E259" t="s">
        <v>4553</v>
      </c>
      <c r="F259" t="s">
        <v>2655</v>
      </c>
      <c r="G259" t="s">
        <v>14046</v>
      </c>
      <c r="H259" t="s">
        <v>4376</v>
      </c>
      <c r="I259" t="s">
        <v>8877</v>
      </c>
      <c r="J259" t="s">
        <v>16891</v>
      </c>
      <c r="K259" t="s">
        <v>4517</v>
      </c>
      <c r="L259" t="s">
        <v>18545</v>
      </c>
      <c r="M259" t="s">
        <v>25</v>
      </c>
      <c r="N259" t="s">
        <v>18572</v>
      </c>
      <c r="S259" t="s">
        <v>4517</v>
      </c>
      <c r="T259" t="s">
        <v>18545</v>
      </c>
      <c r="U259" t="s">
        <v>4559</v>
      </c>
      <c r="V259" t="s">
        <v>18598</v>
      </c>
    </row>
    <row r="260" spans="1:27">
      <c r="A260" t="s">
        <v>18546</v>
      </c>
      <c r="B260" t="s">
        <v>18546</v>
      </c>
      <c r="C260" t="s">
        <v>18559</v>
      </c>
      <c r="D260" t="s">
        <v>4517</v>
      </c>
      <c r="E260" t="s">
        <v>4553</v>
      </c>
      <c r="F260" t="s">
        <v>2655</v>
      </c>
      <c r="G260" t="s">
        <v>14046</v>
      </c>
      <c r="H260" t="s">
        <v>4376</v>
      </c>
      <c r="I260" t="s">
        <v>8877</v>
      </c>
      <c r="J260" t="s">
        <v>16891</v>
      </c>
      <c r="K260" t="s">
        <v>4517</v>
      </c>
      <c r="L260" t="s">
        <v>18546</v>
      </c>
      <c r="M260" t="s">
        <v>25</v>
      </c>
      <c r="N260" t="s">
        <v>18573</v>
      </c>
      <c r="S260" t="s">
        <v>4517</v>
      </c>
      <c r="T260" t="s">
        <v>18546</v>
      </c>
      <c r="U260" t="s">
        <v>4559</v>
      </c>
      <c r="V260" t="s">
        <v>18595</v>
      </c>
    </row>
    <row r="261" spans="1:27">
      <c r="A261" t="s">
        <v>18547</v>
      </c>
      <c r="B261" t="s">
        <v>18547</v>
      </c>
      <c r="C261" t="s">
        <v>18564</v>
      </c>
      <c r="D261" t="s">
        <v>4517</v>
      </c>
      <c r="E261" t="s">
        <v>4553</v>
      </c>
      <c r="F261" t="s">
        <v>2655</v>
      </c>
      <c r="G261" t="s">
        <v>14046</v>
      </c>
      <c r="H261" t="s">
        <v>4376</v>
      </c>
      <c r="I261" t="s">
        <v>8877</v>
      </c>
      <c r="J261" t="s">
        <v>16891</v>
      </c>
      <c r="K261" t="s">
        <v>4517</v>
      </c>
      <c r="L261" t="s">
        <v>18547</v>
      </c>
      <c r="M261" t="s">
        <v>25</v>
      </c>
      <c r="N261" t="s">
        <v>18574</v>
      </c>
    </row>
    <row r="262" spans="1:27">
      <c r="A262" t="s">
        <v>18548</v>
      </c>
      <c r="B262" t="s">
        <v>18548</v>
      </c>
      <c r="C262" t="s">
        <v>18557</v>
      </c>
      <c r="D262" t="s">
        <v>4517</v>
      </c>
      <c r="E262" t="s">
        <v>4553</v>
      </c>
      <c r="F262" t="s">
        <v>2655</v>
      </c>
      <c r="G262" t="s">
        <v>14046</v>
      </c>
      <c r="H262" t="s">
        <v>4376</v>
      </c>
      <c r="I262" t="s">
        <v>8877</v>
      </c>
      <c r="J262" t="s">
        <v>16891</v>
      </c>
      <c r="K262" t="s">
        <v>4517</v>
      </c>
      <c r="L262" t="s">
        <v>18548</v>
      </c>
      <c r="M262" t="s">
        <v>25</v>
      </c>
      <c r="N262" t="s">
        <v>18575</v>
      </c>
      <c r="S262" t="s">
        <v>4517</v>
      </c>
      <c r="T262" t="s">
        <v>18548</v>
      </c>
      <c r="U262" t="s">
        <v>4559</v>
      </c>
      <c r="V262" t="s">
        <v>18594</v>
      </c>
    </row>
    <row r="263" spans="1:27">
      <c r="A263" t="s">
        <v>18549</v>
      </c>
      <c r="B263" t="s">
        <v>18549</v>
      </c>
      <c r="C263" t="s">
        <v>18565</v>
      </c>
      <c r="D263" t="s">
        <v>4517</v>
      </c>
      <c r="E263" t="s">
        <v>4553</v>
      </c>
      <c r="F263" t="s">
        <v>2655</v>
      </c>
      <c r="G263" t="s">
        <v>14046</v>
      </c>
      <c r="H263" t="s">
        <v>4376</v>
      </c>
      <c r="I263" t="s">
        <v>8877</v>
      </c>
      <c r="J263" t="s">
        <v>16891</v>
      </c>
      <c r="K263" t="s">
        <v>4517</v>
      </c>
      <c r="L263" t="s">
        <v>18549</v>
      </c>
      <c r="M263" t="s">
        <v>25</v>
      </c>
      <c r="N263" t="s">
        <v>18576</v>
      </c>
    </row>
    <row r="264" spans="1:27">
      <c r="A264" t="s">
        <v>18550</v>
      </c>
      <c r="B264" t="s">
        <v>18550</v>
      </c>
      <c r="C264" t="s">
        <v>18566</v>
      </c>
      <c r="D264" t="s">
        <v>4517</v>
      </c>
      <c r="E264" t="s">
        <v>4553</v>
      </c>
      <c r="F264" t="s">
        <v>2655</v>
      </c>
      <c r="G264" t="s">
        <v>14046</v>
      </c>
      <c r="H264" t="s">
        <v>4376</v>
      </c>
      <c r="I264" t="s">
        <v>8877</v>
      </c>
      <c r="J264" t="s">
        <v>16891</v>
      </c>
      <c r="K264" t="s">
        <v>4517</v>
      </c>
      <c r="L264" t="s">
        <v>18550</v>
      </c>
      <c r="M264" t="s">
        <v>25</v>
      </c>
      <c r="N264" t="s">
        <v>18577</v>
      </c>
    </row>
    <row r="265" spans="1:27">
      <c r="A265" t="s">
        <v>18551</v>
      </c>
      <c r="B265" t="s">
        <v>18551</v>
      </c>
      <c r="C265" t="s">
        <v>18567</v>
      </c>
      <c r="D265" t="s">
        <v>4517</v>
      </c>
      <c r="E265" t="s">
        <v>4553</v>
      </c>
      <c r="F265" t="s">
        <v>2655</v>
      </c>
      <c r="G265" t="s">
        <v>14046</v>
      </c>
      <c r="H265" t="s">
        <v>4376</v>
      </c>
      <c r="I265" t="s">
        <v>8877</v>
      </c>
      <c r="J265" t="s">
        <v>16891</v>
      </c>
      <c r="K265" t="s">
        <v>4517</v>
      </c>
      <c r="L265" t="s">
        <v>18551</v>
      </c>
      <c r="M265" t="s">
        <v>25</v>
      </c>
      <c r="N265" t="s">
        <v>18578</v>
      </c>
      <c r="S265" t="s">
        <v>4517</v>
      </c>
      <c r="T265" t="s">
        <v>18600</v>
      </c>
      <c r="U265" t="s">
        <v>4559</v>
      </c>
      <c r="V265" t="s">
        <v>18599</v>
      </c>
    </row>
    <row r="266" spans="1:27">
      <c r="A266" t="s">
        <v>18552</v>
      </c>
      <c r="B266" t="s">
        <v>18552</v>
      </c>
      <c r="C266" t="s">
        <v>18556</v>
      </c>
      <c r="D266" t="s">
        <v>4517</v>
      </c>
      <c r="E266" t="s">
        <v>4553</v>
      </c>
      <c r="F266" t="s">
        <v>2655</v>
      </c>
      <c r="G266" t="s">
        <v>14046</v>
      </c>
      <c r="H266" t="s">
        <v>4376</v>
      </c>
      <c r="I266" t="s">
        <v>8877</v>
      </c>
      <c r="J266" t="s">
        <v>16891</v>
      </c>
      <c r="K266" t="s">
        <v>4517</v>
      </c>
      <c r="L266" t="s">
        <v>18552</v>
      </c>
      <c r="M266" t="s">
        <v>25</v>
      </c>
      <c r="N266" t="s">
        <v>18579</v>
      </c>
      <c r="S266" t="s">
        <v>4517</v>
      </c>
      <c r="T266" t="s">
        <v>18587</v>
      </c>
      <c r="U266" t="s">
        <v>4559</v>
      </c>
      <c r="V266" t="s">
        <v>18593</v>
      </c>
    </row>
    <row r="267" spans="1:27">
      <c r="A267" t="s">
        <v>18553</v>
      </c>
      <c r="B267" t="s">
        <v>18553</v>
      </c>
      <c r="C267" t="s">
        <v>18554</v>
      </c>
      <c r="D267" t="s">
        <v>4517</v>
      </c>
      <c r="E267" t="s">
        <v>4553</v>
      </c>
      <c r="F267" t="s">
        <v>2655</v>
      </c>
      <c r="G267" t="s">
        <v>14046</v>
      </c>
      <c r="H267" t="s">
        <v>4376</v>
      </c>
      <c r="I267" t="s">
        <v>8877</v>
      </c>
      <c r="J267" t="s">
        <v>16891</v>
      </c>
      <c r="K267" t="s">
        <v>4517</v>
      </c>
      <c r="L267" t="s">
        <v>18553</v>
      </c>
      <c r="M267" t="s">
        <v>25</v>
      </c>
      <c r="N267" t="s">
        <v>18580</v>
      </c>
      <c r="S267" t="s">
        <v>4517</v>
      </c>
      <c r="T267" t="s">
        <v>18541</v>
      </c>
      <c r="U267" t="s">
        <v>4559</v>
      </c>
      <c r="V267" t="s">
        <v>18591</v>
      </c>
    </row>
    <row r="268" spans="1:27">
      <c r="A268" t="s">
        <v>18602</v>
      </c>
      <c r="B268" t="s">
        <v>18602</v>
      </c>
      <c r="C268" t="s">
        <v>18909</v>
      </c>
      <c r="D268" t="s">
        <v>4517</v>
      </c>
      <c r="E268" t="s">
        <v>2656</v>
      </c>
      <c r="F268" t="s">
        <v>7005</v>
      </c>
      <c r="G268" t="s">
        <v>18610</v>
      </c>
      <c r="H268" t="s">
        <v>4376</v>
      </c>
      <c r="I268" t="s">
        <v>18612</v>
      </c>
      <c r="J268" t="s">
        <v>18613</v>
      </c>
      <c r="K268" t="s">
        <v>4517</v>
      </c>
      <c r="L268" t="s">
        <v>18614</v>
      </c>
      <c r="M268" t="s">
        <v>25</v>
      </c>
      <c r="N268" t="s">
        <v>18615</v>
      </c>
      <c r="O268" t="s">
        <v>4517</v>
      </c>
      <c r="P268" t="s">
        <v>18616</v>
      </c>
      <c r="Q268" t="s">
        <v>25</v>
      </c>
      <c r="R268" t="s">
        <v>18617</v>
      </c>
      <c r="S268" t="s">
        <v>4517</v>
      </c>
      <c r="T268" t="s">
        <v>18614</v>
      </c>
      <c r="U268" t="s">
        <v>4559</v>
      </c>
      <c r="V268" t="s">
        <v>18630</v>
      </c>
      <c r="W268" t="s">
        <v>4517</v>
      </c>
      <c r="X268" t="s">
        <v>18616</v>
      </c>
      <c r="Y268" t="s">
        <v>4559</v>
      </c>
      <c r="Z268" t="s">
        <v>18635</v>
      </c>
      <c r="AA268" t="s">
        <v>4727</v>
      </c>
    </row>
    <row r="269" spans="1:27">
      <c r="A269" t="s">
        <v>18603</v>
      </c>
      <c r="B269" t="s">
        <v>18603</v>
      </c>
      <c r="C269" t="s">
        <v>18910</v>
      </c>
      <c r="D269" t="s">
        <v>4517</v>
      </c>
      <c r="E269" t="s">
        <v>2656</v>
      </c>
      <c r="F269" t="s">
        <v>7005</v>
      </c>
      <c r="G269" t="s">
        <v>18610</v>
      </c>
      <c r="H269" t="s">
        <v>4376</v>
      </c>
      <c r="I269" t="s">
        <v>18612</v>
      </c>
      <c r="J269" t="s">
        <v>18613</v>
      </c>
      <c r="K269" t="s">
        <v>4517</v>
      </c>
      <c r="L269" t="s">
        <v>18618</v>
      </c>
      <c r="M269" t="s">
        <v>25</v>
      </c>
      <c r="N269" t="s">
        <v>18619</v>
      </c>
      <c r="O269" t="s">
        <v>4517</v>
      </c>
      <c r="P269" t="s">
        <v>18620</v>
      </c>
      <c r="Q269" t="s">
        <v>25</v>
      </c>
      <c r="R269" t="s">
        <v>18621</v>
      </c>
      <c r="S269" t="s">
        <v>4517</v>
      </c>
      <c r="T269" t="s">
        <v>18618</v>
      </c>
      <c r="U269" t="s">
        <v>4559</v>
      </c>
      <c r="V269" t="s">
        <v>18636</v>
      </c>
      <c r="W269" t="s">
        <v>4517</v>
      </c>
      <c r="X269" t="s">
        <v>18620</v>
      </c>
      <c r="Y269" t="s">
        <v>4559</v>
      </c>
      <c r="Z269" t="s">
        <v>18637</v>
      </c>
      <c r="AA269" t="s">
        <v>4727</v>
      </c>
    </row>
    <row r="270" spans="1:27">
      <c r="A270" t="s">
        <v>18604</v>
      </c>
      <c r="B270" t="s">
        <v>18604</v>
      </c>
      <c r="C270" t="s">
        <v>18911</v>
      </c>
      <c r="D270" t="s">
        <v>4517</v>
      </c>
      <c r="E270" t="s">
        <v>2656</v>
      </c>
      <c r="F270" t="s">
        <v>7005</v>
      </c>
      <c r="G270" t="s">
        <v>18610</v>
      </c>
      <c r="H270" t="s">
        <v>4376</v>
      </c>
      <c r="I270" t="s">
        <v>18612</v>
      </c>
      <c r="J270" t="s">
        <v>18613</v>
      </c>
      <c r="K270" t="s">
        <v>4517</v>
      </c>
      <c r="L270" t="s">
        <v>18622</v>
      </c>
      <c r="M270" t="s">
        <v>25</v>
      </c>
      <c r="N270" t="s">
        <v>18623</v>
      </c>
      <c r="O270" t="s">
        <v>4517</v>
      </c>
      <c r="P270" t="s">
        <v>18624</v>
      </c>
      <c r="Q270" t="s">
        <v>25</v>
      </c>
      <c r="R270" t="s">
        <v>18625</v>
      </c>
      <c r="S270" t="s">
        <v>4517</v>
      </c>
      <c r="T270" t="s">
        <v>18622</v>
      </c>
      <c r="U270" t="s">
        <v>4559</v>
      </c>
      <c r="V270" t="s">
        <v>18638</v>
      </c>
      <c r="W270" t="s">
        <v>4517</v>
      </c>
      <c r="X270" t="s">
        <v>18624</v>
      </c>
      <c r="Y270" t="s">
        <v>4559</v>
      </c>
      <c r="Z270" t="s">
        <v>18639</v>
      </c>
      <c r="AA270" t="s">
        <v>4727</v>
      </c>
    </row>
    <row r="271" spans="1:27">
      <c r="A271" t="s">
        <v>18605</v>
      </c>
      <c r="B271" t="s">
        <v>18605</v>
      </c>
      <c r="C271" t="s">
        <v>18912</v>
      </c>
      <c r="D271" t="s">
        <v>4517</v>
      </c>
      <c r="E271" t="s">
        <v>2656</v>
      </c>
      <c r="F271" t="s">
        <v>7005</v>
      </c>
      <c r="G271" t="s">
        <v>18610</v>
      </c>
      <c r="H271" t="s">
        <v>4376</v>
      </c>
      <c r="I271" t="s">
        <v>18612</v>
      </c>
      <c r="J271" t="s">
        <v>18613</v>
      </c>
      <c r="K271" t="s">
        <v>4517</v>
      </c>
      <c r="L271" t="s">
        <v>18626</v>
      </c>
      <c r="M271" t="s">
        <v>25</v>
      </c>
      <c r="N271" t="s">
        <v>18627</v>
      </c>
      <c r="O271" t="s">
        <v>4517</v>
      </c>
      <c r="P271" t="s">
        <v>18628</v>
      </c>
      <c r="Q271" t="s">
        <v>25</v>
      </c>
      <c r="R271" t="s">
        <v>18629</v>
      </c>
      <c r="S271" t="s">
        <v>4517</v>
      </c>
      <c r="T271" t="s">
        <v>18626</v>
      </c>
      <c r="U271" t="s">
        <v>4559</v>
      </c>
      <c r="V271" t="s">
        <v>18640</v>
      </c>
      <c r="W271" t="s">
        <v>4517</v>
      </c>
      <c r="X271" t="s">
        <v>18628</v>
      </c>
      <c r="Y271" t="s">
        <v>4559</v>
      </c>
      <c r="Z271" t="s">
        <v>18641</v>
      </c>
      <c r="AA271" t="s">
        <v>4727</v>
      </c>
    </row>
    <row r="272" spans="1:27">
      <c r="A272" t="s">
        <v>18606</v>
      </c>
      <c r="B272" t="s">
        <v>18606</v>
      </c>
      <c r="C272" t="s">
        <v>18913</v>
      </c>
      <c r="D272" t="s">
        <v>4517</v>
      </c>
      <c r="E272" t="s">
        <v>18001</v>
      </c>
      <c r="F272" t="s">
        <v>7005</v>
      </c>
      <c r="G272" t="s">
        <v>18611</v>
      </c>
      <c r="H272" t="s">
        <v>4376</v>
      </c>
      <c r="I272" t="s">
        <v>4795</v>
      </c>
      <c r="J272" t="s">
        <v>18613</v>
      </c>
      <c r="K272" t="s">
        <v>4517</v>
      </c>
      <c r="L272" t="s">
        <v>18642</v>
      </c>
      <c r="M272" t="s">
        <v>25</v>
      </c>
      <c r="N272" t="s">
        <v>18643</v>
      </c>
      <c r="S272" t="s">
        <v>4517</v>
      </c>
      <c r="T272" t="s">
        <v>18642</v>
      </c>
      <c r="U272" t="s">
        <v>4559</v>
      </c>
      <c r="V272" t="s">
        <v>18650</v>
      </c>
      <c r="AA272" t="s">
        <v>4727</v>
      </c>
    </row>
    <row r="273" spans="1:27">
      <c r="A273" t="s">
        <v>18607</v>
      </c>
      <c r="B273" t="s">
        <v>18607</v>
      </c>
      <c r="C273" t="s">
        <v>18914</v>
      </c>
      <c r="D273" t="s">
        <v>4517</v>
      </c>
      <c r="E273" t="s">
        <v>18001</v>
      </c>
      <c r="F273" t="s">
        <v>7005</v>
      </c>
      <c r="G273" t="s">
        <v>18611</v>
      </c>
      <c r="H273" t="s">
        <v>4376</v>
      </c>
      <c r="I273" t="s">
        <v>4795</v>
      </c>
      <c r="J273" t="s">
        <v>18613</v>
      </c>
      <c r="K273" t="s">
        <v>4517</v>
      </c>
      <c r="L273" t="s">
        <v>18644</v>
      </c>
      <c r="M273" t="s">
        <v>25</v>
      </c>
      <c r="N273" t="s">
        <v>18645</v>
      </c>
      <c r="S273" t="s">
        <v>4517</v>
      </c>
      <c r="T273" t="s">
        <v>18644</v>
      </c>
      <c r="U273" t="s">
        <v>4559</v>
      </c>
      <c r="V273" t="s">
        <v>18651</v>
      </c>
      <c r="AA273" t="s">
        <v>4727</v>
      </c>
    </row>
    <row r="274" spans="1:27">
      <c r="A274" t="s">
        <v>18608</v>
      </c>
      <c r="B274" t="s">
        <v>18608</v>
      </c>
      <c r="C274" t="s">
        <v>18915</v>
      </c>
      <c r="D274" t="s">
        <v>4517</v>
      </c>
      <c r="E274" t="s">
        <v>18001</v>
      </c>
      <c r="F274" t="s">
        <v>7005</v>
      </c>
      <c r="G274" t="s">
        <v>18611</v>
      </c>
      <c r="H274" t="s">
        <v>4376</v>
      </c>
      <c r="I274" t="s">
        <v>4795</v>
      </c>
      <c r="J274" t="s">
        <v>18613</v>
      </c>
      <c r="K274" t="s">
        <v>4517</v>
      </c>
      <c r="L274" t="s">
        <v>18646</v>
      </c>
      <c r="M274" t="s">
        <v>25</v>
      </c>
      <c r="N274" t="s">
        <v>18647</v>
      </c>
      <c r="S274" t="s">
        <v>4517</v>
      </c>
      <c r="T274" t="s">
        <v>18646</v>
      </c>
      <c r="U274" t="s">
        <v>4559</v>
      </c>
      <c r="V274" t="s">
        <v>18652</v>
      </c>
      <c r="AA274" t="s">
        <v>4727</v>
      </c>
    </row>
    <row r="275" spans="1:27">
      <c r="A275" t="s">
        <v>18609</v>
      </c>
      <c r="B275" t="s">
        <v>18609</v>
      </c>
      <c r="C275" t="s">
        <v>18916</v>
      </c>
      <c r="D275" t="s">
        <v>4517</v>
      </c>
      <c r="E275" t="s">
        <v>18001</v>
      </c>
      <c r="F275" t="s">
        <v>7005</v>
      </c>
      <c r="G275" t="s">
        <v>18611</v>
      </c>
      <c r="H275" t="s">
        <v>4376</v>
      </c>
      <c r="I275" t="s">
        <v>4795</v>
      </c>
      <c r="J275" t="s">
        <v>18613</v>
      </c>
      <c r="K275" t="s">
        <v>4517</v>
      </c>
      <c r="L275" t="s">
        <v>18648</v>
      </c>
      <c r="M275" t="s">
        <v>25</v>
      </c>
      <c r="N275" t="s">
        <v>18649</v>
      </c>
      <c r="S275" t="s">
        <v>4517</v>
      </c>
      <c r="T275" t="s">
        <v>18648</v>
      </c>
      <c r="U275" t="s">
        <v>4559</v>
      </c>
      <c r="V275" t="s">
        <v>18653</v>
      </c>
      <c r="AA275" t="s">
        <v>4727</v>
      </c>
    </row>
    <row r="276" spans="1:27">
      <c r="A276" t="s">
        <v>18801</v>
      </c>
      <c r="B276" t="s">
        <v>18801</v>
      </c>
      <c r="C276" t="s">
        <v>18917</v>
      </c>
      <c r="D276" t="s">
        <v>4517</v>
      </c>
      <c r="E276" t="s">
        <v>6960</v>
      </c>
      <c r="F276" t="s">
        <v>2655</v>
      </c>
      <c r="G276" t="s">
        <v>18802</v>
      </c>
      <c r="H276" t="s">
        <v>4376</v>
      </c>
      <c r="I276" t="s">
        <v>6962</v>
      </c>
      <c r="J276" t="s">
        <v>4517</v>
      </c>
      <c r="K276" t="s">
        <v>4517</v>
      </c>
      <c r="L276" t="s">
        <v>18801</v>
      </c>
      <c r="M276" t="s">
        <v>25</v>
      </c>
      <c r="N276" t="s">
        <v>18800</v>
      </c>
    </row>
  </sheetData>
  <phoneticPr fontId="2" type="noConversion"/>
  <hyperlinks>
    <hyperlink ref="V11" r:id="rId1" display="https://www.lcsc.com/product-detail/Light-Emitting-Diodes-LED_Worldsemi-WS2812B-Mini_C527089.html" xr:uid="{7B3563B0-676F-492C-A346-E0B4B21DFE92}"/>
    <hyperlink ref="J28" r:id="rId2" xr:uid="{32C627DE-CC59-4358-82A9-13AAD950A7A7}"/>
    <hyperlink ref="J29" r:id="rId3" xr:uid="{B3D26EA8-B815-48D8-8C7A-2BD0273EF5A4}"/>
    <hyperlink ref="J30" r:id="rId4" xr:uid="{8A799610-B270-4075-A8F4-DB90CEAEE649}"/>
    <hyperlink ref="J34" r:id="rId5" xr:uid="{90E4B0AE-5144-4107-85B6-C76CB118EFFA}"/>
    <hyperlink ref="J35" r:id="rId6" xr:uid="{CC1E8DF6-68C8-4A9E-9A31-0D7B3B9AA9C1}"/>
    <hyperlink ref="J135" r:id="rId7" xr:uid="{34D5FC3C-999E-4D25-A872-A2C1C6371C90}"/>
    <hyperlink ref="J136" r:id="rId8" xr:uid="{64E2CB7B-A1BB-4F79-AB26-6EEA3D96B792}"/>
    <hyperlink ref="J137" r:id="rId9" xr:uid="{3BE37952-D90E-4955-9721-E193A7A08921}"/>
    <hyperlink ref="J138" r:id="rId10" xr:uid="{A0AB16B5-9B25-4B6C-ABEC-AF9745A648F7}"/>
    <hyperlink ref="J139" r:id="rId11" xr:uid="{8C99010F-A52A-4A0D-8675-FD8E92C4BA87}"/>
    <hyperlink ref="J140" r:id="rId12" xr:uid="{CB318388-70FA-4FA4-B221-136759B5BA23}"/>
    <hyperlink ref="J141" r:id="rId13" xr:uid="{79BBEC18-E744-4532-8A56-8C197F254CA4}"/>
    <hyperlink ref="J142" r:id="rId14" xr:uid="{96036CE9-5877-4F76-AD60-2EF6C99FB61F}"/>
    <hyperlink ref="J143" r:id="rId15" xr:uid="{99FE6729-A350-4309-BF22-E51B8BAAC699}"/>
    <hyperlink ref="J144" r:id="rId16" xr:uid="{830D7E10-5B6E-425A-97BB-3D6B5CF482FF}"/>
    <hyperlink ref="J145" r:id="rId17" xr:uid="{64741958-DC04-4287-A5BF-1F948FCF10B1}"/>
    <hyperlink ref="J146" r:id="rId18" xr:uid="{0F3A8CE6-96B6-4DD0-8FD3-F2D2787F949D}"/>
    <hyperlink ref="J147" r:id="rId19" xr:uid="{14EACCE6-B3DA-47E7-B374-C636669E426E}"/>
    <hyperlink ref="J148" r:id="rId20" xr:uid="{E4FD7115-B67C-4B6A-9347-03D4E273C242}"/>
    <hyperlink ref="J149" r:id="rId21" xr:uid="{2FDEBF27-B3B9-458B-BF16-F3EDC97BD94C}"/>
    <hyperlink ref="J150" r:id="rId22" xr:uid="{48423435-1CB3-4362-81CB-52BFE00E2E45}"/>
    <hyperlink ref="J151" r:id="rId23" xr:uid="{8634C0DD-2CE5-46C2-9A16-B6117591F5E3}"/>
    <hyperlink ref="J152" r:id="rId24" xr:uid="{FD9AE41E-ED1C-406C-AA0B-29B4F7696F62}"/>
    <hyperlink ref="J153" r:id="rId25" xr:uid="{50162C7B-B27A-4629-9413-844858B4F562}"/>
    <hyperlink ref="J154" r:id="rId26" xr:uid="{9A14A215-866E-4856-AA8F-2DA7705F7089}"/>
    <hyperlink ref="J155" r:id="rId27" xr:uid="{13DD35CA-5477-40E9-A2ED-AADD15821E7D}"/>
    <hyperlink ref="J156" r:id="rId28" xr:uid="{4CC14C9A-4548-411C-8CA7-80FEA8E7A872}"/>
    <hyperlink ref="J157" r:id="rId29" xr:uid="{5AF96349-F675-4B7D-AC61-DE33D6EB873E}"/>
    <hyperlink ref="J158" r:id="rId30" xr:uid="{EE7CCBEE-770D-498F-8A6C-8FAF1DED4FEC}"/>
    <hyperlink ref="J159" r:id="rId31" xr:uid="{BF839021-2FFE-44A6-A282-068BE72E6622}"/>
    <hyperlink ref="J160" r:id="rId32" xr:uid="{BA96D033-78E0-4AF9-858A-EED61488D079}"/>
    <hyperlink ref="J161" r:id="rId33" xr:uid="{BA24E04B-29F3-43C2-96E2-A0DBCB472F6F}"/>
    <hyperlink ref="J203" r:id="rId34" xr:uid="{6A986699-4D67-497B-8A08-DB5529B7A9F4}"/>
  </hyperlinks>
  <pageMargins left="0.7" right="0.7" top="0.75" bottom="0.75" header="0.3" footer="0.3"/>
  <pageSetup paperSize="9" orientation="portrait" r:id="rId3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3A568A-6536-403A-B346-A5CEB912D920}">
  <dimension ref="A1:AB184"/>
  <sheetViews>
    <sheetView zoomScale="70" zoomScaleNormal="70" workbookViewId="0">
      <pane xSplit="2" ySplit="1" topLeftCell="C46" activePane="bottomRight" state="frozen"/>
      <selection pane="topRight" activeCell="C1" sqref="C1"/>
      <selection pane="bottomLeft" activeCell="A2" sqref="A2"/>
      <selection pane="bottomRight" activeCell="D79" sqref="D79"/>
    </sheetView>
  </sheetViews>
  <sheetFormatPr defaultColWidth="11.5703125" defaultRowHeight="15"/>
  <cols>
    <col min="1" max="1" width="33.7109375" customWidth="1"/>
    <col min="2" max="2" width="24.140625" bestFit="1" customWidth="1"/>
    <col min="3" max="3" width="91.42578125" bestFit="1" customWidth="1"/>
    <col min="4" max="4" width="13.5703125" bestFit="1" customWidth="1"/>
    <col min="5" max="5" width="8.5703125" style="14" bestFit="1" customWidth="1"/>
    <col min="6" max="6" width="6.42578125" bestFit="1" customWidth="1"/>
    <col min="7" max="7" width="18.42578125" bestFit="1" customWidth="1"/>
    <col min="8" max="8" width="16.85546875" bestFit="1" customWidth="1"/>
    <col min="9" max="9" width="21.5703125" bestFit="1" customWidth="1"/>
    <col min="10" max="10" width="28.85546875" bestFit="1" customWidth="1"/>
    <col min="11" max="12" width="16" customWidth="1"/>
    <col min="14" max="14" width="11.5703125" customWidth="1"/>
    <col min="18" max="18" width="21.7109375" customWidth="1"/>
    <col min="19" max="19" width="18.28515625" customWidth="1"/>
    <col min="20" max="20" width="25.5703125" customWidth="1"/>
  </cols>
  <sheetData>
    <row r="1" spans="1:2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  <c r="J1" s="16" t="s">
        <v>9</v>
      </c>
      <c r="K1" s="16" t="s">
        <v>14655</v>
      </c>
      <c r="L1" s="16" t="s">
        <v>14656</v>
      </c>
      <c r="M1" s="16" t="s">
        <v>10</v>
      </c>
      <c r="N1" s="16" t="s">
        <v>11</v>
      </c>
      <c r="O1" s="16" t="s">
        <v>12</v>
      </c>
      <c r="P1" s="16" t="s">
        <v>13</v>
      </c>
      <c r="Q1" s="16" t="s">
        <v>14</v>
      </c>
      <c r="R1" s="16" t="s">
        <v>15</v>
      </c>
      <c r="S1" s="16" t="s">
        <v>16</v>
      </c>
      <c r="T1" s="16" t="s">
        <v>17</v>
      </c>
      <c r="U1" s="16" t="s">
        <v>18</v>
      </c>
      <c r="V1" s="16" t="s">
        <v>19</v>
      </c>
      <c r="W1" s="16" t="s">
        <v>4593</v>
      </c>
      <c r="X1" s="16" t="s">
        <v>4594</v>
      </c>
      <c r="Y1" s="16" t="s">
        <v>4595</v>
      </c>
      <c r="Z1" s="16" t="s">
        <v>4596</v>
      </c>
      <c r="AA1" s="16" t="s">
        <v>4726</v>
      </c>
      <c r="AB1" s="16" t="s">
        <v>6443</v>
      </c>
    </row>
    <row r="2" spans="1:28">
      <c r="A2" t="s">
        <v>16163</v>
      </c>
      <c r="B2" t="s">
        <v>16164</v>
      </c>
      <c r="C2" t="s">
        <v>16165</v>
      </c>
      <c r="D2" t="s">
        <v>4479</v>
      </c>
      <c r="E2" s="14" t="s">
        <v>11561</v>
      </c>
      <c r="F2" t="s">
        <v>16148</v>
      </c>
      <c r="G2" s="17" t="str">
        <f>Config!$B$3</f>
        <v>SCH/R_IEC.SchLib</v>
      </c>
      <c r="H2" t="s">
        <v>16149</v>
      </c>
      <c r="I2" s="18" t="s">
        <v>16150</v>
      </c>
      <c r="J2" t="s">
        <v>16151</v>
      </c>
      <c r="M2" s="3">
        <v>800</v>
      </c>
      <c r="N2" t="s">
        <v>16152</v>
      </c>
      <c r="O2" t="s">
        <v>7496</v>
      </c>
      <c r="P2" t="s">
        <v>16153</v>
      </c>
      <c r="Q2" t="s">
        <v>25</v>
      </c>
      <c r="R2" t="s">
        <v>16154</v>
      </c>
      <c r="S2" t="s">
        <v>7496</v>
      </c>
      <c r="T2" t="s">
        <v>16155</v>
      </c>
      <c r="U2" t="s">
        <v>25</v>
      </c>
      <c r="V2" t="s">
        <v>16156</v>
      </c>
    </row>
    <row r="3" spans="1:28">
      <c r="A3" t="s">
        <v>16166</v>
      </c>
      <c r="B3" t="s">
        <v>16143</v>
      </c>
      <c r="C3" t="s">
        <v>16167</v>
      </c>
      <c r="D3" t="s">
        <v>4479</v>
      </c>
      <c r="E3" s="14" t="s">
        <v>11561</v>
      </c>
      <c r="F3" t="s">
        <v>13999</v>
      </c>
      <c r="G3" s="17" t="str">
        <f>Config!$B$3</f>
        <v>SCH/R_IEC.SchLib</v>
      </c>
      <c r="H3" t="s">
        <v>16149</v>
      </c>
      <c r="I3" s="18" t="s">
        <v>16150</v>
      </c>
      <c r="J3" t="s">
        <v>16151</v>
      </c>
      <c r="M3" s="3">
        <v>1000</v>
      </c>
      <c r="N3" t="s">
        <v>16134</v>
      </c>
      <c r="O3" t="s">
        <v>7496</v>
      </c>
      <c r="P3" t="s">
        <v>16157</v>
      </c>
      <c r="Q3" t="s">
        <v>25</v>
      </c>
      <c r="R3" t="s">
        <v>16158</v>
      </c>
      <c r="S3" t="s">
        <v>7496</v>
      </c>
      <c r="T3" t="s">
        <v>16126</v>
      </c>
      <c r="U3" t="s">
        <v>25</v>
      </c>
      <c r="V3" t="s">
        <v>16127</v>
      </c>
    </row>
    <row r="4" spans="1:28">
      <c r="A4" t="s">
        <v>16168</v>
      </c>
      <c r="B4" t="s">
        <v>16144</v>
      </c>
      <c r="C4" t="s">
        <v>16169</v>
      </c>
      <c r="D4" t="s">
        <v>4479</v>
      </c>
      <c r="E4" s="14" t="s">
        <v>11561</v>
      </c>
      <c r="F4" t="s">
        <v>10749</v>
      </c>
      <c r="G4" s="17" t="str">
        <f>Config!$B$3</f>
        <v>SCH/R_IEC.SchLib</v>
      </c>
      <c r="H4" t="s">
        <v>16149</v>
      </c>
      <c r="I4" s="18" t="s">
        <v>16150</v>
      </c>
      <c r="J4" t="s">
        <v>16151</v>
      </c>
      <c r="M4" s="3">
        <v>1200</v>
      </c>
      <c r="N4" t="s">
        <v>16128</v>
      </c>
      <c r="O4" t="s">
        <v>7496</v>
      </c>
      <c r="P4" t="s">
        <v>16129</v>
      </c>
      <c r="Q4" t="s">
        <v>25</v>
      </c>
      <c r="R4" t="s">
        <v>16130</v>
      </c>
    </row>
    <row r="5" spans="1:28">
      <c r="A5" t="s">
        <v>16170</v>
      </c>
      <c r="B5" t="s">
        <v>16145</v>
      </c>
      <c r="C5" t="s">
        <v>16171</v>
      </c>
      <c r="D5" t="s">
        <v>4479</v>
      </c>
      <c r="E5" s="14" t="s">
        <v>11561</v>
      </c>
      <c r="F5" t="s">
        <v>16131</v>
      </c>
      <c r="G5" s="17" t="str">
        <f>Config!$B$3</f>
        <v>SCH/R_IEC.SchLib</v>
      </c>
      <c r="H5" t="s">
        <v>16149</v>
      </c>
      <c r="I5" s="18" t="s">
        <v>16150</v>
      </c>
      <c r="J5" t="s">
        <v>16151</v>
      </c>
      <c r="M5" s="3">
        <v>1400</v>
      </c>
      <c r="N5" t="s">
        <v>16159</v>
      </c>
      <c r="O5" t="s">
        <v>7496</v>
      </c>
      <c r="P5" t="s">
        <v>16160</v>
      </c>
      <c r="Q5" t="s">
        <v>25</v>
      </c>
      <c r="R5" t="s">
        <v>16161</v>
      </c>
      <c r="S5" t="s">
        <v>7496</v>
      </c>
      <c r="T5" t="s">
        <v>16137</v>
      </c>
      <c r="U5" t="s">
        <v>25</v>
      </c>
      <c r="V5" t="s">
        <v>16138</v>
      </c>
    </row>
    <row r="6" spans="1:28">
      <c r="A6" t="s">
        <v>16224</v>
      </c>
      <c r="B6" t="s">
        <v>16225</v>
      </c>
      <c r="C6" t="s">
        <v>16226</v>
      </c>
      <c r="D6" t="s">
        <v>4479</v>
      </c>
      <c r="E6" s="14" t="s">
        <v>11561</v>
      </c>
      <c r="F6" t="s">
        <v>16227</v>
      </c>
      <c r="G6" s="17" t="str">
        <f>Config!$B$3</f>
        <v>SCH/R_IEC.SchLib</v>
      </c>
      <c r="H6" t="s">
        <v>16149</v>
      </c>
      <c r="I6" s="18" t="s">
        <v>16150</v>
      </c>
      <c r="J6" t="s">
        <v>16151</v>
      </c>
      <c r="M6" s="3">
        <v>1600</v>
      </c>
      <c r="N6" t="s">
        <v>16228</v>
      </c>
      <c r="O6" t="s">
        <v>7496</v>
      </c>
      <c r="P6" t="s">
        <v>16229</v>
      </c>
      <c r="Q6" t="s">
        <v>25</v>
      </c>
      <c r="R6" t="s">
        <v>16230</v>
      </c>
      <c r="S6" t="s">
        <v>7496</v>
      </c>
      <c r="T6" t="s">
        <v>16231</v>
      </c>
      <c r="U6" t="s">
        <v>25</v>
      </c>
      <c r="V6" t="s">
        <v>16232</v>
      </c>
    </row>
    <row r="7" spans="1:28">
      <c r="A7" t="s">
        <v>16172</v>
      </c>
      <c r="B7" t="s">
        <v>16146</v>
      </c>
      <c r="C7" t="s">
        <v>16173</v>
      </c>
      <c r="D7" t="s">
        <v>4479</v>
      </c>
      <c r="E7" s="14" t="s">
        <v>11561</v>
      </c>
      <c r="F7" t="s">
        <v>16132</v>
      </c>
      <c r="G7" s="17" t="str">
        <f>Config!$B$3</f>
        <v>SCH/R_IEC.SchLib</v>
      </c>
      <c r="H7" t="s">
        <v>16149</v>
      </c>
      <c r="I7" s="18" t="s">
        <v>16150</v>
      </c>
      <c r="J7" t="s">
        <v>16151</v>
      </c>
      <c r="M7" s="3">
        <v>2500</v>
      </c>
      <c r="N7" t="s">
        <v>16135</v>
      </c>
      <c r="O7" t="s">
        <v>7496</v>
      </c>
      <c r="P7" t="s">
        <v>16139</v>
      </c>
      <c r="Q7" t="s">
        <v>25</v>
      </c>
      <c r="R7" t="s">
        <v>16140</v>
      </c>
    </row>
    <row r="8" spans="1:28">
      <c r="A8" t="s">
        <v>16174</v>
      </c>
      <c r="B8" t="s">
        <v>16147</v>
      </c>
      <c r="C8" t="s">
        <v>16175</v>
      </c>
      <c r="D8" t="s">
        <v>4479</v>
      </c>
      <c r="E8" s="14" t="s">
        <v>11561</v>
      </c>
      <c r="F8" t="s">
        <v>16133</v>
      </c>
      <c r="G8" s="17" t="str">
        <f>Config!$B$3</f>
        <v>SCH/R_IEC.SchLib</v>
      </c>
      <c r="H8" t="s">
        <v>16149</v>
      </c>
      <c r="I8" s="18" t="s">
        <v>16150</v>
      </c>
      <c r="J8" t="s">
        <v>16151</v>
      </c>
      <c r="M8" s="3">
        <v>3500</v>
      </c>
      <c r="N8" t="s">
        <v>16136</v>
      </c>
      <c r="O8" t="s">
        <v>7496</v>
      </c>
      <c r="P8" t="s">
        <v>16141</v>
      </c>
      <c r="Q8" t="s">
        <v>25</v>
      </c>
      <c r="R8" t="s">
        <v>16142</v>
      </c>
    </row>
    <row r="9" spans="1:28">
      <c r="A9" t="s">
        <v>16234</v>
      </c>
      <c r="B9" t="s">
        <v>16235</v>
      </c>
      <c r="C9" t="s">
        <v>16236</v>
      </c>
      <c r="D9" t="s">
        <v>4479</v>
      </c>
      <c r="E9" s="14" t="s">
        <v>11561</v>
      </c>
      <c r="F9" t="s">
        <v>16233</v>
      </c>
      <c r="G9" s="17" t="str">
        <f>Config!$B$3</f>
        <v>SCH/R_IEC.SchLib</v>
      </c>
      <c r="H9" t="s">
        <v>16149</v>
      </c>
      <c r="I9" s="18" t="s">
        <v>16150</v>
      </c>
      <c r="J9" t="s">
        <v>16151</v>
      </c>
      <c r="M9" s="3">
        <v>4500</v>
      </c>
      <c r="N9" t="s">
        <v>16241</v>
      </c>
      <c r="O9" t="s">
        <v>7496</v>
      </c>
      <c r="P9" t="s">
        <v>16242</v>
      </c>
      <c r="Q9" t="s">
        <v>25</v>
      </c>
      <c r="R9" t="s">
        <v>16243</v>
      </c>
    </row>
    <row r="10" spans="1:28">
      <c r="A10" t="s">
        <v>16237</v>
      </c>
      <c r="B10" t="s">
        <v>16238</v>
      </c>
      <c r="C10" t="s">
        <v>16239</v>
      </c>
      <c r="D10" t="s">
        <v>4479</v>
      </c>
      <c r="E10" s="14" t="s">
        <v>11561</v>
      </c>
      <c r="F10" t="s">
        <v>16240</v>
      </c>
      <c r="G10" s="17" t="str">
        <f>Config!$B$3</f>
        <v>SCH/R_IEC.SchLib</v>
      </c>
      <c r="H10" t="s">
        <v>16149</v>
      </c>
      <c r="I10" s="18" t="s">
        <v>16150</v>
      </c>
      <c r="J10" t="s">
        <v>16151</v>
      </c>
      <c r="M10" s="3">
        <v>5500</v>
      </c>
      <c r="N10" t="s">
        <v>16244</v>
      </c>
      <c r="O10" t="s">
        <v>7496</v>
      </c>
      <c r="P10" t="s">
        <v>16245</v>
      </c>
      <c r="Q10" t="s">
        <v>25</v>
      </c>
      <c r="R10" t="s">
        <v>16246</v>
      </c>
    </row>
    <row r="11" spans="1:28">
      <c r="A11" t="s">
        <v>16176</v>
      </c>
      <c r="B11" t="s">
        <v>16164</v>
      </c>
      <c r="C11" t="s">
        <v>16177</v>
      </c>
      <c r="D11" t="s">
        <v>4479</v>
      </c>
      <c r="E11" s="14" t="s">
        <v>11561</v>
      </c>
      <c r="F11" t="s">
        <v>16148</v>
      </c>
      <c r="G11" s="17" t="str">
        <f>Config!$B$3</f>
        <v>SCH/R_IEC.SchLib</v>
      </c>
      <c r="H11" t="s">
        <v>16149</v>
      </c>
      <c r="I11" s="18" t="s">
        <v>16150</v>
      </c>
      <c r="J11" t="s">
        <v>16162</v>
      </c>
      <c r="M11" s="3">
        <v>800</v>
      </c>
      <c r="N11" t="s">
        <v>16152</v>
      </c>
      <c r="O11" t="s">
        <v>7496</v>
      </c>
      <c r="P11" t="s">
        <v>16153</v>
      </c>
      <c r="Q11" t="s">
        <v>25</v>
      </c>
      <c r="R11" t="s">
        <v>16154</v>
      </c>
      <c r="S11" t="s">
        <v>7496</v>
      </c>
      <c r="T11" t="s">
        <v>16155</v>
      </c>
      <c r="U11" t="s">
        <v>25</v>
      </c>
      <c r="V11" t="s">
        <v>16156</v>
      </c>
    </row>
    <row r="12" spans="1:28">
      <c r="A12" t="s">
        <v>16178</v>
      </c>
      <c r="B12" t="s">
        <v>16143</v>
      </c>
      <c r="C12" t="s">
        <v>16179</v>
      </c>
      <c r="D12" t="s">
        <v>4479</v>
      </c>
      <c r="E12" s="14" t="s">
        <v>11561</v>
      </c>
      <c r="F12" t="s">
        <v>13999</v>
      </c>
      <c r="G12" s="17" t="str">
        <f>Config!$B$3</f>
        <v>SCH/R_IEC.SchLib</v>
      </c>
      <c r="H12" t="s">
        <v>16149</v>
      </c>
      <c r="I12" s="18" t="s">
        <v>16150</v>
      </c>
      <c r="J12" t="s">
        <v>16162</v>
      </c>
      <c r="M12" s="3">
        <v>1000</v>
      </c>
      <c r="N12" t="s">
        <v>16134</v>
      </c>
      <c r="O12" t="s">
        <v>7496</v>
      </c>
      <c r="P12" t="s">
        <v>16157</v>
      </c>
      <c r="Q12" t="s">
        <v>25</v>
      </c>
      <c r="R12" t="s">
        <v>16158</v>
      </c>
      <c r="S12" t="s">
        <v>7496</v>
      </c>
      <c r="T12" t="s">
        <v>16126</v>
      </c>
      <c r="U12" t="s">
        <v>25</v>
      </c>
      <c r="V12" t="s">
        <v>16127</v>
      </c>
    </row>
    <row r="13" spans="1:28">
      <c r="A13" t="s">
        <v>16180</v>
      </c>
      <c r="B13" t="s">
        <v>16144</v>
      </c>
      <c r="C13" t="s">
        <v>16181</v>
      </c>
      <c r="D13" t="s">
        <v>4479</v>
      </c>
      <c r="E13" s="14" t="s">
        <v>11561</v>
      </c>
      <c r="F13" t="s">
        <v>10749</v>
      </c>
      <c r="G13" s="17" t="str">
        <f>Config!$B$3</f>
        <v>SCH/R_IEC.SchLib</v>
      </c>
      <c r="H13" t="s">
        <v>16149</v>
      </c>
      <c r="I13" s="18" t="s">
        <v>16150</v>
      </c>
      <c r="J13" t="s">
        <v>16162</v>
      </c>
      <c r="M13" s="3">
        <v>1200</v>
      </c>
      <c r="N13" t="s">
        <v>16128</v>
      </c>
      <c r="O13" t="s">
        <v>7496</v>
      </c>
      <c r="P13" t="s">
        <v>16129</v>
      </c>
      <c r="Q13" t="s">
        <v>25</v>
      </c>
      <c r="R13" t="s">
        <v>16130</v>
      </c>
    </row>
    <row r="14" spans="1:28">
      <c r="A14" t="s">
        <v>16182</v>
      </c>
      <c r="B14" t="s">
        <v>16145</v>
      </c>
      <c r="C14" t="s">
        <v>16183</v>
      </c>
      <c r="D14" t="s">
        <v>4479</v>
      </c>
      <c r="E14" s="14" t="s">
        <v>11561</v>
      </c>
      <c r="F14" t="s">
        <v>16131</v>
      </c>
      <c r="G14" s="17" t="str">
        <f>Config!$B$3</f>
        <v>SCH/R_IEC.SchLib</v>
      </c>
      <c r="H14" t="s">
        <v>16149</v>
      </c>
      <c r="I14" s="18" t="s">
        <v>16150</v>
      </c>
      <c r="J14" t="s">
        <v>16162</v>
      </c>
      <c r="M14" s="3">
        <v>1400</v>
      </c>
      <c r="N14" t="s">
        <v>16159</v>
      </c>
      <c r="O14" t="s">
        <v>7496</v>
      </c>
      <c r="P14" t="s">
        <v>16160</v>
      </c>
      <c r="Q14" t="s">
        <v>25</v>
      </c>
      <c r="R14" t="s">
        <v>16161</v>
      </c>
      <c r="S14" t="s">
        <v>7496</v>
      </c>
      <c r="T14" t="s">
        <v>16137</v>
      </c>
      <c r="U14" t="s">
        <v>25</v>
      </c>
      <c r="V14" t="s">
        <v>16138</v>
      </c>
    </row>
    <row r="15" spans="1:28">
      <c r="A15" t="s">
        <v>16247</v>
      </c>
      <c r="B15" t="s">
        <v>16225</v>
      </c>
      <c r="C15" t="s">
        <v>16248</v>
      </c>
      <c r="D15" t="s">
        <v>4479</v>
      </c>
      <c r="E15" s="14" t="s">
        <v>11561</v>
      </c>
      <c r="F15" t="s">
        <v>16227</v>
      </c>
      <c r="G15" s="17" t="str">
        <f>Config!$B$3</f>
        <v>SCH/R_IEC.SchLib</v>
      </c>
      <c r="H15" t="s">
        <v>16149</v>
      </c>
      <c r="I15" s="18" t="s">
        <v>16150</v>
      </c>
      <c r="J15" t="s">
        <v>16162</v>
      </c>
      <c r="M15" s="3">
        <v>1600</v>
      </c>
      <c r="N15" t="s">
        <v>16228</v>
      </c>
      <c r="O15" t="s">
        <v>7496</v>
      </c>
      <c r="P15" t="s">
        <v>16229</v>
      </c>
      <c r="Q15" t="s">
        <v>25</v>
      </c>
      <c r="R15" t="s">
        <v>16230</v>
      </c>
      <c r="S15" t="s">
        <v>7496</v>
      </c>
      <c r="T15" t="s">
        <v>16231</v>
      </c>
      <c r="U15" t="s">
        <v>25</v>
      </c>
      <c r="V15" t="s">
        <v>16232</v>
      </c>
    </row>
    <row r="16" spans="1:28">
      <c r="A16" t="s">
        <v>16184</v>
      </c>
      <c r="B16" t="s">
        <v>16146</v>
      </c>
      <c r="C16" t="s">
        <v>16185</v>
      </c>
      <c r="D16" t="s">
        <v>4479</v>
      </c>
      <c r="E16" s="14" t="s">
        <v>11561</v>
      </c>
      <c r="F16" t="s">
        <v>16132</v>
      </c>
      <c r="G16" s="17" t="str">
        <f>Config!$B$3</f>
        <v>SCH/R_IEC.SchLib</v>
      </c>
      <c r="H16" t="s">
        <v>16149</v>
      </c>
      <c r="I16" s="18" t="s">
        <v>16150</v>
      </c>
      <c r="J16" t="s">
        <v>16162</v>
      </c>
      <c r="M16" s="3">
        <v>2500</v>
      </c>
      <c r="N16" t="s">
        <v>16135</v>
      </c>
      <c r="O16" t="s">
        <v>7496</v>
      </c>
      <c r="P16" t="s">
        <v>16139</v>
      </c>
      <c r="Q16" t="s">
        <v>25</v>
      </c>
      <c r="R16" t="s">
        <v>16140</v>
      </c>
    </row>
    <row r="17" spans="1:22">
      <c r="A17" t="s">
        <v>16186</v>
      </c>
      <c r="B17" t="s">
        <v>16147</v>
      </c>
      <c r="C17" t="s">
        <v>16187</v>
      </c>
      <c r="D17" t="s">
        <v>4479</v>
      </c>
      <c r="E17" s="14" t="s">
        <v>11561</v>
      </c>
      <c r="F17" t="s">
        <v>16133</v>
      </c>
      <c r="G17" s="17" t="str">
        <f>Config!$B$3</f>
        <v>SCH/R_IEC.SchLib</v>
      </c>
      <c r="H17" t="s">
        <v>16149</v>
      </c>
      <c r="I17" s="18" t="s">
        <v>16150</v>
      </c>
      <c r="J17" t="s">
        <v>16162</v>
      </c>
      <c r="M17" s="3">
        <v>3500</v>
      </c>
      <c r="N17" t="s">
        <v>16136</v>
      </c>
      <c r="O17" t="s">
        <v>7496</v>
      </c>
      <c r="P17" t="s">
        <v>16141</v>
      </c>
      <c r="Q17" t="s">
        <v>25</v>
      </c>
      <c r="R17" t="s">
        <v>16142</v>
      </c>
    </row>
    <row r="18" spans="1:22">
      <c r="A18" t="s">
        <v>16249</v>
      </c>
      <c r="B18" t="s">
        <v>16235</v>
      </c>
      <c r="C18" t="s">
        <v>16250</v>
      </c>
      <c r="D18" t="s">
        <v>4479</v>
      </c>
      <c r="E18" s="14" t="s">
        <v>11561</v>
      </c>
      <c r="F18" t="s">
        <v>16233</v>
      </c>
      <c r="G18" s="17" t="str">
        <f>Config!$B$3</f>
        <v>SCH/R_IEC.SchLib</v>
      </c>
      <c r="H18" t="s">
        <v>16149</v>
      </c>
      <c r="I18" s="18" t="s">
        <v>16150</v>
      </c>
      <c r="J18" t="s">
        <v>16162</v>
      </c>
      <c r="M18" s="3">
        <v>4500</v>
      </c>
      <c r="N18" t="s">
        <v>16241</v>
      </c>
      <c r="O18" t="s">
        <v>7496</v>
      </c>
      <c r="P18" t="s">
        <v>16242</v>
      </c>
      <c r="Q18" t="s">
        <v>25</v>
      </c>
      <c r="R18" t="s">
        <v>16243</v>
      </c>
    </row>
    <row r="19" spans="1:22">
      <c r="A19" t="s">
        <v>16251</v>
      </c>
      <c r="B19" t="s">
        <v>16238</v>
      </c>
      <c r="C19" t="s">
        <v>16252</v>
      </c>
      <c r="D19" t="s">
        <v>4479</v>
      </c>
      <c r="E19" s="14" t="s">
        <v>11561</v>
      </c>
      <c r="F19" t="s">
        <v>16240</v>
      </c>
      <c r="G19" s="17" t="str">
        <f>Config!$B$3</f>
        <v>SCH/R_IEC.SchLib</v>
      </c>
      <c r="H19" t="s">
        <v>16149</v>
      </c>
      <c r="I19" s="18" t="s">
        <v>16150</v>
      </c>
      <c r="J19" t="s">
        <v>16162</v>
      </c>
      <c r="M19" s="3">
        <v>5500</v>
      </c>
      <c r="N19" t="s">
        <v>16244</v>
      </c>
      <c r="O19" t="s">
        <v>7496</v>
      </c>
      <c r="P19" t="s">
        <v>16245</v>
      </c>
      <c r="Q19" t="s">
        <v>25</v>
      </c>
      <c r="R19" t="s">
        <v>16246</v>
      </c>
    </row>
    <row r="20" spans="1:22">
      <c r="A20" t="s">
        <v>16188</v>
      </c>
      <c r="B20" t="s">
        <v>16164</v>
      </c>
      <c r="C20" t="s">
        <v>16194</v>
      </c>
      <c r="D20" t="s">
        <v>4479</v>
      </c>
      <c r="E20" s="14" t="s">
        <v>11561</v>
      </c>
      <c r="F20" t="s">
        <v>16148</v>
      </c>
      <c r="G20" s="17" t="str">
        <f>Config!$B$3</f>
        <v>SCH/R_IEC.SchLib</v>
      </c>
      <c r="H20" t="s">
        <v>16149</v>
      </c>
      <c r="I20" s="18" t="s">
        <v>16150</v>
      </c>
      <c r="J20" t="s">
        <v>16253</v>
      </c>
      <c r="M20" s="3">
        <v>800</v>
      </c>
      <c r="N20" t="s">
        <v>16152</v>
      </c>
      <c r="O20" t="s">
        <v>7496</v>
      </c>
      <c r="P20" t="s">
        <v>16153</v>
      </c>
      <c r="Q20" t="s">
        <v>25</v>
      </c>
      <c r="R20" t="s">
        <v>16154</v>
      </c>
      <c r="S20" t="s">
        <v>7496</v>
      </c>
      <c r="T20" t="s">
        <v>16155</v>
      </c>
      <c r="U20" t="s">
        <v>25</v>
      </c>
      <c r="V20" t="s">
        <v>16156</v>
      </c>
    </row>
    <row r="21" spans="1:22">
      <c r="A21" t="s">
        <v>16189</v>
      </c>
      <c r="B21" t="s">
        <v>16143</v>
      </c>
      <c r="C21" t="s">
        <v>16195</v>
      </c>
      <c r="D21" t="s">
        <v>4479</v>
      </c>
      <c r="E21" s="14" t="s">
        <v>11561</v>
      </c>
      <c r="F21" t="s">
        <v>13999</v>
      </c>
      <c r="G21" s="17" t="str">
        <f>Config!$B$3</f>
        <v>SCH/R_IEC.SchLib</v>
      </c>
      <c r="H21" t="s">
        <v>16149</v>
      </c>
      <c r="I21" s="18" t="s">
        <v>16150</v>
      </c>
      <c r="J21" t="s">
        <v>16253</v>
      </c>
      <c r="M21" s="3">
        <v>1000</v>
      </c>
      <c r="N21" t="s">
        <v>16134</v>
      </c>
      <c r="O21" t="s">
        <v>7496</v>
      </c>
      <c r="P21" t="s">
        <v>16157</v>
      </c>
      <c r="Q21" t="s">
        <v>25</v>
      </c>
      <c r="R21" t="s">
        <v>16158</v>
      </c>
      <c r="S21" t="s">
        <v>7496</v>
      </c>
      <c r="T21" t="s">
        <v>16126</v>
      </c>
      <c r="U21" t="s">
        <v>25</v>
      </c>
      <c r="V21" t="s">
        <v>16127</v>
      </c>
    </row>
    <row r="22" spans="1:22">
      <c r="A22" t="s">
        <v>16190</v>
      </c>
      <c r="B22" t="s">
        <v>16144</v>
      </c>
      <c r="C22" t="s">
        <v>16196</v>
      </c>
      <c r="D22" t="s">
        <v>4479</v>
      </c>
      <c r="E22" s="14" t="s">
        <v>11561</v>
      </c>
      <c r="F22" t="s">
        <v>10749</v>
      </c>
      <c r="G22" s="17" t="str">
        <f>Config!$B$3</f>
        <v>SCH/R_IEC.SchLib</v>
      </c>
      <c r="H22" t="s">
        <v>16149</v>
      </c>
      <c r="I22" s="18" t="s">
        <v>16150</v>
      </c>
      <c r="J22" t="s">
        <v>16253</v>
      </c>
      <c r="M22" s="3">
        <v>1200</v>
      </c>
      <c r="N22" t="s">
        <v>16128</v>
      </c>
      <c r="O22" t="s">
        <v>7496</v>
      </c>
      <c r="P22" t="s">
        <v>16129</v>
      </c>
      <c r="Q22" t="s">
        <v>25</v>
      </c>
      <c r="R22" t="s">
        <v>16130</v>
      </c>
    </row>
    <row r="23" spans="1:22">
      <c r="A23" t="s">
        <v>16191</v>
      </c>
      <c r="B23" t="s">
        <v>16145</v>
      </c>
      <c r="C23" t="s">
        <v>16197</v>
      </c>
      <c r="D23" t="s">
        <v>4479</v>
      </c>
      <c r="E23" s="14" t="s">
        <v>11561</v>
      </c>
      <c r="F23" t="s">
        <v>16131</v>
      </c>
      <c r="G23" s="17" t="str">
        <f>Config!$B$3</f>
        <v>SCH/R_IEC.SchLib</v>
      </c>
      <c r="H23" t="s">
        <v>16149</v>
      </c>
      <c r="I23" s="18" t="s">
        <v>16150</v>
      </c>
      <c r="J23" t="s">
        <v>16253</v>
      </c>
      <c r="M23" s="3">
        <v>1400</v>
      </c>
      <c r="N23" t="s">
        <v>16159</v>
      </c>
      <c r="O23" t="s">
        <v>7496</v>
      </c>
      <c r="P23" t="s">
        <v>16160</v>
      </c>
      <c r="Q23" t="s">
        <v>25</v>
      </c>
      <c r="R23" t="s">
        <v>16161</v>
      </c>
      <c r="S23" t="s">
        <v>7496</v>
      </c>
      <c r="T23" t="s">
        <v>16137</v>
      </c>
      <c r="U23" t="s">
        <v>25</v>
      </c>
      <c r="V23" t="s">
        <v>16138</v>
      </c>
    </row>
    <row r="24" spans="1:22">
      <c r="A24" t="s">
        <v>16254</v>
      </c>
      <c r="B24" t="s">
        <v>16225</v>
      </c>
      <c r="C24" t="s">
        <v>16255</v>
      </c>
      <c r="D24" t="s">
        <v>4479</v>
      </c>
      <c r="E24" s="14" t="s">
        <v>11561</v>
      </c>
      <c r="F24" t="s">
        <v>16227</v>
      </c>
      <c r="G24" s="17" t="str">
        <f>Config!$B$3</f>
        <v>SCH/R_IEC.SchLib</v>
      </c>
      <c r="H24" t="s">
        <v>16149</v>
      </c>
      <c r="I24" s="18" t="s">
        <v>16150</v>
      </c>
      <c r="J24" t="s">
        <v>16253</v>
      </c>
      <c r="M24" s="3">
        <v>1600</v>
      </c>
      <c r="N24" t="s">
        <v>16228</v>
      </c>
      <c r="O24" t="s">
        <v>7496</v>
      </c>
      <c r="P24" t="s">
        <v>16229</v>
      </c>
      <c r="Q24" t="s">
        <v>25</v>
      </c>
      <c r="R24" t="s">
        <v>16230</v>
      </c>
      <c r="S24" t="s">
        <v>7496</v>
      </c>
      <c r="T24" t="s">
        <v>16231</v>
      </c>
      <c r="U24" t="s">
        <v>25</v>
      </c>
      <c r="V24" t="s">
        <v>16232</v>
      </c>
    </row>
    <row r="25" spans="1:22">
      <c r="A25" t="s">
        <v>16192</v>
      </c>
      <c r="B25" t="s">
        <v>16146</v>
      </c>
      <c r="C25" t="s">
        <v>16198</v>
      </c>
      <c r="D25" t="s">
        <v>4479</v>
      </c>
      <c r="E25" s="14" t="s">
        <v>11561</v>
      </c>
      <c r="F25" t="s">
        <v>16132</v>
      </c>
      <c r="G25" s="17" t="str">
        <f>Config!$B$3</f>
        <v>SCH/R_IEC.SchLib</v>
      </c>
      <c r="H25" t="s">
        <v>16149</v>
      </c>
      <c r="I25" s="18" t="s">
        <v>16150</v>
      </c>
      <c r="J25" t="s">
        <v>16253</v>
      </c>
      <c r="M25" s="3">
        <v>2500</v>
      </c>
      <c r="N25" t="s">
        <v>16135</v>
      </c>
      <c r="O25" t="s">
        <v>7496</v>
      </c>
      <c r="P25" t="s">
        <v>16139</v>
      </c>
      <c r="Q25" t="s">
        <v>25</v>
      </c>
      <c r="R25" t="s">
        <v>16140</v>
      </c>
    </row>
    <row r="26" spans="1:22">
      <c r="A26" t="s">
        <v>16193</v>
      </c>
      <c r="B26" t="s">
        <v>16147</v>
      </c>
      <c r="C26" t="s">
        <v>16199</v>
      </c>
      <c r="D26" t="s">
        <v>4479</v>
      </c>
      <c r="E26" s="14" t="s">
        <v>11561</v>
      </c>
      <c r="F26" t="s">
        <v>16133</v>
      </c>
      <c r="G26" s="17" t="str">
        <f>Config!$B$3</f>
        <v>SCH/R_IEC.SchLib</v>
      </c>
      <c r="H26" t="s">
        <v>16149</v>
      </c>
      <c r="I26" s="18" t="s">
        <v>16150</v>
      </c>
      <c r="J26" t="s">
        <v>16253</v>
      </c>
      <c r="M26" s="3">
        <v>3500</v>
      </c>
      <c r="N26" t="s">
        <v>16136</v>
      </c>
      <c r="O26" t="s">
        <v>7496</v>
      </c>
      <c r="P26" t="s">
        <v>16141</v>
      </c>
      <c r="Q26" t="s">
        <v>25</v>
      </c>
      <c r="R26" t="s">
        <v>16142</v>
      </c>
    </row>
    <row r="27" spans="1:22">
      <c r="A27" t="s">
        <v>16256</v>
      </c>
      <c r="B27" t="s">
        <v>16235</v>
      </c>
      <c r="C27" t="s">
        <v>16257</v>
      </c>
      <c r="D27" t="s">
        <v>4479</v>
      </c>
      <c r="E27" s="14" t="s">
        <v>11561</v>
      </c>
      <c r="F27" t="s">
        <v>16233</v>
      </c>
      <c r="G27" s="17" t="str">
        <f>Config!$B$3</f>
        <v>SCH/R_IEC.SchLib</v>
      </c>
      <c r="H27" t="s">
        <v>16149</v>
      </c>
      <c r="I27" s="18" t="s">
        <v>16150</v>
      </c>
      <c r="J27" t="s">
        <v>16253</v>
      </c>
      <c r="M27" s="3">
        <v>4500</v>
      </c>
      <c r="N27" t="s">
        <v>16241</v>
      </c>
      <c r="O27" t="s">
        <v>7496</v>
      </c>
      <c r="P27" t="s">
        <v>16242</v>
      </c>
      <c r="Q27" t="s">
        <v>25</v>
      </c>
      <c r="R27" t="s">
        <v>16243</v>
      </c>
    </row>
    <row r="28" spans="1:22">
      <c r="A28" t="s">
        <v>16258</v>
      </c>
      <c r="B28" t="s">
        <v>16238</v>
      </c>
      <c r="C28" t="s">
        <v>16259</v>
      </c>
      <c r="D28" t="s">
        <v>4479</v>
      </c>
      <c r="E28" s="14" t="s">
        <v>11561</v>
      </c>
      <c r="F28" t="s">
        <v>16240</v>
      </c>
      <c r="G28" s="17" t="str">
        <f>Config!$B$3</f>
        <v>SCH/R_IEC.SchLib</v>
      </c>
      <c r="H28" t="s">
        <v>16149</v>
      </c>
      <c r="I28" s="18" t="s">
        <v>16150</v>
      </c>
      <c r="J28" t="s">
        <v>16253</v>
      </c>
      <c r="M28" s="3">
        <v>5500</v>
      </c>
      <c r="N28" t="s">
        <v>16244</v>
      </c>
      <c r="O28" t="s">
        <v>7496</v>
      </c>
      <c r="P28" t="s">
        <v>16245</v>
      </c>
      <c r="Q28" t="s">
        <v>25</v>
      </c>
      <c r="R28" t="s">
        <v>16246</v>
      </c>
    </row>
    <row r="29" spans="1:22">
      <c r="A29" t="s">
        <v>16200</v>
      </c>
      <c r="B29" t="s">
        <v>16164</v>
      </c>
      <c r="C29" t="s">
        <v>16206</v>
      </c>
      <c r="D29" t="s">
        <v>4479</v>
      </c>
      <c r="E29" s="14" t="s">
        <v>11561</v>
      </c>
      <c r="F29" t="s">
        <v>16148</v>
      </c>
      <c r="G29" s="17" t="str">
        <f>Config!$B$3</f>
        <v>SCH/R_IEC.SchLib</v>
      </c>
      <c r="H29" t="s">
        <v>16149</v>
      </c>
      <c r="I29" s="18" t="s">
        <v>16150</v>
      </c>
      <c r="J29" t="s">
        <v>16260</v>
      </c>
      <c r="M29" s="3">
        <v>800</v>
      </c>
      <c r="N29" t="s">
        <v>16152</v>
      </c>
      <c r="O29" t="s">
        <v>7496</v>
      </c>
      <c r="P29" t="s">
        <v>16153</v>
      </c>
      <c r="Q29" t="s">
        <v>25</v>
      </c>
      <c r="R29" t="s">
        <v>16154</v>
      </c>
      <c r="S29" t="s">
        <v>7496</v>
      </c>
      <c r="T29" t="s">
        <v>16155</v>
      </c>
      <c r="U29" t="s">
        <v>25</v>
      </c>
      <c r="V29" t="s">
        <v>16156</v>
      </c>
    </row>
    <row r="30" spans="1:22">
      <c r="A30" t="s">
        <v>16201</v>
      </c>
      <c r="B30" t="s">
        <v>16143</v>
      </c>
      <c r="C30" t="s">
        <v>16207</v>
      </c>
      <c r="D30" t="s">
        <v>4479</v>
      </c>
      <c r="E30" s="14" t="s">
        <v>11561</v>
      </c>
      <c r="F30" t="s">
        <v>13999</v>
      </c>
      <c r="G30" s="17" t="str">
        <f>Config!$B$3</f>
        <v>SCH/R_IEC.SchLib</v>
      </c>
      <c r="H30" t="s">
        <v>16149</v>
      </c>
      <c r="I30" s="18" t="s">
        <v>16150</v>
      </c>
      <c r="J30" t="s">
        <v>16260</v>
      </c>
      <c r="M30" s="3">
        <v>1000</v>
      </c>
      <c r="N30" t="s">
        <v>16134</v>
      </c>
      <c r="O30" t="s">
        <v>7496</v>
      </c>
      <c r="P30" t="s">
        <v>16157</v>
      </c>
      <c r="Q30" t="s">
        <v>25</v>
      </c>
      <c r="R30" t="s">
        <v>16158</v>
      </c>
      <c r="S30" t="s">
        <v>7496</v>
      </c>
      <c r="T30" t="s">
        <v>16126</v>
      </c>
      <c r="U30" t="s">
        <v>25</v>
      </c>
      <c r="V30" t="s">
        <v>16127</v>
      </c>
    </row>
    <row r="31" spans="1:22">
      <c r="A31" t="s">
        <v>16202</v>
      </c>
      <c r="B31" t="s">
        <v>16144</v>
      </c>
      <c r="C31" t="s">
        <v>16208</v>
      </c>
      <c r="D31" t="s">
        <v>4479</v>
      </c>
      <c r="E31" s="14" t="s">
        <v>11561</v>
      </c>
      <c r="F31" t="s">
        <v>10749</v>
      </c>
      <c r="G31" s="17" t="str">
        <f>Config!$B$3</f>
        <v>SCH/R_IEC.SchLib</v>
      </c>
      <c r="H31" t="s">
        <v>16149</v>
      </c>
      <c r="I31" s="18" t="s">
        <v>16150</v>
      </c>
      <c r="J31" t="s">
        <v>16260</v>
      </c>
      <c r="M31" s="3">
        <v>1200</v>
      </c>
      <c r="N31" t="s">
        <v>16128</v>
      </c>
      <c r="O31" t="s">
        <v>7496</v>
      </c>
      <c r="P31" t="s">
        <v>16129</v>
      </c>
      <c r="Q31" t="s">
        <v>25</v>
      </c>
      <c r="R31" t="s">
        <v>16130</v>
      </c>
    </row>
    <row r="32" spans="1:22">
      <c r="A32" t="s">
        <v>16203</v>
      </c>
      <c r="B32" t="s">
        <v>16145</v>
      </c>
      <c r="C32" t="s">
        <v>16209</v>
      </c>
      <c r="D32" t="s">
        <v>4479</v>
      </c>
      <c r="E32" s="14" t="s">
        <v>11561</v>
      </c>
      <c r="F32" t="s">
        <v>16131</v>
      </c>
      <c r="G32" s="17" t="str">
        <f>Config!$B$3</f>
        <v>SCH/R_IEC.SchLib</v>
      </c>
      <c r="H32" t="s">
        <v>16149</v>
      </c>
      <c r="I32" s="18" t="s">
        <v>16150</v>
      </c>
      <c r="J32" t="s">
        <v>16260</v>
      </c>
      <c r="M32" s="3">
        <v>1400</v>
      </c>
      <c r="N32" t="s">
        <v>16159</v>
      </c>
      <c r="O32" t="s">
        <v>7496</v>
      </c>
      <c r="P32" t="s">
        <v>16160</v>
      </c>
      <c r="Q32" t="s">
        <v>25</v>
      </c>
      <c r="R32" t="s">
        <v>16161</v>
      </c>
      <c r="S32" t="s">
        <v>7496</v>
      </c>
      <c r="T32" t="s">
        <v>16137</v>
      </c>
      <c r="U32" t="s">
        <v>25</v>
      </c>
      <c r="V32" t="s">
        <v>16138</v>
      </c>
    </row>
    <row r="33" spans="1:22">
      <c r="A33" t="s">
        <v>16261</v>
      </c>
      <c r="B33" t="s">
        <v>16225</v>
      </c>
      <c r="C33" t="s">
        <v>16262</v>
      </c>
      <c r="D33" t="s">
        <v>4479</v>
      </c>
      <c r="E33" s="14" t="s">
        <v>11561</v>
      </c>
      <c r="F33" t="s">
        <v>16227</v>
      </c>
      <c r="G33" s="17" t="str">
        <f>Config!$B$3</f>
        <v>SCH/R_IEC.SchLib</v>
      </c>
      <c r="H33" t="s">
        <v>16149</v>
      </c>
      <c r="I33" s="18" t="s">
        <v>16150</v>
      </c>
      <c r="J33" t="s">
        <v>16260</v>
      </c>
      <c r="M33" s="3">
        <v>1600</v>
      </c>
      <c r="N33" t="s">
        <v>16228</v>
      </c>
      <c r="O33" t="s">
        <v>7496</v>
      </c>
      <c r="P33" t="s">
        <v>16229</v>
      </c>
      <c r="Q33" t="s">
        <v>25</v>
      </c>
      <c r="R33" t="s">
        <v>16230</v>
      </c>
      <c r="S33" t="s">
        <v>7496</v>
      </c>
      <c r="T33" t="s">
        <v>16231</v>
      </c>
      <c r="U33" t="s">
        <v>25</v>
      </c>
      <c r="V33" t="s">
        <v>16232</v>
      </c>
    </row>
    <row r="34" spans="1:22">
      <c r="A34" t="s">
        <v>16204</v>
      </c>
      <c r="B34" t="s">
        <v>16146</v>
      </c>
      <c r="C34" t="s">
        <v>16210</v>
      </c>
      <c r="D34" t="s">
        <v>4479</v>
      </c>
      <c r="E34" s="14" t="s">
        <v>11561</v>
      </c>
      <c r="F34" t="s">
        <v>16132</v>
      </c>
      <c r="G34" s="17" t="str">
        <f>Config!$B$3</f>
        <v>SCH/R_IEC.SchLib</v>
      </c>
      <c r="H34" t="s">
        <v>16149</v>
      </c>
      <c r="I34" s="18" t="s">
        <v>16150</v>
      </c>
      <c r="J34" t="s">
        <v>16260</v>
      </c>
      <c r="M34" s="3">
        <v>2500</v>
      </c>
      <c r="N34" t="s">
        <v>16135</v>
      </c>
      <c r="O34" t="s">
        <v>7496</v>
      </c>
      <c r="P34" t="s">
        <v>16139</v>
      </c>
      <c r="Q34" t="s">
        <v>25</v>
      </c>
      <c r="R34" t="s">
        <v>16140</v>
      </c>
    </row>
    <row r="35" spans="1:22">
      <c r="A35" t="s">
        <v>16205</v>
      </c>
      <c r="B35" t="s">
        <v>16147</v>
      </c>
      <c r="C35" t="s">
        <v>16211</v>
      </c>
      <c r="D35" t="s">
        <v>4479</v>
      </c>
      <c r="E35" s="14" t="s">
        <v>11561</v>
      </c>
      <c r="F35" t="s">
        <v>16133</v>
      </c>
      <c r="G35" s="17" t="str">
        <f>Config!$B$3</f>
        <v>SCH/R_IEC.SchLib</v>
      </c>
      <c r="H35" t="s">
        <v>16149</v>
      </c>
      <c r="I35" s="18" t="s">
        <v>16150</v>
      </c>
      <c r="J35" t="s">
        <v>16260</v>
      </c>
      <c r="M35" s="3">
        <v>3500</v>
      </c>
      <c r="N35" t="s">
        <v>16136</v>
      </c>
      <c r="O35" t="s">
        <v>7496</v>
      </c>
      <c r="P35" t="s">
        <v>16141</v>
      </c>
      <c r="Q35" t="s">
        <v>25</v>
      </c>
      <c r="R35" t="s">
        <v>16142</v>
      </c>
    </row>
    <row r="36" spans="1:22">
      <c r="A36" t="s">
        <v>16263</v>
      </c>
      <c r="B36" t="s">
        <v>16235</v>
      </c>
      <c r="C36" t="s">
        <v>16264</v>
      </c>
      <c r="D36" t="s">
        <v>4479</v>
      </c>
      <c r="E36" s="14" t="s">
        <v>11561</v>
      </c>
      <c r="F36" t="s">
        <v>16233</v>
      </c>
      <c r="G36" s="17" t="str">
        <f>Config!$B$3</f>
        <v>SCH/R_IEC.SchLib</v>
      </c>
      <c r="H36" t="s">
        <v>16149</v>
      </c>
      <c r="I36" s="18" t="s">
        <v>16150</v>
      </c>
      <c r="J36" t="s">
        <v>16260</v>
      </c>
      <c r="M36" s="3">
        <v>4500</v>
      </c>
      <c r="N36" t="s">
        <v>16241</v>
      </c>
      <c r="O36" t="s">
        <v>7496</v>
      </c>
      <c r="P36" t="s">
        <v>16242</v>
      </c>
      <c r="Q36" t="s">
        <v>25</v>
      </c>
      <c r="R36" t="s">
        <v>16243</v>
      </c>
    </row>
    <row r="37" spans="1:22">
      <c r="A37" t="s">
        <v>16265</v>
      </c>
      <c r="B37" t="s">
        <v>16238</v>
      </c>
      <c r="C37" t="s">
        <v>16266</v>
      </c>
      <c r="D37" t="s">
        <v>4479</v>
      </c>
      <c r="E37" s="14" t="s">
        <v>11561</v>
      </c>
      <c r="F37" t="s">
        <v>16240</v>
      </c>
      <c r="G37" s="17" t="str">
        <f>Config!$B$3</f>
        <v>SCH/R_IEC.SchLib</v>
      </c>
      <c r="H37" t="s">
        <v>16149</v>
      </c>
      <c r="I37" s="18" t="s">
        <v>16150</v>
      </c>
      <c r="J37" t="s">
        <v>16260</v>
      </c>
      <c r="M37" s="3">
        <v>5500</v>
      </c>
      <c r="N37" t="s">
        <v>16244</v>
      </c>
      <c r="O37" t="s">
        <v>7496</v>
      </c>
      <c r="P37" t="s">
        <v>16245</v>
      </c>
      <c r="Q37" t="s">
        <v>25</v>
      </c>
      <c r="R37" t="s">
        <v>16246</v>
      </c>
    </row>
    <row r="38" spans="1:22">
      <c r="A38" t="s">
        <v>16212</v>
      </c>
      <c r="B38" t="s">
        <v>16164</v>
      </c>
      <c r="C38" t="s">
        <v>16213</v>
      </c>
      <c r="D38" t="s">
        <v>4479</v>
      </c>
      <c r="E38" s="14" t="s">
        <v>11561</v>
      </c>
      <c r="F38" t="s">
        <v>16148</v>
      </c>
      <c r="G38" s="17" t="str">
        <f>Config!$B$3</f>
        <v>SCH/R_IEC.SchLib</v>
      </c>
      <c r="H38" t="s">
        <v>16149</v>
      </c>
      <c r="I38" s="18" t="s">
        <v>16150</v>
      </c>
      <c r="J38" t="s">
        <v>16267</v>
      </c>
      <c r="M38" s="3">
        <v>800</v>
      </c>
      <c r="N38" t="s">
        <v>16152</v>
      </c>
      <c r="O38" t="s">
        <v>7496</v>
      </c>
      <c r="P38" t="s">
        <v>16153</v>
      </c>
      <c r="Q38" t="s">
        <v>25</v>
      </c>
      <c r="R38" t="s">
        <v>16154</v>
      </c>
      <c r="S38" t="s">
        <v>7496</v>
      </c>
      <c r="T38" t="s">
        <v>16155</v>
      </c>
      <c r="U38" t="s">
        <v>25</v>
      </c>
      <c r="V38" t="s">
        <v>16156</v>
      </c>
    </row>
    <row r="39" spans="1:22">
      <c r="A39" t="s">
        <v>16214</v>
      </c>
      <c r="B39" t="s">
        <v>16143</v>
      </c>
      <c r="C39" t="s">
        <v>16215</v>
      </c>
      <c r="D39" t="s">
        <v>4479</v>
      </c>
      <c r="E39" s="14" t="s">
        <v>11561</v>
      </c>
      <c r="F39" t="s">
        <v>13999</v>
      </c>
      <c r="G39" s="17" t="str">
        <f>Config!$B$3</f>
        <v>SCH/R_IEC.SchLib</v>
      </c>
      <c r="H39" t="s">
        <v>16149</v>
      </c>
      <c r="I39" s="18" t="s">
        <v>16150</v>
      </c>
      <c r="J39" t="s">
        <v>16267</v>
      </c>
      <c r="M39" s="3">
        <v>1000</v>
      </c>
      <c r="N39" t="s">
        <v>16134</v>
      </c>
      <c r="O39" t="s">
        <v>7496</v>
      </c>
      <c r="P39" t="s">
        <v>16157</v>
      </c>
      <c r="Q39" t="s">
        <v>25</v>
      </c>
      <c r="R39" t="s">
        <v>16158</v>
      </c>
      <c r="S39" t="s">
        <v>7496</v>
      </c>
      <c r="T39" t="s">
        <v>16126</v>
      </c>
      <c r="U39" t="s">
        <v>25</v>
      </c>
      <c r="V39" t="s">
        <v>16127</v>
      </c>
    </row>
    <row r="40" spans="1:22">
      <c r="A40" t="s">
        <v>16216</v>
      </c>
      <c r="B40" t="s">
        <v>16144</v>
      </c>
      <c r="C40" t="s">
        <v>16217</v>
      </c>
      <c r="D40" t="s">
        <v>4479</v>
      </c>
      <c r="E40" s="14" t="s">
        <v>11561</v>
      </c>
      <c r="F40" t="s">
        <v>10749</v>
      </c>
      <c r="G40" s="17" t="str">
        <f>Config!$B$3</f>
        <v>SCH/R_IEC.SchLib</v>
      </c>
      <c r="H40" t="s">
        <v>16149</v>
      </c>
      <c r="I40" s="18" t="s">
        <v>16150</v>
      </c>
      <c r="J40" t="s">
        <v>16267</v>
      </c>
      <c r="M40" s="3">
        <v>1200</v>
      </c>
      <c r="N40" t="s">
        <v>16128</v>
      </c>
      <c r="O40" t="s">
        <v>7496</v>
      </c>
      <c r="P40" t="s">
        <v>16129</v>
      </c>
      <c r="Q40" t="s">
        <v>25</v>
      </c>
      <c r="R40" t="s">
        <v>16130</v>
      </c>
    </row>
    <row r="41" spans="1:22">
      <c r="A41" t="s">
        <v>16218</v>
      </c>
      <c r="B41" t="s">
        <v>16145</v>
      </c>
      <c r="C41" t="s">
        <v>16219</v>
      </c>
      <c r="D41" t="s">
        <v>4479</v>
      </c>
      <c r="E41" s="14" t="s">
        <v>11561</v>
      </c>
      <c r="F41" t="s">
        <v>16131</v>
      </c>
      <c r="G41" s="17" t="str">
        <f>Config!$B$3</f>
        <v>SCH/R_IEC.SchLib</v>
      </c>
      <c r="H41" t="s">
        <v>16149</v>
      </c>
      <c r="I41" s="18" t="s">
        <v>16150</v>
      </c>
      <c r="J41" t="s">
        <v>16267</v>
      </c>
      <c r="M41" s="3">
        <v>1400</v>
      </c>
      <c r="N41" t="s">
        <v>16159</v>
      </c>
      <c r="O41" t="s">
        <v>7496</v>
      </c>
      <c r="P41" t="s">
        <v>16160</v>
      </c>
      <c r="Q41" t="s">
        <v>25</v>
      </c>
      <c r="R41" t="s">
        <v>16161</v>
      </c>
      <c r="S41" t="s">
        <v>7496</v>
      </c>
      <c r="T41" t="s">
        <v>16137</v>
      </c>
      <c r="U41" t="s">
        <v>25</v>
      </c>
      <c r="V41" t="s">
        <v>16138</v>
      </c>
    </row>
    <row r="42" spans="1:22">
      <c r="A42" t="s">
        <v>16268</v>
      </c>
      <c r="B42" t="s">
        <v>16225</v>
      </c>
      <c r="C42" t="s">
        <v>16269</v>
      </c>
      <c r="D42" t="s">
        <v>4479</v>
      </c>
      <c r="E42" s="14" t="s">
        <v>11561</v>
      </c>
      <c r="F42" t="s">
        <v>16227</v>
      </c>
      <c r="G42" s="17" t="str">
        <f>Config!$B$3</f>
        <v>SCH/R_IEC.SchLib</v>
      </c>
      <c r="H42" t="s">
        <v>16149</v>
      </c>
      <c r="I42" s="18" t="s">
        <v>16150</v>
      </c>
      <c r="J42" t="s">
        <v>16267</v>
      </c>
      <c r="M42" s="3">
        <v>1600</v>
      </c>
      <c r="N42" t="s">
        <v>16228</v>
      </c>
      <c r="O42" t="s">
        <v>7496</v>
      </c>
      <c r="P42" t="s">
        <v>16229</v>
      </c>
      <c r="Q42" t="s">
        <v>25</v>
      </c>
      <c r="R42" t="s">
        <v>16230</v>
      </c>
      <c r="S42" t="s">
        <v>7496</v>
      </c>
      <c r="T42" t="s">
        <v>16231</v>
      </c>
      <c r="U42" t="s">
        <v>25</v>
      </c>
      <c r="V42" t="s">
        <v>16232</v>
      </c>
    </row>
    <row r="43" spans="1:22">
      <c r="A43" t="s">
        <v>16220</v>
      </c>
      <c r="B43" t="s">
        <v>16146</v>
      </c>
      <c r="C43" t="s">
        <v>16221</v>
      </c>
      <c r="D43" t="s">
        <v>4479</v>
      </c>
      <c r="E43" s="14" t="s">
        <v>11561</v>
      </c>
      <c r="F43" t="s">
        <v>16132</v>
      </c>
      <c r="G43" s="17" t="str">
        <f>Config!$B$3</f>
        <v>SCH/R_IEC.SchLib</v>
      </c>
      <c r="H43" t="s">
        <v>16149</v>
      </c>
      <c r="I43" s="18" t="s">
        <v>16150</v>
      </c>
      <c r="J43" t="s">
        <v>16267</v>
      </c>
      <c r="M43" s="3">
        <v>2500</v>
      </c>
      <c r="N43" t="s">
        <v>16135</v>
      </c>
      <c r="O43" t="s">
        <v>7496</v>
      </c>
      <c r="P43" t="s">
        <v>16139</v>
      </c>
      <c r="Q43" t="s">
        <v>25</v>
      </c>
      <c r="R43" t="s">
        <v>16140</v>
      </c>
    </row>
    <row r="44" spans="1:22">
      <c r="A44" t="s">
        <v>16222</v>
      </c>
      <c r="B44" t="s">
        <v>16147</v>
      </c>
      <c r="C44" t="s">
        <v>16223</v>
      </c>
      <c r="D44" t="s">
        <v>4479</v>
      </c>
      <c r="E44" s="14" t="s">
        <v>11561</v>
      </c>
      <c r="F44" t="s">
        <v>16133</v>
      </c>
      <c r="G44" s="17" t="str">
        <f>Config!$B$3</f>
        <v>SCH/R_IEC.SchLib</v>
      </c>
      <c r="H44" t="s">
        <v>16149</v>
      </c>
      <c r="I44" s="18" t="s">
        <v>16150</v>
      </c>
      <c r="J44" t="s">
        <v>16267</v>
      </c>
      <c r="M44" s="3">
        <v>3500</v>
      </c>
      <c r="N44" t="s">
        <v>16136</v>
      </c>
      <c r="O44" t="s">
        <v>7496</v>
      </c>
      <c r="P44" t="s">
        <v>16141</v>
      </c>
      <c r="Q44" t="s">
        <v>25</v>
      </c>
      <c r="R44" t="s">
        <v>16142</v>
      </c>
    </row>
    <row r="45" spans="1:22">
      <c r="A45" t="s">
        <v>16270</v>
      </c>
      <c r="B45" t="s">
        <v>16235</v>
      </c>
      <c r="C45" t="s">
        <v>16271</v>
      </c>
      <c r="D45" t="s">
        <v>4479</v>
      </c>
      <c r="E45" s="14" t="s">
        <v>11561</v>
      </c>
      <c r="F45" t="s">
        <v>16233</v>
      </c>
      <c r="G45" s="17" t="str">
        <f>Config!$B$3</f>
        <v>SCH/R_IEC.SchLib</v>
      </c>
      <c r="H45" t="s">
        <v>16149</v>
      </c>
      <c r="I45" s="18" t="s">
        <v>16150</v>
      </c>
      <c r="J45" t="s">
        <v>16267</v>
      </c>
      <c r="M45" s="3">
        <v>4500</v>
      </c>
      <c r="N45" t="s">
        <v>16241</v>
      </c>
      <c r="O45" t="s">
        <v>7496</v>
      </c>
      <c r="P45" t="s">
        <v>16242</v>
      </c>
      <c r="Q45" t="s">
        <v>25</v>
      </c>
      <c r="R45" t="s">
        <v>16243</v>
      </c>
    </row>
    <row r="46" spans="1:22">
      <c r="A46" t="s">
        <v>16272</v>
      </c>
      <c r="B46" t="s">
        <v>16238</v>
      </c>
      <c r="C46" t="s">
        <v>16273</v>
      </c>
      <c r="D46" t="s">
        <v>4479</v>
      </c>
      <c r="E46" s="14" t="s">
        <v>11561</v>
      </c>
      <c r="F46" t="s">
        <v>16240</v>
      </c>
      <c r="G46" s="17" t="str">
        <f>Config!$B$3</f>
        <v>SCH/R_IEC.SchLib</v>
      </c>
      <c r="H46" t="s">
        <v>16149</v>
      </c>
      <c r="I46" s="18" t="s">
        <v>16150</v>
      </c>
      <c r="J46" t="s">
        <v>16267</v>
      </c>
      <c r="M46" s="3">
        <v>5500</v>
      </c>
      <c r="N46" t="s">
        <v>16244</v>
      </c>
      <c r="O46" t="s">
        <v>7496</v>
      </c>
      <c r="P46" t="s">
        <v>16245</v>
      </c>
      <c r="Q46" t="s">
        <v>25</v>
      </c>
      <c r="R46" t="s">
        <v>16246</v>
      </c>
    </row>
    <row r="48" spans="1:22">
      <c r="A48" t="s">
        <v>16274</v>
      </c>
      <c r="B48" t="s">
        <v>16164</v>
      </c>
      <c r="C48" t="s">
        <v>16412</v>
      </c>
      <c r="D48" t="s">
        <v>4479</v>
      </c>
      <c r="E48" s="14" t="s">
        <v>11561</v>
      </c>
      <c r="F48" t="s">
        <v>16148</v>
      </c>
      <c r="G48" s="17" t="str">
        <f>Config!$B$3</f>
        <v>SCH/R_IEC.SchLib</v>
      </c>
      <c r="H48" t="s">
        <v>16149</v>
      </c>
      <c r="I48" s="18" t="s">
        <v>16150</v>
      </c>
      <c r="J48" t="s">
        <v>16319</v>
      </c>
      <c r="M48" s="3">
        <v>800</v>
      </c>
      <c r="N48" t="s">
        <v>16152</v>
      </c>
      <c r="O48" t="s">
        <v>7496</v>
      </c>
      <c r="P48" t="s">
        <v>16153</v>
      </c>
      <c r="Q48" t="s">
        <v>25</v>
      </c>
      <c r="R48" t="s">
        <v>16154</v>
      </c>
      <c r="S48" t="s">
        <v>7496</v>
      </c>
      <c r="T48" t="s">
        <v>16155</v>
      </c>
      <c r="U48" t="s">
        <v>25</v>
      </c>
      <c r="V48" t="s">
        <v>16156</v>
      </c>
    </row>
    <row r="49" spans="1:22">
      <c r="A49" t="s">
        <v>16275</v>
      </c>
      <c r="B49" t="s">
        <v>16143</v>
      </c>
      <c r="C49" t="s">
        <v>16413</v>
      </c>
      <c r="D49" t="s">
        <v>4479</v>
      </c>
      <c r="E49" s="14" t="s">
        <v>11561</v>
      </c>
      <c r="F49" t="s">
        <v>13999</v>
      </c>
      <c r="G49" s="17" t="str">
        <f>Config!$B$3</f>
        <v>SCH/R_IEC.SchLib</v>
      </c>
      <c r="H49" t="s">
        <v>16149</v>
      </c>
      <c r="I49" s="18" t="s">
        <v>16150</v>
      </c>
      <c r="J49" t="s">
        <v>16319</v>
      </c>
      <c r="M49" s="3">
        <v>1000</v>
      </c>
      <c r="N49" t="s">
        <v>16134</v>
      </c>
      <c r="O49" t="s">
        <v>7496</v>
      </c>
      <c r="P49" t="s">
        <v>16157</v>
      </c>
      <c r="Q49" t="s">
        <v>25</v>
      </c>
      <c r="R49" t="s">
        <v>16158</v>
      </c>
      <c r="S49" t="s">
        <v>7496</v>
      </c>
      <c r="T49" t="s">
        <v>16126</v>
      </c>
      <c r="U49" t="s">
        <v>25</v>
      </c>
      <c r="V49" t="s">
        <v>16127</v>
      </c>
    </row>
    <row r="50" spans="1:22">
      <c r="A50" t="s">
        <v>16276</v>
      </c>
      <c r="B50" t="s">
        <v>16144</v>
      </c>
      <c r="C50" t="s">
        <v>16414</v>
      </c>
      <c r="D50" t="s">
        <v>4479</v>
      </c>
      <c r="E50" s="14" t="s">
        <v>11561</v>
      </c>
      <c r="F50" t="s">
        <v>10749</v>
      </c>
      <c r="G50" s="17" t="str">
        <f>Config!$B$3</f>
        <v>SCH/R_IEC.SchLib</v>
      </c>
      <c r="H50" t="s">
        <v>16149</v>
      </c>
      <c r="I50" s="18" t="s">
        <v>16150</v>
      </c>
      <c r="J50" t="s">
        <v>16319</v>
      </c>
      <c r="M50" s="3">
        <v>1200</v>
      </c>
      <c r="N50" t="s">
        <v>16128</v>
      </c>
      <c r="O50" t="s">
        <v>7496</v>
      </c>
      <c r="P50" t="s">
        <v>16129</v>
      </c>
      <c r="Q50" t="s">
        <v>25</v>
      </c>
      <c r="R50" t="s">
        <v>16130</v>
      </c>
    </row>
    <row r="51" spans="1:22">
      <c r="A51" t="s">
        <v>16277</v>
      </c>
      <c r="B51" t="s">
        <v>16145</v>
      </c>
      <c r="C51" t="s">
        <v>16415</v>
      </c>
      <c r="D51" t="s">
        <v>4479</v>
      </c>
      <c r="E51" s="14" t="s">
        <v>11561</v>
      </c>
      <c r="F51" t="s">
        <v>16131</v>
      </c>
      <c r="G51" s="17" t="str">
        <f>Config!$B$3</f>
        <v>SCH/R_IEC.SchLib</v>
      </c>
      <c r="H51" t="s">
        <v>16149</v>
      </c>
      <c r="I51" s="18" t="s">
        <v>16150</v>
      </c>
      <c r="J51" t="s">
        <v>16319</v>
      </c>
      <c r="M51" s="3">
        <v>1400</v>
      </c>
      <c r="N51" t="s">
        <v>16159</v>
      </c>
      <c r="O51" t="s">
        <v>7496</v>
      </c>
      <c r="P51" t="s">
        <v>16160</v>
      </c>
      <c r="Q51" t="s">
        <v>25</v>
      </c>
      <c r="R51" t="s">
        <v>16161</v>
      </c>
      <c r="S51" t="s">
        <v>7496</v>
      </c>
      <c r="T51" t="s">
        <v>16137</v>
      </c>
      <c r="U51" t="s">
        <v>25</v>
      </c>
      <c r="V51" t="s">
        <v>16138</v>
      </c>
    </row>
    <row r="52" spans="1:22">
      <c r="A52" t="s">
        <v>16278</v>
      </c>
      <c r="B52" t="s">
        <v>16225</v>
      </c>
      <c r="C52" t="s">
        <v>16416</v>
      </c>
      <c r="D52" t="s">
        <v>4479</v>
      </c>
      <c r="E52" s="14" t="s">
        <v>11561</v>
      </c>
      <c r="F52" t="s">
        <v>16227</v>
      </c>
      <c r="G52" s="17" t="str">
        <f>Config!$B$3</f>
        <v>SCH/R_IEC.SchLib</v>
      </c>
      <c r="H52" t="s">
        <v>16149</v>
      </c>
      <c r="I52" s="18" t="s">
        <v>16150</v>
      </c>
      <c r="J52" t="s">
        <v>16319</v>
      </c>
      <c r="M52" s="3">
        <v>1600</v>
      </c>
      <c r="N52" t="s">
        <v>16228</v>
      </c>
      <c r="O52" t="s">
        <v>7496</v>
      </c>
      <c r="P52" t="s">
        <v>16229</v>
      </c>
      <c r="Q52" t="s">
        <v>25</v>
      </c>
      <c r="R52" t="s">
        <v>16230</v>
      </c>
      <c r="S52" t="s">
        <v>7496</v>
      </c>
      <c r="T52" t="s">
        <v>16231</v>
      </c>
      <c r="U52" t="s">
        <v>25</v>
      </c>
      <c r="V52" t="s">
        <v>16232</v>
      </c>
    </row>
    <row r="53" spans="1:22">
      <c r="A53" t="s">
        <v>16279</v>
      </c>
      <c r="B53" t="s">
        <v>16146</v>
      </c>
      <c r="C53" t="s">
        <v>16417</v>
      </c>
      <c r="D53" t="s">
        <v>4479</v>
      </c>
      <c r="E53" s="14" t="s">
        <v>11561</v>
      </c>
      <c r="F53" t="s">
        <v>16132</v>
      </c>
      <c r="G53" s="17" t="str">
        <f>Config!$B$3</f>
        <v>SCH/R_IEC.SchLib</v>
      </c>
      <c r="H53" t="s">
        <v>16149</v>
      </c>
      <c r="I53" s="18" t="s">
        <v>16150</v>
      </c>
      <c r="J53" t="s">
        <v>16319</v>
      </c>
      <c r="M53" s="3">
        <v>2500</v>
      </c>
      <c r="N53" t="s">
        <v>16135</v>
      </c>
      <c r="O53" t="s">
        <v>7496</v>
      </c>
      <c r="P53" t="s">
        <v>16139</v>
      </c>
      <c r="Q53" t="s">
        <v>25</v>
      </c>
      <c r="R53" t="s">
        <v>16140</v>
      </c>
    </row>
    <row r="54" spans="1:22">
      <c r="A54" t="s">
        <v>16280</v>
      </c>
      <c r="B54" t="s">
        <v>16147</v>
      </c>
      <c r="C54" t="s">
        <v>16418</v>
      </c>
      <c r="D54" t="s">
        <v>4479</v>
      </c>
      <c r="E54" s="14" t="s">
        <v>11561</v>
      </c>
      <c r="F54" t="s">
        <v>16133</v>
      </c>
      <c r="G54" s="17" t="str">
        <f>Config!$B$3</f>
        <v>SCH/R_IEC.SchLib</v>
      </c>
      <c r="H54" t="s">
        <v>16149</v>
      </c>
      <c r="I54" s="18" t="s">
        <v>16150</v>
      </c>
      <c r="J54" t="s">
        <v>16319</v>
      </c>
      <c r="M54" s="3">
        <v>3500</v>
      </c>
      <c r="N54" t="s">
        <v>16136</v>
      </c>
      <c r="O54" t="s">
        <v>7496</v>
      </c>
      <c r="P54" t="s">
        <v>16141</v>
      </c>
      <c r="Q54" t="s">
        <v>25</v>
      </c>
      <c r="R54" t="s">
        <v>16142</v>
      </c>
    </row>
    <row r="55" spans="1:22">
      <c r="A55" t="s">
        <v>16281</v>
      </c>
      <c r="B55" t="s">
        <v>16235</v>
      </c>
      <c r="C55" t="s">
        <v>16419</v>
      </c>
      <c r="D55" t="s">
        <v>4479</v>
      </c>
      <c r="E55" s="14" t="s">
        <v>11561</v>
      </c>
      <c r="F55" t="s">
        <v>16233</v>
      </c>
      <c r="G55" s="17" t="str">
        <f>Config!$B$3</f>
        <v>SCH/R_IEC.SchLib</v>
      </c>
      <c r="H55" t="s">
        <v>16149</v>
      </c>
      <c r="I55" s="18" t="s">
        <v>16150</v>
      </c>
      <c r="J55" t="s">
        <v>16319</v>
      </c>
      <c r="M55" s="3">
        <v>4500</v>
      </c>
      <c r="N55" t="s">
        <v>16241</v>
      </c>
      <c r="O55" t="s">
        <v>7496</v>
      </c>
      <c r="P55" t="s">
        <v>16242</v>
      </c>
      <c r="Q55" t="s">
        <v>25</v>
      </c>
      <c r="R55" t="s">
        <v>16243</v>
      </c>
    </row>
    <row r="56" spans="1:22">
      <c r="A56" t="s">
        <v>16282</v>
      </c>
      <c r="B56" t="s">
        <v>16238</v>
      </c>
      <c r="C56" t="s">
        <v>16420</v>
      </c>
      <c r="D56" t="s">
        <v>4479</v>
      </c>
      <c r="E56" s="14" t="s">
        <v>11561</v>
      </c>
      <c r="F56" t="s">
        <v>16240</v>
      </c>
      <c r="G56" s="17" t="str">
        <f>Config!$B$3</f>
        <v>SCH/R_IEC.SchLib</v>
      </c>
      <c r="H56" t="s">
        <v>16149</v>
      </c>
      <c r="I56" s="18" t="s">
        <v>16150</v>
      </c>
      <c r="J56" t="s">
        <v>16319</v>
      </c>
      <c r="M56" s="3">
        <v>5500</v>
      </c>
      <c r="N56" t="s">
        <v>16244</v>
      </c>
      <c r="O56" t="s">
        <v>7496</v>
      </c>
      <c r="P56" t="s">
        <v>16245</v>
      </c>
      <c r="Q56" t="s">
        <v>25</v>
      </c>
      <c r="R56" t="s">
        <v>16246</v>
      </c>
    </row>
    <row r="57" spans="1:22">
      <c r="A57" t="s">
        <v>16283</v>
      </c>
      <c r="B57" t="s">
        <v>16164</v>
      </c>
      <c r="C57" t="s">
        <v>16421</v>
      </c>
      <c r="D57" t="s">
        <v>4479</v>
      </c>
      <c r="E57" s="14" t="s">
        <v>11561</v>
      </c>
      <c r="F57" t="s">
        <v>16148</v>
      </c>
      <c r="G57" s="17" t="str">
        <f>Config!$B$3</f>
        <v>SCH/R_IEC.SchLib</v>
      </c>
      <c r="H57" t="s">
        <v>16149</v>
      </c>
      <c r="I57" s="18" t="s">
        <v>16150</v>
      </c>
      <c r="J57" t="s">
        <v>16319</v>
      </c>
      <c r="M57" s="3">
        <v>800</v>
      </c>
      <c r="N57" t="s">
        <v>16152</v>
      </c>
      <c r="O57" t="s">
        <v>7496</v>
      </c>
      <c r="P57" t="s">
        <v>16153</v>
      </c>
      <c r="Q57" t="s">
        <v>25</v>
      </c>
      <c r="R57" t="s">
        <v>16154</v>
      </c>
      <c r="S57" t="s">
        <v>7496</v>
      </c>
      <c r="T57" t="s">
        <v>16155</v>
      </c>
      <c r="U57" t="s">
        <v>25</v>
      </c>
      <c r="V57" t="s">
        <v>16156</v>
      </c>
    </row>
    <row r="58" spans="1:22">
      <c r="A58" t="s">
        <v>16284</v>
      </c>
      <c r="B58" t="s">
        <v>16143</v>
      </c>
      <c r="C58" t="s">
        <v>16422</v>
      </c>
      <c r="D58" t="s">
        <v>4479</v>
      </c>
      <c r="E58" s="14" t="s">
        <v>11561</v>
      </c>
      <c r="F58" t="s">
        <v>13999</v>
      </c>
      <c r="G58" s="17" t="str">
        <f>Config!$B$3</f>
        <v>SCH/R_IEC.SchLib</v>
      </c>
      <c r="H58" t="s">
        <v>16149</v>
      </c>
      <c r="I58" s="18" t="s">
        <v>16150</v>
      </c>
      <c r="J58" t="s">
        <v>16319</v>
      </c>
      <c r="M58" s="3">
        <v>1000</v>
      </c>
      <c r="N58" t="s">
        <v>16134</v>
      </c>
      <c r="O58" t="s">
        <v>7496</v>
      </c>
      <c r="P58" t="s">
        <v>16157</v>
      </c>
      <c r="Q58" t="s">
        <v>25</v>
      </c>
      <c r="R58" t="s">
        <v>16158</v>
      </c>
      <c r="S58" t="s">
        <v>7496</v>
      </c>
      <c r="T58" t="s">
        <v>16126</v>
      </c>
      <c r="U58" t="s">
        <v>25</v>
      </c>
      <c r="V58" t="s">
        <v>16127</v>
      </c>
    </row>
    <row r="59" spans="1:22">
      <c r="A59" t="s">
        <v>16285</v>
      </c>
      <c r="B59" t="s">
        <v>16144</v>
      </c>
      <c r="C59" t="s">
        <v>16423</v>
      </c>
      <c r="D59" t="s">
        <v>4479</v>
      </c>
      <c r="E59" s="14" t="s">
        <v>11561</v>
      </c>
      <c r="F59" t="s">
        <v>10749</v>
      </c>
      <c r="G59" s="17" t="str">
        <f>Config!$B$3</f>
        <v>SCH/R_IEC.SchLib</v>
      </c>
      <c r="H59" t="s">
        <v>16149</v>
      </c>
      <c r="I59" s="18" t="s">
        <v>16150</v>
      </c>
      <c r="J59" t="s">
        <v>16319</v>
      </c>
      <c r="M59" s="3">
        <v>1200</v>
      </c>
      <c r="N59" t="s">
        <v>16128</v>
      </c>
      <c r="O59" t="s">
        <v>7496</v>
      </c>
      <c r="P59" t="s">
        <v>16129</v>
      </c>
      <c r="Q59" t="s">
        <v>25</v>
      </c>
      <c r="R59" t="s">
        <v>16130</v>
      </c>
    </row>
    <row r="60" spans="1:22">
      <c r="A60" t="s">
        <v>16286</v>
      </c>
      <c r="B60" t="s">
        <v>16145</v>
      </c>
      <c r="C60" t="s">
        <v>16424</v>
      </c>
      <c r="D60" t="s">
        <v>4479</v>
      </c>
      <c r="E60" s="14" t="s">
        <v>11561</v>
      </c>
      <c r="F60" t="s">
        <v>16131</v>
      </c>
      <c r="G60" s="17" t="str">
        <f>Config!$B$3</f>
        <v>SCH/R_IEC.SchLib</v>
      </c>
      <c r="H60" t="s">
        <v>16149</v>
      </c>
      <c r="I60" s="18" t="s">
        <v>16150</v>
      </c>
      <c r="J60" t="s">
        <v>16319</v>
      </c>
      <c r="M60" s="3">
        <v>1400</v>
      </c>
      <c r="N60" t="s">
        <v>16159</v>
      </c>
      <c r="O60" t="s">
        <v>7496</v>
      </c>
      <c r="P60" t="s">
        <v>16160</v>
      </c>
      <c r="Q60" t="s">
        <v>25</v>
      </c>
      <c r="R60" t="s">
        <v>16161</v>
      </c>
      <c r="S60" t="s">
        <v>7496</v>
      </c>
      <c r="T60" t="s">
        <v>16137</v>
      </c>
      <c r="U60" t="s">
        <v>25</v>
      </c>
      <c r="V60" t="s">
        <v>16138</v>
      </c>
    </row>
    <row r="61" spans="1:22">
      <c r="A61" t="s">
        <v>16287</v>
      </c>
      <c r="B61" t="s">
        <v>16225</v>
      </c>
      <c r="C61" t="s">
        <v>16425</v>
      </c>
      <c r="D61" t="s">
        <v>4479</v>
      </c>
      <c r="E61" s="14" t="s">
        <v>11561</v>
      </c>
      <c r="F61" t="s">
        <v>16227</v>
      </c>
      <c r="G61" s="17" t="str">
        <f>Config!$B$3</f>
        <v>SCH/R_IEC.SchLib</v>
      </c>
      <c r="H61" t="s">
        <v>16149</v>
      </c>
      <c r="I61" s="18" t="s">
        <v>16150</v>
      </c>
      <c r="J61" t="s">
        <v>16319</v>
      </c>
      <c r="M61" s="3">
        <v>1600</v>
      </c>
      <c r="N61" t="s">
        <v>16228</v>
      </c>
      <c r="O61" t="s">
        <v>7496</v>
      </c>
      <c r="P61" t="s">
        <v>16229</v>
      </c>
      <c r="Q61" t="s">
        <v>25</v>
      </c>
      <c r="R61" t="s">
        <v>16230</v>
      </c>
      <c r="S61" t="s">
        <v>7496</v>
      </c>
      <c r="T61" t="s">
        <v>16231</v>
      </c>
      <c r="U61" t="s">
        <v>25</v>
      </c>
      <c r="V61" t="s">
        <v>16232</v>
      </c>
    </row>
    <row r="62" spans="1:22">
      <c r="A62" t="s">
        <v>16288</v>
      </c>
      <c r="B62" t="s">
        <v>16146</v>
      </c>
      <c r="C62" t="s">
        <v>16426</v>
      </c>
      <c r="D62" t="s">
        <v>4479</v>
      </c>
      <c r="E62" s="14" t="s">
        <v>11561</v>
      </c>
      <c r="F62" t="s">
        <v>16132</v>
      </c>
      <c r="G62" s="17" t="str">
        <f>Config!$B$3</f>
        <v>SCH/R_IEC.SchLib</v>
      </c>
      <c r="H62" t="s">
        <v>16149</v>
      </c>
      <c r="I62" s="18" t="s">
        <v>16150</v>
      </c>
      <c r="J62" t="s">
        <v>16319</v>
      </c>
      <c r="M62" s="3">
        <v>2500</v>
      </c>
      <c r="N62" t="s">
        <v>16135</v>
      </c>
      <c r="O62" t="s">
        <v>7496</v>
      </c>
      <c r="P62" t="s">
        <v>16139</v>
      </c>
      <c r="Q62" t="s">
        <v>25</v>
      </c>
      <c r="R62" t="s">
        <v>16140</v>
      </c>
    </row>
    <row r="63" spans="1:22">
      <c r="A63" t="s">
        <v>16289</v>
      </c>
      <c r="B63" t="s">
        <v>16147</v>
      </c>
      <c r="C63" t="s">
        <v>16427</v>
      </c>
      <c r="D63" t="s">
        <v>4479</v>
      </c>
      <c r="E63" s="14" t="s">
        <v>11561</v>
      </c>
      <c r="F63" t="s">
        <v>16133</v>
      </c>
      <c r="G63" s="17" t="str">
        <f>Config!$B$3</f>
        <v>SCH/R_IEC.SchLib</v>
      </c>
      <c r="H63" t="s">
        <v>16149</v>
      </c>
      <c r="I63" s="18" t="s">
        <v>16150</v>
      </c>
      <c r="J63" t="s">
        <v>16319</v>
      </c>
      <c r="M63" s="3">
        <v>3500</v>
      </c>
      <c r="N63" t="s">
        <v>16136</v>
      </c>
      <c r="O63" t="s">
        <v>7496</v>
      </c>
      <c r="P63" t="s">
        <v>16141</v>
      </c>
      <c r="Q63" t="s">
        <v>25</v>
      </c>
      <c r="R63" t="s">
        <v>16142</v>
      </c>
    </row>
    <row r="64" spans="1:22">
      <c r="A64" t="s">
        <v>16290</v>
      </c>
      <c r="B64" t="s">
        <v>16235</v>
      </c>
      <c r="C64" t="s">
        <v>16428</v>
      </c>
      <c r="D64" t="s">
        <v>4479</v>
      </c>
      <c r="E64" s="14" t="s">
        <v>11561</v>
      </c>
      <c r="F64" t="s">
        <v>16233</v>
      </c>
      <c r="G64" s="17" t="str">
        <f>Config!$B$3</f>
        <v>SCH/R_IEC.SchLib</v>
      </c>
      <c r="H64" t="s">
        <v>16149</v>
      </c>
      <c r="I64" s="18" t="s">
        <v>16150</v>
      </c>
      <c r="J64" t="s">
        <v>16319</v>
      </c>
      <c r="M64" s="3">
        <v>4500</v>
      </c>
      <c r="N64" t="s">
        <v>16241</v>
      </c>
      <c r="O64" t="s">
        <v>7496</v>
      </c>
      <c r="P64" t="s">
        <v>16242</v>
      </c>
      <c r="Q64" t="s">
        <v>25</v>
      </c>
      <c r="R64" t="s">
        <v>16243</v>
      </c>
    </row>
    <row r="65" spans="1:22">
      <c r="A65" t="s">
        <v>16291</v>
      </c>
      <c r="B65" t="s">
        <v>16238</v>
      </c>
      <c r="C65" t="s">
        <v>16429</v>
      </c>
      <c r="D65" t="s">
        <v>4479</v>
      </c>
      <c r="E65" s="14" t="s">
        <v>11561</v>
      </c>
      <c r="F65" t="s">
        <v>16240</v>
      </c>
      <c r="G65" s="17" t="str">
        <f>Config!$B$3</f>
        <v>SCH/R_IEC.SchLib</v>
      </c>
      <c r="H65" t="s">
        <v>16149</v>
      </c>
      <c r="I65" s="18" t="s">
        <v>16150</v>
      </c>
      <c r="J65" t="s">
        <v>16319</v>
      </c>
      <c r="M65" s="3">
        <v>5500</v>
      </c>
      <c r="N65" t="s">
        <v>16244</v>
      </c>
      <c r="O65" t="s">
        <v>7496</v>
      </c>
      <c r="P65" t="s">
        <v>16245</v>
      </c>
      <c r="Q65" t="s">
        <v>25</v>
      </c>
      <c r="R65" t="s">
        <v>16246</v>
      </c>
    </row>
    <row r="66" spans="1:22">
      <c r="A66" t="s">
        <v>16292</v>
      </c>
      <c r="B66" t="s">
        <v>16164</v>
      </c>
      <c r="C66" t="s">
        <v>16430</v>
      </c>
      <c r="D66" t="s">
        <v>4479</v>
      </c>
      <c r="E66" s="14" t="s">
        <v>11561</v>
      </c>
      <c r="F66" t="s">
        <v>16148</v>
      </c>
      <c r="G66" s="17" t="str">
        <f>Config!$B$3</f>
        <v>SCH/R_IEC.SchLib</v>
      </c>
      <c r="H66" t="s">
        <v>16149</v>
      </c>
      <c r="I66" s="18" t="s">
        <v>16150</v>
      </c>
      <c r="J66" t="s">
        <v>16319</v>
      </c>
      <c r="M66" s="3">
        <v>800</v>
      </c>
      <c r="N66" t="s">
        <v>16152</v>
      </c>
      <c r="O66" t="s">
        <v>7496</v>
      </c>
      <c r="P66" t="s">
        <v>16153</v>
      </c>
      <c r="Q66" t="s">
        <v>25</v>
      </c>
      <c r="R66" t="s">
        <v>16154</v>
      </c>
      <c r="S66" t="s">
        <v>7496</v>
      </c>
      <c r="T66" t="s">
        <v>16155</v>
      </c>
      <c r="U66" t="s">
        <v>25</v>
      </c>
      <c r="V66" t="s">
        <v>16156</v>
      </c>
    </row>
    <row r="67" spans="1:22">
      <c r="A67" t="s">
        <v>16293</v>
      </c>
      <c r="B67" t="s">
        <v>16143</v>
      </c>
      <c r="C67" t="s">
        <v>16431</v>
      </c>
      <c r="D67" t="s">
        <v>4479</v>
      </c>
      <c r="E67" s="14" t="s">
        <v>11561</v>
      </c>
      <c r="F67" t="s">
        <v>13999</v>
      </c>
      <c r="G67" s="17" t="str">
        <f>Config!$B$3</f>
        <v>SCH/R_IEC.SchLib</v>
      </c>
      <c r="H67" t="s">
        <v>16149</v>
      </c>
      <c r="I67" s="18" t="s">
        <v>16150</v>
      </c>
      <c r="J67" t="s">
        <v>16319</v>
      </c>
      <c r="M67" s="3">
        <v>1000</v>
      </c>
      <c r="N67" t="s">
        <v>16134</v>
      </c>
      <c r="O67" t="s">
        <v>7496</v>
      </c>
      <c r="P67" t="s">
        <v>16157</v>
      </c>
      <c r="Q67" t="s">
        <v>25</v>
      </c>
      <c r="R67" t="s">
        <v>16158</v>
      </c>
      <c r="S67" t="s">
        <v>7496</v>
      </c>
      <c r="T67" t="s">
        <v>16126</v>
      </c>
      <c r="U67" t="s">
        <v>25</v>
      </c>
      <c r="V67" t="s">
        <v>16127</v>
      </c>
    </row>
    <row r="68" spans="1:22">
      <c r="A68" t="s">
        <v>16294</v>
      </c>
      <c r="B68" t="s">
        <v>16144</v>
      </c>
      <c r="C68" t="s">
        <v>16432</v>
      </c>
      <c r="D68" t="s">
        <v>4479</v>
      </c>
      <c r="E68" s="14" t="s">
        <v>11561</v>
      </c>
      <c r="F68" t="s">
        <v>10749</v>
      </c>
      <c r="G68" s="17" t="str">
        <f>Config!$B$3</f>
        <v>SCH/R_IEC.SchLib</v>
      </c>
      <c r="H68" t="s">
        <v>16149</v>
      </c>
      <c r="I68" s="18" t="s">
        <v>16150</v>
      </c>
      <c r="J68" t="s">
        <v>16319</v>
      </c>
      <c r="M68" s="3">
        <v>1200</v>
      </c>
      <c r="N68" t="s">
        <v>16128</v>
      </c>
      <c r="O68" t="s">
        <v>7496</v>
      </c>
      <c r="P68" t="s">
        <v>16129</v>
      </c>
      <c r="Q68" t="s">
        <v>25</v>
      </c>
      <c r="R68" t="s">
        <v>16130</v>
      </c>
    </row>
    <row r="69" spans="1:22">
      <c r="A69" t="s">
        <v>16295</v>
      </c>
      <c r="B69" t="s">
        <v>16145</v>
      </c>
      <c r="C69" t="s">
        <v>16433</v>
      </c>
      <c r="D69" t="s">
        <v>4479</v>
      </c>
      <c r="E69" s="14" t="s">
        <v>11561</v>
      </c>
      <c r="F69" t="s">
        <v>16131</v>
      </c>
      <c r="G69" s="17" t="str">
        <f>Config!$B$3</f>
        <v>SCH/R_IEC.SchLib</v>
      </c>
      <c r="H69" t="s">
        <v>16149</v>
      </c>
      <c r="I69" s="18" t="s">
        <v>16150</v>
      </c>
      <c r="J69" t="s">
        <v>16319</v>
      </c>
      <c r="M69" s="3">
        <v>1400</v>
      </c>
      <c r="N69" t="s">
        <v>16159</v>
      </c>
      <c r="O69" t="s">
        <v>7496</v>
      </c>
      <c r="P69" t="s">
        <v>16160</v>
      </c>
      <c r="Q69" t="s">
        <v>25</v>
      </c>
      <c r="R69" t="s">
        <v>16161</v>
      </c>
      <c r="S69" t="s">
        <v>7496</v>
      </c>
      <c r="T69" t="s">
        <v>16137</v>
      </c>
      <c r="U69" t="s">
        <v>25</v>
      </c>
      <c r="V69" t="s">
        <v>16138</v>
      </c>
    </row>
    <row r="70" spans="1:22">
      <c r="A70" t="s">
        <v>16296</v>
      </c>
      <c r="B70" t="s">
        <v>16225</v>
      </c>
      <c r="C70" t="s">
        <v>16434</v>
      </c>
      <c r="D70" t="s">
        <v>4479</v>
      </c>
      <c r="E70" s="14" t="s">
        <v>11561</v>
      </c>
      <c r="F70" t="s">
        <v>16227</v>
      </c>
      <c r="G70" s="17" t="str">
        <f>Config!$B$3</f>
        <v>SCH/R_IEC.SchLib</v>
      </c>
      <c r="H70" t="s">
        <v>16149</v>
      </c>
      <c r="I70" s="18" t="s">
        <v>16150</v>
      </c>
      <c r="J70" t="s">
        <v>16319</v>
      </c>
      <c r="M70" s="3">
        <v>1600</v>
      </c>
      <c r="N70" t="s">
        <v>16228</v>
      </c>
      <c r="O70" t="s">
        <v>7496</v>
      </c>
      <c r="P70" t="s">
        <v>16229</v>
      </c>
      <c r="Q70" t="s">
        <v>25</v>
      </c>
      <c r="R70" t="s">
        <v>16230</v>
      </c>
      <c r="S70" t="s">
        <v>7496</v>
      </c>
      <c r="T70" t="s">
        <v>16231</v>
      </c>
      <c r="U70" t="s">
        <v>25</v>
      </c>
      <c r="V70" t="s">
        <v>16232</v>
      </c>
    </row>
    <row r="71" spans="1:22">
      <c r="A71" t="s">
        <v>16297</v>
      </c>
      <c r="B71" t="s">
        <v>16146</v>
      </c>
      <c r="C71" t="s">
        <v>16435</v>
      </c>
      <c r="D71" t="s">
        <v>4479</v>
      </c>
      <c r="E71" s="14" t="s">
        <v>11561</v>
      </c>
      <c r="F71" t="s">
        <v>16132</v>
      </c>
      <c r="G71" s="17" t="str">
        <f>Config!$B$3</f>
        <v>SCH/R_IEC.SchLib</v>
      </c>
      <c r="H71" t="s">
        <v>16149</v>
      </c>
      <c r="I71" s="18" t="s">
        <v>16150</v>
      </c>
      <c r="J71" t="s">
        <v>16319</v>
      </c>
      <c r="M71" s="3">
        <v>2500</v>
      </c>
      <c r="N71" t="s">
        <v>16135</v>
      </c>
      <c r="O71" t="s">
        <v>7496</v>
      </c>
      <c r="P71" t="s">
        <v>16139</v>
      </c>
      <c r="Q71" t="s">
        <v>25</v>
      </c>
      <c r="R71" t="s">
        <v>16140</v>
      </c>
    </row>
    <row r="72" spans="1:22">
      <c r="A72" t="s">
        <v>16298</v>
      </c>
      <c r="B72" t="s">
        <v>16147</v>
      </c>
      <c r="C72" t="s">
        <v>16436</v>
      </c>
      <c r="D72" t="s">
        <v>4479</v>
      </c>
      <c r="E72" s="14" t="s">
        <v>11561</v>
      </c>
      <c r="F72" t="s">
        <v>16133</v>
      </c>
      <c r="G72" s="17" t="str">
        <f>Config!$B$3</f>
        <v>SCH/R_IEC.SchLib</v>
      </c>
      <c r="H72" t="s">
        <v>16149</v>
      </c>
      <c r="I72" s="18" t="s">
        <v>16150</v>
      </c>
      <c r="J72" t="s">
        <v>16319</v>
      </c>
      <c r="M72" s="3">
        <v>3500</v>
      </c>
      <c r="N72" t="s">
        <v>16136</v>
      </c>
      <c r="O72" t="s">
        <v>7496</v>
      </c>
      <c r="P72" t="s">
        <v>16141</v>
      </c>
      <c r="Q72" t="s">
        <v>25</v>
      </c>
      <c r="R72" t="s">
        <v>16142</v>
      </c>
    </row>
    <row r="73" spans="1:22">
      <c r="A73" t="s">
        <v>16299</v>
      </c>
      <c r="B73" t="s">
        <v>16235</v>
      </c>
      <c r="C73" t="s">
        <v>16437</v>
      </c>
      <c r="D73" t="s">
        <v>4479</v>
      </c>
      <c r="E73" s="14" t="s">
        <v>11561</v>
      </c>
      <c r="F73" t="s">
        <v>16233</v>
      </c>
      <c r="G73" s="17" t="str">
        <f>Config!$B$3</f>
        <v>SCH/R_IEC.SchLib</v>
      </c>
      <c r="H73" t="s">
        <v>16149</v>
      </c>
      <c r="I73" s="18" t="s">
        <v>16150</v>
      </c>
      <c r="J73" t="s">
        <v>16319</v>
      </c>
      <c r="M73" s="3">
        <v>4500</v>
      </c>
      <c r="N73" t="s">
        <v>16241</v>
      </c>
      <c r="O73" t="s">
        <v>7496</v>
      </c>
      <c r="P73" t="s">
        <v>16242</v>
      </c>
      <c r="Q73" t="s">
        <v>25</v>
      </c>
      <c r="R73" t="s">
        <v>16243</v>
      </c>
    </row>
    <row r="74" spans="1:22">
      <c r="A74" t="s">
        <v>16300</v>
      </c>
      <c r="B74" t="s">
        <v>16238</v>
      </c>
      <c r="C74" t="s">
        <v>16438</v>
      </c>
      <c r="D74" t="s">
        <v>4479</v>
      </c>
      <c r="E74" s="14" t="s">
        <v>11561</v>
      </c>
      <c r="F74" t="s">
        <v>16240</v>
      </c>
      <c r="G74" s="17" t="str">
        <f>Config!$B$3</f>
        <v>SCH/R_IEC.SchLib</v>
      </c>
      <c r="H74" t="s">
        <v>16149</v>
      </c>
      <c r="I74" s="18" t="s">
        <v>16150</v>
      </c>
      <c r="J74" t="s">
        <v>16319</v>
      </c>
      <c r="M74" s="3">
        <v>5500</v>
      </c>
      <c r="N74" t="s">
        <v>16244</v>
      </c>
      <c r="O74" t="s">
        <v>7496</v>
      </c>
      <c r="P74" t="s">
        <v>16245</v>
      </c>
      <c r="Q74" t="s">
        <v>25</v>
      </c>
      <c r="R74" t="s">
        <v>16246</v>
      </c>
    </row>
    <row r="75" spans="1:22">
      <c r="A75" t="s">
        <v>16301</v>
      </c>
      <c r="B75" t="s">
        <v>16164</v>
      </c>
      <c r="C75" t="s">
        <v>16439</v>
      </c>
      <c r="D75" t="s">
        <v>4479</v>
      </c>
      <c r="E75" s="14" t="s">
        <v>11561</v>
      </c>
      <c r="F75" t="s">
        <v>16148</v>
      </c>
      <c r="G75" s="17" t="str">
        <f>Config!$B$3</f>
        <v>SCH/R_IEC.SchLib</v>
      </c>
      <c r="H75" t="s">
        <v>16149</v>
      </c>
      <c r="I75" s="18" t="s">
        <v>16150</v>
      </c>
      <c r="J75" t="s">
        <v>16319</v>
      </c>
      <c r="M75" s="3">
        <v>800</v>
      </c>
      <c r="N75" t="s">
        <v>16152</v>
      </c>
      <c r="O75" t="s">
        <v>7496</v>
      </c>
      <c r="P75" t="s">
        <v>16153</v>
      </c>
      <c r="Q75" t="s">
        <v>25</v>
      </c>
      <c r="R75" t="s">
        <v>16154</v>
      </c>
      <c r="S75" t="s">
        <v>7496</v>
      </c>
      <c r="T75" t="s">
        <v>16155</v>
      </c>
      <c r="U75" t="s">
        <v>25</v>
      </c>
      <c r="V75" t="s">
        <v>16156</v>
      </c>
    </row>
    <row r="76" spans="1:22">
      <c r="A76" t="s">
        <v>16302</v>
      </c>
      <c r="B76" t="s">
        <v>16143</v>
      </c>
      <c r="C76" t="s">
        <v>16440</v>
      </c>
      <c r="D76" t="s">
        <v>4479</v>
      </c>
      <c r="E76" s="14" t="s">
        <v>11561</v>
      </c>
      <c r="F76" t="s">
        <v>13999</v>
      </c>
      <c r="G76" s="17" t="str">
        <f>Config!$B$3</f>
        <v>SCH/R_IEC.SchLib</v>
      </c>
      <c r="H76" t="s">
        <v>16149</v>
      </c>
      <c r="I76" s="18" t="s">
        <v>16150</v>
      </c>
      <c r="J76" t="s">
        <v>16319</v>
      </c>
      <c r="M76" s="3">
        <v>1000</v>
      </c>
      <c r="N76" t="s">
        <v>16134</v>
      </c>
      <c r="O76" t="s">
        <v>7496</v>
      </c>
      <c r="P76" t="s">
        <v>16157</v>
      </c>
      <c r="Q76" t="s">
        <v>25</v>
      </c>
      <c r="R76" t="s">
        <v>16158</v>
      </c>
      <c r="S76" t="s">
        <v>7496</v>
      </c>
      <c r="T76" t="s">
        <v>16126</v>
      </c>
      <c r="U76" t="s">
        <v>25</v>
      </c>
      <c r="V76" t="s">
        <v>16127</v>
      </c>
    </row>
    <row r="77" spans="1:22">
      <c r="A77" t="s">
        <v>16303</v>
      </c>
      <c r="B77" t="s">
        <v>16144</v>
      </c>
      <c r="C77" t="s">
        <v>16441</v>
      </c>
      <c r="D77" t="s">
        <v>4479</v>
      </c>
      <c r="E77" s="14" t="s">
        <v>11561</v>
      </c>
      <c r="F77" t="s">
        <v>10749</v>
      </c>
      <c r="G77" s="17" t="str">
        <f>Config!$B$3</f>
        <v>SCH/R_IEC.SchLib</v>
      </c>
      <c r="H77" t="s">
        <v>16149</v>
      </c>
      <c r="I77" s="18" t="s">
        <v>16150</v>
      </c>
      <c r="J77" t="s">
        <v>16319</v>
      </c>
      <c r="M77" s="3">
        <v>1200</v>
      </c>
      <c r="N77" t="s">
        <v>16128</v>
      </c>
      <c r="O77" t="s">
        <v>7496</v>
      </c>
      <c r="P77" t="s">
        <v>16129</v>
      </c>
      <c r="Q77" t="s">
        <v>25</v>
      </c>
      <c r="R77" t="s">
        <v>16130</v>
      </c>
    </row>
    <row r="78" spans="1:22">
      <c r="A78" t="s">
        <v>16304</v>
      </c>
      <c r="B78" t="s">
        <v>16145</v>
      </c>
      <c r="C78" t="s">
        <v>16442</v>
      </c>
      <c r="D78" t="s">
        <v>4479</v>
      </c>
      <c r="E78" s="14" t="s">
        <v>11561</v>
      </c>
      <c r="F78" t="s">
        <v>16131</v>
      </c>
      <c r="G78" s="17" t="str">
        <f>Config!$B$3</f>
        <v>SCH/R_IEC.SchLib</v>
      </c>
      <c r="H78" t="s">
        <v>16149</v>
      </c>
      <c r="I78" s="18" t="s">
        <v>16150</v>
      </c>
      <c r="J78" t="s">
        <v>16319</v>
      </c>
      <c r="M78" s="3">
        <v>1400</v>
      </c>
      <c r="N78" t="s">
        <v>16159</v>
      </c>
      <c r="O78" t="s">
        <v>7496</v>
      </c>
      <c r="P78" t="s">
        <v>16160</v>
      </c>
      <c r="Q78" t="s">
        <v>25</v>
      </c>
      <c r="R78" t="s">
        <v>16161</v>
      </c>
      <c r="S78" t="s">
        <v>7496</v>
      </c>
      <c r="T78" t="s">
        <v>16137</v>
      </c>
      <c r="U78" t="s">
        <v>25</v>
      </c>
      <c r="V78" t="s">
        <v>16138</v>
      </c>
    </row>
    <row r="79" spans="1:22">
      <c r="A79" t="s">
        <v>16305</v>
      </c>
      <c r="B79" t="s">
        <v>16225</v>
      </c>
      <c r="C79" t="s">
        <v>16443</v>
      </c>
      <c r="D79" t="s">
        <v>4479</v>
      </c>
      <c r="E79" s="14" t="s">
        <v>11561</v>
      </c>
      <c r="F79" t="s">
        <v>16227</v>
      </c>
      <c r="G79" s="17" t="str">
        <f>Config!$B$3</f>
        <v>SCH/R_IEC.SchLib</v>
      </c>
      <c r="H79" t="s">
        <v>16149</v>
      </c>
      <c r="I79" s="18" t="s">
        <v>16150</v>
      </c>
      <c r="J79" t="s">
        <v>16319</v>
      </c>
      <c r="M79" s="3">
        <v>1600</v>
      </c>
      <c r="N79" t="s">
        <v>16228</v>
      </c>
      <c r="O79" t="s">
        <v>7496</v>
      </c>
      <c r="P79" t="s">
        <v>16229</v>
      </c>
      <c r="Q79" t="s">
        <v>25</v>
      </c>
      <c r="R79" t="s">
        <v>16230</v>
      </c>
      <c r="S79" t="s">
        <v>7496</v>
      </c>
      <c r="T79" t="s">
        <v>16231</v>
      </c>
      <c r="U79" t="s">
        <v>25</v>
      </c>
      <c r="V79" t="s">
        <v>16232</v>
      </c>
    </row>
    <row r="80" spans="1:22">
      <c r="A80" t="s">
        <v>16306</v>
      </c>
      <c r="B80" t="s">
        <v>16146</v>
      </c>
      <c r="C80" t="s">
        <v>16444</v>
      </c>
      <c r="D80" t="s">
        <v>4479</v>
      </c>
      <c r="E80" s="14" t="s">
        <v>11561</v>
      </c>
      <c r="F80" t="s">
        <v>16132</v>
      </c>
      <c r="G80" s="17" t="str">
        <f>Config!$B$3</f>
        <v>SCH/R_IEC.SchLib</v>
      </c>
      <c r="H80" t="s">
        <v>16149</v>
      </c>
      <c r="I80" s="18" t="s">
        <v>16150</v>
      </c>
      <c r="J80" t="s">
        <v>16319</v>
      </c>
      <c r="M80" s="3">
        <v>2500</v>
      </c>
      <c r="N80" t="s">
        <v>16135</v>
      </c>
      <c r="O80" t="s">
        <v>7496</v>
      </c>
      <c r="P80" t="s">
        <v>16139</v>
      </c>
      <c r="Q80" t="s">
        <v>25</v>
      </c>
      <c r="R80" t="s">
        <v>16140</v>
      </c>
    </row>
    <row r="81" spans="1:22">
      <c r="A81" t="s">
        <v>16307</v>
      </c>
      <c r="B81" t="s">
        <v>16147</v>
      </c>
      <c r="C81" t="s">
        <v>16445</v>
      </c>
      <c r="D81" t="s">
        <v>4479</v>
      </c>
      <c r="E81" s="14" t="s">
        <v>11561</v>
      </c>
      <c r="F81" t="s">
        <v>16133</v>
      </c>
      <c r="G81" s="17" t="str">
        <f>Config!$B$3</f>
        <v>SCH/R_IEC.SchLib</v>
      </c>
      <c r="H81" t="s">
        <v>16149</v>
      </c>
      <c r="I81" s="18" t="s">
        <v>16150</v>
      </c>
      <c r="J81" t="s">
        <v>16319</v>
      </c>
      <c r="M81" s="3">
        <v>3500</v>
      </c>
      <c r="N81" t="s">
        <v>16136</v>
      </c>
      <c r="O81" t="s">
        <v>7496</v>
      </c>
      <c r="P81" t="s">
        <v>16141</v>
      </c>
      <c r="Q81" t="s">
        <v>25</v>
      </c>
      <c r="R81" t="s">
        <v>16142</v>
      </c>
    </row>
    <row r="82" spans="1:22">
      <c r="A82" t="s">
        <v>16308</v>
      </c>
      <c r="B82" t="s">
        <v>16235</v>
      </c>
      <c r="C82" t="s">
        <v>16446</v>
      </c>
      <c r="D82" t="s">
        <v>4479</v>
      </c>
      <c r="E82" s="14" t="s">
        <v>11561</v>
      </c>
      <c r="F82" t="s">
        <v>16233</v>
      </c>
      <c r="G82" s="17" t="str">
        <f>Config!$B$3</f>
        <v>SCH/R_IEC.SchLib</v>
      </c>
      <c r="H82" t="s">
        <v>16149</v>
      </c>
      <c r="I82" s="18" t="s">
        <v>16150</v>
      </c>
      <c r="J82" t="s">
        <v>16319</v>
      </c>
      <c r="M82" s="3">
        <v>4500</v>
      </c>
      <c r="N82" t="s">
        <v>16241</v>
      </c>
      <c r="O82" t="s">
        <v>7496</v>
      </c>
      <c r="P82" t="s">
        <v>16242</v>
      </c>
      <c r="Q82" t="s">
        <v>25</v>
      </c>
      <c r="R82" t="s">
        <v>16243</v>
      </c>
    </row>
    <row r="83" spans="1:22">
      <c r="A83" t="s">
        <v>16309</v>
      </c>
      <c r="B83" t="s">
        <v>16238</v>
      </c>
      <c r="C83" t="s">
        <v>16447</v>
      </c>
      <c r="D83" t="s">
        <v>4479</v>
      </c>
      <c r="E83" s="14" t="s">
        <v>11561</v>
      </c>
      <c r="F83" t="s">
        <v>16240</v>
      </c>
      <c r="G83" s="17" t="str">
        <f>Config!$B$3</f>
        <v>SCH/R_IEC.SchLib</v>
      </c>
      <c r="H83" t="s">
        <v>16149</v>
      </c>
      <c r="I83" s="18" t="s">
        <v>16150</v>
      </c>
      <c r="J83" t="s">
        <v>16319</v>
      </c>
      <c r="M83" s="3">
        <v>5500</v>
      </c>
      <c r="N83" t="s">
        <v>16244</v>
      </c>
      <c r="O83" t="s">
        <v>7496</v>
      </c>
      <c r="P83" t="s">
        <v>16245</v>
      </c>
      <c r="Q83" t="s">
        <v>25</v>
      </c>
      <c r="R83" t="s">
        <v>16246</v>
      </c>
    </row>
    <row r="84" spans="1:22">
      <c r="A84" t="s">
        <v>16310</v>
      </c>
      <c r="B84" t="s">
        <v>16164</v>
      </c>
      <c r="C84" t="s">
        <v>16448</v>
      </c>
      <c r="D84" t="s">
        <v>4479</v>
      </c>
      <c r="E84" s="14" t="s">
        <v>11561</v>
      </c>
      <c r="F84" t="s">
        <v>16148</v>
      </c>
      <c r="G84" s="17" t="str">
        <f>Config!$B$3</f>
        <v>SCH/R_IEC.SchLib</v>
      </c>
      <c r="H84" t="s">
        <v>16149</v>
      </c>
      <c r="I84" s="18" t="s">
        <v>16150</v>
      </c>
      <c r="J84" t="s">
        <v>16319</v>
      </c>
      <c r="M84" s="3">
        <v>800</v>
      </c>
      <c r="N84" t="s">
        <v>16152</v>
      </c>
      <c r="O84" t="s">
        <v>7496</v>
      </c>
      <c r="P84" t="s">
        <v>16153</v>
      </c>
      <c r="Q84" t="s">
        <v>25</v>
      </c>
      <c r="R84" t="s">
        <v>16154</v>
      </c>
      <c r="S84" t="s">
        <v>7496</v>
      </c>
      <c r="T84" t="s">
        <v>16155</v>
      </c>
      <c r="U84" t="s">
        <v>25</v>
      </c>
      <c r="V84" t="s">
        <v>16156</v>
      </c>
    </row>
    <row r="85" spans="1:22">
      <c r="A85" t="s">
        <v>16311</v>
      </c>
      <c r="B85" t="s">
        <v>16143</v>
      </c>
      <c r="C85" t="s">
        <v>16449</v>
      </c>
      <c r="D85" t="s">
        <v>4479</v>
      </c>
      <c r="E85" s="14" t="s">
        <v>11561</v>
      </c>
      <c r="F85" t="s">
        <v>13999</v>
      </c>
      <c r="G85" s="17" t="str">
        <f>Config!$B$3</f>
        <v>SCH/R_IEC.SchLib</v>
      </c>
      <c r="H85" t="s">
        <v>16149</v>
      </c>
      <c r="I85" s="18" t="s">
        <v>16150</v>
      </c>
      <c r="J85" t="s">
        <v>16319</v>
      </c>
      <c r="M85" s="3">
        <v>1000</v>
      </c>
      <c r="N85" t="s">
        <v>16134</v>
      </c>
      <c r="O85" t="s">
        <v>7496</v>
      </c>
      <c r="P85" t="s">
        <v>16157</v>
      </c>
      <c r="Q85" t="s">
        <v>25</v>
      </c>
      <c r="R85" t="s">
        <v>16158</v>
      </c>
      <c r="S85" t="s">
        <v>7496</v>
      </c>
      <c r="T85" t="s">
        <v>16126</v>
      </c>
      <c r="U85" t="s">
        <v>25</v>
      </c>
      <c r="V85" t="s">
        <v>16127</v>
      </c>
    </row>
    <row r="86" spans="1:22">
      <c r="A86" t="s">
        <v>16312</v>
      </c>
      <c r="B86" t="s">
        <v>16144</v>
      </c>
      <c r="C86" t="s">
        <v>16450</v>
      </c>
      <c r="D86" t="s">
        <v>4479</v>
      </c>
      <c r="E86" s="14" t="s">
        <v>11561</v>
      </c>
      <c r="F86" t="s">
        <v>10749</v>
      </c>
      <c r="G86" s="17" t="str">
        <f>Config!$B$3</f>
        <v>SCH/R_IEC.SchLib</v>
      </c>
      <c r="H86" t="s">
        <v>16149</v>
      </c>
      <c r="I86" s="18" t="s">
        <v>16150</v>
      </c>
      <c r="J86" t="s">
        <v>16319</v>
      </c>
      <c r="M86" s="3">
        <v>1200</v>
      </c>
      <c r="N86" t="s">
        <v>16128</v>
      </c>
      <c r="O86" t="s">
        <v>7496</v>
      </c>
      <c r="P86" t="s">
        <v>16129</v>
      </c>
      <c r="Q86" t="s">
        <v>25</v>
      </c>
      <c r="R86" t="s">
        <v>16130</v>
      </c>
    </row>
    <row r="87" spans="1:22">
      <c r="A87" t="s">
        <v>16313</v>
      </c>
      <c r="B87" t="s">
        <v>16145</v>
      </c>
      <c r="C87" t="s">
        <v>16451</v>
      </c>
      <c r="D87" t="s">
        <v>4479</v>
      </c>
      <c r="E87" s="14" t="s">
        <v>11561</v>
      </c>
      <c r="F87" t="s">
        <v>16131</v>
      </c>
      <c r="G87" s="17" t="str">
        <f>Config!$B$3</f>
        <v>SCH/R_IEC.SchLib</v>
      </c>
      <c r="H87" t="s">
        <v>16149</v>
      </c>
      <c r="I87" s="18" t="s">
        <v>16150</v>
      </c>
      <c r="J87" t="s">
        <v>16319</v>
      </c>
      <c r="M87" s="3">
        <v>1400</v>
      </c>
      <c r="N87" t="s">
        <v>16159</v>
      </c>
      <c r="O87" t="s">
        <v>7496</v>
      </c>
      <c r="P87" t="s">
        <v>16160</v>
      </c>
      <c r="Q87" t="s">
        <v>25</v>
      </c>
      <c r="R87" t="s">
        <v>16161</v>
      </c>
      <c r="S87" t="s">
        <v>7496</v>
      </c>
      <c r="T87" t="s">
        <v>16137</v>
      </c>
      <c r="U87" t="s">
        <v>25</v>
      </c>
      <c r="V87" t="s">
        <v>16138</v>
      </c>
    </row>
    <row r="88" spans="1:22">
      <c r="A88" t="s">
        <v>16314</v>
      </c>
      <c r="B88" t="s">
        <v>16225</v>
      </c>
      <c r="C88" t="s">
        <v>16452</v>
      </c>
      <c r="D88" t="s">
        <v>4479</v>
      </c>
      <c r="E88" s="14" t="s">
        <v>11561</v>
      </c>
      <c r="F88" t="s">
        <v>16227</v>
      </c>
      <c r="G88" s="17" t="str">
        <f>Config!$B$3</f>
        <v>SCH/R_IEC.SchLib</v>
      </c>
      <c r="H88" t="s">
        <v>16149</v>
      </c>
      <c r="I88" s="18" t="s">
        <v>16150</v>
      </c>
      <c r="J88" t="s">
        <v>16319</v>
      </c>
      <c r="M88" s="3">
        <v>1600</v>
      </c>
      <c r="N88" t="s">
        <v>16228</v>
      </c>
      <c r="O88" t="s">
        <v>7496</v>
      </c>
      <c r="P88" t="s">
        <v>16229</v>
      </c>
      <c r="Q88" t="s">
        <v>25</v>
      </c>
      <c r="R88" t="s">
        <v>16230</v>
      </c>
      <c r="S88" t="s">
        <v>7496</v>
      </c>
      <c r="T88" t="s">
        <v>16231</v>
      </c>
      <c r="U88" t="s">
        <v>25</v>
      </c>
      <c r="V88" t="s">
        <v>16232</v>
      </c>
    </row>
    <row r="89" spans="1:22">
      <c r="A89" t="s">
        <v>16315</v>
      </c>
      <c r="B89" t="s">
        <v>16146</v>
      </c>
      <c r="C89" t="s">
        <v>16453</v>
      </c>
      <c r="D89" t="s">
        <v>4479</v>
      </c>
      <c r="E89" s="14" t="s">
        <v>11561</v>
      </c>
      <c r="F89" t="s">
        <v>16132</v>
      </c>
      <c r="G89" s="17" t="str">
        <f>Config!$B$3</f>
        <v>SCH/R_IEC.SchLib</v>
      </c>
      <c r="H89" t="s">
        <v>16149</v>
      </c>
      <c r="I89" s="18" t="s">
        <v>16150</v>
      </c>
      <c r="J89" t="s">
        <v>16319</v>
      </c>
      <c r="M89" s="3">
        <v>2500</v>
      </c>
      <c r="N89" t="s">
        <v>16135</v>
      </c>
      <c r="O89" t="s">
        <v>7496</v>
      </c>
      <c r="P89" t="s">
        <v>16139</v>
      </c>
      <c r="Q89" t="s">
        <v>25</v>
      </c>
      <c r="R89" t="s">
        <v>16140</v>
      </c>
    </row>
    <row r="90" spans="1:22">
      <c r="A90" t="s">
        <v>16316</v>
      </c>
      <c r="B90" t="s">
        <v>16147</v>
      </c>
      <c r="C90" t="s">
        <v>16454</v>
      </c>
      <c r="D90" t="s">
        <v>4479</v>
      </c>
      <c r="E90" s="14" t="s">
        <v>11561</v>
      </c>
      <c r="F90" t="s">
        <v>16133</v>
      </c>
      <c r="G90" s="17" t="str">
        <f>Config!$B$3</f>
        <v>SCH/R_IEC.SchLib</v>
      </c>
      <c r="H90" t="s">
        <v>16149</v>
      </c>
      <c r="I90" s="18" t="s">
        <v>16150</v>
      </c>
      <c r="J90" t="s">
        <v>16319</v>
      </c>
      <c r="M90" s="3">
        <v>3500</v>
      </c>
      <c r="N90" t="s">
        <v>16136</v>
      </c>
      <c r="O90" t="s">
        <v>7496</v>
      </c>
      <c r="P90" t="s">
        <v>16141</v>
      </c>
      <c r="Q90" t="s">
        <v>25</v>
      </c>
      <c r="R90" t="s">
        <v>16142</v>
      </c>
    </row>
    <row r="91" spans="1:22">
      <c r="A91" t="s">
        <v>16317</v>
      </c>
      <c r="B91" t="s">
        <v>16235</v>
      </c>
      <c r="C91" t="s">
        <v>16455</v>
      </c>
      <c r="D91" t="s">
        <v>4479</v>
      </c>
      <c r="E91" s="14" t="s">
        <v>11561</v>
      </c>
      <c r="F91" t="s">
        <v>16233</v>
      </c>
      <c r="G91" s="17" t="str">
        <f>Config!$B$3</f>
        <v>SCH/R_IEC.SchLib</v>
      </c>
      <c r="H91" t="s">
        <v>16149</v>
      </c>
      <c r="I91" s="18" t="s">
        <v>16150</v>
      </c>
      <c r="J91" t="s">
        <v>16319</v>
      </c>
      <c r="M91" s="3">
        <v>4500</v>
      </c>
      <c r="N91" t="s">
        <v>16241</v>
      </c>
      <c r="O91" t="s">
        <v>7496</v>
      </c>
      <c r="P91" t="s">
        <v>16242</v>
      </c>
      <c r="Q91" t="s">
        <v>25</v>
      </c>
      <c r="R91" t="s">
        <v>16243</v>
      </c>
    </row>
    <row r="92" spans="1:22">
      <c r="A92" t="s">
        <v>16318</v>
      </c>
      <c r="B92" t="s">
        <v>16238</v>
      </c>
      <c r="C92" t="s">
        <v>16456</v>
      </c>
      <c r="D92" t="s">
        <v>4479</v>
      </c>
      <c r="E92" s="14" t="s">
        <v>11561</v>
      </c>
      <c r="F92" t="s">
        <v>16240</v>
      </c>
      <c r="G92" s="17" t="str">
        <f>Config!$B$3</f>
        <v>SCH/R_IEC.SchLib</v>
      </c>
      <c r="H92" t="s">
        <v>16149</v>
      </c>
      <c r="I92" s="18" t="s">
        <v>16150</v>
      </c>
      <c r="J92" t="s">
        <v>16319</v>
      </c>
      <c r="M92" s="3">
        <v>5500</v>
      </c>
      <c r="N92" t="s">
        <v>16244</v>
      </c>
      <c r="O92" t="s">
        <v>7496</v>
      </c>
      <c r="P92" t="s">
        <v>16245</v>
      </c>
      <c r="Q92" t="s">
        <v>25</v>
      </c>
      <c r="R92" t="s">
        <v>16246</v>
      </c>
    </row>
    <row r="94" spans="1:22">
      <c r="A94" t="s">
        <v>16320</v>
      </c>
      <c r="B94" t="s">
        <v>16164</v>
      </c>
      <c r="C94" t="s">
        <v>16457</v>
      </c>
      <c r="D94" t="s">
        <v>4479</v>
      </c>
      <c r="E94" s="14" t="s">
        <v>11561</v>
      </c>
      <c r="F94" t="s">
        <v>16148</v>
      </c>
      <c r="G94" s="17" t="str">
        <f>Config!$B$3</f>
        <v>SCH/R_IEC.SchLib</v>
      </c>
      <c r="H94" t="s">
        <v>16149</v>
      </c>
      <c r="I94" s="18" t="s">
        <v>16150</v>
      </c>
      <c r="J94" t="s">
        <v>16365</v>
      </c>
      <c r="M94" s="3">
        <v>800</v>
      </c>
      <c r="N94" t="s">
        <v>16152</v>
      </c>
      <c r="O94" t="s">
        <v>7496</v>
      </c>
      <c r="P94" t="s">
        <v>16153</v>
      </c>
      <c r="Q94" t="s">
        <v>25</v>
      </c>
      <c r="R94" t="s">
        <v>16154</v>
      </c>
      <c r="S94" t="s">
        <v>7496</v>
      </c>
      <c r="T94" t="s">
        <v>16155</v>
      </c>
      <c r="U94" t="s">
        <v>25</v>
      </c>
      <c r="V94" t="s">
        <v>16156</v>
      </c>
    </row>
    <row r="95" spans="1:22">
      <c r="A95" t="s">
        <v>16321</v>
      </c>
      <c r="B95" t="s">
        <v>16143</v>
      </c>
      <c r="C95" t="s">
        <v>16458</v>
      </c>
      <c r="D95" t="s">
        <v>4479</v>
      </c>
      <c r="E95" s="14" t="s">
        <v>11561</v>
      </c>
      <c r="F95" t="s">
        <v>13999</v>
      </c>
      <c r="G95" s="17" t="str">
        <f>Config!$B$3</f>
        <v>SCH/R_IEC.SchLib</v>
      </c>
      <c r="H95" t="s">
        <v>16149</v>
      </c>
      <c r="I95" s="18" t="s">
        <v>16150</v>
      </c>
      <c r="J95" t="s">
        <v>16365</v>
      </c>
      <c r="M95" s="3">
        <v>1000</v>
      </c>
      <c r="N95" t="s">
        <v>16134</v>
      </c>
      <c r="O95" t="s">
        <v>7496</v>
      </c>
      <c r="P95" t="s">
        <v>16157</v>
      </c>
      <c r="Q95" t="s">
        <v>25</v>
      </c>
      <c r="R95" t="s">
        <v>16158</v>
      </c>
      <c r="S95" t="s">
        <v>7496</v>
      </c>
      <c r="T95" t="s">
        <v>16126</v>
      </c>
      <c r="U95" t="s">
        <v>25</v>
      </c>
      <c r="V95" t="s">
        <v>16127</v>
      </c>
    </row>
    <row r="96" spans="1:22">
      <c r="A96" t="s">
        <v>16322</v>
      </c>
      <c r="B96" t="s">
        <v>16144</v>
      </c>
      <c r="C96" t="s">
        <v>16459</v>
      </c>
      <c r="D96" t="s">
        <v>4479</v>
      </c>
      <c r="E96" s="14" t="s">
        <v>11561</v>
      </c>
      <c r="F96" t="s">
        <v>10749</v>
      </c>
      <c r="G96" s="17" t="str">
        <f>Config!$B$3</f>
        <v>SCH/R_IEC.SchLib</v>
      </c>
      <c r="H96" t="s">
        <v>16149</v>
      </c>
      <c r="I96" s="18" t="s">
        <v>16150</v>
      </c>
      <c r="J96" t="s">
        <v>16365</v>
      </c>
      <c r="M96" s="3">
        <v>1200</v>
      </c>
      <c r="N96" t="s">
        <v>16128</v>
      </c>
      <c r="O96" t="s">
        <v>7496</v>
      </c>
      <c r="P96" t="s">
        <v>16129</v>
      </c>
      <c r="Q96" t="s">
        <v>25</v>
      </c>
      <c r="R96" t="s">
        <v>16130</v>
      </c>
    </row>
    <row r="97" spans="1:22">
      <c r="A97" t="s">
        <v>16323</v>
      </c>
      <c r="B97" t="s">
        <v>16145</v>
      </c>
      <c r="C97" t="s">
        <v>16460</v>
      </c>
      <c r="D97" t="s">
        <v>4479</v>
      </c>
      <c r="E97" s="14" t="s">
        <v>11561</v>
      </c>
      <c r="F97" t="s">
        <v>16131</v>
      </c>
      <c r="G97" s="17" t="str">
        <f>Config!$B$3</f>
        <v>SCH/R_IEC.SchLib</v>
      </c>
      <c r="H97" t="s">
        <v>16149</v>
      </c>
      <c r="I97" s="18" t="s">
        <v>16150</v>
      </c>
      <c r="J97" t="s">
        <v>16365</v>
      </c>
      <c r="M97" s="3">
        <v>1400</v>
      </c>
      <c r="N97" t="s">
        <v>16159</v>
      </c>
      <c r="O97" t="s">
        <v>7496</v>
      </c>
      <c r="P97" t="s">
        <v>16160</v>
      </c>
      <c r="Q97" t="s">
        <v>25</v>
      </c>
      <c r="R97" t="s">
        <v>16161</v>
      </c>
      <c r="S97" t="s">
        <v>7496</v>
      </c>
      <c r="T97" t="s">
        <v>16137</v>
      </c>
      <c r="U97" t="s">
        <v>25</v>
      </c>
      <c r="V97" t="s">
        <v>16138</v>
      </c>
    </row>
    <row r="98" spans="1:22">
      <c r="A98" t="s">
        <v>16324</v>
      </c>
      <c r="B98" t="s">
        <v>16225</v>
      </c>
      <c r="C98" t="s">
        <v>16461</v>
      </c>
      <c r="D98" t="s">
        <v>4479</v>
      </c>
      <c r="E98" s="14" t="s">
        <v>11561</v>
      </c>
      <c r="F98" t="s">
        <v>16227</v>
      </c>
      <c r="G98" s="17" t="str">
        <f>Config!$B$3</f>
        <v>SCH/R_IEC.SchLib</v>
      </c>
      <c r="H98" t="s">
        <v>16149</v>
      </c>
      <c r="I98" s="18" t="s">
        <v>16150</v>
      </c>
      <c r="J98" t="s">
        <v>16365</v>
      </c>
      <c r="M98" s="3">
        <v>1600</v>
      </c>
      <c r="N98" t="s">
        <v>16228</v>
      </c>
      <c r="O98" t="s">
        <v>7496</v>
      </c>
      <c r="P98" t="s">
        <v>16229</v>
      </c>
      <c r="Q98" t="s">
        <v>25</v>
      </c>
      <c r="R98" t="s">
        <v>16230</v>
      </c>
      <c r="S98" t="s">
        <v>7496</v>
      </c>
      <c r="T98" t="s">
        <v>16231</v>
      </c>
      <c r="U98" t="s">
        <v>25</v>
      </c>
      <c r="V98" t="s">
        <v>16232</v>
      </c>
    </row>
    <row r="99" spans="1:22">
      <c r="A99" t="s">
        <v>16325</v>
      </c>
      <c r="B99" t="s">
        <v>16146</v>
      </c>
      <c r="C99" t="s">
        <v>16462</v>
      </c>
      <c r="D99" t="s">
        <v>4479</v>
      </c>
      <c r="E99" s="14" t="s">
        <v>11561</v>
      </c>
      <c r="F99" t="s">
        <v>16132</v>
      </c>
      <c r="G99" s="17" t="str">
        <f>Config!$B$3</f>
        <v>SCH/R_IEC.SchLib</v>
      </c>
      <c r="H99" t="s">
        <v>16149</v>
      </c>
      <c r="I99" s="18" t="s">
        <v>16150</v>
      </c>
      <c r="J99" t="s">
        <v>16365</v>
      </c>
      <c r="M99" s="3">
        <v>2500</v>
      </c>
      <c r="N99" t="s">
        <v>16135</v>
      </c>
      <c r="O99" t="s">
        <v>7496</v>
      </c>
      <c r="P99" t="s">
        <v>16139</v>
      </c>
      <c r="Q99" t="s">
        <v>25</v>
      </c>
      <c r="R99" t="s">
        <v>16140</v>
      </c>
    </row>
    <row r="100" spans="1:22">
      <c r="A100" t="s">
        <v>16326</v>
      </c>
      <c r="B100" t="s">
        <v>16147</v>
      </c>
      <c r="C100" t="s">
        <v>16463</v>
      </c>
      <c r="D100" t="s">
        <v>4479</v>
      </c>
      <c r="E100" s="14" t="s">
        <v>11561</v>
      </c>
      <c r="F100" t="s">
        <v>16133</v>
      </c>
      <c r="G100" s="17" t="str">
        <f>Config!$B$3</f>
        <v>SCH/R_IEC.SchLib</v>
      </c>
      <c r="H100" t="s">
        <v>16149</v>
      </c>
      <c r="I100" s="18" t="s">
        <v>16150</v>
      </c>
      <c r="J100" t="s">
        <v>16365</v>
      </c>
      <c r="M100" s="3">
        <v>3500</v>
      </c>
      <c r="N100" t="s">
        <v>16136</v>
      </c>
      <c r="O100" t="s">
        <v>7496</v>
      </c>
      <c r="P100" t="s">
        <v>16141</v>
      </c>
      <c r="Q100" t="s">
        <v>25</v>
      </c>
      <c r="R100" t="s">
        <v>16142</v>
      </c>
    </row>
    <row r="101" spans="1:22">
      <c r="A101" t="s">
        <v>16327</v>
      </c>
      <c r="B101" t="s">
        <v>16235</v>
      </c>
      <c r="C101" t="s">
        <v>16464</v>
      </c>
      <c r="D101" t="s">
        <v>4479</v>
      </c>
      <c r="E101" s="14" t="s">
        <v>11561</v>
      </c>
      <c r="F101" t="s">
        <v>16233</v>
      </c>
      <c r="G101" s="17" t="str">
        <f>Config!$B$3</f>
        <v>SCH/R_IEC.SchLib</v>
      </c>
      <c r="H101" t="s">
        <v>16149</v>
      </c>
      <c r="I101" s="18" t="s">
        <v>16150</v>
      </c>
      <c r="J101" t="s">
        <v>16365</v>
      </c>
      <c r="M101" s="3">
        <v>4500</v>
      </c>
      <c r="N101" t="s">
        <v>16241</v>
      </c>
      <c r="O101" t="s">
        <v>7496</v>
      </c>
      <c r="P101" t="s">
        <v>16242</v>
      </c>
      <c r="Q101" t="s">
        <v>25</v>
      </c>
      <c r="R101" t="s">
        <v>16243</v>
      </c>
    </row>
    <row r="102" spans="1:22">
      <c r="A102" t="s">
        <v>16328</v>
      </c>
      <c r="B102" t="s">
        <v>16238</v>
      </c>
      <c r="C102" t="s">
        <v>16465</v>
      </c>
      <c r="D102" t="s">
        <v>4479</v>
      </c>
      <c r="E102" s="14" t="s">
        <v>11561</v>
      </c>
      <c r="F102" t="s">
        <v>16240</v>
      </c>
      <c r="G102" s="17" t="str">
        <f>Config!$B$3</f>
        <v>SCH/R_IEC.SchLib</v>
      </c>
      <c r="H102" t="s">
        <v>16149</v>
      </c>
      <c r="I102" s="18" t="s">
        <v>16150</v>
      </c>
      <c r="J102" t="s">
        <v>16365</v>
      </c>
      <c r="M102" s="3">
        <v>5500</v>
      </c>
      <c r="N102" t="s">
        <v>16244</v>
      </c>
      <c r="O102" t="s">
        <v>7496</v>
      </c>
      <c r="P102" t="s">
        <v>16245</v>
      </c>
      <c r="Q102" t="s">
        <v>25</v>
      </c>
      <c r="R102" t="s">
        <v>16246</v>
      </c>
    </row>
    <row r="103" spans="1:22">
      <c r="A103" t="s">
        <v>16329</v>
      </c>
      <c r="B103" t="s">
        <v>16164</v>
      </c>
      <c r="C103" t="s">
        <v>16466</v>
      </c>
      <c r="D103" t="s">
        <v>4479</v>
      </c>
      <c r="E103" s="14" t="s">
        <v>11561</v>
      </c>
      <c r="F103" t="s">
        <v>16148</v>
      </c>
      <c r="G103" s="17" t="str">
        <f>Config!$B$3</f>
        <v>SCH/R_IEC.SchLib</v>
      </c>
      <c r="H103" t="s">
        <v>16149</v>
      </c>
      <c r="I103" s="18" t="s">
        <v>16150</v>
      </c>
      <c r="J103" t="s">
        <v>16365</v>
      </c>
      <c r="M103" s="3">
        <v>800</v>
      </c>
      <c r="N103" t="s">
        <v>16152</v>
      </c>
      <c r="O103" t="s">
        <v>7496</v>
      </c>
      <c r="P103" t="s">
        <v>16153</v>
      </c>
      <c r="Q103" t="s">
        <v>25</v>
      </c>
      <c r="R103" t="s">
        <v>16154</v>
      </c>
      <c r="S103" t="s">
        <v>7496</v>
      </c>
      <c r="T103" t="s">
        <v>16155</v>
      </c>
      <c r="U103" t="s">
        <v>25</v>
      </c>
      <c r="V103" t="s">
        <v>16156</v>
      </c>
    </row>
    <row r="104" spans="1:22">
      <c r="A104" t="s">
        <v>16330</v>
      </c>
      <c r="B104" t="s">
        <v>16143</v>
      </c>
      <c r="C104" t="s">
        <v>16467</v>
      </c>
      <c r="D104" t="s">
        <v>4479</v>
      </c>
      <c r="E104" s="14" t="s">
        <v>11561</v>
      </c>
      <c r="F104" t="s">
        <v>13999</v>
      </c>
      <c r="G104" s="17" t="str">
        <f>Config!$B$3</f>
        <v>SCH/R_IEC.SchLib</v>
      </c>
      <c r="H104" t="s">
        <v>16149</v>
      </c>
      <c r="I104" s="18" t="s">
        <v>16150</v>
      </c>
      <c r="J104" t="s">
        <v>16365</v>
      </c>
      <c r="M104" s="3">
        <v>1000</v>
      </c>
      <c r="N104" t="s">
        <v>16134</v>
      </c>
      <c r="O104" t="s">
        <v>7496</v>
      </c>
      <c r="P104" t="s">
        <v>16157</v>
      </c>
      <c r="Q104" t="s">
        <v>25</v>
      </c>
      <c r="R104" t="s">
        <v>16158</v>
      </c>
      <c r="S104" t="s">
        <v>7496</v>
      </c>
      <c r="T104" t="s">
        <v>16126</v>
      </c>
      <c r="U104" t="s">
        <v>25</v>
      </c>
      <c r="V104" t="s">
        <v>16127</v>
      </c>
    </row>
    <row r="105" spans="1:22">
      <c r="A105" t="s">
        <v>16331</v>
      </c>
      <c r="B105" t="s">
        <v>16144</v>
      </c>
      <c r="C105" t="s">
        <v>16468</v>
      </c>
      <c r="D105" t="s">
        <v>4479</v>
      </c>
      <c r="E105" s="14" t="s">
        <v>11561</v>
      </c>
      <c r="F105" t="s">
        <v>10749</v>
      </c>
      <c r="G105" s="17" t="str">
        <f>Config!$B$3</f>
        <v>SCH/R_IEC.SchLib</v>
      </c>
      <c r="H105" t="s">
        <v>16149</v>
      </c>
      <c r="I105" s="18" t="s">
        <v>16150</v>
      </c>
      <c r="J105" t="s">
        <v>16365</v>
      </c>
      <c r="M105" s="3">
        <v>1200</v>
      </c>
      <c r="N105" t="s">
        <v>16128</v>
      </c>
      <c r="O105" t="s">
        <v>7496</v>
      </c>
      <c r="P105" t="s">
        <v>16129</v>
      </c>
      <c r="Q105" t="s">
        <v>25</v>
      </c>
      <c r="R105" t="s">
        <v>16130</v>
      </c>
    </row>
    <row r="106" spans="1:22">
      <c r="A106" t="s">
        <v>16332</v>
      </c>
      <c r="B106" t="s">
        <v>16145</v>
      </c>
      <c r="C106" t="s">
        <v>16469</v>
      </c>
      <c r="D106" t="s">
        <v>4479</v>
      </c>
      <c r="E106" s="14" t="s">
        <v>11561</v>
      </c>
      <c r="F106" t="s">
        <v>16131</v>
      </c>
      <c r="G106" s="17" t="str">
        <f>Config!$B$3</f>
        <v>SCH/R_IEC.SchLib</v>
      </c>
      <c r="H106" t="s">
        <v>16149</v>
      </c>
      <c r="I106" s="18" t="s">
        <v>16150</v>
      </c>
      <c r="J106" t="s">
        <v>16365</v>
      </c>
      <c r="M106" s="3">
        <v>1400</v>
      </c>
      <c r="N106" t="s">
        <v>16159</v>
      </c>
      <c r="O106" t="s">
        <v>7496</v>
      </c>
      <c r="P106" t="s">
        <v>16160</v>
      </c>
      <c r="Q106" t="s">
        <v>25</v>
      </c>
      <c r="R106" t="s">
        <v>16161</v>
      </c>
      <c r="S106" t="s">
        <v>7496</v>
      </c>
      <c r="T106" t="s">
        <v>16137</v>
      </c>
      <c r="U106" t="s">
        <v>25</v>
      </c>
      <c r="V106" t="s">
        <v>16138</v>
      </c>
    </row>
    <row r="107" spans="1:22">
      <c r="A107" t="s">
        <v>16333</v>
      </c>
      <c r="B107" t="s">
        <v>16225</v>
      </c>
      <c r="C107" t="s">
        <v>16470</v>
      </c>
      <c r="D107" t="s">
        <v>4479</v>
      </c>
      <c r="E107" s="14" t="s">
        <v>11561</v>
      </c>
      <c r="F107" t="s">
        <v>16227</v>
      </c>
      <c r="G107" s="17" t="str">
        <f>Config!$B$3</f>
        <v>SCH/R_IEC.SchLib</v>
      </c>
      <c r="H107" t="s">
        <v>16149</v>
      </c>
      <c r="I107" s="18" t="s">
        <v>16150</v>
      </c>
      <c r="J107" t="s">
        <v>16365</v>
      </c>
      <c r="M107" s="3">
        <v>1600</v>
      </c>
      <c r="N107" t="s">
        <v>16228</v>
      </c>
      <c r="O107" t="s">
        <v>7496</v>
      </c>
      <c r="P107" t="s">
        <v>16229</v>
      </c>
      <c r="Q107" t="s">
        <v>25</v>
      </c>
      <c r="R107" t="s">
        <v>16230</v>
      </c>
      <c r="S107" t="s">
        <v>7496</v>
      </c>
      <c r="T107" t="s">
        <v>16231</v>
      </c>
      <c r="U107" t="s">
        <v>25</v>
      </c>
      <c r="V107" t="s">
        <v>16232</v>
      </c>
    </row>
    <row r="108" spans="1:22">
      <c r="A108" t="s">
        <v>16334</v>
      </c>
      <c r="B108" t="s">
        <v>16146</v>
      </c>
      <c r="C108" t="s">
        <v>16471</v>
      </c>
      <c r="D108" t="s">
        <v>4479</v>
      </c>
      <c r="E108" s="14" t="s">
        <v>11561</v>
      </c>
      <c r="F108" t="s">
        <v>16132</v>
      </c>
      <c r="G108" s="17" t="str">
        <f>Config!$B$3</f>
        <v>SCH/R_IEC.SchLib</v>
      </c>
      <c r="H108" t="s">
        <v>16149</v>
      </c>
      <c r="I108" s="18" t="s">
        <v>16150</v>
      </c>
      <c r="J108" t="s">
        <v>16365</v>
      </c>
      <c r="M108" s="3">
        <v>2500</v>
      </c>
      <c r="N108" t="s">
        <v>16135</v>
      </c>
      <c r="O108" t="s">
        <v>7496</v>
      </c>
      <c r="P108" t="s">
        <v>16139</v>
      </c>
      <c r="Q108" t="s">
        <v>25</v>
      </c>
      <c r="R108" t="s">
        <v>16140</v>
      </c>
    </row>
    <row r="109" spans="1:22">
      <c r="A109" t="s">
        <v>16335</v>
      </c>
      <c r="B109" t="s">
        <v>16147</v>
      </c>
      <c r="C109" t="s">
        <v>16472</v>
      </c>
      <c r="D109" t="s">
        <v>4479</v>
      </c>
      <c r="E109" s="14" t="s">
        <v>11561</v>
      </c>
      <c r="F109" t="s">
        <v>16133</v>
      </c>
      <c r="G109" s="17" t="str">
        <f>Config!$B$3</f>
        <v>SCH/R_IEC.SchLib</v>
      </c>
      <c r="H109" t="s">
        <v>16149</v>
      </c>
      <c r="I109" s="18" t="s">
        <v>16150</v>
      </c>
      <c r="J109" t="s">
        <v>16365</v>
      </c>
      <c r="M109" s="3">
        <v>3500</v>
      </c>
      <c r="N109" t="s">
        <v>16136</v>
      </c>
      <c r="O109" t="s">
        <v>7496</v>
      </c>
      <c r="P109" t="s">
        <v>16141</v>
      </c>
      <c r="Q109" t="s">
        <v>25</v>
      </c>
      <c r="R109" t="s">
        <v>16142</v>
      </c>
    </row>
    <row r="110" spans="1:22">
      <c r="A110" t="s">
        <v>16336</v>
      </c>
      <c r="B110" t="s">
        <v>16235</v>
      </c>
      <c r="C110" t="s">
        <v>16473</v>
      </c>
      <c r="D110" t="s">
        <v>4479</v>
      </c>
      <c r="E110" s="14" t="s">
        <v>11561</v>
      </c>
      <c r="F110" t="s">
        <v>16233</v>
      </c>
      <c r="G110" s="17" t="str">
        <f>Config!$B$3</f>
        <v>SCH/R_IEC.SchLib</v>
      </c>
      <c r="H110" t="s">
        <v>16149</v>
      </c>
      <c r="I110" s="18" t="s">
        <v>16150</v>
      </c>
      <c r="J110" t="s">
        <v>16365</v>
      </c>
      <c r="M110" s="3">
        <v>4500</v>
      </c>
      <c r="N110" t="s">
        <v>16241</v>
      </c>
      <c r="O110" t="s">
        <v>7496</v>
      </c>
      <c r="P110" t="s">
        <v>16242</v>
      </c>
      <c r="Q110" t="s">
        <v>25</v>
      </c>
      <c r="R110" t="s">
        <v>16243</v>
      </c>
    </row>
    <row r="111" spans="1:22">
      <c r="A111" t="s">
        <v>16337</v>
      </c>
      <c r="B111" t="s">
        <v>16238</v>
      </c>
      <c r="C111" t="s">
        <v>16474</v>
      </c>
      <c r="D111" t="s">
        <v>4479</v>
      </c>
      <c r="E111" s="14" t="s">
        <v>11561</v>
      </c>
      <c r="F111" t="s">
        <v>16240</v>
      </c>
      <c r="G111" s="17" t="str">
        <f>Config!$B$3</f>
        <v>SCH/R_IEC.SchLib</v>
      </c>
      <c r="H111" t="s">
        <v>16149</v>
      </c>
      <c r="I111" s="18" t="s">
        <v>16150</v>
      </c>
      <c r="J111" t="s">
        <v>16365</v>
      </c>
      <c r="M111" s="3">
        <v>5500</v>
      </c>
      <c r="N111" t="s">
        <v>16244</v>
      </c>
      <c r="O111" t="s">
        <v>7496</v>
      </c>
      <c r="P111" t="s">
        <v>16245</v>
      </c>
      <c r="Q111" t="s">
        <v>25</v>
      </c>
      <c r="R111" t="s">
        <v>16246</v>
      </c>
    </row>
    <row r="112" spans="1:22">
      <c r="A112" t="s">
        <v>16338</v>
      </c>
      <c r="B112" t="s">
        <v>16164</v>
      </c>
      <c r="C112" t="s">
        <v>16475</v>
      </c>
      <c r="D112" t="s">
        <v>4479</v>
      </c>
      <c r="E112" s="14" t="s">
        <v>11561</v>
      </c>
      <c r="F112" t="s">
        <v>16148</v>
      </c>
      <c r="G112" s="17" t="str">
        <f>Config!$B$3</f>
        <v>SCH/R_IEC.SchLib</v>
      </c>
      <c r="H112" t="s">
        <v>16149</v>
      </c>
      <c r="I112" s="18" t="s">
        <v>16150</v>
      </c>
      <c r="J112" t="s">
        <v>16365</v>
      </c>
      <c r="M112" s="3">
        <v>800</v>
      </c>
      <c r="N112" t="s">
        <v>16152</v>
      </c>
      <c r="O112" t="s">
        <v>7496</v>
      </c>
      <c r="P112" t="s">
        <v>16153</v>
      </c>
      <c r="Q112" t="s">
        <v>25</v>
      </c>
      <c r="R112" t="s">
        <v>16154</v>
      </c>
      <c r="S112" t="s">
        <v>7496</v>
      </c>
      <c r="T112" t="s">
        <v>16155</v>
      </c>
      <c r="U112" t="s">
        <v>25</v>
      </c>
      <c r="V112" t="s">
        <v>16156</v>
      </c>
    </row>
    <row r="113" spans="1:22">
      <c r="A113" t="s">
        <v>16339</v>
      </c>
      <c r="B113" t="s">
        <v>16143</v>
      </c>
      <c r="C113" t="s">
        <v>16476</v>
      </c>
      <c r="D113" t="s">
        <v>4479</v>
      </c>
      <c r="E113" s="14" t="s">
        <v>11561</v>
      </c>
      <c r="F113" t="s">
        <v>13999</v>
      </c>
      <c r="G113" s="17" t="str">
        <f>Config!$B$3</f>
        <v>SCH/R_IEC.SchLib</v>
      </c>
      <c r="H113" t="s">
        <v>16149</v>
      </c>
      <c r="I113" s="18" t="s">
        <v>16150</v>
      </c>
      <c r="J113" t="s">
        <v>16365</v>
      </c>
      <c r="M113" s="3">
        <v>1000</v>
      </c>
      <c r="N113" t="s">
        <v>16134</v>
      </c>
      <c r="O113" t="s">
        <v>7496</v>
      </c>
      <c r="P113" t="s">
        <v>16157</v>
      </c>
      <c r="Q113" t="s">
        <v>25</v>
      </c>
      <c r="R113" t="s">
        <v>16158</v>
      </c>
      <c r="S113" t="s">
        <v>7496</v>
      </c>
      <c r="T113" t="s">
        <v>16126</v>
      </c>
      <c r="U113" t="s">
        <v>25</v>
      </c>
      <c r="V113" t="s">
        <v>16127</v>
      </c>
    </row>
    <row r="114" spans="1:22">
      <c r="A114" t="s">
        <v>16340</v>
      </c>
      <c r="B114" t="s">
        <v>16144</v>
      </c>
      <c r="C114" t="s">
        <v>16477</v>
      </c>
      <c r="D114" t="s">
        <v>4479</v>
      </c>
      <c r="E114" s="14" t="s">
        <v>11561</v>
      </c>
      <c r="F114" t="s">
        <v>10749</v>
      </c>
      <c r="G114" s="17" t="str">
        <f>Config!$B$3</f>
        <v>SCH/R_IEC.SchLib</v>
      </c>
      <c r="H114" t="s">
        <v>16149</v>
      </c>
      <c r="I114" s="18" t="s">
        <v>16150</v>
      </c>
      <c r="J114" t="s">
        <v>16365</v>
      </c>
      <c r="M114" s="3">
        <v>1200</v>
      </c>
      <c r="N114" t="s">
        <v>16128</v>
      </c>
      <c r="O114" t="s">
        <v>7496</v>
      </c>
      <c r="P114" t="s">
        <v>16129</v>
      </c>
      <c r="Q114" t="s">
        <v>25</v>
      </c>
      <c r="R114" t="s">
        <v>16130</v>
      </c>
    </row>
    <row r="115" spans="1:22">
      <c r="A115" t="s">
        <v>16341</v>
      </c>
      <c r="B115" t="s">
        <v>16145</v>
      </c>
      <c r="C115" t="s">
        <v>16478</v>
      </c>
      <c r="D115" t="s">
        <v>4479</v>
      </c>
      <c r="E115" s="14" t="s">
        <v>11561</v>
      </c>
      <c r="F115" t="s">
        <v>16131</v>
      </c>
      <c r="G115" s="17" t="str">
        <f>Config!$B$3</f>
        <v>SCH/R_IEC.SchLib</v>
      </c>
      <c r="H115" t="s">
        <v>16149</v>
      </c>
      <c r="I115" s="18" t="s">
        <v>16150</v>
      </c>
      <c r="J115" t="s">
        <v>16365</v>
      </c>
      <c r="M115" s="3">
        <v>1400</v>
      </c>
      <c r="N115" t="s">
        <v>16159</v>
      </c>
      <c r="O115" t="s">
        <v>7496</v>
      </c>
      <c r="P115" t="s">
        <v>16160</v>
      </c>
      <c r="Q115" t="s">
        <v>25</v>
      </c>
      <c r="R115" t="s">
        <v>16161</v>
      </c>
      <c r="S115" t="s">
        <v>7496</v>
      </c>
      <c r="T115" t="s">
        <v>16137</v>
      </c>
      <c r="U115" t="s">
        <v>25</v>
      </c>
      <c r="V115" t="s">
        <v>16138</v>
      </c>
    </row>
    <row r="116" spans="1:22">
      <c r="A116" t="s">
        <v>16342</v>
      </c>
      <c r="B116" t="s">
        <v>16225</v>
      </c>
      <c r="C116" t="s">
        <v>16479</v>
      </c>
      <c r="D116" t="s">
        <v>4479</v>
      </c>
      <c r="E116" s="14" t="s">
        <v>11561</v>
      </c>
      <c r="F116" t="s">
        <v>16227</v>
      </c>
      <c r="G116" s="17" t="str">
        <f>Config!$B$3</f>
        <v>SCH/R_IEC.SchLib</v>
      </c>
      <c r="H116" t="s">
        <v>16149</v>
      </c>
      <c r="I116" s="18" t="s">
        <v>16150</v>
      </c>
      <c r="J116" t="s">
        <v>16365</v>
      </c>
      <c r="M116" s="3">
        <v>1600</v>
      </c>
      <c r="N116" t="s">
        <v>16228</v>
      </c>
      <c r="O116" t="s">
        <v>7496</v>
      </c>
      <c r="P116" t="s">
        <v>16229</v>
      </c>
      <c r="Q116" t="s">
        <v>25</v>
      </c>
      <c r="R116" t="s">
        <v>16230</v>
      </c>
      <c r="S116" t="s">
        <v>7496</v>
      </c>
      <c r="T116" t="s">
        <v>16231</v>
      </c>
      <c r="U116" t="s">
        <v>25</v>
      </c>
      <c r="V116" t="s">
        <v>16232</v>
      </c>
    </row>
    <row r="117" spans="1:22">
      <c r="A117" t="s">
        <v>16343</v>
      </c>
      <c r="B117" t="s">
        <v>16146</v>
      </c>
      <c r="C117" t="s">
        <v>16480</v>
      </c>
      <c r="D117" t="s">
        <v>4479</v>
      </c>
      <c r="E117" s="14" t="s">
        <v>11561</v>
      </c>
      <c r="F117" t="s">
        <v>16132</v>
      </c>
      <c r="G117" s="17" t="str">
        <f>Config!$B$3</f>
        <v>SCH/R_IEC.SchLib</v>
      </c>
      <c r="H117" t="s">
        <v>16149</v>
      </c>
      <c r="I117" s="18" t="s">
        <v>16150</v>
      </c>
      <c r="J117" t="s">
        <v>16365</v>
      </c>
      <c r="M117" s="3">
        <v>2500</v>
      </c>
      <c r="N117" t="s">
        <v>16135</v>
      </c>
      <c r="O117" t="s">
        <v>7496</v>
      </c>
      <c r="P117" t="s">
        <v>16139</v>
      </c>
      <c r="Q117" t="s">
        <v>25</v>
      </c>
      <c r="R117" t="s">
        <v>16140</v>
      </c>
    </row>
    <row r="118" spans="1:22">
      <c r="A118" t="s">
        <v>16344</v>
      </c>
      <c r="B118" t="s">
        <v>16147</v>
      </c>
      <c r="C118" t="s">
        <v>16481</v>
      </c>
      <c r="D118" t="s">
        <v>4479</v>
      </c>
      <c r="E118" s="14" t="s">
        <v>11561</v>
      </c>
      <c r="F118" t="s">
        <v>16133</v>
      </c>
      <c r="G118" s="17" t="str">
        <f>Config!$B$3</f>
        <v>SCH/R_IEC.SchLib</v>
      </c>
      <c r="H118" t="s">
        <v>16149</v>
      </c>
      <c r="I118" s="18" t="s">
        <v>16150</v>
      </c>
      <c r="J118" t="s">
        <v>16365</v>
      </c>
      <c r="M118" s="3">
        <v>3500</v>
      </c>
      <c r="N118" t="s">
        <v>16136</v>
      </c>
      <c r="O118" t="s">
        <v>7496</v>
      </c>
      <c r="P118" t="s">
        <v>16141</v>
      </c>
      <c r="Q118" t="s">
        <v>25</v>
      </c>
      <c r="R118" t="s">
        <v>16142</v>
      </c>
    </row>
    <row r="119" spans="1:22">
      <c r="A119" t="s">
        <v>16345</v>
      </c>
      <c r="B119" t="s">
        <v>16235</v>
      </c>
      <c r="C119" t="s">
        <v>16482</v>
      </c>
      <c r="D119" t="s">
        <v>4479</v>
      </c>
      <c r="E119" s="14" t="s">
        <v>11561</v>
      </c>
      <c r="F119" t="s">
        <v>16233</v>
      </c>
      <c r="G119" s="17" t="str">
        <f>Config!$B$3</f>
        <v>SCH/R_IEC.SchLib</v>
      </c>
      <c r="H119" t="s">
        <v>16149</v>
      </c>
      <c r="I119" s="18" t="s">
        <v>16150</v>
      </c>
      <c r="J119" t="s">
        <v>16365</v>
      </c>
      <c r="M119" s="3">
        <v>4500</v>
      </c>
      <c r="N119" t="s">
        <v>16241</v>
      </c>
      <c r="O119" t="s">
        <v>7496</v>
      </c>
      <c r="P119" t="s">
        <v>16242</v>
      </c>
      <c r="Q119" t="s">
        <v>25</v>
      </c>
      <c r="R119" t="s">
        <v>16243</v>
      </c>
    </row>
    <row r="120" spans="1:22">
      <c r="A120" t="s">
        <v>16346</v>
      </c>
      <c r="B120" t="s">
        <v>16238</v>
      </c>
      <c r="C120" t="s">
        <v>16483</v>
      </c>
      <c r="D120" t="s">
        <v>4479</v>
      </c>
      <c r="E120" s="14" t="s">
        <v>11561</v>
      </c>
      <c r="F120" t="s">
        <v>16240</v>
      </c>
      <c r="G120" s="17" t="str">
        <f>Config!$B$3</f>
        <v>SCH/R_IEC.SchLib</v>
      </c>
      <c r="H120" t="s">
        <v>16149</v>
      </c>
      <c r="I120" s="18" t="s">
        <v>16150</v>
      </c>
      <c r="J120" t="s">
        <v>16365</v>
      </c>
      <c r="M120" s="3">
        <v>5500</v>
      </c>
      <c r="N120" t="s">
        <v>16244</v>
      </c>
      <c r="O120" t="s">
        <v>7496</v>
      </c>
      <c r="P120" t="s">
        <v>16245</v>
      </c>
      <c r="Q120" t="s">
        <v>25</v>
      </c>
      <c r="R120" t="s">
        <v>16246</v>
      </c>
    </row>
    <row r="121" spans="1:22">
      <c r="A121" t="s">
        <v>16347</v>
      </c>
      <c r="B121" t="s">
        <v>16164</v>
      </c>
      <c r="C121" t="s">
        <v>16484</v>
      </c>
      <c r="D121" t="s">
        <v>4479</v>
      </c>
      <c r="E121" s="14" t="s">
        <v>11561</v>
      </c>
      <c r="F121" t="s">
        <v>16148</v>
      </c>
      <c r="G121" s="17" t="str">
        <f>Config!$B$3</f>
        <v>SCH/R_IEC.SchLib</v>
      </c>
      <c r="H121" t="s">
        <v>16149</v>
      </c>
      <c r="I121" s="18" t="s">
        <v>16150</v>
      </c>
      <c r="J121" t="s">
        <v>16365</v>
      </c>
      <c r="M121" s="3">
        <v>800</v>
      </c>
      <c r="N121" t="s">
        <v>16152</v>
      </c>
      <c r="O121" t="s">
        <v>7496</v>
      </c>
      <c r="P121" t="s">
        <v>16153</v>
      </c>
      <c r="Q121" t="s">
        <v>25</v>
      </c>
      <c r="R121" t="s">
        <v>16154</v>
      </c>
      <c r="S121" t="s">
        <v>7496</v>
      </c>
      <c r="T121" t="s">
        <v>16155</v>
      </c>
      <c r="U121" t="s">
        <v>25</v>
      </c>
      <c r="V121" t="s">
        <v>16156</v>
      </c>
    </row>
    <row r="122" spans="1:22">
      <c r="A122" t="s">
        <v>16348</v>
      </c>
      <c r="B122" t="s">
        <v>16143</v>
      </c>
      <c r="C122" t="s">
        <v>16485</v>
      </c>
      <c r="D122" t="s">
        <v>4479</v>
      </c>
      <c r="E122" s="14" t="s">
        <v>11561</v>
      </c>
      <c r="F122" t="s">
        <v>13999</v>
      </c>
      <c r="G122" s="17" t="str">
        <f>Config!$B$3</f>
        <v>SCH/R_IEC.SchLib</v>
      </c>
      <c r="H122" t="s">
        <v>16149</v>
      </c>
      <c r="I122" s="18" t="s">
        <v>16150</v>
      </c>
      <c r="J122" t="s">
        <v>16365</v>
      </c>
      <c r="M122" s="3">
        <v>1000</v>
      </c>
      <c r="N122" t="s">
        <v>16134</v>
      </c>
      <c r="O122" t="s">
        <v>7496</v>
      </c>
      <c r="P122" t="s">
        <v>16157</v>
      </c>
      <c r="Q122" t="s">
        <v>25</v>
      </c>
      <c r="R122" t="s">
        <v>16158</v>
      </c>
      <c r="S122" t="s">
        <v>7496</v>
      </c>
      <c r="T122" t="s">
        <v>16126</v>
      </c>
      <c r="U122" t="s">
        <v>25</v>
      </c>
      <c r="V122" t="s">
        <v>16127</v>
      </c>
    </row>
    <row r="123" spans="1:22">
      <c r="A123" t="s">
        <v>16349</v>
      </c>
      <c r="B123" t="s">
        <v>16144</v>
      </c>
      <c r="C123" t="s">
        <v>16486</v>
      </c>
      <c r="D123" t="s">
        <v>4479</v>
      </c>
      <c r="E123" s="14" t="s">
        <v>11561</v>
      </c>
      <c r="F123" t="s">
        <v>10749</v>
      </c>
      <c r="G123" s="17" t="str">
        <f>Config!$B$3</f>
        <v>SCH/R_IEC.SchLib</v>
      </c>
      <c r="H123" t="s">
        <v>16149</v>
      </c>
      <c r="I123" s="18" t="s">
        <v>16150</v>
      </c>
      <c r="J123" t="s">
        <v>16365</v>
      </c>
      <c r="M123" s="3">
        <v>1200</v>
      </c>
      <c r="N123" t="s">
        <v>16128</v>
      </c>
      <c r="O123" t="s">
        <v>7496</v>
      </c>
      <c r="P123" t="s">
        <v>16129</v>
      </c>
      <c r="Q123" t="s">
        <v>25</v>
      </c>
      <c r="R123" t="s">
        <v>16130</v>
      </c>
    </row>
    <row r="124" spans="1:22">
      <c r="A124" t="s">
        <v>16350</v>
      </c>
      <c r="B124" t="s">
        <v>16145</v>
      </c>
      <c r="C124" t="s">
        <v>16487</v>
      </c>
      <c r="D124" t="s">
        <v>4479</v>
      </c>
      <c r="E124" s="14" t="s">
        <v>11561</v>
      </c>
      <c r="F124" t="s">
        <v>16131</v>
      </c>
      <c r="G124" s="17" t="str">
        <f>Config!$B$3</f>
        <v>SCH/R_IEC.SchLib</v>
      </c>
      <c r="H124" t="s">
        <v>16149</v>
      </c>
      <c r="I124" s="18" t="s">
        <v>16150</v>
      </c>
      <c r="J124" t="s">
        <v>16365</v>
      </c>
      <c r="M124" s="3">
        <v>1400</v>
      </c>
      <c r="N124" t="s">
        <v>16159</v>
      </c>
      <c r="O124" t="s">
        <v>7496</v>
      </c>
      <c r="P124" t="s">
        <v>16160</v>
      </c>
      <c r="Q124" t="s">
        <v>25</v>
      </c>
      <c r="R124" t="s">
        <v>16161</v>
      </c>
      <c r="S124" t="s">
        <v>7496</v>
      </c>
      <c r="T124" t="s">
        <v>16137</v>
      </c>
      <c r="U124" t="s">
        <v>25</v>
      </c>
      <c r="V124" t="s">
        <v>16138</v>
      </c>
    </row>
    <row r="125" spans="1:22">
      <c r="A125" t="s">
        <v>16351</v>
      </c>
      <c r="B125" t="s">
        <v>16225</v>
      </c>
      <c r="C125" t="s">
        <v>16488</v>
      </c>
      <c r="D125" t="s">
        <v>4479</v>
      </c>
      <c r="E125" s="14" t="s">
        <v>11561</v>
      </c>
      <c r="F125" t="s">
        <v>16227</v>
      </c>
      <c r="G125" s="17" t="str">
        <f>Config!$B$3</f>
        <v>SCH/R_IEC.SchLib</v>
      </c>
      <c r="H125" t="s">
        <v>16149</v>
      </c>
      <c r="I125" s="18" t="s">
        <v>16150</v>
      </c>
      <c r="J125" t="s">
        <v>16365</v>
      </c>
      <c r="M125" s="3">
        <v>1600</v>
      </c>
      <c r="N125" t="s">
        <v>16228</v>
      </c>
      <c r="O125" t="s">
        <v>7496</v>
      </c>
      <c r="P125" t="s">
        <v>16229</v>
      </c>
      <c r="Q125" t="s">
        <v>25</v>
      </c>
      <c r="R125" t="s">
        <v>16230</v>
      </c>
      <c r="S125" t="s">
        <v>7496</v>
      </c>
      <c r="T125" t="s">
        <v>16231</v>
      </c>
      <c r="U125" t="s">
        <v>25</v>
      </c>
      <c r="V125" t="s">
        <v>16232</v>
      </c>
    </row>
    <row r="126" spans="1:22">
      <c r="A126" t="s">
        <v>16352</v>
      </c>
      <c r="B126" t="s">
        <v>16146</v>
      </c>
      <c r="C126" t="s">
        <v>16489</v>
      </c>
      <c r="D126" t="s">
        <v>4479</v>
      </c>
      <c r="E126" s="14" t="s">
        <v>11561</v>
      </c>
      <c r="F126" t="s">
        <v>16132</v>
      </c>
      <c r="G126" s="17" t="str">
        <f>Config!$B$3</f>
        <v>SCH/R_IEC.SchLib</v>
      </c>
      <c r="H126" t="s">
        <v>16149</v>
      </c>
      <c r="I126" s="18" t="s">
        <v>16150</v>
      </c>
      <c r="J126" t="s">
        <v>16365</v>
      </c>
      <c r="M126" s="3">
        <v>2500</v>
      </c>
      <c r="N126" t="s">
        <v>16135</v>
      </c>
      <c r="O126" t="s">
        <v>7496</v>
      </c>
      <c r="P126" t="s">
        <v>16139</v>
      </c>
      <c r="Q126" t="s">
        <v>25</v>
      </c>
      <c r="R126" t="s">
        <v>16140</v>
      </c>
    </row>
    <row r="127" spans="1:22">
      <c r="A127" t="s">
        <v>16353</v>
      </c>
      <c r="B127" t="s">
        <v>16147</v>
      </c>
      <c r="C127" t="s">
        <v>16490</v>
      </c>
      <c r="D127" t="s">
        <v>4479</v>
      </c>
      <c r="E127" s="14" t="s">
        <v>11561</v>
      </c>
      <c r="F127" t="s">
        <v>16133</v>
      </c>
      <c r="G127" s="17" t="str">
        <f>Config!$B$3</f>
        <v>SCH/R_IEC.SchLib</v>
      </c>
      <c r="H127" t="s">
        <v>16149</v>
      </c>
      <c r="I127" s="18" t="s">
        <v>16150</v>
      </c>
      <c r="J127" t="s">
        <v>16365</v>
      </c>
      <c r="M127" s="3">
        <v>3500</v>
      </c>
      <c r="N127" t="s">
        <v>16136</v>
      </c>
      <c r="O127" t="s">
        <v>7496</v>
      </c>
      <c r="P127" t="s">
        <v>16141</v>
      </c>
      <c r="Q127" t="s">
        <v>25</v>
      </c>
      <c r="R127" t="s">
        <v>16142</v>
      </c>
    </row>
    <row r="128" spans="1:22">
      <c r="A128" t="s">
        <v>16354</v>
      </c>
      <c r="B128" t="s">
        <v>16235</v>
      </c>
      <c r="C128" t="s">
        <v>16491</v>
      </c>
      <c r="D128" t="s">
        <v>4479</v>
      </c>
      <c r="E128" s="14" t="s">
        <v>11561</v>
      </c>
      <c r="F128" t="s">
        <v>16233</v>
      </c>
      <c r="G128" s="17" t="str">
        <f>Config!$B$3</f>
        <v>SCH/R_IEC.SchLib</v>
      </c>
      <c r="H128" t="s">
        <v>16149</v>
      </c>
      <c r="I128" s="18" t="s">
        <v>16150</v>
      </c>
      <c r="J128" t="s">
        <v>16365</v>
      </c>
      <c r="M128" s="3">
        <v>4500</v>
      </c>
      <c r="N128" t="s">
        <v>16241</v>
      </c>
      <c r="O128" t="s">
        <v>7496</v>
      </c>
      <c r="P128" t="s">
        <v>16242</v>
      </c>
      <c r="Q128" t="s">
        <v>25</v>
      </c>
      <c r="R128" t="s">
        <v>16243</v>
      </c>
    </row>
    <row r="129" spans="1:22">
      <c r="A129" t="s">
        <v>16355</v>
      </c>
      <c r="B129" t="s">
        <v>16238</v>
      </c>
      <c r="C129" t="s">
        <v>16492</v>
      </c>
      <c r="D129" t="s">
        <v>4479</v>
      </c>
      <c r="E129" s="14" t="s">
        <v>11561</v>
      </c>
      <c r="F129" t="s">
        <v>16240</v>
      </c>
      <c r="G129" s="17" t="str">
        <f>Config!$B$3</f>
        <v>SCH/R_IEC.SchLib</v>
      </c>
      <c r="H129" t="s">
        <v>16149</v>
      </c>
      <c r="I129" s="18" t="s">
        <v>16150</v>
      </c>
      <c r="J129" t="s">
        <v>16365</v>
      </c>
      <c r="M129" s="3">
        <v>5500</v>
      </c>
      <c r="N129" t="s">
        <v>16244</v>
      </c>
      <c r="O129" t="s">
        <v>7496</v>
      </c>
      <c r="P129" t="s">
        <v>16245</v>
      </c>
      <c r="Q129" t="s">
        <v>25</v>
      </c>
      <c r="R129" t="s">
        <v>16246</v>
      </c>
    </row>
    <row r="130" spans="1:22">
      <c r="A130" t="s">
        <v>16356</v>
      </c>
      <c r="B130" t="s">
        <v>16164</v>
      </c>
      <c r="C130" t="s">
        <v>16493</v>
      </c>
      <c r="D130" t="s">
        <v>4479</v>
      </c>
      <c r="E130" s="14" t="s">
        <v>11561</v>
      </c>
      <c r="F130" t="s">
        <v>16148</v>
      </c>
      <c r="G130" s="17" t="str">
        <f>Config!$B$3</f>
        <v>SCH/R_IEC.SchLib</v>
      </c>
      <c r="H130" t="s">
        <v>16149</v>
      </c>
      <c r="I130" s="18" t="s">
        <v>16150</v>
      </c>
      <c r="J130" t="s">
        <v>16365</v>
      </c>
      <c r="M130" s="3">
        <v>800</v>
      </c>
      <c r="N130" t="s">
        <v>16152</v>
      </c>
      <c r="O130" t="s">
        <v>7496</v>
      </c>
      <c r="P130" t="s">
        <v>16153</v>
      </c>
      <c r="Q130" t="s">
        <v>25</v>
      </c>
      <c r="R130" t="s">
        <v>16154</v>
      </c>
      <c r="S130" t="s">
        <v>7496</v>
      </c>
      <c r="T130" t="s">
        <v>16155</v>
      </c>
      <c r="U130" t="s">
        <v>25</v>
      </c>
      <c r="V130" t="s">
        <v>16156</v>
      </c>
    </row>
    <row r="131" spans="1:22">
      <c r="A131" t="s">
        <v>16357</v>
      </c>
      <c r="B131" t="s">
        <v>16143</v>
      </c>
      <c r="C131" t="s">
        <v>16494</v>
      </c>
      <c r="D131" t="s">
        <v>4479</v>
      </c>
      <c r="E131" s="14" t="s">
        <v>11561</v>
      </c>
      <c r="F131" t="s">
        <v>13999</v>
      </c>
      <c r="G131" s="17" t="str">
        <f>Config!$B$3</f>
        <v>SCH/R_IEC.SchLib</v>
      </c>
      <c r="H131" t="s">
        <v>16149</v>
      </c>
      <c r="I131" s="18" t="s">
        <v>16150</v>
      </c>
      <c r="J131" t="s">
        <v>16365</v>
      </c>
      <c r="M131" s="3">
        <v>1000</v>
      </c>
      <c r="N131" t="s">
        <v>16134</v>
      </c>
      <c r="O131" t="s">
        <v>7496</v>
      </c>
      <c r="P131" t="s">
        <v>16157</v>
      </c>
      <c r="Q131" t="s">
        <v>25</v>
      </c>
      <c r="R131" t="s">
        <v>16158</v>
      </c>
      <c r="S131" t="s">
        <v>7496</v>
      </c>
      <c r="T131" t="s">
        <v>16126</v>
      </c>
      <c r="U131" t="s">
        <v>25</v>
      </c>
      <c r="V131" t="s">
        <v>16127</v>
      </c>
    </row>
    <row r="132" spans="1:22">
      <c r="A132" t="s">
        <v>16358</v>
      </c>
      <c r="B132" t="s">
        <v>16144</v>
      </c>
      <c r="C132" t="s">
        <v>16495</v>
      </c>
      <c r="D132" t="s">
        <v>4479</v>
      </c>
      <c r="E132" s="14" t="s">
        <v>11561</v>
      </c>
      <c r="F132" t="s">
        <v>10749</v>
      </c>
      <c r="G132" s="17" t="str">
        <f>Config!$B$3</f>
        <v>SCH/R_IEC.SchLib</v>
      </c>
      <c r="H132" t="s">
        <v>16149</v>
      </c>
      <c r="I132" s="18" t="s">
        <v>16150</v>
      </c>
      <c r="J132" t="s">
        <v>16365</v>
      </c>
      <c r="M132" s="3">
        <v>1200</v>
      </c>
      <c r="N132" t="s">
        <v>16128</v>
      </c>
      <c r="O132" t="s">
        <v>7496</v>
      </c>
      <c r="P132" t="s">
        <v>16129</v>
      </c>
      <c r="Q132" t="s">
        <v>25</v>
      </c>
      <c r="R132" t="s">
        <v>16130</v>
      </c>
    </row>
    <row r="133" spans="1:22">
      <c r="A133" t="s">
        <v>16359</v>
      </c>
      <c r="B133" t="s">
        <v>16145</v>
      </c>
      <c r="C133" t="s">
        <v>16496</v>
      </c>
      <c r="D133" t="s">
        <v>4479</v>
      </c>
      <c r="E133" s="14" t="s">
        <v>11561</v>
      </c>
      <c r="F133" t="s">
        <v>16131</v>
      </c>
      <c r="G133" s="17" t="str">
        <f>Config!$B$3</f>
        <v>SCH/R_IEC.SchLib</v>
      </c>
      <c r="H133" t="s">
        <v>16149</v>
      </c>
      <c r="I133" s="18" t="s">
        <v>16150</v>
      </c>
      <c r="J133" t="s">
        <v>16365</v>
      </c>
      <c r="M133" s="3">
        <v>1400</v>
      </c>
      <c r="N133" t="s">
        <v>16159</v>
      </c>
      <c r="O133" t="s">
        <v>7496</v>
      </c>
      <c r="P133" t="s">
        <v>16160</v>
      </c>
      <c r="Q133" t="s">
        <v>25</v>
      </c>
      <c r="R133" t="s">
        <v>16161</v>
      </c>
      <c r="S133" t="s">
        <v>7496</v>
      </c>
      <c r="T133" t="s">
        <v>16137</v>
      </c>
      <c r="U133" t="s">
        <v>25</v>
      </c>
      <c r="V133" t="s">
        <v>16138</v>
      </c>
    </row>
    <row r="134" spans="1:22">
      <c r="A134" t="s">
        <v>16360</v>
      </c>
      <c r="B134" t="s">
        <v>16225</v>
      </c>
      <c r="C134" t="s">
        <v>16497</v>
      </c>
      <c r="D134" t="s">
        <v>4479</v>
      </c>
      <c r="E134" s="14" t="s">
        <v>11561</v>
      </c>
      <c r="F134" t="s">
        <v>16227</v>
      </c>
      <c r="G134" s="17" t="str">
        <f>Config!$B$3</f>
        <v>SCH/R_IEC.SchLib</v>
      </c>
      <c r="H134" t="s">
        <v>16149</v>
      </c>
      <c r="I134" s="18" t="s">
        <v>16150</v>
      </c>
      <c r="J134" t="s">
        <v>16365</v>
      </c>
      <c r="M134" s="3">
        <v>1600</v>
      </c>
      <c r="N134" t="s">
        <v>16228</v>
      </c>
      <c r="O134" t="s">
        <v>7496</v>
      </c>
      <c r="P134" t="s">
        <v>16229</v>
      </c>
      <c r="Q134" t="s">
        <v>25</v>
      </c>
      <c r="R134" t="s">
        <v>16230</v>
      </c>
      <c r="S134" t="s">
        <v>7496</v>
      </c>
      <c r="T134" t="s">
        <v>16231</v>
      </c>
      <c r="U134" t="s">
        <v>25</v>
      </c>
      <c r="V134" t="s">
        <v>16232</v>
      </c>
    </row>
    <row r="135" spans="1:22">
      <c r="A135" t="s">
        <v>16361</v>
      </c>
      <c r="B135" t="s">
        <v>16146</v>
      </c>
      <c r="C135" t="s">
        <v>16498</v>
      </c>
      <c r="D135" t="s">
        <v>4479</v>
      </c>
      <c r="E135" s="14" t="s">
        <v>11561</v>
      </c>
      <c r="F135" t="s">
        <v>16132</v>
      </c>
      <c r="G135" s="17" t="str">
        <f>Config!$B$3</f>
        <v>SCH/R_IEC.SchLib</v>
      </c>
      <c r="H135" t="s">
        <v>16149</v>
      </c>
      <c r="I135" s="18" t="s">
        <v>16150</v>
      </c>
      <c r="J135" t="s">
        <v>16365</v>
      </c>
      <c r="M135" s="3">
        <v>2500</v>
      </c>
      <c r="N135" t="s">
        <v>16135</v>
      </c>
      <c r="O135" t="s">
        <v>7496</v>
      </c>
      <c r="P135" t="s">
        <v>16139</v>
      </c>
      <c r="Q135" t="s">
        <v>25</v>
      </c>
      <c r="R135" t="s">
        <v>16140</v>
      </c>
    </row>
    <row r="136" spans="1:22">
      <c r="A136" t="s">
        <v>16362</v>
      </c>
      <c r="B136" t="s">
        <v>16147</v>
      </c>
      <c r="C136" t="s">
        <v>16499</v>
      </c>
      <c r="D136" t="s">
        <v>4479</v>
      </c>
      <c r="E136" s="14" t="s">
        <v>11561</v>
      </c>
      <c r="F136" t="s">
        <v>16133</v>
      </c>
      <c r="G136" s="17" t="str">
        <f>Config!$B$3</f>
        <v>SCH/R_IEC.SchLib</v>
      </c>
      <c r="H136" t="s">
        <v>16149</v>
      </c>
      <c r="I136" s="18" t="s">
        <v>16150</v>
      </c>
      <c r="J136" t="s">
        <v>16365</v>
      </c>
      <c r="M136" s="3">
        <v>3500</v>
      </c>
      <c r="N136" t="s">
        <v>16136</v>
      </c>
      <c r="O136" t="s">
        <v>7496</v>
      </c>
      <c r="P136" t="s">
        <v>16141</v>
      </c>
      <c r="Q136" t="s">
        <v>25</v>
      </c>
      <c r="R136" t="s">
        <v>16142</v>
      </c>
    </row>
    <row r="137" spans="1:22">
      <c r="A137" t="s">
        <v>16363</v>
      </c>
      <c r="B137" t="s">
        <v>16235</v>
      </c>
      <c r="C137" t="s">
        <v>16500</v>
      </c>
      <c r="D137" t="s">
        <v>4479</v>
      </c>
      <c r="E137" s="14" t="s">
        <v>11561</v>
      </c>
      <c r="F137" t="s">
        <v>16233</v>
      </c>
      <c r="G137" s="17" t="str">
        <f>Config!$B$3</f>
        <v>SCH/R_IEC.SchLib</v>
      </c>
      <c r="H137" t="s">
        <v>16149</v>
      </c>
      <c r="I137" s="18" t="s">
        <v>16150</v>
      </c>
      <c r="J137" t="s">
        <v>16365</v>
      </c>
      <c r="M137" s="3">
        <v>4500</v>
      </c>
      <c r="N137" t="s">
        <v>16241</v>
      </c>
      <c r="O137" t="s">
        <v>7496</v>
      </c>
      <c r="P137" t="s">
        <v>16242</v>
      </c>
      <c r="Q137" t="s">
        <v>25</v>
      </c>
      <c r="R137" t="s">
        <v>16243</v>
      </c>
    </row>
    <row r="138" spans="1:22">
      <c r="A138" t="s">
        <v>16364</v>
      </c>
      <c r="B138" t="s">
        <v>16238</v>
      </c>
      <c r="C138" t="s">
        <v>16501</v>
      </c>
      <c r="D138" t="s">
        <v>4479</v>
      </c>
      <c r="E138" s="14" t="s">
        <v>11561</v>
      </c>
      <c r="F138" t="s">
        <v>16240</v>
      </c>
      <c r="G138" s="17" t="str">
        <f>Config!$B$3</f>
        <v>SCH/R_IEC.SchLib</v>
      </c>
      <c r="H138" t="s">
        <v>16149</v>
      </c>
      <c r="I138" s="18" t="s">
        <v>16150</v>
      </c>
      <c r="J138" t="s">
        <v>16365</v>
      </c>
      <c r="M138" s="3">
        <v>5500</v>
      </c>
      <c r="N138" t="s">
        <v>16244</v>
      </c>
      <c r="O138" t="s">
        <v>7496</v>
      </c>
      <c r="P138" t="s">
        <v>16245</v>
      </c>
      <c r="Q138" t="s">
        <v>25</v>
      </c>
      <c r="R138" t="s">
        <v>16246</v>
      </c>
    </row>
    <row r="140" spans="1:22">
      <c r="A140" t="s">
        <v>16367</v>
      </c>
      <c r="B140" t="s">
        <v>16164</v>
      </c>
      <c r="C140" t="s">
        <v>16502</v>
      </c>
      <c r="D140" t="s">
        <v>4479</v>
      </c>
      <c r="E140" s="14" t="s">
        <v>11561</v>
      </c>
      <c r="F140" t="s">
        <v>16148</v>
      </c>
      <c r="G140" s="17" t="str">
        <f>Config!$B$3</f>
        <v>SCH/R_IEC.SchLib</v>
      </c>
      <c r="H140" t="s">
        <v>16149</v>
      </c>
      <c r="I140" s="18" t="s">
        <v>16150</v>
      </c>
      <c r="J140" t="s">
        <v>16366</v>
      </c>
      <c r="M140" s="3">
        <v>800</v>
      </c>
      <c r="N140" t="s">
        <v>16152</v>
      </c>
      <c r="O140" t="s">
        <v>7496</v>
      </c>
      <c r="P140" t="s">
        <v>16153</v>
      </c>
      <c r="Q140" t="s">
        <v>25</v>
      </c>
      <c r="R140" t="s">
        <v>16154</v>
      </c>
      <c r="S140" t="s">
        <v>7496</v>
      </c>
      <c r="T140" t="s">
        <v>16155</v>
      </c>
      <c r="U140" t="s">
        <v>25</v>
      </c>
      <c r="V140" t="s">
        <v>16156</v>
      </c>
    </row>
    <row r="141" spans="1:22">
      <c r="A141" t="s">
        <v>16368</v>
      </c>
      <c r="B141" t="s">
        <v>16143</v>
      </c>
      <c r="C141" t="s">
        <v>16503</v>
      </c>
      <c r="D141" t="s">
        <v>4479</v>
      </c>
      <c r="E141" s="14" t="s">
        <v>11561</v>
      </c>
      <c r="F141" t="s">
        <v>13999</v>
      </c>
      <c r="G141" s="17" t="str">
        <f>Config!$B$3</f>
        <v>SCH/R_IEC.SchLib</v>
      </c>
      <c r="H141" t="s">
        <v>16149</v>
      </c>
      <c r="I141" s="18" t="s">
        <v>16150</v>
      </c>
      <c r="J141" t="s">
        <v>16366</v>
      </c>
      <c r="M141" s="3">
        <v>1000</v>
      </c>
      <c r="N141" t="s">
        <v>16134</v>
      </c>
      <c r="O141" t="s">
        <v>7496</v>
      </c>
      <c r="P141" t="s">
        <v>16157</v>
      </c>
      <c r="Q141" t="s">
        <v>25</v>
      </c>
      <c r="R141" t="s">
        <v>16158</v>
      </c>
      <c r="S141" t="s">
        <v>7496</v>
      </c>
      <c r="T141" t="s">
        <v>16126</v>
      </c>
      <c r="U141" t="s">
        <v>25</v>
      </c>
      <c r="V141" t="s">
        <v>16127</v>
      </c>
    </row>
    <row r="142" spans="1:22">
      <c r="A142" t="s">
        <v>16369</v>
      </c>
      <c r="B142" t="s">
        <v>16144</v>
      </c>
      <c r="C142" t="s">
        <v>16504</v>
      </c>
      <c r="D142" t="s">
        <v>4479</v>
      </c>
      <c r="E142" s="14" t="s">
        <v>11561</v>
      </c>
      <c r="F142" t="s">
        <v>10749</v>
      </c>
      <c r="G142" s="17" t="str">
        <f>Config!$B$3</f>
        <v>SCH/R_IEC.SchLib</v>
      </c>
      <c r="H142" t="s">
        <v>16149</v>
      </c>
      <c r="I142" s="18" t="s">
        <v>16150</v>
      </c>
      <c r="J142" t="s">
        <v>16366</v>
      </c>
      <c r="M142" s="3">
        <v>1200</v>
      </c>
      <c r="N142" t="s">
        <v>16128</v>
      </c>
      <c r="O142" t="s">
        <v>7496</v>
      </c>
      <c r="P142" t="s">
        <v>16129</v>
      </c>
      <c r="Q142" t="s">
        <v>25</v>
      </c>
      <c r="R142" t="s">
        <v>16130</v>
      </c>
    </row>
    <row r="143" spans="1:22">
      <c r="A143" t="s">
        <v>16370</v>
      </c>
      <c r="B143" t="s">
        <v>16145</v>
      </c>
      <c r="C143" t="s">
        <v>16505</v>
      </c>
      <c r="D143" t="s">
        <v>4479</v>
      </c>
      <c r="E143" s="14" t="s">
        <v>11561</v>
      </c>
      <c r="F143" t="s">
        <v>16131</v>
      </c>
      <c r="G143" s="17" t="str">
        <f>Config!$B$3</f>
        <v>SCH/R_IEC.SchLib</v>
      </c>
      <c r="H143" t="s">
        <v>16149</v>
      </c>
      <c r="I143" s="18" t="s">
        <v>16150</v>
      </c>
      <c r="J143" t="s">
        <v>16366</v>
      </c>
      <c r="M143" s="3">
        <v>1400</v>
      </c>
      <c r="N143" t="s">
        <v>16159</v>
      </c>
      <c r="O143" t="s">
        <v>7496</v>
      </c>
      <c r="P143" t="s">
        <v>16160</v>
      </c>
      <c r="Q143" t="s">
        <v>25</v>
      </c>
      <c r="R143" t="s">
        <v>16161</v>
      </c>
      <c r="S143" t="s">
        <v>7496</v>
      </c>
      <c r="T143" t="s">
        <v>16137</v>
      </c>
      <c r="U143" t="s">
        <v>25</v>
      </c>
      <c r="V143" t="s">
        <v>16138</v>
      </c>
    </row>
    <row r="144" spans="1:22">
      <c r="A144" t="s">
        <v>16371</v>
      </c>
      <c r="B144" t="s">
        <v>16225</v>
      </c>
      <c r="C144" t="s">
        <v>16506</v>
      </c>
      <c r="D144" t="s">
        <v>4479</v>
      </c>
      <c r="E144" s="14" t="s">
        <v>11561</v>
      </c>
      <c r="F144" t="s">
        <v>16227</v>
      </c>
      <c r="G144" s="17" t="str">
        <f>Config!$B$3</f>
        <v>SCH/R_IEC.SchLib</v>
      </c>
      <c r="H144" t="s">
        <v>16149</v>
      </c>
      <c r="I144" s="18" t="s">
        <v>16150</v>
      </c>
      <c r="J144" t="s">
        <v>16366</v>
      </c>
      <c r="M144" s="3">
        <v>1600</v>
      </c>
      <c r="N144" t="s">
        <v>16228</v>
      </c>
      <c r="O144" t="s">
        <v>7496</v>
      </c>
      <c r="P144" t="s">
        <v>16229</v>
      </c>
      <c r="Q144" t="s">
        <v>25</v>
      </c>
      <c r="R144" t="s">
        <v>16230</v>
      </c>
      <c r="S144" t="s">
        <v>7496</v>
      </c>
      <c r="T144" t="s">
        <v>16231</v>
      </c>
      <c r="U144" t="s">
        <v>25</v>
      </c>
      <c r="V144" t="s">
        <v>16232</v>
      </c>
    </row>
    <row r="145" spans="1:22">
      <c r="A145" t="s">
        <v>16372</v>
      </c>
      <c r="B145" t="s">
        <v>16146</v>
      </c>
      <c r="C145" t="s">
        <v>16507</v>
      </c>
      <c r="D145" t="s">
        <v>4479</v>
      </c>
      <c r="E145" s="14" t="s">
        <v>11561</v>
      </c>
      <c r="F145" t="s">
        <v>16132</v>
      </c>
      <c r="G145" s="17" t="str">
        <f>Config!$B$3</f>
        <v>SCH/R_IEC.SchLib</v>
      </c>
      <c r="H145" t="s">
        <v>16149</v>
      </c>
      <c r="I145" s="18" t="s">
        <v>16150</v>
      </c>
      <c r="J145" t="s">
        <v>16366</v>
      </c>
      <c r="M145" s="3">
        <v>2500</v>
      </c>
      <c r="N145" t="s">
        <v>16135</v>
      </c>
      <c r="O145" t="s">
        <v>7496</v>
      </c>
      <c r="P145" t="s">
        <v>16139</v>
      </c>
      <c r="Q145" t="s">
        <v>25</v>
      </c>
      <c r="R145" t="s">
        <v>16140</v>
      </c>
    </row>
    <row r="146" spans="1:22">
      <c r="A146" t="s">
        <v>16373</v>
      </c>
      <c r="B146" t="s">
        <v>16147</v>
      </c>
      <c r="C146" t="s">
        <v>16508</v>
      </c>
      <c r="D146" t="s">
        <v>4479</v>
      </c>
      <c r="E146" s="14" t="s">
        <v>11561</v>
      </c>
      <c r="F146" t="s">
        <v>16133</v>
      </c>
      <c r="G146" s="17" t="str">
        <f>Config!$B$3</f>
        <v>SCH/R_IEC.SchLib</v>
      </c>
      <c r="H146" t="s">
        <v>16149</v>
      </c>
      <c r="I146" s="18" t="s">
        <v>16150</v>
      </c>
      <c r="J146" t="s">
        <v>16366</v>
      </c>
      <c r="M146" s="3">
        <v>3500</v>
      </c>
      <c r="N146" t="s">
        <v>16136</v>
      </c>
      <c r="O146" t="s">
        <v>7496</v>
      </c>
      <c r="P146" t="s">
        <v>16141</v>
      </c>
      <c r="Q146" t="s">
        <v>25</v>
      </c>
      <c r="R146" t="s">
        <v>16142</v>
      </c>
    </row>
    <row r="147" spans="1:22">
      <c r="A147" t="s">
        <v>16374</v>
      </c>
      <c r="B147" t="s">
        <v>16235</v>
      </c>
      <c r="C147" t="s">
        <v>16509</v>
      </c>
      <c r="D147" t="s">
        <v>4479</v>
      </c>
      <c r="E147" s="14" t="s">
        <v>11561</v>
      </c>
      <c r="F147" t="s">
        <v>16233</v>
      </c>
      <c r="G147" s="17" t="str">
        <f>Config!$B$3</f>
        <v>SCH/R_IEC.SchLib</v>
      </c>
      <c r="H147" t="s">
        <v>16149</v>
      </c>
      <c r="I147" s="18" t="s">
        <v>16150</v>
      </c>
      <c r="J147" t="s">
        <v>16366</v>
      </c>
      <c r="M147" s="3">
        <v>4500</v>
      </c>
      <c r="N147" t="s">
        <v>16241</v>
      </c>
      <c r="O147" t="s">
        <v>7496</v>
      </c>
      <c r="P147" t="s">
        <v>16242</v>
      </c>
      <c r="Q147" t="s">
        <v>25</v>
      </c>
      <c r="R147" t="s">
        <v>16243</v>
      </c>
    </row>
    <row r="148" spans="1:22">
      <c r="A148" t="s">
        <v>16375</v>
      </c>
      <c r="B148" t="s">
        <v>16238</v>
      </c>
      <c r="C148" t="s">
        <v>16510</v>
      </c>
      <c r="D148" t="s">
        <v>4479</v>
      </c>
      <c r="E148" s="14" t="s">
        <v>11561</v>
      </c>
      <c r="F148" t="s">
        <v>16240</v>
      </c>
      <c r="G148" s="17" t="str">
        <f>Config!$B$3</f>
        <v>SCH/R_IEC.SchLib</v>
      </c>
      <c r="H148" t="s">
        <v>16149</v>
      </c>
      <c r="I148" s="18" t="s">
        <v>16150</v>
      </c>
      <c r="J148" t="s">
        <v>16366</v>
      </c>
      <c r="M148" s="3">
        <v>5500</v>
      </c>
      <c r="N148" t="s">
        <v>16244</v>
      </c>
      <c r="O148" t="s">
        <v>7496</v>
      </c>
      <c r="P148" t="s">
        <v>16245</v>
      </c>
      <c r="Q148" t="s">
        <v>25</v>
      </c>
      <c r="R148" t="s">
        <v>16246</v>
      </c>
    </row>
    <row r="149" spans="1:22">
      <c r="A149" t="s">
        <v>16376</v>
      </c>
      <c r="B149" t="s">
        <v>16164</v>
      </c>
      <c r="C149" t="s">
        <v>16511</v>
      </c>
      <c r="D149" t="s">
        <v>4479</v>
      </c>
      <c r="E149" s="14" t="s">
        <v>11561</v>
      </c>
      <c r="F149" t="s">
        <v>16148</v>
      </c>
      <c r="G149" s="17" t="str">
        <f>Config!$B$3</f>
        <v>SCH/R_IEC.SchLib</v>
      </c>
      <c r="H149" t="s">
        <v>16149</v>
      </c>
      <c r="I149" s="18" t="s">
        <v>16150</v>
      </c>
      <c r="J149" t="s">
        <v>16366</v>
      </c>
      <c r="M149" s="3">
        <v>800</v>
      </c>
      <c r="N149" t="s">
        <v>16152</v>
      </c>
      <c r="O149" t="s">
        <v>7496</v>
      </c>
      <c r="P149" t="s">
        <v>16153</v>
      </c>
      <c r="Q149" t="s">
        <v>25</v>
      </c>
      <c r="R149" t="s">
        <v>16154</v>
      </c>
      <c r="S149" t="s">
        <v>7496</v>
      </c>
      <c r="T149" t="s">
        <v>16155</v>
      </c>
      <c r="U149" t="s">
        <v>25</v>
      </c>
      <c r="V149" t="s">
        <v>16156</v>
      </c>
    </row>
    <row r="150" spans="1:22">
      <c r="A150" t="s">
        <v>16377</v>
      </c>
      <c r="B150" t="s">
        <v>16143</v>
      </c>
      <c r="C150" t="s">
        <v>16512</v>
      </c>
      <c r="D150" t="s">
        <v>4479</v>
      </c>
      <c r="E150" s="14" t="s">
        <v>11561</v>
      </c>
      <c r="F150" t="s">
        <v>13999</v>
      </c>
      <c r="G150" s="17" t="str">
        <f>Config!$B$3</f>
        <v>SCH/R_IEC.SchLib</v>
      </c>
      <c r="H150" t="s">
        <v>16149</v>
      </c>
      <c r="I150" s="18" t="s">
        <v>16150</v>
      </c>
      <c r="J150" t="s">
        <v>16366</v>
      </c>
      <c r="M150" s="3">
        <v>1000</v>
      </c>
      <c r="N150" t="s">
        <v>16134</v>
      </c>
      <c r="O150" t="s">
        <v>7496</v>
      </c>
      <c r="P150" t="s">
        <v>16157</v>
      </c>
      <c r="Q150" t="s">
        <v>25</v>
      </c>
      <c r="R150" t="s">
        <v>16158</v>
      </c>
      <c r="S150" t="s">
        <v>7496</v>
      </c>
      <c r="T150" t="s">
        <v>16126</v>
      </c>
      <c r="U150" t="s">
        <v>25</v>
      </c>
      <c r="V150" t="s">
        <v>16127</v>
      </c>
    </row>
    <row r="151" spans="1:22">
      <c r="A151" t="s">
        <v>16378</v>
      </c>
      <c r="B151" t="s">
        <v>16144</v>
      </c>
      <c r="C151" t="s">
        <v>16513</v>
      </c>
      <c r="D151" t="s">
        <v>4479</v>
      </c>
      <c r="E151" s="14" t="s">
        <v>11561</v>
      </c>
      <c r="F151" t="s">
        <v>10749</v>
      </c>
      <c r="G151" s="17" t="str">
        <f>Config!$B$3</f>
        <v>SCH/R_IEC.SchLib</v>
      </c>
      <c r="H151" t="s">
        <v>16149</v>
      </c>
      <c r="I151" s="18" t="s">
        <v>16150</v>
      </c>
      <c r="J151" t="s">
        <v>16366</v>
      </c>
      <c r="M151" s="3">
        <v>1200</v>
      </c>
      <c r="N151" t="s">
        <v>16128</v>
      </c>
      <c r="O151" t="s">
        <v>7496</v>
      </c>
      <c r="P151" t="s">
        <v>16129</v>
      </c>
      <c r="Q151" t="s">
        <v>25</v>
      </c>
      <c r="R151" t="s">
        <v>16130</v>
      </c>
    </row>
    <row r="152" spans="1:22">
      <c r="A152" t="s">
        <v>16379</v>
      </c>
      <c r="B152" t="s">
        <v>16145</v>
      </c>
      <c r="C152" t="s">
        <v>16514</v>
      </c>
      <c r="D152" t="s">
        <v>4479</v>
      </c>
      <c r="E152" s="14" t="s">
        <v>11561</v>
      </c>
      <c r="F152" t="s">
        <v>16131</v>
      </c>
      <c r="G152" s="17" t="str">
        <f>Config!$B$3</f>
        <v>SCH/R_IEC.SchLib</v>
      </c>
      <c r="H152" t="s">
        <v>16149</v>
      </c>
      <c r="I152" s="18" t="s">
        <v>16150</v>
      </c>
      <c r="J152" t="s">
        <v>16366</v>
      </c>
      <c r="M152" s="3">
        <v>1400</v>
      </c>
      <c r="N152" t="s">
        <v>16159</v>
      </c>
      <c r="O152" t="s">
        <v>7496</v>
      </c>
      <c r="P152" t="s">
        <v>16160</v>
      </c>
      <c r="Q152" t="s">
        <v>25</v>
      </c>
      <c r="R152" t="s">
        <v>16161</v>
      </c>
      <c r="S152" t="s">
        <v>7496</v>
      </c>
      <c r="T152" t="s">
        <v>16137</v>
      </c>
      <c r="U152" t="s">
        <v>25</v>
      </c>
      <c r="V152" t="s">
        <v>16138</v>
      </c>
    </row>
    <row r="153" spans="1:22">
      <c r="A153" t="s">
        <v>16380</v>
      </c>
      <c r="B153" t="s">
        <v>16225</v>
      </c>
      <c r="C153" t="s">
        <v>16515</v>
      </c>
      <c r="D153" t="s">
        <v>4479</v>
      </c>
      <c r="E153" s="14" t="s">
        <v>11561</v>
      </c>
      <c r="F153" t="s">
        <v>16227</v>
      </c>
      <c r="G153" s="17" t="str">
        <f>Config!$B$3</f>
        <v>SCH/R_IEC.SchLib</v>
      </c>
      <c r="H153" t="s">
        <v>16149</v>
      </c>
      <c r="I153" s="18" t="s">
        <v>16150</v>
      </c>
      <c r="J153" t="s">
        <v>16366</v>
      </c>
      <c r="M153" s="3">
        <v>1600</v>
      </c>
      <c r="N153" t="s">
        <v>16228</v>
      </c>
      <c r="O153" t="s">
        <v>7496</v>
      </c>
      <c r="P153" t="s">
        <v>16229</v>
      </c>
      <c r="Q153" t="s">
        <v>25</v>
      </c>
      <c r="R153" t="s">
        <v>16230</v>
      </c>
      <c r="S153" t="s">
        <v>7496</v>
      </c>
      <c r="T153" t="s">
        <v>16231</v>
      </c>
      <c r="U153" t="s">
        <v>25</v>
      </c>
      <c r="V153" t="s">
        <v>16232</v>
      </c>
    </row>
    <row r="154" spans="1:22">
      <c r="A154" t="s">
        <v>16381</v>
      </c>
      <c r="B154" t="s">
        <v>16146</v>
      </c>
      <c r="C154" t="s">
        <v>16516</v>
      </c>
      <c r="D154" t="s">
        <v>4479</v>
      </c>
      <c r="E154" s="14" t="s">
        <v>11561</v>
      </c>
      <c r="F154" t="s">
        <v>16132</v>
      </c>
      <c r="G154" s="17" t="str">
        <f>Config!$B$3</f>
        <v>SCH/R_IEC.SchLib</v>
      </c>
      <c r="H154" t="s">
        <v>16149</v>
      </c>
      <c r="I154" s="18" t="s">
        <v>16150</v>
      </c>
      <c r="J154" t="s">
        <v>16366</v>
      </c>
      <c r="M154" s="3">
        <v>2500</v>
      </c>
      <c r="N154" t="s">
        <v>16135</v>
      </c>
      <c r="O154" t="s">
        <v>7496</v>
      </c>
      <c r="P154" t="s">
        <v>16139</v>
      </c>
      <c r="Q154" t="s">
        <v>25</v>
      </c>
      <c r="R154" t="s">
        <v>16140</v>
      </c>
    </row>
    <row r="155" spans="1:22">
      <c r="A155" t="s">
        <v>16382</v>
      </c>
      <c r="B155" t="s">
        <v>16147</v>
      </c>
      <c r="C155" t="s">
        <v>16517</v>
      </c>
      <c r="D155" t="s">
        <v>4479</v>
      </c>
      <c r="E155" s="14" t="s">
        <v>11561</v>
      </c>
      <c r="F155" t="s">
        <v>16133</v>
      </c>
      <c r="G155" s="17" t="str">
        <f>Config!$B$3</f>
        <v>SCH/R_IEC.SchLib</v>
      </c>
      <c r="H155" t="s">
        <v>16149</v>
      </c>
      <c r="I155" s="18" t="s">
        <v>16150</v>
      </c>
      <c r="J155" t="s">
        <v>16366</v>
      </c>
      <c r="M155" s="3">
        <v>3500</v>
      </c>
      <c r="N155" t="s">
        <v>16136</v>
      </c>
      <c r="O155" t="s">
        <v>7496</v>
      </c>
      <c r="P155" t="s">
        <v>16141</v>
      </c>
      <c r="Q155" t="s">
        <v>25</v>
      </c>
      <c r="R155" t="s">
        <v>16142</v>
      </c>
    </row>
    <row r="156" spans="1:22">
      <c r="A156" t="s">
        <v>16383</v>
      </c>
      <c r="B156" t="s">
        <v>16235</v>
      </c>
      <c r="C156" t="s">
        <v>16518</v>
      </c>
      <c r="D156" t="s">
        <v>4479</v>
      </c>
      <c r="E156" s="14" t="s">
        <v>11561</v>
      </c>
      <c r="F156" t="s">
        <v>16233</v>
      </c>
      <c r="G156" s="17" t="str">
        <f>Config!$B$3</f>
        <v>SCH/R_IEC.SchLib</v>
      </c>
      <c r="H156" t="s">
        <v>16149</v>
      </c>
      <c r="I156" s="18" t="s">
        <v>16150</v>
      </c>
      <c r="J156" t="s">
        <v>16366</v>
      </c>
      <c r="M156" s="3">
        <v>4500</v>
      </c>
      <c r="N156" t="s">
        <v>16241</v>
      </c>
      <c r="O156" t="s">
        <v>7496</v>
      </c>
      <c r="P156" t="s">
        <v>16242</v>
      </c>
      <c r="Q156" t="s">
        <v>25</v>
      </c>
      <c r="R156" t="s">
        <v>16243</v>
      </c>
    </row>
    <row r="157" spans="1:22">
      <c r="A157" t="s">
        <v>16384</v>
      </c>
      <c r="B157" t="s">
        <v>16238</v>
      </c>
      <c r="C157" t="s">
        <v>16519</v>
      </c>
      <c r="D157" t="s">
        <v>4479</v>
      </c>
      <c r="E157" s="14" t="s">
        <v>11561</v>
      </c>
      <c r="F157" t="s">
        <v>16240</v>
      </c>
      <c r="G157" s="17" t="str">
        <f>Config!$B$3</f>
        <v>SCH/R_IEC.SchLib</v>
      </c>
      <c r="H157" t="s">
        <v>16149</v>
      </c>
      <c r="I157" s="18" t="s">
        <v>16150</v>
      </c>
      <c r="J157" t="s">
        <v>16366</v>
      </c>
      <c r="M157" s="3">
        <v>5500</v>
      </c>
      <c r="N157" t="s">
        <v>16244</v>
      </c>
      <c r="O157" t="s">
        <v>7496</v>
      </c>
      <c r="P157" t="s">
        <v>16245</v>
      </c>
      <c r="Q157" t="s">
        <v>25</v>
      </c>
      <c r="R157" t="s">
        <v>16246</v>
      </c>
    </row>
    <row r="158" spans="1:22">
      <c r="A158" t="s">
        <v>16385</v>
      </c>
      <c r="B158" t="s">
        <v>16164</v>
      </c>
      <c r="C158" t="s">
        <v>16520</v>
      </c>
      <c r="D158" t="s">
        <v>4479</v>
      </c>
      <c r="E158" s="14" t="s">
        <v>11561</v>
      </c>
      <c r="F158" t="s">
        <v>16148</v>
      </c>
      <c r="G158" s="17" t="str">
        <f>Config!$B$3</f>
        <v>SCH/R_IEC.SchLib</v>
      </c>
      <c r="H158" t="s">
        <v>16149</v>
      </c>
      <c r="I158" s="18" t="s">
        <v>16150</v>
      </c>
      <c r="J158" t="s">
        <v>16366</v>
      </c>
      <c r="M158" s="3">
        <v>800</v>
      </c>
      <c r="N158" t="s">
        <v>16152</v>
      </c>
      <c r="O158" t="s">
        <v>7496</v>
      </c>
      <c r="P158" t="s">
        <v>16153</v>
      </c>
      <c r="Q158" t="s">
        <v>25</v>
      </c>
      <c r="R158" t="s">
        <v>16154</v>
      </c>
      <c r="S158" t="s">
        <v>7496</v>
      </c>
      <c r="T158" t="s">
        <v>16155</v>
      </c>
      <c r="U158" t="s">
        <v>25</v>
      </c>
      <c r="V158" t="s">
        <v>16156</v>
      </c>
    </row>
    <row r="159" spans="1:22">
      <c r="A159" t="s">
        <v>16386</v>
      </c>
      <c r="B159" t="s">
        <v>16143</v>
      </c>
      <c r="C159" t="s">
        <v>16521</v>
      </c>
      <c r="D159" t="s">
        <v>4479</v>
      </c>
      <c r="E159" s="14" t="s">
        <v>11561</v>
      </c>
      <c r="F159" t="s">
        <v>13999</v>
      </c>
      <c r="G159" s="17" t="str">
        <f>Config!$B$3</f>
        <v>SCH/R_IEC.SchLib</v>
      </c>
      <c r="H159" t="s">
        <v>16149</v>
      </c>
      <c r="I159" s="18" t="s">
        <v>16150</v>
      </c>
      <c r="J159" t="s">
        <v>16366</v>
      </c>
      <c r="M159" s="3">
        <v>1000</v>
      </c>
      <c r="N159" t="s">
        <v>16134</v>
      </c>
      <c r="O159" t="s">
        <v>7496</v>
      </c>
      <c r="P159" t="s">
        <v>16157</v>
      </c>
      <c r="Q159" t="s">
        <v>25</v>
      </c>
      <c r="R159" t="s">
        <v>16158</v>
      </c>
      <c r="S159" t="s">
        <v>7496</v>
      </c>
      <c r="T159" t="s">
        <v>16126</v>
      </c>
      <c r="U159" t="s">
        <v>25</v>
      </c>
      <c r="V159" t="s">
        <v>16127</v>
      </c>
    </row>
    <row r="160" spans="1:22">
      <c r="A160" t="s">
        <v>16387</v>
      </c>
      <c r="B160" t="s">
        <v>16144</v>
      </c>
      <c r="C160" t="s">
        <v>16522</v>
      </c>
      <c r="D160" t="s">
        <v>4479</v>
      </c>
      <c r="E160" s="14" t="s">
        <v>11561</v>
      </c>
      <c r="F160" t="s">
        <v>10749</v>
      </c>
      <c r="G160" s="17" t="str">
        <f>Config!$B$3</f>
        <v>SCH/R_IEC.SchLib</v>
      </c>
      <c r="H160" t="s">
        <v>16149</v>
      </c>
      <c r="I160" s="18" t="s">
        <v>16150</v>
      </c>
      <c r="J160" t="s">
        <v>16366</v>
      </c>
      <c r="M160" s="3">
        <v>1200</v>
      </c>
      <c r="N160" t="s">
        <v>16128</v>
      </c>
      <c r="O160" t="s">
        <v>7496</v>
      </c>
      <c r="P160" t="s">
        <v>16129</v>
      </c>
      <c r="Q160" t="s">
        <v>25</v>
      </c>
      <c r="R160" t="s">
        <v>16130</v>
      </c>
    </row>
    <row r="161" spans="1:22">
      <c r="A161" t="s">
        <v>16388</v>
      </c>
      <c r="B161" t="s">
        <v>16145</v>
      </c>
      <c r="C161" t="s">
        <v>16523</v>
      </c>
      <c r="D161" t="s">
        <v>4479</v>
      </c>
      <c r="E161" s="14" t="s">
        <v>11561</v>
      </c>
      <c r="F161" t="s">
        <v>16131</v>
      </c>
      <c r="G161" s="17" t="str">
        <f>Config!$B$3</f>
        <v>SCH/R_IEC.SchLib</v>
      </c>
      <c r="H161" t="s">
        <v>16149</v>
      </c>
      <c r="I161" s="18" t="s">
        <v>16150</v>
      </c>
      <c r="J161" t="s">
        <v>16366</v>
      </c>
      <c r="M161" s="3">
        <v>1400</v>
      </c>
      <c r="N161" t="s">
        <v>16159</v>
      </c>
      <c r="O161" t="s">
        <v>7496</v>
      </c>
      <c r="P161" t="s">
        <v>16160</v>
      </c>
      <c r="Q161" t="s">
        <v>25</v>
      </c>
      <c r="R161" t="s">
        <v>16161</v>
      </c>
      <c r="S161" t="s">
        <v>7496</v>
      </c>
      <c r="T161" t="s">
        <v>16137</v>
      </c>
      <c r="U161" t="s">
        <v>25</v>
      </c>
      <c r="V161" t="s">
        <v>16138</v>
      </c>
    </row>
    <row r="162" spans="1:22">
      <c r="A162" t="s">
        <v>16389</v>
      </c>
      <c r="B162" t="s">
        <v>16225</v>
      </c>
      <c r="C162" t="s">
        <v>16524</v>
      </c>
      <c r="D162" t="s">
        <v>4479</v>
      </c>
      <c r="E162" s="14" t="s">
        <v>11561</v>
      </c>
      <c r="F162" t="s">
        <v>16227</v>
      </c>
      <c r="G162" s="17" t="str">
        <f>Config!$B$3</f>
        <v>SCH/R_IEC.SchLib</v>
      </c>
      <c r="H162" t="s">
        <v>16149</v>
      </c>
      <c r="I162" s="18" t="s">
        <v>16150</v>
      </c>
      <c r="J162" t="s">
        <v>16366</v>
      </c>
      <c r="M162" s="3">
        <v>1600</v>
      </c>
      <c r="N162" t="s">
        <v>16228</v>
      </c>
      <c r="O162" t="s">
        <v>7496</v>
      </c>
      <c r="P162" t="s">
        <v>16229</v>
      </c>
      <c r="Q162" t="s">
        <v>25</v>
      </c>
      <c r="R162" t="s">
        <v>16230</v>
      </c>
      <c r="S162" t="s">
        <v>7496</v>
      </c>
      <c r="T162" t="s">
        <v>16231</v>
      </c>
      <c r="U162" t="s">
        <v>25</v>
      </c>
      <c r="V162" t="s">
        <v>16232</v>
      </c>
    </row>
    <row r="163" spans="1:22">
      <c r="A163" t="s">
        <v>16390</v>
      </c>
      <c r="B163" t="s">
        <v>16146</v>
      </c>
      <c r="C163" t="s">
        <v>16525</v>
      </c>
      <c r="D163" t="s">
        <v>4479</v>
      </c>
      <c r="E163" s="14" t="s">
        <v>11561</v>
      </c>
      <c r="F163" t="s">
        <v>16132</v>
      </c>
      <c r="G163" s="17" t="str">
        <f>Config!$B$3</f>
        <v>SCH/R_IEC.SchLib</v>
      </c>
      <c r="H163" t="s">
        <v>16149</v>
      </c>
      <c r="I163" s="18" t="s">
        <v>16150</v>
      </c>
      <c r="J163" t="s">
        <v>16366</v>
      </c>
      <c r="M163" s="3">
        <v>2500</v>
      </c>
      <c r="N163" t="s">
        <v>16135</v>
      </c>
      <c r="O163" t="s">
        <v>7496</v>
      </c>
      <c r="P163" t="s">
        <v>16139</v>
      </c>
      <c r="Q163" t="s">
        <v>25</v>
      </c>
      <c r="R163" t="s">
        <v>16140</v>
      </c>
    </row>
    <row r="164" spans="1:22">
      <c r="A164" t="s">
        <v>16391</v>
      </c>
      <c r="B164" t="s">
        <v>16147</v>
      </c>
      <c r="C164" t="s">
        <v>16526</v>
      </c>
      <c r="D164" t="s">
        <v>4479</v>
      </c>
      <c r="E164" s="14" t="s">
        <v>11561</v>
      </c>
      <c r="F164" t="s">
        <v>16133</v>
      </c>
      <c r="G164" s="17" t="str">
        <f>Config!$B$3</f>
        <v>SCH/R_IEC.SchLib</v>
      </c>
      <c r="H164" t="s">
        <v>16149</v>
      </c>
      <c r="I164" s="18" t="s">
        <v>16150</v>
      </c>
      <c r="J164" t="s">
        <v>16366</v>
      </c>
      <c r="M164" s="3">
        <v>3500</v>
      </c>
      <c r="N164" t="s">
        <v>16136</v>
      </c>
      <c r="O164" t="s">
        <v>7496</v>
      </c>
      <c r="P164" t="s">
        <v>16141</v>
      </c>
      <c r="Q164" t="s">
        <v>25</v>
      </c>
      <c r="R164" t="s">
        <v>16142</v>
      </c>
    </row>
    <row r="165" spans="1:22">
      <c r="A165" t="s">
        <v>16392</v>
      </c>
      <c r="B165" t="s">
        <v>16235</v>
      </c>
      <c r="C165" t="s">
        <v>16527</v>
      </c>
      <c r="D165" t="s">
        <v>4479</v>
      </c>
      <c r="E165" s="14" t="s">
        <v>11561</v>
      </c>
      <c r="F165" t="s">
        <v>16233</v>
      </c>
      <c r="G165" s="17" t="str">
        <f>Config!$B$3</f>
        <v>SCH/R_IEC.SchLib</v>
      </c>
      <c r="H165" t="s">
        <v>16149</v>
      </c>
      <c r="I165" s="18" t="s">
        <v>16150</v>
      </c>
      <c r="J165" t="s">
        <v>16366</v>
      </c>
      <c r="M165" s="3">
        <v>4500</v>
      </c>
      <c r="N165" t="s">
        <v>16241</v>
      </c>
      <c r="O165" t="s">
        <v>7496</v>
      </c>
      <c r="P165" t="s">
        <v>16242</v>
      </c>
      <c r="Q165" t="s">
        <v>25</v>
      </c>
      <c r="R165" t="s">
        <v>16243</v>
      </c>
    </row>
    <row r="166" spans="1:22">
      <c r="A166" t="s">
        <v>16393</v>
      </c>
      <c r="B166" t="s">
        <v>16238</v>
      </c>
      <c r="C166" t="s">
        <v>16528</v>
      </c>
      <c r="D166" t="s">
        <v>4479</v>
      </c>
      <c r="E166" s="14" t="s">
        <v>11561</v>
      </c>
      <c r="F166" t="s">
        <v>16240</v>
      </c>
      <c r="G166" s="17" t="str">
        <f>Config!$B$3</f>
        <v>SCH/R_IEC.SchLib</v>
      </c>
      <c r="H166" t="s">
        <v>16149</v>
      </c>
      <c r="I166" s="18" t="s">
        <v>16150</v>
      </c>
      <c r="J166" t="s">
        <v>16366</v>
      </c>
      <c r="M166" s="3">
        <v>5500</v>
      </c>
      <c r="N166" t="s">
        <v>16244</v>
      </c>
      <c r="O166" t="s">
        <v>7496</v>
      </c>
      <c r="P166" t="s">
        <v>16245</v>
      </c>
      <c r="Q166" t="s">
        <v>25</v>
      </c>
      <c r="R166" t="s">
        <v>16246</v>
      </c>
    </row>
    <row r="167" spans="1:22">
      <c r="A167" t="s">
        <v>16394</v>
      </c>
      <c r="B167" t="s">
        <v>16164</v>
      </c>
      <c r="C167" t="s">
        <v>16529</v>
      </c>
      <c r="D167" t="s">
        <v>4479</v>
      </c>
      <c r="E167" s="14" t="s">
        <v>11561</v>
      </c>
      <c r="F167" t="s">
        <v>16148</v>
      </c>
      <c r="G167" s="17" t="str">
        <f>Config!$B$3</f>
        <v>SCH/R_IEC.SchLib</v>
      </c>
      <c r="H167" t="s">
        <v>16149</v>
      </c>
      <c r="I167" s="18" t="s">
        <v>16150</v>
      </c>
      <c r="J167" t="s">
        <v>16366</v>
      </c>
      <c r="M167" s="3">
        <v>800</v>
      </c>
      <c r="N167" t="s">
        <v>16152</v>
      </c>
      <c r="O167" t="s">
        <v>7496</v>
      </c>
      <c r="P167" t="s">
        <v>16153</v>
      </c>
      <c r="Q167" t="s">
        <v>25</v>
      </c>
      <c r="R167" t="s">
        <v>16154</v>
      </c>
      <c r="S167" t="s">
        <v>7496</v>
      </c>
      <c r="T167" t="s">
        <v>16155</v>
      </c>
      <c r="U167" t="s">
        <v>25</v>
      </c>
      <c r="V167" t="s">
        <v>16156</v>
      </c>
    </row>
    <row r="168" spans="1:22">
      <c r="A168" t="s">
        <v>16395</v>
      </c>
      <c r="B168" t="s">
        <v>16143</v>
      </c>
      <c r="C168" t="s">
        <v>16530</v>
      </c>
      <c r="D168" t="s">
        <v>4479</v>
      </c>
      <c r="E168" s="14" t="s">
        <v>11561</v>
      </c>
      <c r="F168" t="s">
        <v>13999</v>
      </c>
      <c r="G168" s="17" t="str">
        <f>Config!$B$3</f>
        <v>SCH/R_IEC.SchLib</v>
      </c>
      <c r="H168" t="s">
        <v>16149</v>
      </c>
      <c r="I168" s="18" t="s">
        <v>16150</v>
      </c>
      <c r="J168" t="s">
        <v>16366</v>
      </c>
      <c r="M168" s="3">
        <v>1000</v>
      </c>
      <c r="N168" t="s">
        <v>16134</v>
      </c>
      <c r="O168" t="s">
        <v>7496</v>
      </c>
      <c r="P168" t="s">
        <v>16157</v>
      </c>
      <c r="Q168" t="s">
        <v>25</v>
      </c>
      <c r="R168" t="s">
        <v>16158</v>
      </c>
      <c r="S168" t="s">
        <v>7496</v>
      </c>
      <c r="T168" t="s">
        <v>16126</v>
      </c>
      <c r="U168" t="s">
        <v>25</v>
      </c>
      <c r="V168" t="s">
        <v>16127</v>
      </c>
    </row>
    <row r="169" spans="1:22">
      <c r="A169" t="s">
        <v>16396</v>
      </c>
      <c r="B169" t="s">
        <v>16144</v>
      </c>
      <c r="C169" t="s">
        <v>16531</v>
      </c>
      <c r="D169" t="s">
        <v>4479</v>
      </c>
      <c r="E169" s="14" t="s">
        <v>11561</v>
      </c>
      <c r="F169" t="s">
        <v>10749</v>
      </c>
      <c r="G169" s="17" t="str">
        <f>Config!$B$3</f>
        <v>SCH/R_IEC.SchLib</v>
      </c>
      <c r="H169" t="s">
        <v>16149</v>
      </c>
      <c r="I169" s="18" t="s">
        <v>16150</v>
      </c>
      <c r="J169" t="s">
        <v>16366</v>
      </c>
      <c r="M169" s="3">
        <v>1200</v>
      </c>
      <c r="N169" t="s">
        <v>16128</v>
      </c>
      <c r="O169" t="s">
        <v>7496</v>
      </c>
      <c r="P169" t="s">
        <v>16129</v>
      </c>
      <c r="Q169" t="s">
        <v>25</v>
      </c>
      <c r="R169" t="s">
        <v>16130</v>
      </c>
    </row>
    <row r="170" spans="1:22">
      <c r="A170" t="s">
        <v>16397</v>
      </c>
      <c r="B170" t="s">
        <v>16145</v>
      </c>
      <c r="C170" t="s">
        <v>16532</v>
      </c>
      <c r="D170" t="s">
        <v>4479</v>
      </c>
      <c r="E170" s="14" t="s">
        <v>11561</v>
      </c>
      <c r="F170" t="s">
        <v>16131</v>
      </c>
      <c r="G170" s="17" t="str">
        <f>Config!$B$3</f>
        <v>SCH/R_IEC.SchLib</v>
      </c>
      <c r="H170" t="s">
        <v>16149</v>
      </c>
      <c r="I170" s="18" t="s">
        <v>16150</v>
      </c>
      <c r="J170" t="s">
        <v>16366</v>
      </c>
      <c r="M170" s="3">
        <v>1400</v>
      </c>
      <c r="N170" t="s">
        <v>16159</v>
      </c>
      <c r="O170" t="s">
        <v>7496</v>
      </c>
      <c r="P170" t="s">
        <v>16160</v>
      </c>
      <c r="Q170" t="s">
        <v>25</v>
      </c>
      <c r="R170" t="s">
        <v>16161</v>
      </c>
      <c r="S170" t="s">
        <v>7496</v>
      </c>
      <c r="T170" t="s">
        <v>16137</v>
      </c>
      <c r="U170" t="s">
        <v>25</v>
      </c>
      <c r="V170" t="s">
        <v>16138</v>
      </c>
    </row>
    <row r="171" spans="1:22">
      <c r="A171" t="s">
        <v>16398</v>
      </c>
      <c r="B171" t="s">
        <v>16225</v>
      </c>
      <c r="C171" t="s">
        <v>16533</v>
      </c>
      <c r="D171" t="s">
        <v>4479</v>
      </c>
      <c r="E171" s="14" t="s">
        <v>11561</v>
      </c>
      <c r="F171" t="s">
        <v>16227</v>
      </c>
      <c r="G171" s="17" t="str">
        <f>Config!$B$3</f>
        <v>SCH/R_IEC.SchLib</v>
      </c>
      <c r="H171" t="s">
        <v>16149</v>
      </c>
      <c r="I171" s="18" t="s">
        <v>16150</v>
      </c>
      <c r="J171" t="s">
        <v>16366</v>
      </c>
      <c r="M171" s="3">
        <v>1600</v>
      </c>
      <c r="N171" t="s">
        <v>16228</v>
      </c>
      <c r="O171" t="s">
        <v>7496</v>
      </c>
      <c r="P171" t="s">
        <v>16229</v>
      </c>
      <c r="Q171" t="s">
        <v>25</v>
      </c>
      <c r="R171" t="s">
        <v>16230</v>
      </c>
      <c r="S171" t="s">
        <v>7496</v>
      </c>
      <c r="T171" t="s">
        <v>16231</v>
      </c>
      <c r="U171" t="s">
        <v>25</v>
      </c>
      <c r="V171" t="s">
        <v>16232</v>
      </c>
    </row>
    <row r="172" spans="1:22">
      <c r="A172" t="s">
        <v>16399</v>
      </c>
      <c r="B172" t="s">
        <v>16146</v>
      </c>
      <c r="C172" t="s">
        <v>16534</v>
      </c>
      <c r="D172" t="s">
        <v>4479</v>
      </c>
      <c r="E172" s="14" t="s">
        <v>11561</v>
      </c>
      <c r="F172" t="s">
        <v>16132</v>
      </c>
      <c r="G172" s="17" t="str">
        <f>Config!$B$3</f>
        <v>SCH/R_IEC.SchLib</v>
      </c>
      <c r="H172" t="s">
        <v>16149</v>
      </c>
      <c r="I172" s="18" t="s">
        <v>16150</v>
      </c>
      <c r="J172" t="s">
        <v>16366</v>
      </c>
      <c r="M172" s="3">
        <v>2500</v>
      </c>
      <c r="N172" t="s">
        <v>16135</v>
      </c>
      <c r="O172" t="s">
        <v>7496</v>
      </c>
      <c r="P172" t="s">
        <v>16139</v>
      </c>
      <c r="Q172" t="s">
        <v>25</v>
      </c>
      <c r="R172" t="s">
        <v>16140</v>
      </c>
    </row>
    <row r="173" spans="1:22">
      <c r="A173" t="s">
        <v>16400</v>
      </c>
      <c r="B173" t="s">
        <v>16147</v>
      </c>
      <c r="C173" t="s">
        <v>16535</v>
      </c>
      <c r="D173" t="s">
        <v>4479</v>
      </c>
      <c r="E173" s="14" t="s">
        <v>11561</v>
      </c>
      <c r="F173" t="s">
        <v>16133</v>
      </c>
      <c r="G173" s="17" t="str">
        <f>Config!$B$3</f>
        <v>SCH/R_IEC.SchLib</v>
      </c>
      <c r="H173" t="s">
        <v>16149</v>
      </c>
      <c r="I173" s="18" t="s">
        <v>16150</v>
      </c>
      <c r="J173" t="s">
        <v>16366</v>
      </c>
      <c r="M173" s="3">
        <v>3500</v>
      </c>
      <c r="N173" t="s">
        <v>16136</v>
      </c>
      <c r="O173" t="s">
        <v>7496</v>
      </c>
      <c r="P173" t="s">
        <v>16141</v>
      </c>
      <c r="Q173" t="s">
        <v>25</v>
      </c>
      <c r="R173" t="s">
        <v>16142</v>
      </c>
    </row>
    <row r="174" spans="1:22">
      <c r="A174" t="s">
        <v>16401</v>
      </c>
      <c r="B174" t="s">
        <v>16235</v>
      </c>
      <c r="C174" t="s">
        <v>16536</v>
      </c>
      <c r="D174" t="s">
        <v>4479</v>
      </c>
      <c r="E174" s="14" t="s">
        <v>11561</v>
      </c>
      <c r="F174" t="s">
        <v>16233</v>
      </c>
      <c r="G174" s="17" t="str">
        <f>Config!$B$3</f>
        <v>SCH/R_IEC.SchLib</v>
      </c>
      <c r="H174" t="s">
        <v>16149</v>
      </c>
      <c r="I174" s="18" t="s">
        <v>16150</v>
      </c>
      <c r="J174" t="s">
        <v>16366</v>
      </c>
      <c r="M174" s="3">
        <v>4500</v>
      </c>
      <c r="N174" t="s">
        <v>16241</v>
      </c>
      <c r="O174" t="s">
        <v>7496</v>
      </c>
      <c r="P174" t="s">
        <v>16242</v>
      </c>
      <c r="Q174" t="s">
        <v>25</v>
      </c>
      <c r="R174" t="s">
        <v>16243</v>
      </c>
    </row>
    <row r="175" spans="1:22">
      <c r="A175" t="s">
        <v>16402</v>
      </c>
      <c r="B175" t="s">
        <v>16238</v>
      </c>
      <c r="C175" t="s">
        <v>16537</v>
      </c>
      <c r="D175" t="s">
        <v>4479</v>
      </c>
      <c r="E175" s="14" t="s">
        <v>11561</v>
      </c>
      <c r="F175" t="s">
        <v>16240</v>
      </c>
      <c r="G175" s="17" t="str">
        <f>Config!$B$3</f>
        <v>SCH/R_IEC.SchLib</v>
      </c>
      <c r="H175" t="s">
        <v>16149</v>
      </c>
      <c r="I175" s="18" t="s">
        <v>16150</v>
      </c>
      <c r="J175" t="s">
        <v>16366</v>
      </c>
      <c r="M175" s="3">
        <v>5500</v>
      </c>
      <c r="N175" t="s">
        <v>16244</v>
      </c>
      <c r="O175" t="s">
        <v>7496</v>
      </c>
      <c r="P175" t="s">
        <v>16245</v>
      </c>
      <c r="Q175" t="s">
        <v>25</v>
      </c>
      <c r="R175" t="s">
        <v>16246</v>
      </c>
    </row>
    <row r="176" spans="1:22">
      <c r="A176" t="s">
        <v>16403</v>
      </c>
      <c r="B176" t="s">
        <v>16164</v>
      </c>
      <c r="C176" t="s">
        <v>16538</v>
      </c>
      <c r="D176" t="s">
        <v>4479</v>
      </c>
      <c r="E176" s="14" t="s">
        <v>11561</v>
      </c>
      <c r="F176" t="s">
        <v>16148</v>
      </c>
      <c r="G176" s="17" t="str">
        <f>Config!$B$3</f>
        <v>SCH/R_IEC.SchLib</v>
      </c>
      <c r="H176" t="s">
        <v>16149</v>
      </c>
      <c r="I176" s="18" t="s">
        <v>16150</v>
      </c>
      <c r="J176" t="s">
        <v>16366</v>
      </c>
      <c r="M176" s="3">
        <v>800</v>
      </c>
      <c r="N176" t="s">
        <v>16152</v>
      </c>
      <c r="O176" t="s">
        <v>7496</v>
      </c>
      <c r="P176" t="s">
        <v>16153</v>
      </c>
      <c r="Q176" t="s">
        <v>25</v>
      </c>
      <c r="R176" t="s">
        <v>16154</v>
      </c>
      <c r="S176" t="s">
        <v>7496</v>
      </c>
      <c r="T176" t="s">
        <v>16155</v>
      </c>
      <c r="U176" t="s">
        <v>25</v>
      </c>
      <c r="V176" t="s">
        <v>16156</v>
      </c>
    </row>
    <row r="177" spans="1:22">
      <c r="A177" t="s">
        <v>16404</v>
      </c>
      <c r="B177" t="s">
        <v>16143</v>
      </c>
      <c r="C177" t="s">
        <v>16539</v>
      </c>
      <c r="D177" t="s">
        <v>4479</v>
      </c>
      <c r="E177" s="14" t="s">
        <v>11561</v>
      </c>
      <c r="F177" t="s">
        <v>13999</v>
      </c>
      <c r="G177" s="17" t="str">
        <f>Config!$B$3</f>
        <v>SCH/R_IEC.SchLib</v>
      </c>
      <c r="H177" t="s">
        <v>16149</v>
      </c>
      <c r="I177" s="18" t="s">
        <v>16150</v>
      </c>
      <c r="J177" t="s">
        <v>16366</v>
      </c>
      <c r="M177" s="3">
        <v>1000</v>
      </c>
      <c r="N177" t="s">
        <v>16134</v>
      </c>
      <c r="O177" t="s">
        <v>7496</v>
      </c>
      <c r="P177" t="s">
        <v>16157</v>
      </c>
      <c r="Q177" t="s">
        <v>25</v>
      </c>
      <c r="R177" t="s">
        <v>16158</v>
      </c>
      <c r="S177" t="s">
        <v>7496</v>
      </c>
      <c r="T177" t="s">
        <v>16126</v>
      </c>
      <c r="U177" t="s">
        <v>25</v>
      </c>
      <c r="V177" t="s">
        <v>16127</v>
      </c>
    </row>
    <row r="178" spans="1:22">
      <c r="A178" t="s">
        <v>16405</v>
      </c>
      <c r="B178" t="s">
        <v>16144</v>
      </c>
      <c r="C178" t="s">
        <v>16540</v>
      </c>
      <c r="D178" t="s">
        <v>4479</v>
      </c>
      <c r="E178" s="14" t="s">
        <v>11561</v>
      </c>
      <c r="F178" t="s">
        <v>10749</v>
      </c>
      <c r="G178" s="17" t="str">
        <f>Config!$B$3</f>
        <v>SCH/R_IEC.SchLib</v>
      </c>
      <c r="H178" t="s">
        <v>16149</v>
      </c>
      <c r="I178" s="18" t="s">
        <v>16150</v>
      </c>
      <c r="J178" t="s">
        <v>16366</v>
      </c>
      <c r="M178" s="3">
        <v>1200</v>
      </c>
      <c r="N178" t="s">
        <v>16128</v>
      </c>
      <c r="O178" t="s">
        <v>7496</v>
      </c>
      <c r="P178" t="s">
        <v>16129</v>
      </c>
      <c r="Q178" t="s">
        <v>25</v>
      </c>
      <c r="R178" t="s">
        <v>16130</v>
      </c>
    </row>
    <row r="179" spans="1:22">
      <c r="A179" t="s">
        <v>16406</v>
      </c>
      <c r="B179" t="s">
        <v>16145</v>
      </c>
      <c r="C179" t="s">
        <v>16541</v>
      </c>
      <c r="D179" t="s">
        <v>4479</v>
      </c>
      <c r="E179" s="14" t="s">
        <v>11561</v>
      </c>
      <c r="F179" t="s">
        <v>16131</v>
      </c>
      <c r="G179" s="17" t="str">
        <f>Config!$B$3</f>
        <v>SCH/R_IEC.SchLib</v>
      </c>
      <c r="H179" t="s">
        <v>16149</v>
      </c>
      <c r="I179" s="18" t="s">
        <v>16150</v>
      </c>
      <c r="J179" t="s">
        <v>16366</v>
      </c>
      <c r="M179" s="3">
        <v>1400</v>
      </c>
      <c r="N179" t="s">
        <v>16159</v>
      </c>
      <c r="O179" t="s">
        <v>7496</v>
      </c>
      <c r="P179" t="s">
        <v>16160</v>
      </c>
      <c r="Q179" t="s">
        <v>25</v>
      </c>
      <c r="R179" t="s">
        <v>16161</v>
      </c>
      <c r="S179" t="s">
        <v>7496</v>
      </c>
      <c r="T179" t="s">
        <v>16137</v>
      </c>
      <c r="U179" t="s">
        <v>25</v>
      </c>
      <c r="V179" t="s">
        <v>16138</v>
      </c>
    </row>
    <row r="180" spans="1:22">
      <c r="A180" t="s">
        <v>16407</v>
      </c>
      <c r="B180" t="s">
        <v>16225</v>
      </c>
      <c r="C180" t="s">
        <v>16542</v>
      </c>
      <c r="D180" t="s">
        <v>4479</v>
      </c>
      <c r="E180" s="14" t="s">
        <v>11561</v>
      </c>
      <c r="F180" t="s">
        <v>16227</v>
      </c>
      <c r="G180" s="17" t="str">
        <f>Config!$B$3</f>
        <v>SCH/R_IEC.SchLib</v>
      </c>
      <c r="H180" t="s">
        <v>16149</v>
      </c>
      <c r="I180" s="18" t="s">
        <v>16150</v>
      </c>
      <c r="J180" t="s">
        <v>16366</v>
      </c>
      <c r="M180" s="3">
        <v>1600</v>
      </c>
      <c r="N180" t="s">
        <v>16228</v>
      </c>
      <c r="O180" t="s">
        <v>7496</v>
      </c>
      <c r="P180" t="s">
        <v>16229</v>
      </c>
      <c r="Q180" t="s">
        <v>25</v>
      </c>
      <c r="R180" t="s">
        <v>16230</v>
      </c>
      <c r="S180" t="s">
        <v>7496</v>
      </c>
      <c r="T180" t="s">
        <v>16231</v>
      </c>
      <c r="U180" t="s">
        <v>25</v>
      </c>
      <c r="V180" t="s">
        <v>16232</v>
      </c>
    </row>
    <row r="181" spans="1:22">
      <c r="A181" t="s">
        <v>16408</v>
      </c>
      <c r="B181" t="s">
        <v>16146</v>
      </c>
      <c r="C181" t="s">
        <v>16543</v>
      </c>
      <c r="D181" t="s">
        <v>4479</v>
      </c>
      <c r="E181" s="14" t="s">
        <v>11561</v>
      </c>
      <c r="F181" t="s">
        <v>16132</v>
      </c>
      <c r="G181" s="17" t="str">
        <f>Config!$B$3</f>
        <v>SCH/R_IEC.SchLib</v>
      </c>
      <c r="H181" t="s">
        <v>16149</v>
      </c>
      <c r="I181" s="18" t="s">
        <v>16150</v>
      </c>
      <c r="J181" t="s">
        <v>16366</v>
      </c>
      <c r="M181" s="3">
        <v>2500</v>
      </c>
      <c r="N181" t="s">
        <v>16135</v>
      </c>
      <c r="O181" t="s">
        <v>7496</v>
      </c>
      <c r="P181" t="s">
        <v>16139</v>
      </c>
      <c r="Q181" t="s">
        <v>25</v>
      </c>
      <c r="R181" t="s">
        <v>16140</v>
      </c>
    </row>
    <row r="182" spans="1:22">
      <c r="A182" t="s">
        <v>16409</v>
      </c>
      <c r="B182" t="s">
        <v>16147</v>
      </c>
      <c r="C182" t="s">
        <v>16544</v>
      </c>
      <c r="D182" t="s">
        <v>4479</v>
      </c>
      <c r="E182" s="14" t="s">
        <v>11561</v>
      </c>
      <c r="F182" t="s">
        <v>16133</v>
      </c>
      <c r="G182" s="17" t="str">
        <f>Config!$B$3</f>
        <v>SCH/R_IEC.SchLib</v>
      </c>
      <c r="H182" t="s">
        <v>16149</v>
      </c>
      <c r="I182" s="18" t="s">
        <v>16150</v>
      </c>
      <c r="J182" t="s">
        <v>16366</v>
      </c>
      <c r="M182" s="3">
        <v>3500</v>
      </c>
      <c r="N182" t="s">
        <v>16136</v>
      </c>
      <c r="O182" t="s">
        <v>7496</v>
      </c>
      <c r="P182" t="s">
        <v>16141</v>
      </c>
      <c r="Q182" t="s">
        <v>25</v>
      </c>
      <c r="R182" t="s">
        <v>16142</v>
      </c>
    </row>
    <row r="183" spans="1:22">
      <c r="A183" t="s">
        <v>16410</v>
      </c>
      <c r="B183" t="s">
        <v>16235</v>
      </c>
      <c r="C183" t="s">
        <v>16545</v>
      </c>
      <c r="D183" t="s">
        <v>4479</v>
      </c>
      <c r="E183" s="14" t="s">
        <v>11561</v>
      </c>
      <c r="F183" t="s">
        <v>16233</v>
      </c>
      <c r="G183" s="17" t="str">
        <f>Config!$B$3</f>
        <v>SCH/R_IEC.SchLib</v>
      </c>
      <c r="H183" t="s">
        <v>16149</v>
      </c>
      <c r="I183" s="18" t="s">
        <v>16150</v>
      </c>
      <c r="J183" t="s">
        <v>16366</v>
      </c>
      <c r="M183" s="3">
        <v>4500</v>
      </c>
      <c r="N183" t="s">
        <v>16241</v>
      </c>
      <c r="O183" t="s">
        <v>7496</v>
      </c>
      <c r="P183" t="s">
        <v>16242</v>
      </c>
      <c r="Q183" t="s">
        <v>25</v>
      </c>
      <c r="R183" t="s">
        <v>16243</v>
      </c>
    </row>
    <row r="184" spans="1:22">
      <c r="A184" t="s">
        <v>16411</v>
      </c>
      <c r="B184" t="s">
        <v>16238</v>
      </c>
      <c r="C184" t="s">
        <v>16546</v>
      </c>
      <c r="D184" t="s">
        <v>4479</v>
      </c>
      <c r="E184" s="14" t="s">
        <v>11561</v>
      </c>
      <c r="F184" t="s">
        <v>16240</v>
      </c>
      <c r="G184" s="17" t="str">
        <f>Config!$B$3</f>
        <v>SCH/R_IEC.SchLib</v>
      </c>
      <c r="H184" t="s">
        <v>16149</v>
      </c>
      <c r="I184" s="18" t="s">
        <v>16150</v>
      </c>
      <c r="J184" t="s">
        <v>16366</v>
      </c>
      <c r="M184" s="3">
        <v>5500</v>
      </c>
      <c r="N184" t="s">
        <v>16244</v>
      </c>
      <c r="O184" t="s">
        <v>7496</v>
      </c>
      <c r="P184" t="s">
        <v>16245</v>
      </c>
      <c r="Q184" t="s">
        <v>25</v>
      </c>
      <c r="R184" t="s">
        <v>16246</v>
      </c>
    </row>
  </sheetData>
  <conditionalFormatting sqref="G2:G1048576">
    <cfRule type="expression" dxfId="2" priority="1">
      <formula>AND(NOT(ISBLANK(G2)),NOT(_xlfn.ISFORMULA(G2)))</formula>
    </cfRule>
  </conditionalFormatting>
  <pageMargins left="0.7" right="0.7" top="0.78740157499999996" bottom="0.78740157499999996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A65D6-1BE4-4CF1-A255-E1F9C8CC291A}">
  <dimension ref="A1:W286"/>
  <sheetViews>
    <sheetView zoomScaleNormal="100" workbookViewId="0">
      <pane xSplit="1" ySplit="1" topLeftCell="B89" activePane="bottomRight" state="frozen"/>
      <selection pane="topRight" activeCell="B1" sqref="B1"/>
      <selection pane="bottomLeft" activeCell="A2" sqref="A2"/>
      <selection pane="bottomRight" activeCell="I77" sqref="I77"/>
    </sheetView>
  </sheetViews>
  <sheetFormatPr defaultColWidth="9.28515625" defaultRowHeight="15"/>
  <cols>
    <col min="1" max="1" width="24.42578125" bestFit="1" customWidth="1"/>
    <col min="2" max="2" width="22.5703125" bestFit="1" customWidth="1"/>
    <col min="3" max="3" width="34.140625" customWidth="1"/>
    <col min="4" max="4" width="13.7109375" bestFit="1" customWidth="1"/>
    <col min="5" max="5" width="8.42578125" bestFit="1" customWidth="1"/>
    <col min="6" max="6" width="12.28515625" bestFit="1" customWidth="1"/>
    <col min="7" max="7" width="10.7109375" bestFit="1" customWidth="1"/>
    <col min="8" max="8" width="25.28515625" bestFit="1" customWidth="1"/>
    <col min="9" max="9" width="27.28515625" customWidth="1"/>
    <col min="10" max="10" width="8.5703125" bestFit="1" customWidth="1"/>
    <col min="11" max="11" width="15.5703125" bestFit="1" customWidth="1"/>
    <col min="12" max="12" width="28.42578125" bestFit="1" customWidth="1"/>
    <col min="13" max="13" width="10.42578125" bestFit="1" customWidth="1"/>
    <col min="14" max="14" width="23.28515625" bestFit="1" customWidth="1"/>
    <col min="15" max="15" width="15.5703125" bestFit="1" customWidth="1"/>
    <col min="16" max="16" width="28.42578125" bestFit="1" customWidth="1"/>
    <col min="17" max="17" width="10.42578125" bestFit="1" customWidth="1"/>
    <col min="18" max="18" width="23.28515625" bestFit="1" customWidth="1"/>
    <col min="19" max="19" width="15.42578125" bestFit="1" customWidth="1"/>
  </cols>
  <sheetData>
    <row r="1" spans="1:23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4593</v>
      </c>
      <c r="T1" s="1" t="s">
        <v>4594</v>
      </c>
      <c r="U1" s="1" t="s">
        <v>4595</v>
      </c>
      <c r="V1" s="1" t="s">
        <v>4596</v>
      </c>
      <c r="W1" s="1" t="s">
        <v>4726</v>
      </c>
    </row>
    <row r="2" spans="1:23">
      <c r="A2" t="s">
        <v>6437</v>
      </c>
      <c r="B2" t="s">
        <v>6438</v>
      </c>
      <c r="C2" t="s">
        <v>12801</v>
      </c>
      <c r="D2" t="s">
        <v>4310</v>
      </c>
      <c r="F2" t="s">
        <v>11199</v>
      </c>
      <c r="G2" t="s">
        <v>6438</v>
      </c>
      <c r="H2" t="s">
        <v>4314</v>
      </c>
      <c r="I2" t="s">
        <v>12802</v>
      </c>
    </row>
    <row r="3" spans="1:23">
      <c r="A3" t="s">
        <v>12755</v>
      </c>
      <c r="B3" t="s">
        <v>12755</v>
      </c>
      <c r="C3" t="s">
        <v>12756</v>
      </c>
      <c r="D3" t="s">
        <v>4310</v>
      </c>
      <c r="F3" t="s">
        <v>11199</v>
      </c>
      <c r="G3" t="s">
        <v>12754</v>
      </c>
      <c r="H3" t="s">
        <v>4314</v>
      </c>
      <c r="I3" t="s">
        <v>12757</v>
      </c>
    </row>
    <row r="4" spans="1:23">
      <c r="A4" t="s">
        <v>12761</v>
      </c>
      <c r="B4" t="s">
        <v>12758</v>
      </c>
      <c r="C4" t="s">
        <v>12760</v>
      </c>
      <c r="D4" t="s">
        <v>4310</v>
      </c>
      <c r="F4" t="s">
        <v>11199</v>
      </c>
      <c r="G4" t="s">
        <v>12759</v>
      </c>
      <c r="H4" t="s">
        <v>4314</v>
      </c>
      <c r="I4" t="s">
        <v>12762</v>
      </c>
    </row>
    <row r="5" spans="1:23">
      <c r="A5" t="s">
        <v>12763</v>
      </c>
      <c r="B5" t="s">
        <v>12758</v>
      </c>
      <c r="C5" t="s">
        <v>12765</v>
      </c>
      <c r="D5" t="s">
        <v>4310</v>
      </c>
      <c r="F5" t="s">
        <v>11199</v>
      </c>
      <c r="G5" t="s">
        <v>12759</v>
      </c>
      <c r="H5" t="s">
        <v>4314</v>
      </c>
      <c r="I5" t="s">
        <v>12767</v>
      </c>
    </row>
    <row r="6" spans="1:23">
      <c r="A6" t="s">
        <v>12764</v>
      </c>
      <c r="B6" t="s">
        <v>12758</v>
      </c>
      <c r="C6" t="s">
        <v>12766</v>
      </c>
      <c r="D6" t="s">
        <v>4310</v>
      </c>
      <c r="F6" t="s">
        <v>11199</v>
      </c>
      <c r="G6" t="s">
        <v>12759</v>
      </c>
      <c r="H6" t="s">
        <v>4314</v>
      </c>
      <c r="I6" t="s">
        <v>12768</v>
      </c>
    </row>
    <row r="7" spans="1:23">
      <c r="A7" t="s">
        <v>12769</v>
      </c>
      <c r="B7" t="s">
        <v>12758</v>
      </c>
      <c r="C7" t="s">
        <v>12770</v>
      </c>
      <c r="D7" t="s">
        <v>4310</v>
      </c>
      <c r="F7" t="s">
        <v>11199</v>
      </c>
      <c r="G7" t="s">
        <v>12759</v>
      </c>
      <c r="H7" t="s">
        <v>4314</v>
      </c>
      <c r="I7" t="s">
        <v>12771</v>
      </c>
    </row>
    <row r="8" spans="1:23">
      <c r="A8" t="s">
        <v>12772</v>
      </c>
      <c r="B8" t="s">
        <v>12758</v>
      </c>
      <c r="C8" t="s">
        <v>12773</v>
      </c>
      <c r="D8" t="s">
        <v>4310</v>
      </c>
      <c r="F8" t="s">
        <v>11199</v>
      </c>
      <c r="G8" t="s">
        <v>12759</v>
      </c>
      <c r="H8" t="s">
        <v>4314</v>
      </c>
      <c r="I8" t="s">
        <v>12774</v>
      </c>
    </row>
    <row r="9" spans="1:23">
      <c r="A9" t="s">
        <v>12775</v>
      </c>
      <c r="B9" t="s">
        <v>12758</v>
      </c>
      <c r="C9" t="s">
        <v>12776</v>
      </c>
      <c r="D9" t="s">
        <v>4310</v>
      </c>
      <c r="F9" t="s">
        <v>11199</v>
      </c>
      <c r="G9" t="s">
        <v>12759</v>
      </c>
      <c r="H9" t="s">
        <v>4314</v>
      </c>
      <c r="I9" t="s">
        <v>12777</v>
      </c>
    </row>
    <row r="10" spans="1:23">
      <c r="A10" t="s">
        <v>12778</v>
      </c>
      <c r="B10" t="s">
        <v>12758</v>
      </c>
      <c r="C10" t="s">
        <v>12779</v>
      </c>
      <c r="D10" t="s">
        <v>4310</v>
      </c>
      <c r="F10" t="s">
        <v>11199</v>
      </c>
      <c r="G10" t="s">
        <v>12759</v>
      </c>
      <c r="H10" t="s">
        <v>4314</v>
      </c>
      <c r="I10" t="s">
        <v>12780</v>
      </c>
    </row>
    <row r="11" spans="1:23">
      <c r="A11" t="s">
        <v>12781</v>
      </c>
      <c r="B11" t="s">
        <v>12758</v>
      </c>
      <c r="C11" t="s">
        <v>12782</v>
      </c>
      <c r="D11" t="s">
        <v>4310</v>
      </c>
      <c r="F11" t="s">
        <v>11199</v>
      </c>
      <c r="G11" t="s">
        <v>12759</v>
      </c>
      <c r="H11" t="s">
        <v>4314</v>
      </c>
      <c r="I11" t="s">
        <v>12783</v>
      </c>
    </row>
    <row r="12" spans="1:23">
      <c r="A12" t="s">
        <v>12784</v>
      </c>
      <c r="B12" t="s">
        <v>12758</v>
      </c>
      <c r="C12" t="s">
        <v>12785</v>
      </c>
      <c r="D12" t="s">
        <v>4310</v>
      </c>
      <c r="F12" t="s">
        <v>11199</v>
      </c>
      <c r="G12" t="s">
        <v>12759</v>
      </c>
      <c r="H12" t="s">
        <v>4314</v>
      </c>
      <c r="I12" t="s">
        <v>12786</v>
      </c>
    </row>
    <row r="13" spans="1:23">
      <c r="A13" t="s">
        <v>12787</v>
      </c>
      <c r="B13" t="s">
        <v>12758</v>
      </c>
      <c r="C13" t="s">
        <v>12788</v>
      </c>
      <c r="D13" t="s">
        <v>4310</v>
      </c>
      <c r="F13" t="s">
        <v>11199</v>
      </c>
      <c r="G13" t="s">
        <v>12759</v>
      </c>
      <c r="H13" t="s">
        <v>4314</v>
      </c>
      <c r="I13" t="s">
        <v>12789</v>
      </c>
    </row>
    <row r="14" spans="1:23">
      <c r="A14" t="s">
        <v>12790</v>
      </c>
      <c r="B14" t="s">
        <v>12758</v>
      </c>
      <c r="C14" t="s">
        <v>12791</v>
      </c>
      <c r="D14" t="s">
        <v>4310</v>
      </c>
      <c r="F14" t="s">
        <v>11199</v>
      </c>
      <c r="G14" t="s">
        <v>12759</v>
      </c>
      <c r="H14" t="s">
        <v>4314</v>
      </c>
      <c r="I14" t="s">
        <v>12792</v>
      </c>
    </row>
    <row r="15" spans="1:23">
      <c r="A15" t="s">
        <v>12793</v>
      </c>
      <c r="B15" t="s">
        <v>12758</v>
      </c>
      <c r="C15" t="s">
        <v>12794</v>
      </c>
      <c r="D15" t="s">
        <v>4310</v>
      </c>
      <c r="F15" t="s">
        <v>11199</v>
      </c>
      <c r="G15" t="s">
        <v>12759</v>
      </c>
      <c r="H15" t="s">
        <v>4314</v>
      </c>
      <c r="I15" t="s">
        <v>12795</v>
      </c>
    </row>
    <row r="16" spans="1:23">
      <c r="A16" t="s">
        <v>12797</v>
      </c>
      <c r="B16" t="s">
        <v>12796</v>
      </c>
      <c r="C16" t="s">
        <v>12798</v>
      </c>
      <c r="D16" t="s">
        <v>4310</v>
      </c>
      <c r="F16" t="s">
        <v>11199</v>
      </c>
      <c r="G16" t="s">
        <v>12800</v>
      </c>
      <c r="H16" t="s">
        <v>4314</v>
      </c>
      <c r="I16" t="s">
        <v>12799</v>
      </c>
    </row>
    <row r="17" spans="1:9">
      <c r="A17" t="s">
        <v>12803</v>
      </c>
      <c r="B17" t="s">
        <v>12804</v>
      </c>
      <c r="C17" t="s">
        <v>12805</v>
      </c>
      <c r="D17" t="s">
        <v>4310</v>
      </c>
      <c r="F17" t="s">
        <v>11199</v>
      </c>
      <c r="G17" t="s">
        <v>12806</v>
      </c>
      <c r="H17" t="s">
        <v>4314</v>
      </c>
      <c r="I17" t="s">
        <v>12868</v>
      </c>
    </row>
    <row r="18" spans="1:9">
      <c r="A18" t="s">
        <v>12807</v>
      </c>
      <c r="B18" t="s">
        <v>12804</v>
      </c>
      <c r="C18" t="s">
        <v>12814</v>
      </c>
      <c r="D18" t="s">
        <v>4310</v>
      </c>
      <c r="F18" t="s">
        <v>11199</v>
      </c>
      <c r="G18" t="s">
        <v>12806</v>
      </c>
      <c r="H18" t="s">
        <v>4314</v>
      </c>
      <c r="I18" t="s">
        <v>12871</v>
      </c>
    </row>
    <row r="19" spans="1:9">
      <c r="A19" t="s">
        <v>12808</v>
      </c>
      <c r="B19" t="s">
        <v>12804</v>
      </c>
      <c r="C19" t="s">
        <v>12809</v>
      </c>
      <c r="D19" t="s">
        <v>4310</v>
      </c>
      <c r="F19" t="s">
        <v>11199</v>
      </c>
      <c r="G19" t="s">
        <v>12806</v>
      </c>
      <c r="H19" t="s">
        <v>4314</v>
      </c>
      <c r="I19" t="s">
        <v>12869</v>
      </c>
    </row>
    <row r="20" spans="1:9">
      <c r="A20" t="s">
        <v>12810</v>
      </c>
      <c r="B20" t="s">
        <v>12804</v>
      </c>
      <c r="C20" t="s">
        <v>12815</v>
      </c>
      <c r="D20" t="s">
        <v>4310</v>
      </c>
      <c r="F20" t="s">
        <v>11199</v>
      </c>
      <c r="G20" t="s">
        <v>12806</v>
      </c>
      <c r="H20" t="s">
        <v>4314</v>
      </c>
      <c r="I20" t="s">
        <v>12872</v>
      </c>
    </row>
    <row r="21" spans="1:9">
      <c r="A21" t="s">
        <v>12811</v>
      </c>
      <c r="B21" t="s">
        <v>12804</v>
      </c>
      <c r="C21" t="s">
        <v>12812</v>
      </c>
      <c r="D21" t="s">
        <v>4310</v>
      </c>
      <c r="F21" t="s">
        <v>11199</v>
      </c>
      <c r="G21" t="s">
        <v>12806</v>
      </c>
      <c r="H21" t="s">
        <v>4314</v>
      </c>
      <c r="I21" t="s">
        <v>12870</v>
      </c>
    </row>
    <row r="22" spans="1:9">
      <c r="A22" t="s">
        <v>12813</v>
      </c>
      <c r="B22" t="s">
        <v>12804</v>
      </c>
      <c r="C22" t="s">
        <v>12816</v>
      </c>
      <c r="D22" t="s">
        <v>4310</v>
      </c>
      <c r="F22" t="s">
        <v>11199</v>
      </c>
      <c r="G22" t="s">
        <v>12806</v>
      </c>
      <c r="H22" t="s">
        <v>4314</v>
      </c>
      <c r="I22" t="s">
        <v>12873</v>
      </c>
    </row>
    <row r="23" spans="1:9">
      <c r="A23" t="s">
        <v>12817</v>
      </c>
      <c r="B23" t="s">
        <v>12818</v>
      </c>
      <c r="C23" t="s">
        <v>12819</v>
      </c>
      <c r="D23" t="s">
        <v>4310</v>
      </c>
      <c r="F23" t="s">
        <v>11199</v>
      </c>
      <c r="G23" t="s">
        <v>12820</v>
      </c>
      <c r="H23" t="s">
        <v>4314</v>
      </c>
      <c r="I23" t="s">
        <v>12821</v>
      </c>
    </row>
    <row r="24" spans="1:9">
      <c r="A24" t="s">
        <v>12822</v>
      </c>
      <c r="B24" t="s">
        <v>12818</v>
      </c>
      <c r="C24" t="s">
        <v>12823</v>
      </c>
      <c r="D24" t="s">
        <v>4310</v>
      </c>
      <c r="F24" t="s">
        <v>11199</v>
      </c>
      <c r="G24" t="s">
        <v>12820</v>
      </c>
      <c r="H24" t="s">
        <v>4314</v>
      </c>
      <c r="I24" t="s">
        <v>12824</v>
      </c>
    </row>
    <row r="25" spans="1:9">
      <c r="A25" t="s">
        <v>12825</v>
      </c>
      <c r="B25" t="s">
        <v>12818</v>
      </c>
      <c r="C25" t="s">
        <v>12826</v>
      </c>
      <c r="D25" t="s">
        <v>4310</v>
      </c>
      <c r="F25" t="s">
        <v>11199</v>
      </c>
      <c r="G25" t="s">
        <v>12820</v>
      </c>
      <c r="H25" t="s">
        <v>4314</v>
      </c>
      <c r="I25" t="s">
        <v>12827</v>
      </c>
    </row>
    <row r="26" spans="1:9">
      <c r="A26" t="s">
        <v>12828</v>
      </c>
      <c r="B26" t="s">
        <v>12818</v>
      </c>
      <c r="C26" t="s">
        <v>12829</v>
      </c>
      <c r="D26" t="s">
        <v>4310</v>
      </c>
      <c r="F26" t="s">
        <v>11199</v>
      </c>
      <c r="G26" t="s">
        <v>12820</v>
      </c>
      <c r="H26" t="s">
        <v>4314</v>
      </c>
      <c r="I26" t="s">
        <v>12830</v>
      </c>
    </row>
    <row r="27" spans="1:9">
      <c r="A27" t="s">
        <v>12831</v>
      </c>
      <c r="B27" t="s">
        <v>12818</v>
      </c>
      <c r="C27" t="s">
        <v>12832</v>
      </c>
      <c r="D27" t="s">
        <v>4310</v>
      </c>
      <c r="F27" t="s">
        <v>11199</v>
      </c>
      <c r="G27" t="s">
        <v>12820</v>
      </c>
      <c r="H27" t="s">
        <v>4314</v>
      </c>
      <c r="I27" t="s">
        <v>12833</v>
      </c>
    </row>
    <row r="28" spans="1:9">
      <c r="A28" t="s">
        <v>12834</v>
      </c>
      <c r="B28" t="s">
        <v>12835</v>
      </c>
      <c r="C28" t="s">
        <v>12836</v>
      </c>
      <c r="D28" t="s">
        <v>4310</v>
      </c>
      <c r="F28" t="s">
        <v>11199</v>
      </c>
      <c r="G28" t="s">
        <v>12820</v>
      </c>
      <c r="H28" t="s">
        <v>4314</v>
      </c>
      <c r="I28" t="s">
        <v>12837</v>
      </c>
    </row>
    <row r="29" spans="1:9">
      <c r="A29" t="s">
        <v>12841</v>
      </c>
      <c r="B29" t="s">
        <v>12835</v>
      </c>
      <c r="C29" t="s">
        <v>12839</v>
      </c>
      <c r="D29" t="s">
        <v>4310</v>
      </c>
      <c r="F29" t="s">
        <v>11199</v>
      </c>
      <c r="G29" t="s">
        <v>12820</v>
      </c>
      <c r="H29" t="s">
        <v>4314</v>
      </c>
      <c r="I29" t="s">
        <v>12840</v>
      </c>
    </row>
    <row r="30" spans="1:9">
      <c r="A30" t="s">
        <v>12838</v>
      </c>
      <c r="B30" t="s">
        <v>12835</v>
      </c>
      <c r="C30" t="s">
        <v>12842</v>
      </c>
      <c r="D30" t="s">
        <v>4310</v>
      </c>
      <c r="F30" t="s">
        <v>11199</v>
      </c>
      <c r="G30" t="s">
        <v>12820</v>
      </c>
      <c r="H30" t="s">
        <v>4314</v>
      </c>
      <c r="I30" t="s">
        <v>12843</v>
      </c>
    </row>
    <row r="31" spans="1:9">
      <c r="A31" t="s">
        <v>13547</v>
      </c>
      <c r="B31" t="s">
        <v>13548</v>
      </c>
      <c r="C31" t="s">
        <v>13549</v>
      </c>
      <c r="D31" t="s">
        <v>4310</v>
      </c>
      <c r="F31" t="s">
        <v>11199</v>
      </c>
      <c r="G31" t="s">
        <v>12820</v>
      </c>
      <c r="H31" t="s">
        <v>4314</v>
      </c>
      <c r="I31" t="s">
        <v>13550</v>
      </c>
    </row>
    <row r="32" spans="1:9">
      <c r="A32" t="s">
        <v>13551</v>
      </c>
      <c r="B32" t="s">
        <v>13548</v>
      </c>
      <c r="C32" t="s">
        <v>13552</v>
      </c>
      <c r="D32" t="s">
        <v>4310</v>
      </c>
      <c r="F32" t="s">
        <v>11199</v>
      </c>
      <c r="G32" t="s">
        <v>12820</v>
      </c>
      <c r="H32" t="s">
        <v>4314</v>
      </c>
      <c r="I32" t="s">
        <v>13553</v>
      </c>
    </row>
    <row r="33" spans="1:9">
      <c r="A33" t="s">
        <v>13554</v>
      </c>
      <c r="B33" t="s">
        <v>13548</v>
      </c>
      <c r="C33" t="s">
        <v>13555</v>
      </c>
      <c r="D33" t="s">
        <v>4310</v>
      </c>
      <c r="F33" t="s">
        <v>11199</v>
      </c>
      <c r="G33" t="s">
        <v>12820</v>
      </c>
      <c r="H33" t="s">
        <v>4314</v>
      </c>
      <c r="I33" t="s">
        <v>13556</v>
      </c>
    </row>
    <row r="34" spans="1:9">
      <c r="A34" t="s">
        <v>13557</v>
      </c>
      <c r="B34" t="s">
        <v>13548</v>
      </c>
      <c r="C34" t="s">
        <v>13558</v>
      </c>
      <c r="D34" t="s">
        <v>4310</v>
      </c>
      <c r="F34" t="s">
        <v>11199</v>
      </c>
      <c r="G34" t="s">
        <v>12820</v>
      </c>
      <c r="H34" t="s">
        <v>4314</v>
      </c>
      <c r="I34" t="s">
        <v>13559</v>
      </c>
    </row>
    <row r="35" spans="1:9">
      <c r="A35" t="s">
        <v>13560</v>
      </c>
      <c r="B35" t="s">
        <v>13548</v>
      </c>
      <c r="C35" t="s">
        <v>13561</v>
      </c>
      <c r="D35" t="s">
        <v>4310</v>
      </c>
      <c r="F35" t="s">
        <v>11199</v>
      </c>
      <c r="G35" t="s">
        <v>12820</v>
      </c>
      <c r="H35" t="s">
        <v>4314</v>
      </c>
      <c r="I35" t="s">
        <v>13562</v>
      </c>
    </row>
    <row r="36" spans="1:9">
      <c r="A36" t="s">
        <v>13563</v>
      </c>
      <c r="B36" t="s">
        <v>13548</v>
      </c>
      <c r="C36" t="s">
        <v>13564</v>
      </c>
      <c r="D36" t="s">
        <v>4310</v>
      </c>
      <c r="F36" t="s">
        <v>11199</v>
      </c>
      <c r="G36" t="s">
        <v>12820</v>
      </c>
      <c r="H36" t="s">
        <v>4314</v>
      </c>
      <c r="I36" t="s">
        <v>13565</v>
      </c>
    </row>
    <row r="37" spans="1:9">
      <c r="A37" t="s">
        <v>13768</v>
      </c>
      <c r="B37" t="s">
        <v>13769</v>
      </c>
      <c r="C37" t="s">
        <v>13781</v>
      </c>
      <c r="D37" t="s">
        <v>4310</v>
      </c>
      <c r="F37" t="s">
        <v>11199</v>
      </c>
      <c r="G37" t="s">
        <v>12820</v>
      </c>
      <c r="H37" t="s">
        <v>4314</v>
      </c>
      <c r="I37" t="s">
        <v>13775</v>
      </c>
    </row>
    <row r="38" spans="1:9">
      <c r="A38" t="s">
        <v>13787</v>
      </c>
      <c r="B38" t="s">
        <v>13769</v>
      </c>
      <c r="C38" t="s">
        <v>13793</v>
      </c>
      <c r="D38" t="s">
        <v>4310</v>
      </c>
      <c r="F38" t="s">
        <v>11199</v>
      </c>
      <c r="G38" t="s">
        <v>12820</v>
      </c>
      <c r="H38" t="s">
        <v>4314</v>
      </c>
      <c r="I38" t="s">
        <v>13799</v>
      </c>
    </row>
    <row r="39" spans="1:9">
      <c r="A39" t="s">
        <v>13770</v>
      </c>
      <c r="B39" t="s">
        <v>13769</v>
      </c>
      <c r="C39" t="s">
        <v>13782</v>
      </c>
      <c r="D39" t="s">
        <v>4310</v>
      </c>
      <c r="F39" t="s">
        <v>11199</v>
      </c>
      <c r="G39" t="s">
        <v>12820</v>
      </c>
      <c r="H39" t="s">
        <v>4314</v>
      </c>
      <c r="I39" t="s">
        <v>13776</v>
      </c>
    </row>
    <row r="40" spans="1:9">
      <c r="A40" t="s">
        <v>13788</v>
      </c>
      <c r="B40" t="s">
        <v>13769</v>
      </c>
      <c r="C40" t="s">
        <v>13794</v>
      </c>
      <c r="D40" t="s">
        <v>4310</v>
      </c>
      <c r="F40" t="s">
        <v>11199</v>
      </c>
      <c r="G40" t="s">
        <v>12820</v>
      </c>
      <c r="H40" t="s">
        <v>4314</v>
      </c>
      <c r="I40" t="s">
        <v>13800</v>
      </c>
    </row>
    <row r="41" spans="1:9">
      <c r="A41" t="s">
        <v>13771</v>
      </c>
      <c r="B41" t="s">
        <v>13769</v>
      </c>
      <c r="C41" t="s">
        <v>13783</v>
      </c>
      <c r="D41" t="s">
        <v>4310</v>
      </c>
      <c r="F41" t="s">
        <v>11199</v>
      </c>
      <c r="G41" t="s">
        <v>12820</v>
      </c>
      <c r="H41" t="s">
        <v>4314</v>
      </c>
      <c r="I41" t="s">
        <v>13777</v>
      </c>
    </row>
    <row r="42" spans="1:9">
      <c r="A42" t="s">
        <v>13789</v>
      </c>
      <c r="B42" t="s">
        <v>13769</v>
      </c>
      <c r="C42" t="s">
        <v>13795</v>
      </c>
      <c r="D42" t="s">
        <v>4310</v>
      </c>
      <c r="F42" t="s">
        <v>11199</v>
      </c>
      <c r="G42" t="s">
        <v>12820</v>
      </c>
      <c r="H42" t="s">
        <v>4314</v>
      </c>
      <c r="I42" t="s">
        <v>13801</v>
      </c>
    </row>
    <row r="43" spans="1:9">
      <c r="A43" t="s">
        <v>13772</v>
      </c>
      <c r="B43" t="s">
        <v>13769</v>
      </c>
      <c r="C43" t="s">
        <v>13784</v>
      </c>
      <c r="D43" t="s">
        <v>4310</v>
      </c>
      <c r="F43" t="s">
        <v>11199</v>
      </c>
      <c r="G43" t="s">
        <v>12820</v>
      </c>
      <c r="H43" t="s">
        <v>4314</v>
      </c>
      <c r="I43" t="s">
        <v>13778</v>
      </c>
    </row>
    <row r="44" spans="1:9">
      <c r="A44" t="s">
        <v>13790</v>
      </c>
      <c r="B44" t="s">
        <v>13769</v>
      </c>
      <c r="C44" t="s">
        <v>13796</v>
      </c>
      <c r="D44" t="s">
        <v>4310</v>
      </c>
      <c r="F44" t="s">
        <v>11199</v>
      </c>
      <c r="G44" t="s">
        <v>12820</v>
      </c>
      <c r="H44" t="s">
        <v>4314</v>
      </c>
      <c r="I44" t="s">
        <v>13802</v>
      </c>
    </row>
    <row r="45" spans="1:9">
      <c r="A45" t="s">
        <v>13773</v>
      </c>
      <c r="B45" t="s">
        <v>13769</v>
      </c>
      <c r="C45" t="s">
        <v>13785</v>
      </c>
      <c r="D45" t="s">
        <v>4310</v>
      </c>
      <c r="F45" t="s">
        <v>11199</v>
      </c>
      <c r="G45" t="s">
        <v>12820</v>
      </c>
      <c r="H45" t="s">
        <v>4314</v>
      </c>
      <c r="I45" t="s">
        <v>13779</v>
      </c>
    </row>
    <row r="46" spans="1:9">
      <c r="A46" t="s">
        <v>13791</v>
      </c>
      <c r="B46" t="s">
        <v>13769</v>
      </c>
      <c r="C46" t="s">
        <v>13797</v>
      </c>
      <c r="D46" t="s">
        <v>4310</v>
      </c>
      <c r="F46" t="s">
        <v>11199</v>
      </c>
      <c r="G46" t="s">
        <v>12820</v>
      </c>
      <c r="H46" t="s">
        <v>4314</v>
      </c>
      <c r="I46" t="s">
        <v>13803</v>
      </c>
    </row>
    <row r="47" spans="1:9">
      <c r="A47" t="s">
        <v>13774</v>
      </c>
      <c r="B47" t="s">
        <v>13769</v>
      </c>
      <c r="C47" t="s">
        <v>13786</v>
      </c>
      <c r="D47" t="s">
        <v>4310</v>
      </c>
      <c r="F47" t="s">
        <v>11199</v>
      </c>
      <c r="G47" t="s">
        <v>12820</v>
      </c>
      <c r="H47" t="s">
        <v>4314</v>
      </c>
      <c r="I47" t="s">
        <v>13780</v>
      </c>
    </row>
    <row r="48" spans="1:9">
      <c r="A48" t="s">
        <v>13792</v>
      </c>
      <c r="B48" t="s">
        <v>13769</v>
      </c>
      <c r="C48" t="s">
        <v>13798</v>
      </c>
      <c r="D48" t="s">
        <v>4310</v>
      </c>
      <c r="F48" t="s">
        <v>11199</v>
      </c>
      <c r="G48" t="s">
        <v>12820</v>
      </c>
      <c r="H48" t="s">
        <v>4314</v>
      </c>
      <c r="I48" t="s">
        <v>13804</v>
      </c>
    </row>
    <row r="49" spans="1:9">
      <c r="A49" t="s">
        <v>14012</v>
      </c>
      <c r="B49" t="s">
        <v>12845</v>
      </c>
      <c r="C49" t="s">
        <v>14013</v>
      </c>
      <c r="D49" t="s">
        <v>4310</v>
      </c>
      <c r="F49" t="s">
        <v>11199</v>
      </c>
      <c r="G49" t="s">
        <v>12820</v>
      </c>
      <c r="H49" t="s">
        <v>4314</v>
      </c>
      <c r="I49" t="s">
        <v>14014</v>
      </c>
    </row>
    <row r="50" spans="1:9">
      <c r="A50" t="s">
        <v>14018</v>
      </c>
      <c r="B50" t="s">
        <v>12845</v>
      </c>
      <c r="C50" t="s">
        <v>14019</v>
      </c>
      <c r="D50" t="s">
        <v>4310</v>
      </c>
      <c r="F50" t="s">
        <v>11199</v>
      </c>
      <c r="G50" t="s">
        <v>12820</v>
      </c>
      <c r="H50" t="s">
        <v>4314</v>
      </c>
      <c r="I50" t="s">
        <v>14020</v>
      </c>
    </row>
    <row r="51" spans="1:9">
      <c r="A51" t="s">
        <v>14015</v>
      </c>
      <c r="B51" t="s">
        <v>12845</v>
      </c>
      <c r="C51" t="s">
        <v>14016</v>
      </c>
      <c r="D51" t="s">
        <v>4310</v>
      </c>
      <c r="F51" t="s">
        <v>11199</v>
      </c>
      <c r="G51" t="s">
        <v>12820</v>
      </c>
      <c r="H51" t="s">
        <v>4314</v>
      </c>
      <c r="I51" t="s">
        <v>14017</v>
      </c>
    </row>
    <row r="52" spans="1:9">
      <c r="A52" t="s">
        <v>12844</v>
      </c>
      <c r="B52" t="s">
        <v>12845</v>
      </c>
      <c r="C52" t="s">
        <v>12846</v>
      </c>
      <c r="D52" t="s">
        <v>4310</v>
      </c>
      <c r="F52" t="s">
        <v>11199</v>
      </c>
      <c r="G52" t="s">
        <v>12820</v>
      </c>
      <c r="H52" t="s">
        <v>4314</v>
      </c>
      <c r="I52" t="s">
        <v>12847</v>
      </c>
    </row>
    <row r="53" spans="1:9">
      <c r="A53" t="s">
        <v>12848</v>
      </c>
      <c r="B53" t="s">
        <v>12845</v>
      </c>
      <c r="C53" t="s">
        <v>12849</v>
      </c>
      <c r="D53" t="s">
        <v>4310</v>
      </c>
      <c r="F53" t="s">
        <v>11199</v>
      </c>
      <c r="G53" t="s">
        <v>12820</v>
      </c>
      <c r="H53" t="s">
        <v>4314</v>
      </c>
      <c r="I53" t="s">
        <v>12850</v>
      </c>
    </row>
    <row r="54" spans="1:9">
      <c r="A54" t="s">
        <v>12851</v>
      </c>
      <c r="B54" t="s">
        <v>12845</v>
      </c>
      <c r="C54" t="s">
        <v>12852</v>
      </c>
      <c r="D54" t="s">
        <v>4310</v>
      </c>
      <c r="F54" t="s">
        <v>11199</v>
      </c>
      <c r="G54" t="s">
        <v>12820</v>
      </c>
      <c r="H54" t="s">
        <v>4314</v>
      </c>
      <c r="I54" t="s">
        <v>12853</v>
      </c>
    </row>
    <row r="55" spans="1:9">
      <c r="A55" t="s">
        <v>12854</v>
      </c>
      <c r="B55" t="s">
        <v>12845</v>
      </c>
      <c r="C55" t="s">
        <v>12855</v>
      </c>
      <c r="D55" t="s">
        <v>4310</v>
      </c>
      <c r="F55" t="s">
        <v>11199</v>
      </c>
      <c r="G55" t="s">
        <v>12820</v>
      </c>
      <c r="H55" t="s">
        <v>4314</v>
      </c>
      <c r="I55" t="s">
        <v>12856</v>
      </c>
    </row>
    <row r="56" spans="1:9">
      <c r="A56" t="s">
        <v>12857</v>
      </c>
      <c r="B56" t="s">
        <v>12845</v>
      </c>
      <c r="C56" t="s">
        <v>12858</v>
      </c>
      <c r="D56" t="s">
        <v>4310</v>
      </c>
      <c r="F56" t="s">
        <v>11199</v>
      </c>
      <c r="G56" t="s">
        <v>12820</v>
      </c>
      <c r="H56" t="s">
        <v>4314</v>
      </c>
      <c r="I56" t="s">
        <v>12859</v>
      </c>
    </row>
    <row r="57" spans="1:9">
      <c r="A57" t="s">
        <v>13415</v>
      </c>
      <c r="B57" t="s">
        <v>13406</v>
      </c>
      <c r="C57" t="s">
        <v>13417</v>
      </c>
      <c r="D57" t="s">
        <v>4310</v>
      </c>
      <c r="F57" t="s">
        <v>11199</v>
      </c>
      <c r="G57" t="s">
        <v>13427</v>
      </c>
      <c r="H57" t="s">
        <v>4314</v>
      </c>
      <c r="I57" t="s">
        <v>13416</v>
      </c>
    </row>
    <row r="58" spans="1:9">
      <c r="A58" t="s">
        <v>13405</v>
      </c>
      <c r="B58" t="s">
        <v>13406</v>
      </c>
      <c r="C58" t="s">
        <v>13418</v>
      </c>
      <c r="D58" t="s">
        <v>4310</v>
      </c>
      <c r="F58" t="s">
        <v>11199</v>
      </c>
      <c r="G58" t="s">
        <v>13427</v>
      </c>
      <c r="H58" t="s">
        <v>4314</v>
      </c>
      <c r="I58" t="s">
        <v>13396</v>
      </c>
    </row>
    <row r="59" spans="1:9">
      <c r="A59" t="s">
        <v>13407</v>
      </c>
      <c r="B59" t="s">
        <v>13406</v>
      </c>
      <c r="C59" t="s">
        <v>13419</v>
      </c>
      <c r="D59" t="s">
        <v>4310</v>
      </c>
      <c r="F59" t="s">
        <v>11199</v>
      </c>
      <c r="G59" t="s">
        <v>13427</v>
      </c>
      <c r="H59" t="s">
        <v>4314</v>
      </c>
      <c r="I59" t="s">
        <v>13397</v>
      </c>
    </row>
    <row r="60" spans="1:9">
      <c r="A60" t="s">
        <v>13408</v>
      </c>
      <c r="B60" t="s">
        <v>13406</v>
      </c>
      <c r="C60" t="s">
        <v>13420</v>
      </c>
      <c r="D60" t="s">
        <v>4310</v>
      </c>
      <c r="F60" t="s">
        <v>11199</v>
      </c>
      <c r="G60" t="s">
        <v>13427</v>
      </c>
      <c r="H60" t="s">
        <v>4314</v>
      </c>
      <c r="I60" t="s">
        <v>13398</v>
      </c>
    </row>
    <row r="61" spans="1:9">
      <c r="A61" t="s">
        <v>13409</v>
      </c>
      <c r="B61" t="s">
        <v>13406</v>
      </c>
      <c r="C61" t="s">
        <v>13421</v>
      </c>
      <c r="D61" t="s">
        <v>4310</v>
      </c>
      <c r="F61" t="s">
        <v>11199</v>
      </c>
      <c r="G61" t="s">
        <v>13427</v>
      </c>
      <c r="H61" t="s">
        <v>4314</v>
      </c>
      <c r="I61" t="s">
        <v>13399</v>
      </c>
    </row>
    <row r="62" spans="1:9">
      <c r="A62" t="s">
        <v>13410</v>
      </c>
      <c r="B62" t="s">
        <v>13406</v>
      </c>
      <c r="C62" t="s">
        <v>13422</v>
      </c>
      <c r="D62" t="s">
        <v>4310</v>
      </c>
      <c r="F62" t="s">
        <v>11199</v>
      </c>
      <c r="G62" t="s">
        <v>13427</v>
      </c>
      <c r="H62" t="s">
        <v>4314</v>
      </c>
      <c r="I62" t="s">
        <v>13400</v>
      </c>
    </row>
    <row r="63" spans="1:9">
      <c r="A63" t="s">
        <v>13411</v>
      </c>
      <c r="B63" t="s">
        <v>13406</v>
      </c>
      <c r="C63" t="s">
        <v>13423</v>
      </c>
      <c r="D63" t="s">
        <v>4310</v>
      </c>
      <c r="F63" t="s">
        <v>11199</v>
      </c>
      <c r="G63" t="s">
        <v>13427</v>
      </c>
      <c r="H63" t="s">
        <v>4314</v>
      </c>
      <c r="I63" t="s">
        <v>13401</v>
      </c>
    </row>
    <row r="64" spans="1:9">
      <c r="A64" t="s">
        <v>13412</v>
      </c>
      <c r="B64" t="s">
        <v>13406</v>
      </c>
      <c r="C64" t="s">
        <v>13424</v>
      </c>
      <c r="D64" t="s">
        <v>4310</v>
      </c>
      <c r="F64" t="s">
        <v>11199</v>
      </c>
      <c r="G64" t="s">
        <v>13427</v>
      </c>
      <c r="H64" t="s">
        <v>4314</v>
      </c>
      <c r="I64" t="s">
        <v>13402</v>
      </c>
    </row>
    <row r="65" spans="1:23">
      <c r="A65" t="s">
        <v>13413</v>
      </c>
      <c r="B65" t="s">
        <v>13406</v>
      </c>
      <c r="C65" t="s">
        <v>13425</v>
      </c>
      <c r="D65" t="s">
        <v>4310</v>
      </c>
      <c r="F65" t="s">
        <v>11199</v>
      </c>
      <c r="G65" t="s">
        <v>13427</v>
      </c>
      <c r="H65" t="s">
        <v>4314</v>
      </c>
      <c r="I65" t="s">
        <v>13403</v>
      </c>
    </row>
    <row r="66" spans="1:23">
      <c r="A66" t="s">
        <v>13414</v>
      </c>
      <c r="B66" t="s">
        <v>13406</v>
      </c>
      <c r="C66" t="s">
        <v>13426</v>
      </c>
      <c r="D66" t="s">
        <v>4310</v>
      </c>
      <c r="F66" t="s">
        <v>11199</v>
      </c>
      <c r="G66" t="s">
        <v>13427</v>
      </c>
      <c r="H66" t="s">
        <v>4314</v>
      </c>
      <c r="I66" t="s">
        <v>13404</v>
      </c>
    </row>
    <row r="67" spans="1:23">
      <c r="A67" t="s">
        <v>4308</v>
      </c>
      <c r="B67" t="s">
        <v>4309</v>
      </c>
      <c r="C67" t="s">
        <v>4307</v>
      </c>
      <c r="D67" t="s">
        <v>4310</v>
      </c>
      <c r="F67" t="str">
        <f>Config!$B$7</f>
        <v>SCH/Connector.SchLib</v>
      </c>
      <c r="G67" t="s">
        <v>4311</v>
      </c>
      <c r="H67" t="s">
        <v>4315</v>
      </c>
      <c r="I67" t="s">
        <v>4308</v>
      </c>
    </row>
    <row r="68" spans="1:23">
      <c r="A68" t="s">
        <v>4323</v>
      </c>
      <c r="B68" t="s">
        <v>4325</v>
      </c>
      <c r="C68" t="s">
        <v>4324</v>
      </c>
      <c r="D68" t="s">
        <v>4310</v>
      </c>
      <c r="F68" t="str">
        <f>Config!$B$7</f>
        <v>SCH/Connector.SchLib</v>
      </c>
      <c r="G68" t="s">
        <v>4311</v>
      </c>
      <c r="H68" t="s">
        <v>4315</v>
      </c>
      <c r="I68" t="s">
        <v>4323</v>
      </c>
    </row>
    <row r="69" spans="1:23">
      <c r="A69" t="s">
        <v>4328</v>
      </c>
      <c r="B69" t="s">
        <v>4330</v>
      </c>
      <c r="C69" t="s">
        <v>4329</v>
      </c>
      <c r="D69" t="s">
        <v>4310</v>
      </c>
      <c r="F69" t="str">
        <f>Config!$B$7</f>
        <v>SCH/Connector.SchLib</v>
      </c>
      <c r="G69" t="s">
        <v>4311</v>
      </c>
      <c r="H69" t="s">
        <v>4315</v>
      </c>
      <c r="I69" t="s">
        <v>4328</v>
      </c>
    </row>
    <row r="70" spans="1:23">
      <c r="A70" t="s">
        <v>4331</v>
      </c>
      <c r="B70" t="s">
        <v>4335</v>
      </c>
      <c r="C70" t="s">
        <v>4342</v>
      </c>
      <c r="D70" t="s">
        <v>4310</v>
      </c>
      <c r="F70" t="str">
        <f>Config!$B$7</f>
        <v>SCH/Connector.SchLib</v>
      </c>
      <c r="G70" t="s">
        <v>4326</v>
      </c>
      <c r="H70" t="s">
        <v>4315</v>
      </c>
      <c r="I70" t="s">
        <v>4331</v>
      </c>
    </row>
    <row r="71" spans="1:23">
      <c r="A71" t="s">
        <v>4332</v>
      </c>
      <c r="B71" t="s">
        <v>4336</v>
      </c>
      <c r="C71" t="s">
        <v>4341</v>
      </c>
      <c r="D71" t="s">
        <v>4310</v>
      </c>
      <c r="F71" t="str">
        <f>Config!$B$7</f>
        <v>SCH/Connector.SchLib</v>
      </c>
      <c r="G71" t="s">
        <v>4326</v>
      </c>
      <c r="H71" t="s">
        <v>4315</v>
      </c>
      <c r="I71" t="s">
        <v>4332</v>
      </c>
    </row>
    <row r="72" spans="1:23">
      <c r="A72" t="s">
        <v>4333</v>
      </c>
      <c r="B72" t="s">
        <v>4337</v>
      </c>
      <c r="C72" t="s">
        <v>4340</v>
      </c>
      <c r="D72" t="s">
        <v>4310</v>
      </c>
      <c r="F72" t="str">
        <f>Config!$B$7</f>
        <v>SCH/Connector.SchLib</v>
      </c>
      <c r="G72" t="s">
        <v>4327</v>
      </c>
      <c r="H72" t="s">
        <v>4315</v>
      </c>
      <c r="I72" t="s">
        <v>4333</v>
      </c>
    </row>
    <row r="73" spans="1:23">
      <c r="A73" t="s">
        <v>4334</v>
      </c>
      <c r="B73" t="s">
        <v>4338</v>
      </c>
      <c r="C73" t="s">
        <v>4339</v>
      </c>
      <c r="D73" t="s">
        <v>4310</v>
      </c>
      <c r="F73" t="str">
        <f>Config!$B$7</f>
        <v>SCH/Connector.SchLib</v>
      </c>
      <c r="G73" t="s">
        <v>4327</v>
      </c>
      <c r="H73" t="s">
        <v>4315</v>
      </c>
      <c r="I73" t="s">
        <v>4334</v>
      </c>
    </row>
    <row r="74" spans="1:23">
      <c r="A74" t="s">
        <v>4318</v>
      </c>
      <c r="B74" t="s">
        <v>4318</v>
      </c>
      <c r="C74" t="s">
        <v>4319</v>
      </c>
      <c r="D74" t="s">
        <v>4310</v>
      </c>
      <c r="F74" t="str">
        <f>Config!$B$7</f>
        <v>SCH/Connector.SchLib</v>
      </c>
      <c r="G74" t="s">
        <v>4321</v>
      </c>
      <c r="H74" t="s">
        <v>4322</v>
      </c>
      <c r="I74" t="s">
        <v>4318</v>
      </c>
    </row>
    <row r="75" spans="1:23">
      <c r="A75" t="s">
        <v>6440</v>
      </c>
      <c r="B75" t="s">
        <v>4317</v>
      </c>
      <c r="C75" t="s">
        <v>4320</v>
      </c>
      <c r="D75" t="s">
        <v>4310</v>
      </c>
      <c r="F75" t="str">
        <f>Config!$B$7</f>
        <v>SCH/Connector.SchLib</v>
      </c>
      <c r="G75" t="s">
        <v>6439</v>
      </c>
      <c r="H75" t="s">
        <v>4322</v>
      </c>
      <c r="I75" t="s">
        <v>4317</v>
      </c>
    </row>
    <row r="76" spans="1:23">
      <c r="A76" t="s">
        <v>4317</v>
      </c>
      <c r="B76" t="s">
        <v>4317</v>
      </c>
      <c r="C76" t="s">
        <v>4320</v>
      </c>
      <c r="D76" t="s">
        <v>4310</v>
      </c>
      <c r="F76" t="str">
        <f>Config!$B$7</f>
        <v>SCH/Connector.SchLib</v>
      </c>
      <c r="G76" t="s">
        <v>4321</v>
      </c>
      <c r="H76" t="s">
        <v>4322</v>
      </c>
      <c r="I76" t="s">
        <v>4317</v>
      </c>
    </row>
    <row r="77" spans="1:23">
      <c r="A77" t="s">
        <v>18925</v>
      </c>
      <c r="B77" t="s">
        <v>18925</v>
      </c>
      <c r="C77" t="s">
        <v>18926</v>
      </c>
      <c r="D77" t="s">
        <v>4310</v>
      </c>
      <c r="F77" t="str">
        <f>Config!$B$7</f>
        <v>SCH/Connector.SchLib</v>
      </c>
      <c r="G77" t="s">
        <v>4321</v>
      </c>
      <c r="H77" t="s">
        <v>4322</v>
      </c>
      <c r="I77" t="s">
        <v>18925</v>
      </c>
    </row>
    <row r="78" spans="1:23">
      <c r="A78" t="s">
        <v>6425</v>
      </c>
      <c r="B78" t="s">
        <v>6425</v>
      </c>
      <c r="C78" t="s">
        <v>6426</v>
      </c>
      <c r="D78" t="s">
        <v>21</v>
      </c>
      <c r="F78" t="str">
        <f>Config!$B$7</f>
        <v>SCH/Connector.SchLib</v>
      </c>
      <c r="G78" t="s">
        <v>6427</v>
      </c>
      <c r="H78" t="s">
        <v>4314</v>
      </c>
      <c r="I78" t="s">
        <v>6641</v>
      </c>
      <c r="J78" t="s">
        <v>6640</v>
      </c>
      <c r="K78" t="s">
        <v>6223</v>
      </c>
      <c r="L78" t="s">
        <v>6429</v>
      </c>
      <c r="M78" t="s">
        <v>25</v>
      </c>
      <c r="N78" t="s">
        <v>6428</v>
      </c>
      <c r="S78" t="s">
        <v>4343</v>
      </c>
      <c r="T78" t="s">
        <v>6638</v>
      </c>
      <c r="U78" t="s">
        <v>4559</v>
      </c>
      <c r="V78" s="5" t="s">
        <v>6639</v>
      </c>
    </row>
    <row r="79" spans="1:23">
      <c r="A79" t="s">
        <v>4606</v>
      </c>
      <c r="B79" t="s">
        <v>4606</v>
      </c>
      <c r="C79" t="s">
        <v>4313</v>
      </c>
      <c r="D79" t="s">
        <v>21</v>
      </c>
      <c r="F79" t="str">
        <f>Config!$B$7</f>
        <v>SCH/Connector.SchLib</v>
      </c>
      <c r="G79" t="s">
        <v>6427</v>
      </c>
      <c r="H79" t="s">
        <v>4314</v>
      </c>
      <c r="I79" t="s">
        <v>4316</v>
      </c>
      <c r="O79" t="s">
        <v>4346</v>
      </c>
      <c r="P79" t="s">
        <v>4347</v>
      </c>
      <c r="Q79" t="s">
        <v>4349</v>
      </c>
      <c r="R79" s="4" t="s">
        <v>4348</v>
      </c>
      <c r="S79" t="s">
        <v>4343</v>
      </c>
      <c r="T79" t="s">
        <v>4344</v>
      </c>
      <c r="U79" t="s">
        <v>4559</v>
      </c>
      <c r="V79" t="s">
        <v>4345</v>
      </c>
      <c r="W79" t="s">
        <v>4727</v>
      </c>
    </row>
    <row r="80" spans="1:23">
      <c r="A80" t="s">
        <v>4810</v>
      </c>
      <c r="B80" t="s">
        <v>4810</v>
      </c>
      <c r="C80" t="s">
        <v>4809</v>
      </c>
      <c r="D80" t="s">
        <v>4310</v>
      </c>
      <c r="F80" t="s">
        <v>4358</v>
      </c>
      <c r="G80" t="s">
        <v>10932</v>
      </c>
      <c r="H80" t="s">
        <v>4359</v>
      </c>
      <c r="I80" t="s">
        <v>4808</v>
      </c>
    </row>
    <row r="81" spans="1:22">
      <c r="A81" t="s">
        <v>4811</v>
      </c>
      <c r="B81" t="s">
        <v>4811</v>
      </c>
      <c r="C81" t="s">
        <v>4812</v>
      </c>
      <c r="D81" t="s">
        <v>4310</v>
      </c>
      <c r="F81" t="s">
        <v>4358</v>
      </c>
      <c r="G81" t="s">
        <v>10932</v>
      </c>
      <c r="H81" t="s">
        <v>4359</v>
      </c>
      <c r="I81" t="s">
        <v>4807</v>
      </c>
    </row>
    <row r="82" spans="1:22">
      <c r="A82" t="s">
        <v>6354</v>
      </c>
      <c r="B82" t="s">
        <v>6355</v>
      </c>
      <c r="C82" t="s">
        <v>6356</v>
      </c>
      <c r="D82" t="s">
        <v>391</v>
      </c>
      <c r="F82" t="str">
        <f>Config!$B$7</f>
        <v>SCH/Connector.SchLib</v>
      </c>
      <c r="G82" t="s">
        <v>6375</v>
      </c>
      <c r="H82" s="11" t="str">
        <f>_xlfn.CONCAT(PrivateLibraryPath,"PCB/SDCard.PcbLib")</f>
        <v>../altium_lib_private/PCB/SDCard.PcbLib</v>
      </c>
      <c r="I82" s="11" t="s">
        <v>6354</v>
      </c>
      <c r="K82" t="s">
        <v>391</v>
      </c>
      <c r="L82" t="s">
        <v>6355</v>
      </c>
      <c r="M82" t="s">
        <v>25</v>
      </c>
      <c r="N82" t="s">
        <v>6357</v>
      </c>
    </row>
    <row r="83" spans="1:22">
      <c r="A83" t="s">
        <v>6643</v>
      </c>
      <c r="B83" t="s">
        <v>6646</v>
      </c>
      <c r="C83" t="s">
        <v>6652</v>
      </c>
      <c r="D83" t="s">
        <v>6645</v>
      </c>
      <c r="F83" t="str">
        <f>Config!$B$7</f>
        <v>SCH/Connector.SchLib</v>
      </c>
      <c r="G83" t="s">
        <v>6375</v>
      </c>
      <c r="H83" t="str">
        <f>_xlfn.CONCAT(PrivateLibraryPath,"PCB/SDCard.PcbLib")</f>
        <v>../altium_lib_private/PCB/SDCard.PcbLib</v>
      </c>
      <c r="I83" t="s">
        <v>6646</v>
      </c>
      <c r="J83" s="26" t="s">
        <v>6644</v>
      </c>
      <c r="K83" t="s">
        <v>6645</v>
      </c>
      <c r="L83" t="s">
        <v>6648</v>
      </c>
      <c r="M83" t="s">
        <v>25</v>
      </c>
      <c r="N83" t="s">
        <v>6647</v>
      </c>
      <c r="O83" t="s">
        <v>6645</v>
      </c>
      <c r="P83" t="s">
        <v>6648</v>
      </c>
      <c r="Q83" t="s">
        <v>4349</v>
      </c>
      <c r="R83" t="s">
        <v>6649</v>
      </c>
      <c r="S83" t="s">
        <v>6650</v>
      </c>
      <c r="T83" t="s">
        <v>6648</v>
      </c>
      <c r="U83" t="s">
        <v>4559</v>
      </c>
      <c r="V83" t="s">
        <v>6651</v>
      </c>
    </row>
    <row r="84" spans="1:22">
      <c r="A84" t="s">
        <v>6554</v>
      </c>
      <c r="B84" t="s">
        <v>6554</v>
      </c>
      <c r="C84" t="s">
        <v>6572</v>
      </c>
      <c r="D84" t="s">
        <v>6555</v>
      </c>
      <c r="F84" t="str">
        <f>Config!$B$7</f>
        <v>SCH/Connector.SchLib</v>
      </c>
      <c r="G84" t="s">
        <v>6556</v>
      </c>
      <c r="H84" t="s">
        <v>6586</v>
      </c>
      <c r="I84" t="s">
        <v>6557</v>
      </c>
      <c r="J84" t="s">
        <v>6558</v>
      </c>
    </row>
    <row r="85" spans="1:22">
      <c r="A85" t="s">
        <v>6559</v>
      </c>
      <c r="B85" t="s">
        <v>6559</v>
      </c>
      <c r="C85" t="s">
        <v>6573</v>
      </c>
      <c r="D85" t="s">
        <v>6555</v>
      </c>
      <c r="F85" t="str">
        <f>Config!$B$7</f>
        <v>SCH/Connector.SchLib</v>
      </c>
      <c r="G85" t="s">
        <v>6556</v>
      </c>
      <c r="H85" t="s">
        <v>6586</v>
      </c>
      <c r="I85" t="s">
        <v>6560</v>
      </c>
      <c r="J85" t="s">
        <v>6561</v>
      </c>
    </row>
    <row r="86" spans="1:22">
      <c r="A86" t="s">
        <v>6604</v>
      </c>
      <c r="B86" t="s">
        <v>6604</v>
      </c>
      <c r="C86" t="s">
        <v>6610</v>
      </c>
      <c r="D86" t="s">
        <v>6555</v>
      </c>
      <c r="F86" t="str">
        <f>Config!$B$7</f>
        <v>SCH/Connector.SchLib</v>
      </c>
      <c r="G86" t="s">
        <v>6556</v>
      </c>
      <c r="H86" t="s">
        <v>6586</v>
      </c>
      <c r="I86" t="s">
        <v>6616</v>
      </c>
      <c r="J86" t="s">
        <v>6558</v>
      </c>
    </row>
    <row r="87" spans="1:22">
      <c r="A87" t="s">
        <v>6605</v>
      </c>
      <c r="B87" t="s">
        <v>6605</v>
      </c>
      <c r="C87" t="s">
        <v>6611</v>
      </c>
      <c r="D87" t="s">
        <v>6555</v>
      </c>
      <c r="F87" t="str">
        <f>Config!$B$7</f>
        <v>SCH/Connector.SchLib</v>
      </c>
      <c r="G87" t="s">
        <v>6556</v>
      </c>
      <c r="H87" t="s">
        <v>6586</v>
      </c>
      <c r="I87" t="s">
        <v>6617</v>
      </c>
      <c r="J87" t="s">
        <v>6561</v>
      </c>
    </row>
    <row r="88" spans="1:22">
      <c r="A88" t="s">
        <v>6562</v>
      </c>
      <c r="B88" t="s">
        <v>6562</v>
      </c>
      <c r="C88" t="s">
        <v>6574</v>
      </c>
      <c r="D88" t="s">
        <v>6555</v>
      </c>
      <c r="F88" t="str">
        <f>Config!$B$7</f>
        <v>SCH/Connector.SchLib</v>
      </c>
      <c r="G88" t="s">
        <v>6563</v>
      </c>
      <c r="H88" t="s">
        <v>6586</v>
      </c>
      <c r="I88" t="s">
        <v>6570</v>
      </c>
      <c r="J88" t="s">
        <v>6568</v>
      </c>
    </row>
    <row r="89" spans="1:22">
      <c r="A89" t="s">
        <v>6564</v>
      </c>
      <c r="B89" t="s">
        <v>6564</v>
      </c>
      <c r="C89" t="s">
        <v>6575</v>
      </c>
      <c r="D89" t="s">
        <v>6555</v>
      </c>
      <c r="F89" t="str">
        <f>Config!$B$7</f>
        <v>SCH/Connector.SchLib</v>
      </c>
      <c r="G89" t="s">
        <v>6563</v>
      </c>
      <c r="H89" t="s">
        <v>6586</v>
      </c>
      <c r="I89" t="s">
        <v>6571</v>
      </c>
    </row>
    <row r="90" spans="1:22">
      <c r="A90" t="s">
        <v>6606</v>
      </c>
      <c r="B90" t="s">
        <v>6606</v>
      </c>
      <c r="C90" t="s">
        <v>6612</v>
      </c>
      <c r="D90" t="s">
        <v>6555</v>
      </c>
      <c r="F90" t="str">
        <f>Config!$B$7</f>
        <v>SCH/Connector.SchLib</v>
      </c>
      <c r="G90" t="s">
        <v>6563</v>
      </c>
      <c r="H90" t="s">
        <v>6586</v>
      </c>
      <c r="I90" t="s">
        <v>6618</v>
      </c>
      <c r="J90" t="s">
        <v>6568</v>
      </c>
    </row>
    <row r="91" spans="1:22">
      <c r="A91" t="s">
        <v>6607</v>
      </c>
      <c r="B91" t="s">
        <v>6607</v>
      </c>
      <c r="C91" t="s">
        <v>6613</v>
      </c>
      <c r="D91" t="s">
        <v>6555</v>
      </c>
      <c r="F91" t="str">
        <f>Config!$B$7</f>
        <v>SCH/Connector.SchLib</v>
      </c>
      <c r="G91" t="s">
        <v>6563</v>
      </c>
      <c r="H91" t="s">
        <v>6586</v>
      </c>
      <c r="I91" t="s">
        <v>6619</v>
      </c>
    </row>
    <row r="92" spans="1:22">
      <c r="A92" t="s">
        <v>6565</v>
      </c>
      <c r="B92" t="s">
        <v>6565</v>
      </c>
      <c r="C92" t="s">
        <v>6576</v>
      </c>
      <c r="D92" t="s">
        <v>6555</v>
      </c>
      <c r="F92" t="str">
        <f>Config!$B$7</f>
        <v>SCH/Connector.SchLib</v>
      </c>
      <c r="G92" t="s">
        <v>6566</v>
      </c>
      <c r="H92" t="s">
        <v>6586</v>
      </c>
      <c r="I92" t="s">
        <v>6578</v>
      </c>
      <c r="J92" t="s">
        <v>6569</v>
      </c>
    </row>
    <row r="93" spans="1:22">
      <c r="A93" t="s">
        <v>6567</v>
      </c>
      <c r="B93" t="s">
        <v>6567</v>
      </c>
      <c r="C93" t="s">
        <v>6577</v>
      </c>
      <c r="D93" t="s">
        <v>6555</v>
      </c>
      <c r="F93" t="str">
        <f>Config!$B$7</f>
        <v>SCH/Connector.SchLib</v>
      </c>
      <c r="G93" t="s">
        <v>6566</v>
      </c>
      <c r="H93" t="s">
        <v>6586</v>
      </c>
      <c r="I93" t="s">
        <v>6579</v>
      </c>
    </row>
    <row r="94" spans="1:22">
      <c r="A94" t="s">
        <v>6608</v>
      </c>
      <c r="B94" t="s">
        <v>6608</v>
      </c>
      <c r="C94" t="s">
        <v>6614</v>
      </c>
      <c r="D94" t="s">
        <v>6555</v>
      </c>
      <c r="F94" t="str">
        <f>Config!$B$7</f>
        <v>SCH/Connector.SchLib</v>
      </c>
      <c r="G94" t="s">
        <v>6566</v>
      </c>
      <c r="H94" t="s">
        <v>6586</v>
      </c>
      <c r="I94" t="s">
        <v>6620</v>
      </c>
      <c r="J94" t="s">
        <v>6569</v>
      </c>
    </row>
    <row r="95" spans="1:22">
      <c r="A95" t="s">
        <v>6609</v>
      </c>
      <c r="B95" t="s">
        <v>6609</v>
      </c>
      <c r="C95" t="s">
        <v>6615</v>
      </c>
      <c r="D95" t="s">
        <v>6555</v>
      </c>
      <c r="F95" t="str">
        <f>Config!$B$7</f>
        <v>SCH/Connector.SchLib</v>
      </c>
      <c r="G95" t="s">
        <v>6566</v>
      </c>
      <c r="H95" t="s">
        <v>6586</v>
      </c>
      <c r="I95" t="s">
        <v>6621</v>
      </c>
    </row>
    <row r="96" spans="1:22">
      <c r="A96" t="s">
        <v>8044</v>
      </c>
      <c r="B96" t="s">
        <v>8044</v>
      </c>
      <c r="C96" t="s">
        <v>8044</v>
      </c>
      <c r="D96" t="s">
        <v>7824</v>
      </c>
      <c r="F96" t="str">
        <f>Config!$B$7</f>
        <v>SCH/Connector.SchLib</v>
      </c>
      <c r="G96" t="s">
        <v>4321</v>
      </c>
      <c r="H96" t="s">
        <v>4322</v>
      </c>
      <c r="I96" t="s">
        <v>8043</v>
      </c>
      <c r="J96" t="s">
        <v>8044</v>
      </c>
      <c r="K96" t="s">
        <v>8045</v>
      </c>
      <c r="L96" t="s">
        <v>8046</v>
      </c>
      <c r="M96" t="s">
        <v>25</v>
      </c>
      <c r="N96" t="s">
        <v>8047</v>
      </c>
    </row>
    <row r="97" spans="1:14">
      <c r="A97" t="s">
        <v>7827</v>
      </c>
      <c r="B97" t="s">
        <v>7827</v>
      </c>
      <c r="C97" t="s">
        <v>7827</v>
      </c>
      <c r="D97" t="s">
        <v>7824</v>
      </c>
      <c r="F97" t="str">
        <f>Config!$B$7</f>
        <v>SCH/Connector.SchLib</v>
      </c>
      <c r="G97" t="s">
        <v>4321</v>
      </c>
      <c r="H97" t="s">
        <v>4322</v>
      </c>
      <c r="I97" t="s">
        <v>7828</v>
      </c>
      <c r="J97" t="s">
        <v>7829</v>
      </c>
      <c r="K97" t="s">
        <v>8045</v>
      </c>
      <c r="L97" t="s">
        <v>7825</v>
      </c>
      <c r="M97" t="s">
        <v>25</v>
      </c>
      <c r="N97" t="s">
        <v>7826</v>
      </c>
    </row>
    <row r="98" spans="1:14">
      <c r="A98" t="s">
        <v>7995</v>
      </c>
      <c r="B98" t="s">
        <v>7995</v>
      </c>
      <c r="C98" t="s">
        <v>7994</v>
      </c>
      <c r="D98" t="s">
        <v>7985</v>
      </c>
      <c r="F98" t="s">
        <v>7986</v>
      </c>
      <c r="G98" t="s">
        <v>7987</v>
      </c>
      <c r="H98" t="s">
        <v>7988</v>
      </c>
      <c r="I98" t="s">
        <v>7989</v>
      </c>
      <c r="J98" s="26" t="s">
        <v>7990</v>
      </c>
      <c r="K98" t="s">
        <v>7991</v>
      </c>
      <c r="L98" t="s">
        <v>7992</v>
      </c>
      <c r="M98" t="s">
        <v>25</v>
      </c>
      <c r="N98" t="s">
        <v>7993</v>
      </c>
    </row>
    <row r="99" spans="1:14">
      <c r="A99" t="s">
        <v>7996</v>
      </c>
      <c r="B99" t="s">
        <v>7996</v>
      </c>
      <c r="C99" t="s">
        <v>7997</v>
      </c>
      <c r="D99" t="s">
        <v>7985</v>
      </c>
      <c r="F99" t="s">
        <v>7986</v>
      </c>
      <c r="G99" t="s">
        <v>7987</v>
      </c>
      <c r="H99" t="s">
        <v>7988</v>
      </c>
      <c r="I99" t="s">
        <v>7989</v>
      </c>
      <c r="J99" s="26" t="s">
        <v>7990</v>
      </c>
      <c r="K99" t="s">
        <v>7991</v>
      </c>
      <c r="L99" t="s">
        <v>7998</v>
      </c>
      <c r="M99" t="s">
        <v>25</v>
      </c>
      <c r="N99" t="s">
        <v>7999</v>
      </c>
    </row>
    <row r="100" spans="1:14">
      <c r="A100" t="s">
        <v>8018</v>
      </c>
      <c r="B100" t="s">
        <v>8018</v>
      </c>
      <c r="C100" t="s">
        <v>8017</v>
      </c>
      <c r="D100" t="s">
        <v>7985</v>
      </c>
      <c r="F100" t="s">
        <v>7986</v>
      </c>
      <c r="G100" t="s">
        <v>7987</v>
      </c>
      <c r="H100" t="s">
        <v>7988</v>
      </c>
      <c r="I100" t="s">
        <v>7989</v>
      </c>
      <c r="J100" s="26" t="s">
        <v>7990</v>
      </c>
      <c r="K100" t="s">
        <v>7991</v>
      </c>
      <c r="L100" t="s">
        <v>8019</v>
      </c>
      <c r="M100" t="s">
        <v>25</v>
      </c>
      <c r="N100" t="s">
        <v>8020</v>
      </c>
    </row>
    <row r="101" spans="1:14">
      <c r="A101" t="s">
        <v>8000</v>
      </c>
      <c r="B101" t="s">
        <v>8000</v>
      </c>
      <c r="C101" t="s">
        <v>8008</v>
      </c>
      <c r="D101" t="s">
        <v>7985</v>
      </c>
      <c r="F101" t="s">
        <v>7986</v>
      </c>
      <c r="G101" t="s">
        <v>8001</v>
      </c>
      <c r="H101" t="s">
        <v>7988</v>
      </c>
      <c r="I101" t="s">
        <v>8002</v>
      </c>
      <c r="J101" s="26" t="s">
        <v>8003</v>
      </c>
      <c r="K101" t="s">
        <v>7991</v>
      </c>
      <c r="L101" t="s">
        <v>8004</v>
      </c>
      <c r="M101" t="s">
        <v>25</v>
      </c>
      <c r="N101" t="s">
        <v>8005</v>
      </c>
    </row>
    <row r="102" spans="1:14">
      <c r="A102" t="s">
        <v>8000</v>
      </c>
      <c r="B102" t="s">
        <v>8000</v>
      </c>
      <c r="C102" t="s">
        <v>8009</v>
      </c>
      <c r="D102" t="s">
        <v>7985</v>
      </c>
      <c r="F102" t="s">
        <v>7986</v>
      </c>
      <c r="G102" t="s">
        <v>8001</v>
      </c>
      <c r="H102" t="s">
        <v>7988</v>
      </c>
      <c r="I102" t="s">
        <v>8002</v>
      </c>
      <c r="J102" s="26" t="s">
        <v>8003</v>
      </c>
      <c r="K102" t="s">
        <v>7991</v>
      </c>
      <c r="L102" t="s">
        <v>8006</v>
      </c>
      <c r="M102" t="s">
        <v>25</v>
      </c>
      <c r="N102" t="s">
        <v>8007</v>
      </c>
    </row>
    <row r="103" spans="1:14">
      <c r="A103" t="s">
        <v>8010</v>
      </c>
      <c r="B103" t="s">
        <v>8010</v>
      </c>
      <c r="C103" t="s">
        <v>8011</v>
      </c>
      <c r="D103" t="s">
        <v>7985</v>
      </c>
      <c r="F103" t="s">
        <v>7986</v>
      </c>
      <c r="G103" t="s">
        <v>8001</v>
      </c>
      <c r="H103" t="s">
        <v>7988</v>
      </c>
      <c r="I103" t="s">
        <v>8002</v>
      </c>
      <c r="J103" s="26" t="s">
        <v>8003</v>
      </c>
      <c r="K103" t="s">
        <v>7991</v>
      </c>
      <c r="L103" t="s">
        <v>8012</v>
      </c>
      <c r="M103" t="s">
        <v>25</v>
      </c>
      <c r="N103" t="s">
        <v>8013</v>
      </c>
    </row>
    <row r="104" spans="1:14">
      <c r="A104" t="s">
        <v>8010</v>
      </c>
      <c r="B104" t="s">
        <v>8010</v>
      </c>
      <c r="C104" t="s">
        <v>8014</v>
      </c>
      <c r="D104" t="s">
        <v>7985</v>
      </c>
      <c r="F104" t="s">
        <v>7986</v>
      </c>
      <c r="G104" t="s">
        <v>8001</v>
      </c>
      <c r="H104" t="s">
        <v>7988</v>
      </c>
      <c r="I104" t="s">
        <v>8002</v>
      </c>
      <c r="J104" s="26" t="s">
        <v>8003</v>
      </c>
      <c r="K104" t="s">
        <v>7991</v>
      </c>
      <c r="L104" t="s">
        <v>8015</v>
      </c>
      <c r="M104" t="s">
        <v>25</v>
      </c>
      <c r="N104" t="s">
        <v>8016</v>
      </c>
    </row>
    <row r="105" spans="1:14">
      <c r="A105" t="s">
        <v>8450</v>
      </c>
      <c r="B105" t="s">
        <v>8449</v>
      </c>
      <c r="C105" t="s">
        <v>8451</v>
      </c>
      <c r="D105" t="s">
        <v>8452</v>
      </c>
      <c r="F105" t="s">
        <v>8453</v>
      </c>
      <c r="G105" t="s">
        <v>8454</v>
      </c>
      <c r="H105" t="s">
        <v>8455</v>
      </c>
      <c r="I105" t="s">
        <v>8456</v>
      </c>
      <c r="J105" t="s">
        <v>8457</v>
      </c>
      <c r="K105" t="s">
        <v>8452</v>
      </c>
      <c r="L105" t="s">
        <v>8458</v>
      </c>
      <c r="M105" t="s">
        <v>8447</v>
      </c>
      <c r="N105" t="s">
        <v>8459</v>
      </c>
    </row>
    <row r="106" spans="1:14">
      <c r="A106" t="s">
        <v>10933</v>
      </c>
      <c r="B106" t="s">
        <v>10933</v>
      </c>
      <c r="C106" t="s">
        <v>10935</v>
      </c>
      <c r="D106" t="s">
        <v>10937</v>
      </c>
      <c r="F106" t="s">
        <v>4358</v>
      </c>
      <c r="G106" t="s">
        <v>10932</v>
      </c>
      <c r="H106" t="s">
        <v>4359</v>
      </c>
      <c r="I106" t="s">
        <v>10939</v>
      </c>
      <c r="J106" t="s">
        <v>10941</v>
      </c>
      <c r="K106" t="s">
        <v>10937</v>
      </c>
      <c r="L106" t="s">
        <v>10943</v>
      </c>
      <c r="M106" t="s">
        <v>10942</v>
      </c>
      <c r="N106" s="25" t="s">
        <v>10944</v>
      </c>
    </row>
    <row r="107" spans="1:14">
      <c r="A107" t="s">
        <v>10934</v>
      </c>
      <c r="B107" t="s">
        <v>10933</v>
      </c>
      <c r="C107" t="s">
        <v>10936</v>
      </c>
      <c r="D107" t="s">
        <v>10937</v>
      </c>
      <c r="F107" t="s">
        <v>4358</v>
      </c>
      <c r="G107" t="s">
        <v>10938</v>
      </c>
      <c r="H107" t="s">
        <v>4359</v>
      </c>
      <c r="I107" t="s">
        <v>10940</v>
      </c>
      <c r="J107" t="s">
        <v>10941</v>
      </c>
      <c r="K107" t="s">
        <v>10937</v>
      </c>
      <c r="L107" t="s">
        <v>10943</v>
      </c>
      <c r="M107" t="s">
        <v>10942</v>
      </c>
      <c r="N107" s="25" t="s">
        <v>10944</v>
      </c>
    </row>
    <row r="108" spans="1:14">
      <c r="A108" t="s">
        <v>11138</v>
      </c>
      <c r="B108" t="s">
        <v>11138</v>
      </c>
      <c r="C108" t="s">
        <v>11143</v>
      </c>
      <c r="D108" t="s">
        <v>7991</v>
      </c>
      <c r="F108" t="s">
        <v>7986</v>
      </c>
      <c r="G108" t="s">
        <v>8001</v>
      </c>
      <c r="H108" t="s">
        <v>7988</v>
      </c>
      <c r="I108" t="s">
        <v>11137</v>
      </c>
      <c r="J108" t="s">
        <v>11142</v>
      </c>
      <c r="K108" t="s">
        <v>7991</v>
      </c>
      <c r="L108" t="s">
        <v>11138</v>
      </c>
      <c r="M108" t="s">
        <v>25</v>
      </c>
      <c r="N108" t="s">
        <v>11140</v>
      </c>
    </row>
    <row r="109" spans="1:14">
      <c r="A109" t="s">
        <v>11139</v>
      </c>
      <c r="B109" t="s">
        <v>11139</v>
      </c>
      <c r="C109" t="s">
        <v>11144</v>
      </c>
      <c r="D109" t="s">
        <v>7991</v>
      </c>
      <c r="F109" t="s">
        <v>7986</v>
      </c>
      <c r="G109" t="s">
        <v>8001</v>
      </c>
      <c r="H109" t="s">
        <v>7988</v>
      </c>
      <c r="I109" t="s">
        <v>11137</v>
      </c>
      <c r="J109" t="s">
        <v>11142</v>
      </c>
      <c r="K109" t="s">
        <v>7991</v>
      </c>
      <c r="L109" t="s">
        <v>11139</v>
      </c>
      <c r="M109" t="s">
        <v>25</v>
      </c>
      <c r="N109" t="s">
        <v>11141</v>
      </c>
    </row>
    <row r="110" spans="1:14">
      <c r="A110" t="s">
        <v>11145</v>
      </c>
      <c r="B110" t="s">
        <v>11145</v>
      </c>
      <c r="C110" t="s">
        <v>11153</v>
      </c>
      <c r="D110" t="s">
        <v>7991</v>
      </c>
      <c r="F110" t="s">
        <v>7986</v>
      </c>
      <c r="G110" t="s">
        <v>8001</v>
      </c>
      <c r="H110" t="s">
        <v>7988</v>
      </c>
      <c r="I110" t="s">
        <v>11162</v>
      </c>
      <c r="J110" t="s">
        <v>11161</v>
      </c>
      <c r="K110" t="s">
        <v>7991</v>
      </c>
      <c r="L110" t="s">
        <v>11145</v>
      </c>
      <c r="M110" t="s">
        <v>25</v>
      </c>
      <c r="N110" t="s">
        <v>11163</v>
      </c>
    </row>
    <row r="111" spans="1:14">
      <c r="A111" t="s">
        <v>11146</v>
      </c>
      <c r="B111" t="s">
        <v>11146</v>
      </c>
      <c r="C111" t="s">
        <v>11154</v>
      </c>
      <c r="D111" t="s">
        <v>7991</v>
      </c>
      <c r="F111" t="s">
        <v>7986</v>
      </c>
      <c r="G111" t="s">
        <v>8001</v>
      </c>
      <c r="H111" t="s">
        <v>7988</v>
      </c>
      <c r="I111" t="s">
        <v>11162</v>
      </c>
      <c r="J111" t="s">
        <v>11161</v>
      </c>
      <c r="K111" t="s">
        <v>7991</v>
      </c>
      <c r="L111" t="s">
        <v>11146</v>
      </c>
      <c r="M111" t="s">
        <v>25</v>
      </c>
      <c r="N111" t="s">
        <v>11164</v>
      </c>
    </row>
    <row r="112" spans="1:14">
      <c r="A112" t="s">
        <v>11147</v>
      </c>
      <c r="B112" t="s">
        <v>11147</v>
      </c>
      <c r="C112" t="s">
        <v>11155</v>
      </c>
      <c r="D112" t="s">
        <v>7991</v>
      </c>
      <c r="F112" t="s">
        <v>7986</v>
      </c>
      <c r="G112" t="s">
        <v>8001</v>
      </c>
      <c r="H112" t="s">
        <v>7988</v>
      </c>
      <c r="I112" t="s">
        <v>11162</v>
      </c>
      <c r="J112" t="s">
        <v>11161</v>
      </c>
      <c r="K112" t="s">
        <v>7991</v>
      </c>
      <c r="L112" t="s">
        <v>11147</v>
      </c>
      <c r="M112" t="s">
        <v>25</v>
      </c>
      <c r="N112" t="s">
        <v>11165</v>
      </c>
    </row>
    <row r="113" spans="1:18">
      <c r="A113" t="s">
        <v>11148</v>
      </c>
      <c r="B113" t="s">
        <v>11148</v>
      </c>
      <c r="C113" t="s">
        <v>11156</v>
      </c>
      <c r="D113" t="s">
        <v>7991</v>
      </c>
      <c r="F113" t="s">
        <v>7986</v>
      </c>
      <c r="G113" t="s">
        <v>8001</v>
      </c>
      <c r="H113" t="s">
        <v>7988</v>
      </c>
      <c r="I113" t="s">
        <v>11162</v>
      </c>
      <c r="J113" t="s">
        <v>11161</v>
      </c>
      <c r="K113" t="s">
        <v>7991</v>
      </c>
      <c r="L113" t="s">
        <v>11148</v>
      </c>
      <c r="M113" t="s">
        <v>25</v>
      </c>
      <c r="N113" t="s">
        <v>11166</v>
      </c>
    </row>
    <row r="114" spans="1:18">
      <c r="A114" t="s">
        <v>11149</v>
      </c>
      <c r="B114" t="s">
        <v>11149</v>
      </c>
      <c r="C114" t="s">
        <v>11157</v>
      </c>
      <c r="D114" t="s">
        <v>7991</v>
      </c>
      <c r="F114" t="s">
        <v>7986</v>
      </c>
      <c r="G114" t="s">
        <v>8001</v>
      </c>
      <c r="H114" t="s">
        <v>7988</v>
      </c>
      <c r="I114" t="s">
        <v>11162</v>
      </c>
      <c r="J114" t="s">
        <v>11161</v>
      </c>
      <c r="K114" t="s">
        <v>7991</v>
      </c>
      <c r="L114" t="s">
        <v>11149</v>
      </c>
      <c r="M114" t="s">
        <v>25</v>
      </c>
      <c r="N114" t="s">
        <v>11167</v>
      </c>
    </row>
    <row r="115" spans="1:18">
      <c r="A115" t="s">
        <v>11150</v>
      </c>
      <c r="B115" t="s">
        <v>11150</v>
      </c>
      <c r="C115" t="s">
        <v>11158</v>
      </c>
      <c r="D115" t="s">
        <v>7991</v>
      </c>
      <c r="F115" t="s">
        <v>7986</v>
      </c>
      <c r="G115" t="s">
        <v>8001</v>
      </c>
      <c r="H115" t="s">
        <v>7988</v>
      </c>
      <c r="I115" t="s">
        <v>11162</v>
      </c>
      <c r="J115" t="s">
        <v>11161</v>
      </c>
      <c r="K115" t="s">
        <v>7991</v>
      </c>
      <c r="L115" t="s">
        <v>11150</v>
      </c>
      <c r="M115" t="s">
        <v>25</v>
      </c>
      <c r="N115" t="s">
        <v>11168</v>
      </c>
    </row>
    <row r="116" spans="1:18">
      <c r="A116" t="s">
        <v>11151</v>
      </c>
      <c r="B116" t="s">
        <v>11151</v>
      </c>
      <c r="C116" t="s">
        <v>11159</v>
      </c>
      <c r="D116" t="s">
        <v>7991</v>
      </c>
      <c r="F116" t="s">
        <v>7986</v>
      </c>
      <c r="G116" t="s">
        <v>8001</v>
      </c>
      <c r="H116" t="s">
        <v>7988</v>
      </c>
      <c r="I116" t="s">
        <v>11162</v>
      </c>
      <c r="J116" t="s">
        <v>11161</v>
      </c>
      <c r="K116" t="s">
        <v>7991</v>
      </c>
      <c r="L116" t="s">
        <v>11151</v>
      </c>
      <c r="M116" t="s">
        <v>25</v>
      </c>
      <c r="N116" t="s">
        <v>11169</v>
      </c>
    </row>
    <row r="117" spans="1:18">
      <c r="A117" t="s">
        <v>11152</v>
      </c>
      <c r="B117" t="s">
        <v>11152</v>
      </c>
      <c r="C117" t="s">
        <v>11160</v>
      </c>
      <c r="D117" t="s">
        <v>7991</v>
      </c>
      <c r="F117" t="s">
        <v>7986</v>
      </c>
      <c r="G117" t="s">
        <v>8001</v>
      </c>
      <c r="H117" t="s">
        <v>7988</v>
      </c>
      <c r="I117" t="s">
        <v>11162</v>
      </c>
      <c r="J117" t="s">
        <v>11161</v>
      </c>
      <c r="K117" t="s">
        <v>7991</v>
      </c>
      <c r="L117" t="s">
        <v>11152</v>
      </c>
      <c r="M117" t="s">
        <v>25</v>
      </c>
      <c r="N117" t="s">
        <v>11170</v>
      </c>
    </row>
    <row r="118" spans="1:18">
      <c r="A118" t="s">
        <v>11176</v>
      </c>
      <c r="B118" t="s">
        <v>11176</v>
      </c>
      <c r="C118" t="s">
        <v>11183</v>
      </c>
      <c r="D118" t="s">
        <v>4546</v>
      </c>
      <c r="F118" t="s">
        <v>8453</v>
      </c>
      <c r="G118" t="s">
        <v>11182</v>
      </c>
      <c r="H118" t="str">
        <f>_xlfn.CONCAT(PrivateLibraryPath,"PCB/Bourns.PcbLib")</f>
        <v>../altium_lib_private/PCB/Bourns.PcbLib</v>
      </c>
      <c r="I118" t="s">
        <v>11180</v>
      </c>
      <c r="J118" t="s">
        <v>11171</v>
      </c>
      <c r="K118" t="s">
        <v>4546</v>
      </c>
      <c r="L118" t="s">
        <v>11176</v>
      </c>
      <c r="M118" t="s">
        <v>25</v>
      </c>
      <c r="N118" t="s">
        <v>11172</v>
      </c>
    </row>
    <row r="119" spans="1:18">
      <c r="A119" t="s">
        <v>11177</v>
      </c>
      <c r="B119" t="s">
        <v>11177</v>
      </c>
      <c r="C119" t="s">
        <v>11183</v>
      </c>
      <c r="D119" t="s">
        <v>4546</v>
      </c>
      <c r="F119" t="s">
        <v>8453</v>
      </c>
      <c r="G119" t="s">
        <v>11182</v>
      </c>
      <c r="H119" t="str">
        <f>_xlfn.CONCAT(PrivateLibraryPath,"PCB/Bourns.PcbLib")</f>
        <v>../altium_lib_private/PCB/Bourns.PcbLib</v>
      </c>
      <c r="I119" t="s">
        <v>11181</v>
      </c>
      <c r="J119" t="s">
        <v>11171</v>
      </c>
      <c r="K119" t="s">
        <v>4546</v>
      </c>
      <c r="L119" t="s">
        <v>11177</v>
      </c>
      <c r="M119" t="s">
        <v>25</v>
      </c>
      <c r="N119" t="s">
        <v>11173</v>
      </c>
    </row>
    <row r="120" spans="1:18">
      <c r="A120" t="s">
        <v>11178</v>
      </c>
      <c r="B120" t="s">
        <v>11178</v>
      </c>
      <c r="C120" t="s">
        <v>11183</v>
      </c>
      <c r="D120" t="s">
        <v>4546</v>
      </c>
      <c r="F120" t="s">
        <v>8453</v>
      </c>
      <c r="G120" t="s">
        <v>11182</v>
      </c>
      <c r="H120" t="str">
        <f>_xlfn.CONCAT(PrivateLibraryPath,"PCB/Bourns.PcbLib")</f>
        <v>../altium_lib_private/PCB/Bourns.PcbLib</v>
      </c>
      <c r="I120" t="s">
        <v>11181</v>
      </c>
      <c r="J120" t="s">
        <v>11171</v>
      </c>
      <c r="K120" t="s">
        <v>4546</v>
      </c>
      <c r="L120" t="s">
        <v>11178</v>
      </c>
      <c r="M120" t="s">
        <v>25</v>
      </c>
      <c r="N120" t="s">
        <v>11174</v>
      </c>
    </row>
    <row r="121" spans="1:18">
      <c r="A121" t="s">
        <v>11179</v>
      </c>
      <c r="B121" t="s">
        <v>11179</v>
      </c>
      <c r="C121" t="s">
        <v>11183</v>
      </c>
      <c r="D121" t="s">
        <v>4546</v>
      </c>
      <c r="F121" t="s">
        <v>8453</v>
      </c>
      <c r="G121" t="s">
        <v>11182</v>
      </c>
      <c r="H121" t="str">
        <f>_xlfn.CONCAT(PrivateLibraryPath,"PCB/Bourns.PcbLib")</f>
        <v>../altium_lib_private/PCB/Bourns.PcbLib</v>
      </c>
      <c r="I121" t="s">
        <v>11180</v>
      </c>
      <c r="J121" t="s">
        <v>11171</v>
      </c>
      <c r="K121" t="s">
        <v>4546</v>
      </c>
      <c r="L121" t="s">
        <v>11179</v>
      </c>
      <c r="M121" t="s">
        <v>25</v>
      </c>
      <c r="N121" t="s">
        <v>11175</v>
      </c>
    </row>
    <row r="122" spans="1:18">
      <c r="A122" t="s">
        <v>11194</v>
      </c>
      <c r="B122" t="s">
        <v>11194</v>
      </c>
      <c r="C122" t="s">
        <v>11200</v>
      </c>
      <c r="D122" t="s">
        <v>11196</v>
      </c>
      <c r="F122" t="s">
        <v>11199</v>
      </c>
      <c r="G122" t="s">
        <v>11198</v>
      </c>
      <c r="H122" t="str">
        <f>_xlfn.CONCAT(PrivateLibraryPath,"PCB/Camdenboss.PcbLib")</f>
        <v>../altium_lib_private/PCB/Camdenboss.PcbLib</v>
      </c>
      <c r="I122" t="s">
        <v>11194</v>
      </c>
      <c r="J122" t="s">
        <v>11197</v>
      </c>
      <c r="K122" t="s">
        <v>11196</v>
      </c>
      <c r="L122" t="s">
        <v>11194</v>
      </c>
      <c r="M122" t="s">
        <v>11193</v>
      </c>
      <c r="N122" t="s">
        <v>11195</v>
      </c>
      <c r="O122" t="s">
        <v>11196</v>
      </c>
      <c r="P122" t="s">
        <v>11194</v>
      </c>
      <c r="Q122" t="s">
        <v>12082</v>
      </c>
      <c r="R122">
        <v>2392779</v>
      </c>
    </row>
    <row r="123" spans="1:18">
      <c r="A123" t="s">
        <v>12106</v>
      </c>
      <c r="B123" t="s">
        <v>12106</v>
      </c>
      <c r="C123" t="s">
        <v>12333</v>
      </c>
      <c r="D123" t="s">
        <v>12084</v>
      </c>
      <c r="F123" t="s">
        <v>11199</v>
      </c>
      <c r="G123" t="s">
        <v>6975</v>
      </c>
      <c r="H123" s="39"/>
      <c r="I123" s="39"/>
      <c r="J123" t="s">
        <v>12329</v>
      </c>
      <c r="K123" t="s">
        <v>12085</v>
      </c>
      <c r="L123" t="s">
        <v>12089</v>
      </c>
      <c r="M123" t="s">
        <v>8447</v>
      </c>
      <c r="N123">
        <v>14021770</v>
      </c>
    </row>
    <row r="124" spans="1:18">
      <c r="A124" t="s">
        <v>12107</v>
      </c>
      <c r="B124" t="s">
        <v>12107</v>
      </c>
      <c r="C124" t="s">
        <v>12333</v>
      </c>
      <c r="D124" t="s">
        <v>12084</v>
      </c>
      <c r="F124" t="s">
        <v>11199</v>
      </c>
      <c r="G124" t="s">
        <v>6975</v>
      </c>
      <c r="H124" s="39"/>
      <c r="I124" s="39"/>
      <c r="J124" t="s">
        <v>12329</v>
      </c>
      <c r="K124" t="s">
        <v>12085</v>
      </c>
      <c r="L124" t="s">
        <v>12090</v>
      </c>
      <c r="M124" t="s">
        <v>8447</v>
      </c>
      <c r="N124">
        <v>14021767</v>
      </c>
    </row>
    <row r="125" spans="1:18">
      <c r="A125" t="s">
        <v>12083</v>
      </c>
      <c r="B125" t="s">
        <v>12083</v>
      </c>
      <c r="C125" t="s">
        <v>12333</v>
      </c>
      <c r="D125" t="s">
        <v>12084</v>
      </c>
      <c r="F125" t="s">
        <v>11199</v>
      </c>
      <c r="G125" t="s">
        <v>6975</v>
      </c>
      <c r="H125" s="39"/>
      <c r="I125" s="39"/>
      <c r="J125" t="s">
        <v>12329</v>
      </c>
      <c r="K125" t="s">
        <v>12085</v>
      </c>
      <c r="L125" t="s">
        <v>12088</v>
      </c>
      <c r="M125" t="s">
        <v>8447</v>
      </c>
      <c r="N125">
        <v>14021765</v>
      </c>
    </row>
    <row r="126" spans="1:18">
      <c r="A126" t="s">
        <v>12108</v>
      </c>
      <c r="B126" t="s">
        <v>12108</v>
      </c>
      <c r="C126" t="s">
        <v>12333</v>
      </c>
      <c r="D126" t="s">
        <v>12084</v>
      </c>
      <c r="F126" t="s">
        <v>11199</v>
      </c>
      <c r="G126" t="s">
        <v>6975</v>
      </c>
      <c r="H126" s="39"/>
      <c r="I126" s="39"/>
      <c r="J126" t="s">
        <v>12329</v>
      </c>
      <c r="K126" t="s">
        <v>12085</v>
      </c>
      <c r="L126" t="s">
        <v>12091</v>
      </c>
      <c r="M126" t="s">
        <v>8447</v>
      </c>
      <c r="N126">
        <v>14021766</v>
      </c>
    </row>
    <row r="127" spans="1:18">
      <c r="A127" t="s">
        <v>12109</v>
      </c>
      <c r="B127" t="s">
        <v>12109</v>
      </c>
      <c r="C127" t="s">
        <v>12333</v>
      </c>
      <c r="D127" t="s">
        <v>12084</v>
      </c>
      <c r="F127" t="s">
        <v>11199</v>
      </c>
      <c r="G127" t="s">
        <v>6975</v>
      </c>
      <c r="H127" s="39"/>
      <c r="I127" s="39"/>
      <c r="J127" t="s">
        <v>12329</v>
      </c>
      <c r="K127" t="s">
        <v>12085</v>
      </c>
      <c r="L127" t="s">
        <v>12092</v>
      </c>
      <c r="M127" t="s">
        <v>8447</v>
      </c>
      <c r="N127">
        <v>14021768</v>
      </c>
    </row>
    <row r="128" spans="1:18">
      <c r="A128" t="s">
        <v>12110</v>
      </c>
      <c r="B128" t="s">
        <v>12110</v>
      </c>
      <c r="C128" t="s">
        <v>12333</v>
      </c>
      <c r="D128" t="s">
        <v>12084</v>
      </c>
      <c r="F128" t="s">
        <v>11199</v>
      </c>
      <c r="G128" t="s">
        <v>6975</v>
      </c>
      <c r="H128" s="39"/>
      <c r="I128" s="39"/>
      <c r="J128" t="s">
        <v>12329</v>
      </c>
      <c r="K128" t="s">
        <v>12085</v>
      </c>
      <c r="L128" t="s">
        <v>12093</v>
      </c>
      <c r="M128" t="s">
        <v>8447</v>
      </c>
      <c r="N128">
        <v>14021769</v>
      </c>
    </row>
    <row r="129" spans="1:14">
      <c r="A129" t="s">
        <v>12111</v>
      </c>
      <c r="B129" t="s">
        <v>12111</v>
      </c>
      <c r="C129" t="s">
        <v>12333</v>
      </c>
      <c r="D129" t="s">
        <v>12084</v>
      </c>
      <c r="F129" t="s">
        <v>11199</v>
      </c>
      <c r="G129" t="s">
        <v>6975</v>
      </c>
      <c r="H129" s="39"/>
      <c r="I129" s="39"/>
      <c r="J129" t="s">
        <v>12329</v>
      </c>
      <c r="K129" t="s">
        <v>12085</v>
      </c>
      <c r="L129" t="s">
        <v>12094</v>
      </c>
      <c r="M129" t="s">
        <v>8447</v>
      </c>
      <c r="N129">
        <v>30136205</v>
      </c>
    </row>
    <row r="130" spans="1:14">
      <c r="A130" t="s">
        <v>12112</v>
      </c>
      <c r="B130" t="s">
        <v>12112</v>
      </c>
      <c r="C130" t="s">
        <v>12333</v>
      </c>
      <c r="D130" t="s">
        <v>12084</v>
      </c>
      <c r="F130" t="s">
        <v>11199</v>
      </c>
      <c r="G130" t="s">
        <v>6975</v>
      </c>
      <c r="H130" s="39"/>
      <c r="I130" s="39"/>
      <c r="J130" t="s">
        <v>12329</v>
      </c>
      <c r="K130" t="s">
        <v>12085</v>
      </c>
      <c r="L130" t="s">
        <v>12095</v>
      </c>
      <c r="M130" t="s">
        <v>8447</v>
      </c>
      <c r="N130">
        <v>14022426</v>
      </c>
    </row>
    <row r="131" spans="1:14">
      <c r="A131" t="s">
        <v>12113</v>
      </c>
      <c r="B131" t="s">
        <v>12113</v>
      </c>
      <c r="C131" t="s">
        <v>12333</v>
      </c>
      <c r="D131" t="s">
        <v>12084</v>
      </c>
      <c r="F131" t="s">
        <v>11199</v>
      </c>
      <c r="G131" t="s">
        <v>6975</v>
      </c>
      <c r="H131" s="39"/>
      <c r="I131" s="39"/>
      <c r="J131" t="s">
        <v>12329</v>
      </c>
      <c r="K131" t="s">
        <v>12085</v>
      </c>
      <c r="L131" t="s">
        <v>12096</v>
      </c>
      <c r="M131" t="s">
        <v>8447</v>
      </c>
      <c r="N131">
        <v>14022425</v>
      </c>
    </row>
    <row r="132" spans="1:14">
      <c r="A132" t="s">
        <v>12114</v>
      </c>
      <c r="B132" t="s">
        <v>12114</v>
      </c>
      <c r="C132" t="s">
        <v>12333</v>
      </c>
      <c r="D132" t="s">
        <v>12084</v>
      </c>
      <c r="F132" t="s">
        <v>11199</v>
      </c>
      <c r="G132" t="s">
        <v>6975</v>
      </c>
      <c r="H132" s="39"/>
      <c r="I132" s="39"/>
      <c r="J132" t="s">
        <v>12329</v>
      </c>
      <c r="K132" t="s">
        <v>12085</v>
      </c>
      <c r="L132" t="s">
        <v>12097</v>
      </c>
      <c r="M132" t="s">
        <v>8447</v>
      </c>
      <c r="N132">
        <v>14021772</v>
      </c>
    </row>
    <row r="133" spans="1:14">
      <c r="A133" t="s">
        <v>12115</v>
      </c>
      <c r="B133" t="s">
        <v>12115</v>
      </c>
      <c r="C133" t="s">
        <v>12334</v>
      </c>
      <c r="D133" t="s">
        <v>12084</v>
      </c>
      <c r="F133" t="s">
        <v>11199</v>
      </c>
      <c r="G133" t="s">
        <v>6975</v>
      </c>
      <c r="H133" s="39"/>
      <c r="I133" s="39"/>
      <c r="J133" t="s">
        <v>12330</v>
      </c>
      <c r="K133" t="s">
        <v>12085</v>
      </c>
      <c r="L133" t="s">
        <v>12098</v>
      </c>
      <c r="M133" t="s">
        <v>8447</v>
      </c>
      <c r="N133">
        <v>30136216</v>
      </c>
    </row>
    <row r="134" spans="1:14">
      <c r="A134" t="s">
        <v>12116</v>
      </c>
      <c r="B134" t="s">
        <v>12116</v>
      </c>
      <c r="C134" t="s">
        <v>12334</v>
      </c>
      <c r="D134" t="s">
        <v>12084</v>
      </c>
      <c r="F134" t="s">
        <v>11199</v>
      </c>
      <c r="G134" t="s">
        <v>6975</v>
      </c>
      <c r="H134" s="39"/>
      <c r="I134" s="39"/>
      <c r="J134" t="s">
        <v>12330</v>
      </c>
      <c r="K134" t="s">
        <v>12085</v>
      </c>
      <c r="L134" t="s">
        <v>12099</v>
      </c>
      <c r="M134" t="s">
        <v>8447</v>
      </c>
      <c r="N134">
        <v>30136217</v>
      </c>
    </row>
    <row r="135" spans="1:14">
      <c r="A135" t="s">
        <v>12087</v>
      </c>
      <c r="B135" t="s">
        <v>12087</v>
      </c>
      <c r="C135" t="s">
        <v>12334</v>
      </c>
      <c r="D135" t="s">
        <v>12084</v>
      </c>
      <c r="F135" t="s">
        <v>11199</v>
      </c>
      <c r="G135" t="s">
        <v>6975</v>
      </c>
      <c r="H135" s="39"/>
      <c r="I135" s="39"/>
      <c r="J135" t="s">
        <v>12330</v>
      </c>
      <c r="K135" t="s">
        <v>12085</v>
      </c>
      <c r="L135" t="s">
        <v>12086</v>
      </c>
      <c r="M135" t="s">
        <v>8447</v>
      </c>
      <c r="N135">
        <v>30136218</v>
      </c>
    </row>
    <row r="136" spans="1:14">
      <c r="A136" t="s">
        <v>12117</v>
      </c>
      <c r="B136" t="s">
        <v>12117</v>
      </c>
      <c r="C136" t="s">
        <v>12334</v>
      </c>
      <c r="D136" t="s">
        <v>12084</v>
      </c>
      <c r="F136" t="s">
        <v>11199</v>
      </c>
      <c r="G136" t="s">
        <v>6975</v>
      </c>
      <c r="H136" s="39"/>
      <c r="I136" s="39"/>
      <c r="J136" t="s">
        <v>12330</v>
      </c>
      <c r="K136" t="s">
        <v>12085</v>
      </c>
      <c r="L136" t="s">
        <v>12100</v>
      </c>
      <c r="M136" t="s">
        <v>8447</v>
      </c>
      <c r="N136">
        <v>30136219</v>
      </c>
    </row>
    <row r="137" spans="1:14">
      <c r="A137" t="s">
        <v>12118</v>
      </c>
      <c r="B137" t="s">
        <v>12118</v>
      </c>
      <c r="C137" t="s">
        <v>12334</v>
      </c>
      <c r="D137" t="s">
        <v>12084</v>
      </c>
      <c r="F137" t="s">
        <v>11199</v>
      </c>
      <c r="G137" t="s">
        <v>6975</v>
      </c>
      <c r="H137" s="39"/>
      <c r="I137" s="39"/>
      <c r="J137" t="s">
        <v>12330</v>
      </c>
      <c r="K137" t="s">
        <v>12085</v>
      </c>
      <c r="L137" t="s">
        <v>12101</v>
      </c>
      <c r="M137" t="s">
        <v>8447</v>
      </c>
      <c r="N137">
        <v>30136220</v>
      </c>
    </row>
    <row r="138" spans="1:14">
      <c r="A138" t="s">
        <v>12119</v>
      </c>
      <c r="B138" t="s">
        <v>12119</v>
      </c>
      <c r="C138" t="s">
        <v>12334</v>
      </c>
      <c r="D138" t="s">
        <v>12084</v>
      </c>
      <c r="F138" t="s">
        <v>11199</v>
      </c>
      <c r="G138" t="s">
        <v>6975</v>
      </c>
      <c r="H138" s="39"/>
      <c r="I138" s="39"/>
      <c r="J138" t="s">
        <v>12330</v>
      </c>
      <c r="K138" t="s">
        <v>12085</v>
      </c>
      <c r="L138" t="s">
        <v>12102</v>
      </c>
      <c r="M138" t="s">
        <v>8447</v>
      </c>
      <c r="N138">
        <v>30136221</v>
      </c>
    </row>
    <row r="139" spans="1:14">
      <c r="A139" t="s">
        <v>12120</v>
      </c>
      <c r="B139" t="s">
        <v>12120</v>
      </c>
      <c r="C139" t="s">
        <v>12334</v>
      </c>
      <c r="D139" t="s">
        <v>12084</v>
      </c>
      <c r="F139" t="s">
        <v>11199</v>
      </c>
      <c r="G139" t="s">
        <v>6975</v>
      </c>
      <c r="H139" s="39"/>
      <c r="I139" s="39"/>
      <c r="J139" t="s">
        <v>12330</v>
      </c>
      <c r="K139" t="s">
        <v>12085</v>
      </c>
      <c r="L139" t="s">
        <v>12103</v>
      </c>
      <c r="M139" t="s">
        <v>8447</v>
      </c>
      <c r="N139">
        <v>30136222</v>
      </c>
    </row>
    <row r="140" spans="1:14">
      <c r="A140" t="s">
        <v>12121</v>
      </c>
      <c r="B140" t="s">
        <v>12121</v>
      </c>
      <c r="C140" t="s">
        <v>12334</v>
      </c>
      <c r="D140" t="s">
        <v>12084</v>
      </c>
      <c r="F140" t="s">
        <v>11199</v>
      </c>
      <c r="G140" t="s">
        <v>6975</v>
      </c>
      <c r="H140" s="39"/>
      <c r="I140" s="39"/>
      <c r="J140" t="s">
        <v>12330</v>
      </c>
      <c r="K140" t="s">
        <v>12085</v>
      </c>
      <c r="L140" t="s">
        <v>12104</v>
      </c>
      <c r="M140" t="s">
        <v>8447</v>
      </c>
      <c r="N140">
        <v>30136223</v>
      </c>
    </row>
    <row r="141" spans="1:14">
      <c r="A141" t="s">
        <v>12122</v>
      </c>
      <c r="B141" t="s">
        <v>12122</v>
      </c>
      <c r="C141" t="s">
        <v>12334</v>
      </c>
      <c r="D141" t="s">
        <v>12084</v>
      </c>
      <c r="F141" t="s">
        <v>11199</v>
      </c>
      <c r="G141" t="s">
        <v>6975</v>
      </c>
      <c r="H141" s="39"/>
      <c r="I141" s="39"/>
      <c r="J141" t="s">
        <v>12330</v>
      </c>
      <c r="K141" t="s">
        <v>12085</v>
      </c>
      <c r="L141" t="s">
        <v>12105</v>
      </c>
      <c r="M141" t="s">
        <v>8447</v>
      </c>
      <c r="N141">
        <v>30136224</v>
      </c>
    </row>
    <row r="142" spans="1:14">
      <c r="A142" t="s">
        <v>12123</v>
      </c>
      <c r="B142" t="s">
        <v>12123</v>
      </c>
      <c r="C142" t="s">
        <v>12334</v>
      </c>
      <c r="D142" t="s">
        <v>12084</v>
      </c>
      <c r="F142" t="s">
        <v>11199</v>
      </c>
      <c r="G142" t="s">
        <v>6975</v>
      </c>
      <c r="H142" s="39"/>
      <c r="I142" s="39"/>
      <c r="J142" t="s">
        <v>12330</v>
      </c>
      <c r="K142" t="s">
        <v>12085</v>
      </c>
      <c r="L142" t="s">
        <v>12390</v>
      </c>
    </row>
    <row r="143" spans="1:14">
      <c r="A143" t="s">
        <v>12263</v>
      </c>
      <c r="B143" t="s">
        <v>12263</v>
      </c>
      <c r="C143" t="s">
        <v>12335</v>
      </c>
      <c r="D143" t="s">
        <v>12084</v>
      </c>
      <c r="F143" t="s">
        <v>11199</v>
      </c>
      <c r="G143" t="s">
        <v>6997</v>
      </c>
      <c r="H143" s="39"/>
      <c r="I143" s="39"/>
      <c r="J143" t="s">
        <v>12331</v>
      </c>
      <c r="K143" t="s">
        <v>12085</v>
      </c>
      <c r="L143" t="s">
        <v>12271</v>
      </c>
    </row>
    <row r="144" spans="1:14">
      <c r="A144" t="s">
        <v>12264</v>
      </c>
      <c r="B144" t="s">
        <v>12264</v>
      </c>
      <c r="C144" t="s">
        <v>12335</v>
      </c>
      <c r="D144" t="s">
        <v>12084</v>
      </c>
      <c r="F144" t="s">
        <v>11199</v>
      </c>
      <c r="G144" t="s">
        <v>6997</v>
      </c>
      <c r="H144" s="39"/>
      <c r="I144" s="39"/>
      <c r="J144" t="s">
        <v>12331</v>
      </c>
      <c r="K144" t="s">
        <v>12085</v>
      </c>
      <c r="L144" t="s">
        <v>12272</v>
      </c>
      <c r="M144" t="s">
        <v>8447</v>
      </c>
      <c r="N144">
        <v>14021779</v>
      </c>
    </row>
    <row r="145" spans="1:14">
      <c r="A145" t="s">
        <v>12265</v>
      </c>
      <c r="B145" t="s">
        <v>12265</v>
      </c>
      <c r="C145" t="s">
        <v>12335</v>
      </c>
      <c r="D145" t="s">
        <v>12084</v>
      </c>
      <c r="F145" t="s">
        <v>11199</v>
      </c>
      <c r="G145" t="s">
        <v>6997</v>
      </c>
      <c r="H145" s="39"/>
      <c r="I145" s="39"/>
      <c r="J145" t="s">
        <v>12331</v>
      </c>
      <c r="K145" t="s">
        <v>12085</v>
      </c>
      <c r="L145" t="s">
        <v>12273</v>
      </c>
      <c r="M145" t="s">
        <v>8447</v>
      </c>
      <c r="N145">
        <v>14021780</v>
      </c>
    </row>
    <row r="146" spans="1:14">
      <c r="A146" t="s">
        <v>12266</v>
      </c>
      <c r="B146" t="s">
        <v>12266</v>
      </c>
      <c r="C146" t="s">
        <v>12335</v>
      </c>
      <c r="D146" t="s">
        <v>12084</v>
      </c>
      <c r="F146" t="s">
        <v>11199</v>
      </c>
      <c r="G146" t="s">
        <v>6997</v>
      </c>
      <c r="H146" s="39"/>
      <c r="I146" s="39"/>
      <c r="J146" t="s">
        <v>12331</v>
      </c>
      <c r="K146" t="s">
        <v>12085</v>
      </c>
      <c r="L146" t="s">
        <v>12274</v>
      </c>
      <c r="M146" t="s">
        <v>8447</v>
      </c>
      <c r="N146">
        <v>14021781</v>
      </c>
    </row>
    <row r="147" spans="1:14">
      <c r="A147" t="s">
        <v>12267</v>
      </c>
      <c r="B147" t="s">
        <v>12267</v>
      </c>
      <c r="C147" t="s">
        <v>12335</v>
      </c>
      <c r="D147" t="s">
        <v>12084</v>
      </c>
      <c r="F147" t="s">
        <v>11199</v>
      </c>
      <c r="G147" t="s">
        <v>6997</v>
      </c>
      <c r="H147" s="39"/>
      <c r="I147" s="39"/>
      <c r="J147" t="s">
        <v>12331</v>
      </c>
      <c r="K147" t="s">
        <v>12085</v>
      </c>
      <c r="L147" t="s">
        <v>12275</v>
      </c>
    </row>
    <row r="148" spans="1:14">
      <c r="A148" t="s">
        <v>12268</v>
      </c>
      <c r="B148" t="s">
        <v>12268</v>
      </c>
      <c r="C148" t="s">
        <v>12335</v>
      </c>
      <c r="D148" t="s">
        <v>12084</v>
      </c>
      <c r="F148" t="s">
        <v>11199</v>
      </c>
      <c r="G148" t="s">
        <v>6997</v>
      </c>
      <c r="H148" s="39"/>
      <c r="I148" s="39"/>
      <c r="J148" t="s">
        <v>12331</v>
      </c>
      <c r="K148" t="s">
        <v>12085</v>
      </c>
      <c r="L148" t="s">
        <v>12276</v>
      </c>
    </row>
    <row r="149" spans="1:14">
      <c r="A149" t="s">
        <v>12269</v>
      </c>
      <c r="B149" t="s">
        <v>12269</v>
      </c>
      <c r="C149" t="s">
        <v>12335</v>
      </c>
      <c r="D149" t="s">
        <v>12084</v>
      </c>
      <c r="F149" t="s">
        <v>11199</v>
      </c>
      <c r="G149" t="s">
        <v>6997</v>
      </c>
      <c r="H149" s="39"/>
      <c r="I149" s="39"/>
      <c r="J149" t="s">
        <v>12331</v>
      </c>
      <c r="K149" t="s">
        <v>12085</v>
      </c>
      <c r="L149" t="s">
        <v>12277</v>
      </c>
    </row>
    <row r="150" spans="1:14">
      <c r="A150" t="s">
        <v>12270</v>
      </c>
      <c r="B150" t="s">
        <v>12270</v>
      </c>
      <c r="C150" t="s">
        <v>12335</v>
      </c>
      <c r="D150" t="s">
        <v>12084</v>
      </c>
      <c r="F150" t="s">
        <v>11199</v>
      </c>
      <c r="G150" t="s">
        <v>6997</v>
      </c>
      <c r="H150" s="39"/>
      <c r="I150" s="39"/>
      <c r="J150" t="s">
        <v>12331</v>
      </c>
      <c r="K150" t="s">
        <v>12085</v>
      </c>
      <c r="L150" t="s">
        <v>12278</v>
      </c>
    </row>
    <row r="151" spans="1:14">
      <c r="A151" t="s">
        <v>12279</v>
      </c>
      <c r="B151" t="s">
        <v>12279</v>
      </c>
      <c r="C151" t="s">
        <v>12336</v>
      </c>
      <c r="D151" t="s">
        <v>12084</v>
      </c>
      <c r="F151" t="s">
        <v>11199</v>
      </c>
      <c r="G151" t="s">
        <v>6975</v>
      </c>
      <c r="H151" s="39"/>
      <c r="I151" s="39"/>
      <c r="J151" t="s">
        <v>12332</v>
      </c>
      <c r="K151" t="s">
        <v>12085</v>
      </c>
      <c r="L151" t="s">
        <v>12289</v>
      </c>
      <c r="M151" t="s">
        <v>8447</v>
      </c>
      <c r="N151">
        <v>30223684</v>
      </c>
    </row>
    <row r="152" spans="1:14">
      <c r="A152" t="s">
        <v>12280</v>
      </c>
      <c r="B152" t="s">
        <v>12280</v>
      </c>
      <c r="C152" t="s">
        <v>12336</v>
      </c>
      <c r="D152" t="s">
        <v>12084</v>
      </c>
      <c r="F152" t="s">
        <v>11199</v>
      </c>
      <c r="G152" t="s">
        <v>6975</v>
      </c>
      <c r="H152" s="39"/>
      <c r="I152" s="39"/>
      <c r="J152" t="s">
        <v>12332</v>
      </c>
      <c r="K152" t="s">
        <v>12085</v>
      </c>
      <c r="L152" t="s">
        <v>12290</v>
      </c>
      <c r="M152" t="s">
        <v>8447</v>
      </c>
      <c r="N152">
        <v>30136412</v>
      </c>
    </row>
    <row r="153" spans="1:14">
      <c r="A153" t="s">
        <v>12281</v>
      </c>
      <c r="B153" t="s">
        <v>12281</v>
      </c>
      <c r="C153" t="s">
        <v>12336</v>
      </c>
      <c r="D153" t="s">
        <v>12084</v>
      </c>
      <c r="F153" t="s">
        <v>11199</v>
      </c>
      <c r="G153" t="s">
        <v>6975</v>
      </c>
      <c r="H153" s="39"/>
      <c r="I153" s="39"/>
      <c r="J153" t="s">
        <v>12332</v>
      </c>
      <c r="K153" t="s">
        <v>12085</v>
      </c>
      <c r="L153" t="s">
        <v>12291</v>
      </c>
      <c r="M153" t="s">
        <v>8447</v>
      </c>
      <c r="N153">
        <v>30136413</v>
      </c>
    </row>
    <row r="154" spans="1:14">
      <c r="A154" t="s">
        <v>12282</v>
      </c>
      <c r="B154" t="s">
        <v>12282</v>
      </c>
      <c r="C154" t="s">
        <v>12336</v>
      </c>
      <c r="D154" t="s">
        <v>12084</v>
      </c>
      <c r="F154" t="s">
        <v>11199</v>
      </c>
      <c r="G154" t="s">
        <v>6975</v>
      </c>
      <c r="H154" s="39"/>
      <c r="I154" s="39"/>
      <c r="J154" t="s">
        <v>12332</v>
      </c>
      <c r="K154" t="s">
        <v>12085</v>
      </c>
      <c r="L154" t="s">
        <v>12292</v>
      </c>
    </row>
    <row r="155" spans="1:14">
      <c r="A155" t="s">
        <v>12283</v>
      </c>
      <c r="B155" t="s">
        <v>12283</v>
      </c>
      <c r="C155" t="s">
        <v>12336</v>
      </c>
      <c r="D155" t="s">
        <v>12084</v>
      </c>
      <c r="F155" t="s">
        <v>11199</v>
      </c>
      <c r="G155" t="s">
        <v>6975</v>
      </c>
      <c r="H155" s="39"/>
      <c r="I155" s="39"/>
      <c r="J155" t="s">
        <v>12332</v>
      </c>
      <c r="K155" t="s">
        <v>12085</v>
      </c>
      <c r="L155" t="s">
        <v>12293</v>
      </c>
      <c r="M155" t="s">
        <v>8447</v>
      </c>
      <c r="N155">
        <v>30136415</v>
      </c>
    </row>
    <row r="156" spans="1:14">
      <c r="A156" t="s">
        <v>12284</v>
      </c>
      <c r="B156" t="s">
        <v>12284</v>
      </c>
      <c r="C156" t="s">
        <v>12336</v>
      </c>
      <c r="D156" t="s">
        <v>12084</v>
      </c>
      <c r="F156" t="s">
        <v>11199</v>
      </c>
      <c r="G156" t="s">
        <v>6975</v>
      </c>
      <c r="H156" s="39"/>
      <c r="I156" s="39"/>
      <c r="J156" t="s">
        <v>12332</v>
      </c>
      <c r="K156" t="s">
        <v>12085</v>
      </c>
      <c r="L156" t="s">
        <v>12294</v>
      </c>
    </row>
    <row r="157" spans="1:14">
      <c r="A157" t="s">
        <v>12285</v>
      </c>
      <c r="B157" t="s">
        <v>12285</v>
      </c>
      <c r="C157" t="s">
        <v>12336</v>
      </c>
      <c r="D157" t="s">
        <v>12084</v>
      </c>
      <c r="F157" t="s">
        <v>11199</v>
      </c>
      <c r="G157" t="s">
        <v>6975</v>
      </c>
      <c r="H157" s="39"/>
      <c r="I157" s="39"/>
      <c r="J157" t="s">
        <v>12332</v>
      </c>
      <c r="K157" t="s">
        <v>12085</v>
      </c>
      <c r="L157" t="s">
        <v>12295</v>
      </c>
    </row>
    <row r="158" spans="1:14">
      <c r="A158" t="s">
        <v>12286</v>
      </c>
      <c r="B158" t="s">
        <v>12286</v>
      </c>
      <c r="C158" t="s">
        <v>12336</v>
      </c>
      <c r="D158" t="s">
        <v>12084</v>
      </c>
      <c r="F158" t="s">
        <v>11199</v>
      </c>
      <c r="G158" t="s">
        <v>6975</v>
      </c>
      <c r="H158" s="39"/>
      <c r="I158" s="39"/>
      <c r="J158" t="s">
        <v>12332</v>
      </c>
      <c r="K158" t="s">
        <v>12085</v>
      </c>
      <c r="L158" t="s">
        <v>12296</v>
      </c>
      <c r="M158" t="s">
        <v>8447</v>
      </c>
    </row>
    <row r="159" spans="1:14">
      <c r="A159" t="s">
        <v>12287</v>
      </c>
      <c r="B159" t="s">
        <v>12287</v>
      </c>
      <c r="C159" t="s">
        <v>12336</v>
      </c>
      <c r="D159" t="s">
        <v>12084</v>
      </c>
      <c r="F159" t="s">
        <v>11199</v>
      </c>
      <c r="G159" t="s">
        <v>6975</v>
      </c>
      <c r="H159" s="39"/>
      <c r="I159" s="39"/>
      <c r="J159" t="s">
        <v>12332</v>
      </c>
      <c r="K159" t="s">
        <v>12085</v>
      </c>
      <c r="L159" t="s">
        <v>12297</v>
      </c>
      <c r="M159" t="s">
        <v>8447</v>
      </c>
      <c r="N159">
        <v>30223687</v>
      </c>
    </row>
    <row r="160" spans="1:14">
      <c r="A160" t="s">
        <v>12288</v>
      </c>
      <c r="B160" t="s">
        <v>12288</v>
      </c>
      <c r="C160" t="s">
        <v>12336</v>
      </c>
      <c r="D160" t="s">
        <v>12084</v>
      </c>
      <c r="F160" t="s">
        <v>11199</v>
      </c>
      <c r="G160" t="s">
        <v>6975</v>
      </c>
      <c r="H160" s="39"/>
      <c r="I160" s="39"/>
      <c r="J160" t="s">
        <v>12332</v>
      </c>
      <c r="K160" t="s">
        <v>12085</v>
      </c>
      <c r="L160" t="s">
        <v>12298</v>
      </c>
      <c r="M160" t="s">
        <v>8447</v>
      </c>
      <c r="N160">
        <v>30223688</v>
      </c>
    </row>
    <row r="161" spans="1:14">
      <c r="A161" t="s">
        <v>12299</v>
      </c>
      <c r="B161" t="s">
        <v>12299</v>
      </c>
      <c r="C161" t="s">
        <v>12337</v>
      </c>
      <c r="D161" t="s">
        <v>12084</v>
      </c>
      <c r="F161" t="s">
        <v>11199</v>
      </c>
      <c r="G161" t="s">
        <v>6975</v>
      </c>
      <c r="H161" s="39"/>
      <c r="I161" s="39"/>
      <c r="J161" t="s">
        <v>12415</v>
      </c>
      <c r="K161" t="s">
        <v>12085</v>
      </c>
      <c r="L161" t="s">
        <v>12340</v>
      </c>
    </row>
    <row r="162" spans="1:14">
      <c r="A162" t="s">
        <v>12300</v>
      </c>
      <c r="B162" t="s">
        <v>12300</v>
      </c>
      <c r="C162" t="s">
        <v>12337</v>
      </c>
      <c r="D162" t="s">
        <v>12084</v>
      </c>
      <c r="F162" t="s">
        <v>11199</v>
      </c>
      <c r="G162" t="s">
        <v>6975</v>
      </c>
      <c r="H162" s="39"/>
      <c r="I162" s="39"/>
      <c r="J162" t="s">
        <v>12415</v>
      </c>
      <c r="K162" t="s">
        <v>12085</v>
      </c>
      <c r="L162" t="s">
        <v>12341</v>
      </c>
    </row>
    <row r="163" spans="1:14">
      <c r="A163" t="s">
        <v>12301</v>
      </c>
      <c r="B163" t="s">
        <v>12301</v>
      </c>
      <c r="C163" t="s">
        <v>12337</v>
      </c>
      <c r="D163" t="s">
        <v>12084</v>
      </c>
      <c r="F163" t="s">
        <v>11199</v>
      </c>
      <c r="G163" t="s">
        <v>6975</v>
      </c>
      <c r="H163" s="39"/>
      <c r="I163" s="39"/>
      <c r="J163" t="s">
        <v>12415</v>
      </c>
      <c r="K163" t="s">
        <v>12085</v>
      </c>
      <c r="L163" t="s">
        <v>12342</v>
      </c>
    </row>
    <row r="164" spans="1:14">
      <c r="A164" t="s">
        <v>12302</v>
      </c>
      <c r="B164" t="s">
        <v>12302</v>
      </c>
      <c r="C164" t="s">
        <v>12337</v>
      </c>
      <c r="D164" t="s">
        <v>12084</v>
      </c>
      <c r="F164" t="s">
        <v>11199</v>
      </c>
      <c r="G164" t="s">
        <v>6975</v>
      </c>
      <c r="H164" s="39"/>
      <c r="I164" s="39"/>
      <c r="J164" t="s">
        <v>12415</v>
      </c>
      <c r="K164" t="s">
        <v>12085</v>
      </c>
      <c r="L164" t="s">
        <v>12343</v>
      </c>
    </row>
    <row r="165" spans="1:14">
      <c r="A165" t="s">
        <v>12303</v>
      </c>
      <c r="B165" t="s">
        <v>12303</v>
      </c>
      <c r="C165" t="s">
        <v>12337</v>
      </c>
      <c r="D165" t="s">
        <v>12084</v>
      </c>
      <c r="F165" t="s">
        <v>11199</v>
      </c>
      <c r="G165" t="s">
        <v>6975</v>
      </c>
      <c r="H165" s="39"/>
      <c r="I165" s="39"/>
      <c r="J165" t="s">
        <v>12415</v>
      </c>
      <c r="K165" t="s">
        <v>12085</v>
      </c>
      <c r="L165" t="s">
        <v>12344</v>
      </c>
    </row>
    <row r="166" spans="1:14">
      <c r="A166" t="s">
        <v>12304</v>
      </c>
      <c r="B166" t="s">
        <v>12304</v>
      </c>
      <c r="C166" t="s">
        <v>12337</v>
      </c>
      <c r="D166" t="s">
        <v>12084</v>
      </c>
      <c r="F166" t="s">
        <v>11199</v>
      </c>
      <c r="G166" t="s">
        <v>6975</v>
      </c>
      <c r="H166" s="39"/>
      <c r="I166" s="39"/>
      <c r="J166" t="s">
        <v>12415</v>
      </c>
      <c r="K166" t="s">
        <v>12085</v>
      </c>
      <c r="L166" t="s">
        <v>12345</v>
      </c>
    </row>
    <row r="167" spans="1:14">
      <c r="A167" t="s">
        <v>12305</v>
      </c>
      <c r="B167" t="s">
        <v>12305</v>
      </c>
      <c r="C167" t="s">
        <v>12337</v>
      </c>
      <c r="D167" t="s">
        <v>12084</v>
      </c>
      <c r="F167" t="s">
        <v>11199</v>
      </c>
      <c r="G167" t="s">
        <v>6975</v>
      </c>
      <c r="H167" s="39"/>
      <c r="I167" s="39"/>
      <c r="J167" t="s">
        <v>12415</v>
      </c>
      <c r="K167" t="s">
        <v>12085</v>
      </c>
      <c r="L167" t="s">
        <v>12346</v>
      </c>
    </row>
    <row r="168" spans="1:14">
      <c r="A168" t="s">
        <v>12306</v>
      </c>
      <c r="B168" t="s">
        <v>12306</v>
      </c>
      <c r="C168" t="s">
        <v>12337</v>
      </c>
      <c r="D168" t="s">
        <v>12084</v>
      </c>
      <c r="F168" t="s">
        <v>11199</v>
      </c>
      <c r="G168" t="s">
        <v>6975</v>
      </c>
      <c r="H168" s="39"/>
      <c r="I168" s="39"/>
      <c r="J168" t="s">
        <v>12415</v>
      </c>
      <c r="K168" t="s">
        <v>12085</v>
      </c>
      <c r="L168" t="s">
        <v>12347</v>
      </c>
      <c r="M168" t="s">
        <v>8447</v>
      </c>
      <c r="N168">
        <v>30223530</v>
      </c>
    </row>
    <row r="169" spans="1:14">
      <c r="A169" t="s">
        <v>12307</v>
      </c>
      <c r="B169" t="s">
        <v>12307</v>
      </c>
      <c r="C169" t="s">
        <v>12337</v>
      </c>
      <c r="D169" t="s">
        <v>12084</v>
      </c>
      <c r="F169" t="s">
        <v>11199</v>
      </c>
      <c r="G169" t="s">
        <v>6975</v>
      </c>
      <c r="H169" s="39"/>
      <c r="I169" s="39"/>
      <c r="J169" t="s">
        <v>12415</v>
      </c>
      <c r="K169" t="s">
        <v>12085</v>
      </c>
      <c r="L169" t="s">
        <v>12348</v>
      </c>
      <c r="M169" t="s">
        <v>8447</v>
      </c>
      <c r="N169">
        <v>30223531</v>
      </c>
    </row>
    <row r="170" spans="1:14">
      <c r="A170" t="s">
        <v>12308</v>
      </c>
      <c r="B170" t="s">
        <v>12308</v>
      </c>
      <c r="C170" t="s">
        <v>12337</v>
      </c>
      <c r="D170" t="s">
        <v>12084</v>
      </c>
      <c r="F170" t="s">
        <v>11199</v>
      </c>
      <c r="G170" t="s">
        <v>6975</v>
      </c>
      <c r="H170" s="39"/>
      <c r="I170" s="39"/>
      <c r="J170" t="s">
        <v>12415</v>
      </c>
      <c r="K170" t="s">
        <v>12085</v>
      </c>
      <c r="L170" t="s">
        <v>12349</v>
      </c>
      <c r="M170" t="s">
        <v>8447</v>
      </c>
    </row>
    <row r="171" spans="1:14">
      <c r="A171" t="s">
        <v>12309</v>
      </c>
      <c r="B171" t="s">
        <v>12309</v>
      </c>
      <c r="C171" t="s">
        <v>12338</v>
      </c>
      <c r="D171" t="s">
        <v>12084</v>
      </c>
      <c r="F171" t="s">
        <v>11199</v>
      </c>
      <c r="G171" t="s">
        <v>6975</v>
      </c>
      <c r="H171" s="39"/>
      <c r="I171" s="39"/>
      <c r="J171" t="s">
        <v>12416</v>
      </c>
      <c r="K171" t="s">
        <v>12085</v>
      </c>
      <c r="L171" t="s">
        <v>12350</v>
      </c>
      <c r="M171" t="s">
        <v>8447</v>
      </c>
      <c r="N171">
        <v>30136211</v>
      </c>
    </row>
    <row r="172" spans="1:14">
      <c r="A172" t="s">
        <v>12310</v>
      </c>
      <c r="B172" t="s">
        <v>12310</v>
      </c>
      <c r="C172" t="s">
        <v>12338</v>
      </c>
      <c r="D172" t="s">
        <v>12084</v>
      </c>
      <c r="F172" t="s">
        <v>11199</v>
      </c>
      <c r="G172" t="s">
        <v>6975</v>
      </c>
      <c r="H172" s="39"/>
      <c r="I172" s="39"/>
      <c r="J172" t="s">
        <v>12416</v>
      </c>
      <c r="K172" t="s">
        <v>12085</v>
      </c>
      <c r="L172" t="s">
        <v>12351</v>
      </c>
      <c r="M172" t="s">
        <v>8447</v>
      </c>
      <c r="N172">
        <v>14021753</v>
      </c>
    </row>
    <row r="173" spans="1:14">
      <c r="A173" t="s">
        <v>12311</v>
      </c>
      <c r="B173" t="s">
        <v>12311</v>
      </c>
      <c r="C173" t="s">
        <v>12338</v>
      </c>
      <c r="D173" t="s">
        <v>12084</v>
      </c>
      <c r="F173" t="s">
        <v>11199</v>
      </c>
      <c r="G173" t="s">
        <v>6975</v>
      </c>
      <c r="H173" s="39"/>
      <c r="I173" s="39"/>
      <c r="J173" t="s">
        <v>12416</v>
      </c>
      <c r="K173" t="s">
        <v>12085</v>
      </c>
      <c r="L173" t="s">
        <v>12352</v>
      </c>
      <c r="M173" t="s">
        <v>8447</v>
      </c>
      <c r="N173">
        <v>14021754</v>
      </c>
    </row>
    <row r="174" spans="1:14">
      <c r="A174" t="s">
        <v>12312</v>
      </c>
      <c r="B174" t="s">
        <v>12312</v>
      </c>
      <c r="C174" t="s">
        <v>12338</v>
      </c>
      <c r="D174" t="s">
        <v>12084</v>
      </c>
      <c r="F174" t="s">
        <v>11199</v>
      </c>
      <c r="G174" t="s">
        <v>6975</v>
      </c>
      <c r="H174" s="39"/>
      <c r="I174" s="39"/>
      <c r="J174" t="s">
        <v>12416</v>
      </c>
      <c r="K174" t="s">
        <v>12085</v>
      </c>
      <c r="L174" t="s">
        <v>12353</v>
      </c>
      <c r="M174" t="s">
        <v>8447</v>
      </c>
      <c r="N174">
        <v>14021757</v>
      </c>
    </row>
    <row r="175" spans="1:14">
      <c r="A175" t="s">
        <v>12313</v>
      </c>
      <c r="B175" t="s">
        <v>12313</v>
      </c>
      <c r="C175" t="s">
        <v>12338</v>
      </c>
      <c r="D175" t="s">
        <v>12084</v>
      </c>
      <c r="F175" t="s">
        <v>11199</v>
      </c>
      <c r="G175" t="s">
        <v>6975</v>
      </c>
      <c r="H175" s="39"/>
      <c r="I175" s="39"/>
      <c r="J175" t="s">
        <v>12416</v>
      </c>
      <c r="K175" t="s">
        <v>12085</v>
      </c>
      <c r="L175" t="s">
        <v>12354</v>
      </c>
      <c r="M175" t="s">
        <v>8447</v>
      </c>
      <c r="N175">
        <v>14021755</v>
      </c>
    </row>
    <row r="176" spans="1:14">
      <c r="A176" t="s">
        <v>12314</v>
      </c>
      <c r="B176" t="s">
        <v>12314</v>
      </c>
      <c r="C176" t="s">
        <v>12338</v>
      </c>
      <c r="D176" t="s">
        <v>12084</v>
      </c>
      <c r="F176" t="s">
        <v>11199</v>
      </c>
      <c r="G176" t="s">
        <v>6975</v>
      </c>
      <c r="H176" s="39"/>
      <c r="I176" s="39"/>
      <c r="J176" t="s">
        <v>12416</v>
      </c>
      <c r="K176" t="s">
        <v>12085</v>
      </c>
      <c r="L176" t="s">
        <v>12355</v>
      </c>
      <c r="M176" t="s">
        <v>8447</v>
      </c>
      <c r="N176">
        <v>14021756</v>
      </c>
    </row>
    <row r="177" spans="1:14">
      <c r="A177" t="s">
        <v>12315</v>
      </c>
      <c r="B177" t="s">
        <v>12315</v>
      </c>
      <c r="C177" t="s">
        <v>12338</v>
      </c>
      <c r="D177" t="s">
        <v>12084</v>
      </c>
      <c r="F177" t="s">
        <v>11199</v>
      </c>
      <c r="G177" t="s">
        <v>6975</v>
      </c>
      <c r="H177" s="39"/>
      <c r="I177" s="39"/>
      <c r="J177" t="s">
        <v>12416</v>
      </c>
      <c r="K177" t="s">
        <v>12085</v>
      </c>
      <c r="L177" t="s">
        <v>12356</v>
      </c>
    </row>
    <row r="178" spans="1:14">
      <c r="A178" t="s">
        <v>12316</v>
      </c>
      <c r="B178" t="s">
        <v>12316</v>
      </c>
      <c r="C178" t="s">
        <v>12338</v>
      </c>
      <c r="D178" t="s">
        <v>12084</v>
      </c>
      <c r="F178" t="s">
        <v>11199</v>
      </c>
      <c r="G178" t="s">
        <v>6975</v>
      </c>
      <c r="H178" s="39"/>
      <c r="I178" s="39"/>
      <c r="J178" t="s">
        <v>12416</v>
      </c>
      <c r="K178" t="s">
        <v>12085</v>
      </c>
      <c r="L178" t="s">
        <v>12357</v>
      </c>
      <c r="M178" t="s">
        <v>8447</v>
      </c>
      <c r="N178">
        <v>30136213</v>
      </c>
    </row>
    <row r="179" spans="1:14">
      <c r="A179" t="s">
        <v>12317</v>
      </c>
      <c r="B179" t="s">
        <v>12317</v>
      </c>
      <c r="C179" t="s">
        <v>12338</v>
      </c>
      <c r="D179" t="s">
        <v>12084</v>
      </c>
      <c r="F179" t="s">
        <v>11199</v>
      </c>
      <c r="G179" t="s">
        <v>6975</v>
      </c>
      <c r="H179" s="39"/>
      <c r="I179" s="39"/>
      <c r="J179" t="s">
        <v>12416</v>
      </c>
      <c r="K179" t="s">
        <v>12085</v>
      </c>
      <c r="L179" t="s">
        <v>12358</v>
      </c>
    </row>
    <row r="180" spans="1:14">
      <c r="A180" t="s">
        <v>12318</v>
      </c>
      <c r="B180" t="s">
        <v>12318</v>
      </c>
      <c r="C180" t="s">
        <v>12338</v>
      </c>
      <c r="D180" t="s">
        <v>12084</v>
      </c>
      <c r="F180" t="s">
        <v>11199</v>
      </c>
      <c r="G180" t="s">
        <v>6975</v>
      </c>
      <c r="H180" s="39"/>
      <c r="I180" s="39"/>
      <c r="J180" t="s">
        <v>12416</v>
      </c>
      <c r="K180" t="s">
        <v>12085</v>
      </c>
      <c r="L180" t="s">
        <v>12359</v>
      </c>
    </row>
    <row r="181" spans="1:14">
      <c r="A181" t="s">
        <v>12319</v>
      </c>
      <c r="B181" t="s">
        <v>12319</v>
      </c>
      <c r="C181" t="s">
        <v>12339</v>
      </c>
      <c r="D181" t="s">
        <v>12084</v>
      </c>
      <c r="F181" t="s">
        <v>11199</v>
      </c>
      <c r="G181" t="s">
        <v>6975</v>
      </c>
      <c r="H181" s="39"/>
      <c r="I181" s="39"/>
      <c r="J181" t="s">
        <v>12417</v>
      </c>
      <c r="K181" t="s">
        <v>12085</v>
      </c>
      <c r="L181" t="s">
        <v>12360</v>
      </c>
      <c r="M181" t="s">
        <v>8447</v>
      </c>
      <c r="N181">
        <v>14021809</v>
      </c>
    </row>
    <row r="182" spans="1:14">
      <c r="A182" t="s">
        <v>12320</v>
      </c>
      <c r="B182" t="s">
        <v>12320</v>
      </c>
      <c r="C182" t="s">
        <v>12339</v>
      </c>
      <c r="D182" t="s">
        <v>12084</v>
      </c>
      <c r="F182" t="s">
        <v>11199</v>
      </c>
      <c r="G182" t="s">
        <v>6975</v>
      </c>
      <c r="H182" s="39"/>
      <c r="I182" s="39"/>
      <c r="J182" t="s">
        <v>12417</v>
      </c>
      <c r="K182" t="s">
        <v>12085</v>
      </c>
      <c r="L182" t="s">
        <v>12361</v>
      </c>
      <c r="M182" t="s">
        <v>8447</v>
      </c>
      <c r="N182">
        <v>14021804</v>
      </c>
    </row>
    <row r="183" spans="1:14">
      <c r="A183" t="s">
        <v>12321</v>
      </c>
      <c r="B183" t="s">
        <v>12321</v>
      </c>
      <c r="C183" t="s">
        <v>12339</v>
      </c>
      <c r="D183" t="s">
        <v>12084</v>
      </c>
      <c r="F183" t="s">
        <v>11199</v>
      </c>
      <c r="G183" t="s">
        <v>6975</v>
      </c>
      <c r="H183" s="39"/>
      <c r="I183" s="39"/>
      <c r="J183" t="s">
        <v>12417</v>
      </c>
      <c r="K183" t="s">
        <v>12085</v>
      </c>
      <c r="L183" t="s">
        <v>12362</v>
      </c>
      <c r="M183" t="s">
        <v>8447</v>
      </c>
      <c r="N183">
        <v>14021805</v>
      </c>
    </row>
    <row r="184" spans="1:14">
      <c r="A184" t="s">
        <v>12322</v>
      </c>
      <c r="B184" t="s">
        <v>12322</v>
      </c>
      <c r="C184" t="s">
        <v>12339</v>
      </c>
      <c r="D184" t="s">
        <v>12084</v>
      </c>
      <c r="F184" t="s">
        <v>11199</v>
      </c>
      <c r="G184" t="s">
        <v>6975</v>
      </c>
      <c r="H184" s="39"/>
      <c r="I184" s="39"/>
      <c r="J184" t="s">
        <v>12417</v>
      </c>
      <c r="K184" t="s">
        <v>12085</v>
      </c>
      <c r="L184" t="s">
        <v>12363</v>
      </c>
      <c r="M184" t="s">
        <v>8447</v>
      </c>
      <c r="N184">
        <v>14021808</v>
      </c>
    </row>
    <row r="185" spans="1:14">
      <c r="A185" t="s">
        <v>12323</v>
      </c>
      <c r="B185" t="s">
        <v>12323</v>
      </c>
      <c r="C185" t="s">
        <v>12339</v>
      </c>
      <c r="D185" t="s">
        <v>12084</v>
      </c>
      <c r="F185" t="s">
        <v>11199</v>
      </c>
      <c r="G185" t="s">
        <v>6975</v>
      </c>
      <c r="H185" s="39"/>
      <c r="I185" s="39"/>
      <c r="J185" t="s">
        <v>12417</v>
      </c>
      <c r="K185" t="s">
        <v>12085</v>
      </c>
      <c r="L185" t="s">
        <v>12364</v>
      </c>
    </row>
    <row r="186" spans="1:14">
      <c r="A186" t="s">
        <v>12324</v>
      </c>
      <c r="B186" t="s">
        <v>12324</v>
      </c>
      <c r="C186" t="s">
        <v>12339</v>
      </c>
      <c r="D186" t="s">
        <v>12084</v>
      </c>
      <c r="F186" t="s">
        <v>11199</v>
      </c>
      <c r="G186" t="s">
        <v>6975</v>
      </c>
      <c r="H186" s="39"/>
      <c r="I186" s="39"/>
      <c r="J186" t="s">
        <v>12417</v>
      </c>
      <c r="K186" t="s">
        <v>12085</v>
      </c>
      <c r="L186" t="s">
        <v>12365</v>
      </c>
    </row>
    <row r="187" spans="1:14">
      <c r="A187" t="s">
        <v>12325</v>
      </c>
      <c r="B187" t="s">
        <v>12325</v>
      </c>
      <c r="C187" t="s">
        <v>12339</v>
      </c>
      <c r="D187" t="s">
        <v>12084</v>
      </c>
      <c r="F187" t="s">
        <v>11199</v>
      </c>
      <c r="G187" t="s">
        <v>6975</v>
      </c>
      <c r="H187" s="39"/>
      <c r="I187" s="39"/>
      <c r="J187" t="s">
        <v>12417</v>
      </c>
      <c r="K187" t="s">
        <v>12085</v>
      </c>
      <c r="L187" t="s">
        <v>12366</v>
      </c>
    </row>
    <row r="188" spans="1:14">
      <c r="A188" t="s">
        <v>12326</v>
      </c>
      <c r="B188" t="s">
        <v>12326</v>
      </c>
      <c r="C188" t="s">
        <v>12339</v>
      </c>
      <c r="D188" t="s">
        <v>12084</v>
      </c>
      <c r="F188" t="s">
        <v>11199</v>
      </c>
      <c r="G188" t="s">
        <v>6975</v>
      </c>
      <c r="H188" s="39"/>
      <c r="I188" s="39"/>
      <c r="J188" t="s">
        <v>12417</v>
      </c>
      <c r="K188" t="s">
        <v>12085</v>
      </c>
      <c r="L188" t="s">
        <v>12367</v>
      </c>
    </row>
    <row r="189" spans="1:14">
      <c r="A189" t="s">
        <v>12327</v>
      </c>
      <c r="B189" t="s">
        <v>12327</v>
      </c>
      <c r="C189" t="s">
        <v>12339</v>
      </c>
      <c r="D189" t="s">
        <v>12084</v>
      </c>
      <c r="F189" t="s">
        <v>11199</v>
      </c>
      <c r="G189" t="s">
        <v>6975</v>
      </c>
      <c r="H189" s="39"/>
      <c r="I189" s="39"/>
      <c r="J189" t="s">
        <v>12417</v>
      </c>
      <c r="K189" t="s">
        <v>12085</v>
      </c>
      <c r="L189" t="s">
        <v>12368</v>
      </c>
    </row>
    <row r="190" spans="1:14">
      <c r="A190" t="s">
        <v>12328</v>
      </c>
      <c r="B190" t="s">
        <v>12328</v>
      </c>
      <c r="C190" t="s">
        <v>12339</v>
      </c>
      <c r="D190" t="s">
        <v>12084</v>
      </c>
      <c r="F190" t="s">
        <v>11199</v>
      </c>
      <c r="G190" t="s">
        <v>6975</v>
      </c>
      <c r="H190" s="39"/>
      <c r="I190" s="39"/>
      <c r="J190" t="s">
        <v>12417</v>
      </c>
      <c r="K190" t="s">
        <v>12085</v>
      </c>
      <c r="L190" t="s">
        <v>12369</v>
      </c>
    </row>
    <row r="191" spans="1:14">
      <c r="A191" t="s">
        <v>12393</v>
      </c>
      <c r="B191" t="s">
        <v>12393</v>
      </c>
      <c r="C191" t="s">
        <v>12414</v>
      </c>
      <c r="D191" t="s">
        <v>12084</v>
      </c>
      <c r="F191" t="s">
        <v>11199</v>
      </c>
      <c r="G191" t="s">
        <v>6975</v>
      </c>
      <c r="H191" s="39"/>
      <c r="I191" s="39"/>
      <c r="J191" t="s">
        <v>12370</v>
      </c>
      <c r="K191" t="s">
        <v>12085</v>
      </c>
      <c r="L191" t="s">
        <v>12371</v>
      </c>
    </row>
    <row r="192" spans="1:14">
      <c r="A192" t="s">
        <v>12394</v>
      </c>
      <c r="B192" t="s">
        <v>12394</v>
      </c>
      <c r="C192" t="s">
        <v>12414</v>
      </c>
      <c r="D192" t="s">
        <v>12084</v>
      </c>
      <c r="F192" t="s">
        <v>11199</v>
      </c>
      <c r="G192" t="s">
        <v>6975</v>
      </c>
      <c r="H192" s="39"/>
      <c r="I192" s="39"/>
      <c r="J192" t="s">
        <v>12370</v>
      </c>
      <c r="K192" t="s">
        <v>12085</v>
      </c>
      <c r="L192" t="s">
        <v>12372</v>
      </c>
      <c r="M192" t="s">
        <v>8447</v>
      </c>
      <c r="N192">
        <v>30136393</v>
      </c>
    </row>
    <row r="193" spans="1:14">
      <c r="A193" t="s">
        <v>12395</v>
      </c>
      <c r="B193" t="s">
        <v>12395</v>
      </c>
      <c r="C193" t="s">
        <v>12414</v>
      </c>
      <c r="D193" t="s">
        <v>12084</v>
      </c>
      <c r="F193" t="s">
        <v>11199</v>
      </c>
      <c r="G193" t="s">
        <v>6975</v>
      </c>
      <c r="H193" s="39"/>
      <c r="I193" s="39"/>
      <c r="J193" t="s">
        <v>12370</v>
      </c>
      <c r="K193" t="s">
        <v>12085</v>
      </c>
      <c r="L193" t="s">
        <v>12373</v>
      </c>
      <c r="M193" t="s">
        <v>8447</v>
      </c>
      <c r="N193">
        <v>30136394</v>
      </c>
    </row>
    <row r="194" spans="1:14">
      <c r="A194" t="s">
        <v>12396</v>
      </c>
      <c r="B194" t="s">
        <v>12396</v>
      </c>
      <c r="C194" t="s">
        <v>12414</v>
      </c>
      <c r="D194" t="s">
        <v>12084</v>
      </c>
      <c r="F194" t="s">
        <v>11199</v>
      </c>
      <c r="G194" t="s">
        <v>6975</v>
      </c>
      <c r="H194" s="39"/>
      <c r="I194" s="39"/>
      <c r="J194" t="s">
        <v>12370</v>
      </c>
      <c r="K194" t="s">
        <v>12085</v>
      </c>
      <c r="L194" t="s">
        <v>12374</v>
      </c>
      <c r="M194" t="s">
        <v>8447</v>
      </c>
      <c r="N194">
        <v>30136395</v>
      </c>
    </row>
    <row r="195" spans="1:14">
      <c r="A195" t="s">
        <v>12397</v>
      </c>
      <c r="B195" t="s">
        <v>12397</v>
      </c>
      <c r="C195" t="s">
        <v>12414</v>
      </c>
      <c r="D195" t="s">
        <v>12084</v>
      </c>
      <c r="F195" t="s">
        <v>11199</v>
      </c>
      <c r="G195" t="s">
        <v>6975</v>
      </c>
      <c r="H195" s="39"/>
      <c r="I195" s="39"/>
      <c r="J195" t="s">
        <v>12370</v>
      </c>
      <c r="K195" t="s">
        <v>12085</v>
      </c>
      <c r="L195" t="s">
        <v>12375</v>
      </c>
      <c r="M195" t="s">
        <v>8447</v>
      </c>
      <c r="N195">
        <v>30136396</v>
      </c>
    </row>
    <row r="196" spans="1:14">
      <c r="A196" t="s">
        <v>12398</v>
      </c>
      <c r="B196" t="s">
        <v>12398</v>
      </c>
      <c r="C196" t="s">
        <v>12414</v>
      </c>
      <c r="D196" t="s">
        <v>12084</v>
      </c>
      <c r="F196" t="s">
        <v>11199</v>
      </c>
      <c r="G196" t="s">
        <v>6975</v>
      </c>
      <c r="H196" s="39"/>
      <c r="I196" s="39"/>
      <c r="J196" t="s">
        <v>12370</v>
      </c>
      <c r="K196" t="s">
        <v>12085</v>
      </c>
      <c r="L196" t="s">
        <v>12376</v>
      </c>
    </row>
    <row r="197" spans="1:14">
      <c r="A197" t="s">
        <v>12399</v>
      </c>
      <c r="B197" t="s">
        <v>12399</v>
      </c>
      <c r="C197" t="s">
        <v>12414</v>
      </c>
      <c r="D197" t="s">
        <v>12084</v>
      </c>
      <c r="F197" t="s">
        <v>11199</v>
      </c>
      <c r="G197" t="s">
        <v>6975</v>
      </c>
      <c r="H197" s="39"/>
      <c r="I197" s="39"/>
      <c r="J197" t="s">
        <v>12370</v>
      </c>
      <c r="K197" t="s">
        <v>12085</v>
      </c>
      <c r="L197" t="s">
        <v>12377</v>
      </c>
    </row>
    <row r="198" spans="1:14">
      <c r="A198" t="s">
        <v>12400</v>
      </c>
      <c r="B198" t="s">
        <v>12400</v>
      </c>
      <c r="C198" t="s">
        <v>12414</v>
      </c>
      <c r="D198" t="s">
        <v>12084</v>
      </c>
      <c r="F198" t="s">
        <v>11199</v>
      </c>
      <c r="G198" t="s">
        <v>6975</v>
      </c>
      <c r="H198" s="39"/>
      <c r="I198" s="39"/>
      <c r="J198" t="s">
        <v>12370</v>
      </c>
      <c r="K198" t="s">
        <v>12085</v>
      </c>
      <c r="L198" t="s">
        <v>12378</v>
      </c>
      <c r="M198" t="s">
        <v>8447</v>
      </c>
      <c r="N198">
        <v>30136399</v>
      </c>
    </row>
    <row r="199" spans="1:14">
      <c r="A199" t="s">
        <v>12401</v>
      </c>
      <c r="B199" t="s">
        <v>12401</v>
      </c>
      <c r="C199" t="s">
        <v>12414</v>
      </c>
      <c r="D199" t="s">
        <v>12084</v>
      </c>
      <c r="F199" t="s">
        <v>11199</v>
      </c>
      <c r="G199" t="s">
        <v>6975</v>
      </c>
      <c r="H199" s="39"/>
      <c r="I199" s="39"/>
      <c r="J199" t="s">
        <v>12370</v>
      </c>
      <c r="K199" t="s">
        <v>12085</v>
      </c>
      <c r="L199" t="s">
        <v>12379</v>
      </c>
      <c r="M199" t="s">
        <v>8447</v>
      </c>
      <c r="N199">
        <v>30136400</v>
      </c>
    </row>
    <row r="200" spans="1:14">
      <c r="A200" t="s">
        <v>12402</v>
      </c>
      <c r="B200" t="s">
        <v>12402</v>
      </c>
      <c r="C200" t="s">
        <v>12414</v>
      </c>
      <c r="D200" t="s">
        <v>12084</v>
      </c>
      <c r="F200" t="s">
        <v>11199</v>
      </c>
      <c r="G200" t="s">
        <v>6975</v>
      </c>
      <c r="H200" s="39"/>
      <c r="I200" s="39"/>
      <c r="J200" t="s">
        <v>12370</v>
      </c>
      <c r="K200" t="s">
        <v>12085</v>
      </c>
      <c r="L200" t="s">
        <v>12380</v>
      </c>
    </row>
    <row r="201" spans="1:14">
      <c r="A201" t="s">
        <v>12403</v>
      </c>
      <c r="B201" t="s">
        <v>12403</v>
      </c>
      <c r="C201" t="s">
        <v>12404</v>
      </c>
      <c r="D201" t="s">
        <v>12084</v>
      </c>
      <c r="F201" t="s">
        <v>11199</v>
      </c>
      <c r="G201" t="s">
        <v>6975</v>
      </c>
      <c r="H201" s="39"/>
      <c r="I201" s="39"/>
      <c r="J201" t="s">
        <v>12392</v>
      </c>
      <c r="K201" t="s">
        <v>12085</v>
      </c>
      <c r="L201" t="s">
        <v>12381</v>
      </c>
    </row>
    <row r="202" spans="1:14">
      <c r="A202" t="s">
        <v>12405</v>
      </c>
      <c r="B202" t="s">
        <v>12405</v>
      </c>
      <c r="C202" t="s">
        <v>12404</v>
      </c>
      <c r="D202" t="s">
        <v>12084</v>
      </c>
      <c r="F202" t="s">
        <v>11199</v>
      </c>
      <c r="G202" t="s">
        <v>6975</v>
      </c>
      <c r="H202" s="39"/>
      <c r="I202" s="39"/>
      <c r="J202" t="s">
        <v>12392</v>
      </c>
      <c r="K202" t="s">
        <v>12085</v>
      </c>
      <c r="L202" t="s">
        <v>12382</v>
      </c>
      <c r="M202" t="s">
        <v>8447</v>
      </c>
      <c r="N202">
        <v>30136403</v>
      </c>
    </row>
    <row r="203" spans="1:14">
      <c r="A203" t="s">
        <v>12406</v>
      </c>
      <c r="B203" t="s">
        <v>12406</v>
      </c>
      <c r="C203" t="s">
        <v>12404</v>
      </c>
      <c r="D203" t="s">
        <v>12084</v>
      </c>
      <c r="F203" t="s">
        <v>11199</v>
      </c>
      <c r="G203" t="s">
        <v>6975</v>
      </c>
      <c r="H203" s="39"/>
      <c r="I203" s="39"/>
      <c r="J203" t="s">
        <v>12392</v>
      </c>
      <c r="K203" t="s">
        <v>12085</v>
      </c>
      <c r="L203" t="s">
        <v>12383</v>
      </c>
      <c r="M203" t="s">
        <v>8447</v>
      </c>
      <c r="N203">
        <v>30136404</v>
      </c>
    </row>
    <row r="204" spans="1:14">
      <c r="A204" t="s">
        <v>12407</v>
      </c>
      <c r="B204" t="s">
        <v>12407</v>
      </c>
      <c r="C204" t="s">
        <v>12404</v>
      </c>
      <c r="D204" t="s">
        <v>12084</v>
      </c>
      <c r="F204" t="s">
        <v>11199</v>
      </c>
      <c r="G204" t="s">
        <v>6975</v>
      </c>
      <c r="H204" s="39"/>
      <c r="I204" s="39"/>
      <c r="J204" t="s">
        <v>12392</v>
      </c>
      <c r="K204" t="s">
        <v>12085</v>
      </c>
      <c r="L204" t="s">
        <v>12384</v>
      </c>
      <c r="M204" t="s">
        <v>8447</v>
      </c>
      <c r="N204">
        <v>30136405</v>
      </c>
    </row>
    <row r="205" spans="1:14">
      <c r="A205" t="s">
        <v>12408</v>
      </c>
      <c r="B205" t="s">
        <v>12408</v>
      </c>
      <c r="C205" t="s">
        <v>12404</v>
      </c>
      <c r="D205" t="s">
        <v>12084</v>
      </c>
      <c r="F205" t="s">
        <v>11199</v>
      </c>
      <c r="G205" t="s">
        <v>6975</v>
      </c>
      <c r="H205" s="39"/>
      <c r="I205" s="39"/>
      <c r="J205" t="s">
        <v>12392</v>
      </c>
      <c r="K205" t="s">
        <v>12085</v>
      </c>
      <c r="L205" t="s">
        <v>12385</v>
      </c>
    </row>
    <row r="206" spans="1:14">
      <c r="A206" t="s">
        <v>12409</v>
      </c>
      <c r="B206" t="s">
        <v>12409</v>
      </c>
      <c r="C206" t="s">
        <v>12404</v>
      </c>
      <c r="D206" t="s">
        <v>12084</v>
      </c>
      <c r="F206" t="s">
        <v>11199</v>
      </c>
      <c r="G206" t="s">
        <v>6975</v>
      </c>
      <c r="H206" s="39"/>
      <c r="I206" s="39"/>
      <c r="J206" t="s">
        <v>12392</v>
      </c>
      <c r="K206" t="s">
        <v>12085</v>
      </c>
      <c r="L206" t="s">
        <v>12386</v>
      </c>
    </row>
    <row r="207" spans="1:14">
      <c r="A207" t="s">
        <v>12410</v>
      </c>
      <c r="B207" t="s">
        <v>12410</v>
      </c>
      <c r="C207" t="s">
        <v>12404</v>
      </c>
      <c r="D207" t="s">
        <v>12084</v>
      </c>
      <c r="F207" t="s">
        <v>11199</v>
      </c>
      <c r="G207" t="s">
        <v>6975</v>
      </c>
      <c r="H207" s="39"/>
      <c r="I207" s="39"/>
      <c r="J207" t="s">
        <v>12392</v>
      </c>
      <c r="K207" t="s">
        <v>12085</v>
      </c>
      <c r="L207" t="s">
        <v>12387</v>
      </c>
    </row>
    <row r="208" spans="1:14">
      <c r="A208" t="s">
        <v>12411</v>
      </c>
      <c r="B208" t="s">
        <v>12411</v>
      </c>
      <c r="C208" t="s">
        <v>12404</v>
      </c>
      <c r="D208" t="s">
        <v>12084</v>
      </c>
      <c r="F208" t="s">
        <v>11199</v>
      </c>
      <c r="G208" t="s">
        <v>6975</v>
      </c>
      <c r="H208" s="39"/>
      <c r="I208" s="39"/>
      <c r="J208" t="s">
        <v>12392</v>
      </c>
      <c r="K208" t="s">
        <v>12085</v>
      </c>
      <c r="L208" t="s">
        <v>12388</v>
      </c>
      <c r="M208" t="s">
        <v>8447</v>
      </c>
      <c r="N208">
        <v>30136409</v>
      </c>
    </row>
    <row r="209" spans="1:14">
      <c r="A209" t="s">
        <v>12412</v>
      </c>
      <c r="B209" t="s">
        <v>12412</v>
      </c>
      <c r="C209" t="s">
        <v>12404</v>
      </c>
      <c r="D209" t="s">
        <v>12084</v>
      </c>
      <c r="F209" t="s">
        <v>11199</v>
      </c>
      <c r="G209" t="s">
        <v>6975</v>
      </c>
      <c r="H209" s="39"/>
      <c r="I209" s="39"/>
      <c r="J209" t="s">
        <v>12392</v>
      </c>
      <c r="K209" t="s">
        <v>12085</v>
      </c>
      <c r="L209" t="s">
        <v>12389</v>
      </c>
      <c r="M209" t="s">
        <v>8447</v>
      </c>
      <c r="N209">
        <v>30136410</v>
      </c>
    </row>
    <row r="210" spans="1:14">
      <c r="A210" t="s">
        <v>12413</v>
      </c>
      <c r="B210" t="s">
        <v>12413</v>
      </c>
      <c r="C210" t="s">
        <v>12404</v>
      </c>
      <c r="D210" t="s">
        <v>12084</v>
      </c>
      <c r="F210" t="s">
        <v>11199</v>
      </c>
      <c r="G210" t="s">
        <v>6975</v>
      </c>
      <c r="H210" s="39"/>
      <c r="I210" s="39"/>
      <c r="J210" t="s">
        <v>12392</v>
      </c>
      <c r="K210" t="s">
        <v>12085</v>
      </c>
      <c r="L210" t="s">
        <v>12391</v>
      </c>
    </row>
    <row r="211" spans="1:14">
      <c r="A211" t="s">
        <v>12171</v>
      </c>
      <c r="B211" t="s">
        <v>12171</v>
      </c>
      <c r="C211" t="s">
        <v>12172</v>
      </c>
      <c r="D211" t="s">
        <v>12173</v>
      </c>
      <c r="F211" t="s">
        <v>8453</v>
      </c>
      <c r="G211" t="s">
        <v>12174</v>
      </c>
      <c r="H211" t="s">
        <v>8455</v>
      </c>
      <c r="I211" t="s">
        <v>12171</v>
      </c>
      <c r="J211" t="s">
        <v>12175</v>
      </c>
      <c r="K211" t="s">
        <v>12173</v>
      </c>
      <c r="L211" t="s">
        <v>12171</v>
      </c>
      <c r="M211" t="s">
        <v>25</v>
      </c>
      <c r="N211" t="s">
        <v>12176</v>
      </c>
    </row>
    <row r="212" spans="1:14">
      <c r="A212" t="s">
        <v>12192</v>
      </c>
      <c r="B212" t="s">
        <v>12192</v>
      </c>
      <c r="C212" t="s">
        <v>12178</v>
      </c>
      <c r="D212" t="s">
        <v>12191</v>
      </c>
      <c r="F212" t="s">
        <v>7986</v>
      </c>
      <c r="G212" t="s">
        <v>7987</v>
      </c>
      <c r="H212" t="s">
        <v>7988</v>
      </c>
      <c r="I212" t="s">
        <v>12220</v>
      </c>
      <c r="J212" t="s">
        <v>12177</v>
      </c>
      <c r="K212" t="s">
        <v>12191</v>
      </c>
      <c r="L212" t="s">
        <v>12192</v>
      </c>
      <c r="M212" t="s">
        <v>25</v>
      </c>
      <c r="N212" t="s">
        <v>12222</v>
      </c>
    </row>
    <row r="213" spans="1:14">
      <c r="A213" t="s">
        <v>12193</v>
      </c>
      <c r="B213" t="s">
        <v>12193</v>
      </c>
      <c r="C213" t="s">
        <v>12179</v>
      </c>
      <c r="D213" t="s">
        <v>12191</v>
      </c>
      <c r="F213" t="s">
        <v>7986</v>
      </c>
      <c r="G213" t="s">
        <v>12219</v>
      </c>
      <c r="H213" t="s">
        <v>7988</v>
      </c>
      <c r="I213" t="s">
        <v>12221</v>
      </c>
      <c r="J213" t="s">
        <v>12177</v>
      </c>
      <c r="K213" t="s">
        <v>12191</v>
      </c>
      <c r="L213" t="s">
        <v>12193</v>
      </c>
      <c r="M213" t="s">
        <v>25</v>
      </c>
      <c r="N213" t="s">
        <v>12223</v>
      </c>
    </row>
    <row r="214" spans="1:14">
      <c r="A214" t="s">
        <v>12194</v>
      </c>
      <c r="B214" t="s">
        <v>12194</v>
      </c>
      <c r="C214" t="s">
        <v>12180</v>
      </c>
      <c r="D214" t="s">
        <v>12191</v>
      </c>
      <c r="F214" t="s">
        <v>7986</v>
      </c>
      <c r="G214" t="s">
        <v>12219</v>
      </c>
      <c r="H214" t="s">
        <v>7988</v>
      </c>
      <c r="I214" t="s">
        <v>12221</v>
      </c>
      <c r="J214" t="s">
        <v>12177</v>
      </c>
      <c r="K214" t="s">
        <v>12191</v>
      </c>
      <c r="L214" t="s">
        <v>12194</v>
      </c>
      <c r="M214" t="s">
        <v>25</v>
      </c>
      <c r="N214" t="s">
        <v>12224</v>
      </c>
    </row>
    <row r="215" spans="1:14">
      <c r="A215" t="s">
        <v>12195</v>
      </c>
      <c r="B215" t="s">
        <v>12195</v>
      </c>
      <c r="C215" t="s">
        <v>12179</v>
      </c>
      <c r="D215" t="s">
        <v>12191</v>
      </c>
      <c r="F215" t="s">
        <v>7986</v>
      </c>
      <c r="G215" t="s">
        <v>12219</v>
      </c>
      <c r="H215" t="s">
        <v>7988</v>
      </c>
      <c r="I215" t="s">
        <v>12221</v>
      </c>
      <c r="J215" t="s">
        <v>12177</v>
      </c>
      <c r="K215" t="s">
        <v>12191</v>
      </c>
      <c r="L215" t="s">
        <v>12195</v>
      </c>
      <c r="M215" t="s">
        <v>25</v>
      </c>
      <c r="N215" t="s">
        <v>12225</v>
      </c>
    </row>
    <row r="216" spans="1:14">
      <c r="A216" t="s">
        <v>12196</v>
      </c>
      <c r="B216" t="s">
        <v>12196</v>
      </c>
      <c r="C216" t="s">
        <v>12181</v>
      </c>
      <c r="D216" t="s">
        <v>12191</v>
      </c>
      <c r="F216" t="s">
        <v>7986</v>
      </c>
      <c r="G216" t="s">
        <v>12219</v>
      </c>
      <c r="H216" t="s">
        <v>7988</v>
      </c>
      <c r="I216" t="s">
        <v>12221</v>
      </c>
      <c r="J216" t="s">
        <v>12177</v>
      </c>
      <c r="K216" t="s">
        <v>12191</v>
      </c>
      <c r="L216" t="s">
        <v>12196</v>
      </c>
      <c r="M216" t="s">
        <v>25</v>
      </c>
      <c r="N216" t="s">
        <v>12226</v>
      </c>
    </row>
    <row r="217" spans="1:14">
      <c r="A217" t="s">
        <v>12197</v>
      </c>
      <c r="B217" t="s">
        <v>12197</v>
      </c>
      <c r="C217" t="s">
        <v>12182</v>
      </c>
      <c r="D217" t="s">
        <v>12191</v>
      </c>
      <c r="F217" t="s">
        <v>7986</v>
      </c>
      <c r="G217" t="s">
        <v>12219</v>
      </c>
      <c r="H217" t="s">
        <v>7988</v>
      </c>
      <c r="I217" t="s">
        <v>12221</v>
      </c>
      <c r="J217" t="s">
        <v>12177</v>
      </c>
      <c r="K217" t="s">
        <v>12191</v>
      </c>
      <c r="L217" t="s">
        <v>12197</v>
      </c>
      <c r="M217" t="s">
        <v>25</v>
      </c>
      <c r="N217" t="s">
        <v>12227</v>
      </c>
    </row>
    <row r="218" spans="1:14">
      <c r="A218" t="s">
        <v>12198</v>
      </c>
      <c r="B218" t="s">
        <v>12198</v>
      </c>
      <c r="C218" t="s">
        <v>12183</v>
      </c>
      <c r="D218" t="s">
        <v>12191</v>
      </c>
      <c r="F218" t="s">
        <v>7986</v>
      </c>
      <c r="G218" t="s">
        <v>7987</v>
      </c>
      <c r="H218" t="s">
        <v>7988</v>
      </c>
      <c r="I218" t="s">
        <v>12220</v>
      </c>
      <c r="J218" t="s">
        <v>12177</v>
      </c>
      <c r="K218" t="s">
        <v>12191</v>
      </c>
      <c r="L218" t="s">
        <v>12198</v>
      </c>
      <c r="M218" t="s">
        <v>25</v>
      </c>
      <c r="N218" t="s">
        <v>12228</v>
      </c>
    </row>
    <row r="219" spans="1:14">
      <c r="A219" t="s">
        <v>12199</v>
      </c>
      <c r="B219" t="s">
        <v>12199</v>
      </c>
      <c r="C219" t="s">
        <v>12182</v>
      </c>
      <c r="D219" t="s">
        <v>12191</v>
      </c>
      <c r="F219" t="s">
        <v>7986</v>
      </c>
      <c r="G219" t="s">
        <v>12219</v>
      </c>
      <c r="H219" t="s">
        <v>7988</v>
      </c>
      <c r="I219" t="s">
        <v>12221</v>
      </c>
      <c r="J219" t="s">
        <v>12177</v>
      </c>
      <c r="K219" t="s">
        <v>12191</v>
      </c>
      <c r="L219" t="s">
        <v>12199</v>
      </c>
      <c r="M219" t="s">
        <v>25</v>
      </c>
      <c r="N219" t="s">
        <v>12229</v>
      </c>
    </row>
    <row r="220" spans="1:14">
      <c r="A220" t="s">
        <v>12200</v>
      </c>
      <c r="B220" t="s">
        <v>12200</v>
      </c>
      <c r="C220" t="s">
        <v>12181</v>
      </c>
      <c r="D220" t="s">
        <v>12191</v>
      </c>
      <c r="F220" t="s">
        <v>7986</v>
      </c>
      <c r="G220" t="s">
        <v>12219</v>
      </c>
      <c r="H220" t="s">
        <v>7988</v>
      </c>
      <c r="I220" t="s">
        <v>12221</v>
      </c>
      <c r="J220" t="s">
        <v>12177</v>
      </c>
      <c r="K220" t="s">
        <v>12191</v>
      </c>
      <c r="L220" t="s">
        <v>12200</v>
      </c>
      <c r="M220" t="s">
        <v>25</v>
      </c>
      <c r="N220" t="s">
        <v>12230</v>
      </c>
    </row>
    <row r="221" spans="1:14">
      <c r="A221" t="s">
        <v>12201</v>
      </c>
      <c r="B221" t="s">
        <v>12201</v>
      </c>
      <c r="C221" t="s">
        <v>12184</v>
      </c>
      <c r="D221" t="s">
        <v>12191</v>
      </c>
      <c r="F221" t="s">
        <v>7986</v>
      </c>
      <c r="G221" t="s">
        <v>7987</v>
      </c>
      <c r="H221" t="s">
        <v>7988</v>
      </c>
      <c r="I221" t="s">
        <v>12220</v>
      </c>
      <c r="J221" t="s">
        <v>12177</v>
      </c>
      <c r="K221" t="s">
        <v>12191</v>
      </c>
      <c r="L221" t="s">
        <v>12201</v>
      </c>
      <c r="M221" t="s">
        <v>25</v>
      </c>
      <c r="N221" t="s">
        <v>12231</v>
      </c>
    </row>
    <row r="222" spans="1:14">
      <c r="A222" t="s">
        <v>12202</v>
      </c>
      <c r="B222" t="s">
        <v>12202</v>
      </c>
      <c r="C222" t="s">
        <v>12185</v>
      </c>
      <c r="D222" t="s">
        <v>12191</v>
      </c>
      <c r="F222" t="s">
        <v>7986</v>
      </c>
      <c r="G222" t="s">
        <v>7987</v>
      </c>
      <c r="H222" t="s">
        <v>7988</v>
      </c>
      <c r="I222" t="s">
        <v>12220</v>
      </c>
      <c r="J222" t="s">
        <v>12177</v>
      </c>
      <c r="K222" t="s">
        <v>12191</v>
      </c>
      <c r="L222" t="s">
        <v>12202</v>
      </c>
      <c r="M222" t="s">
        <v>25</v>
      </c>
      <c r="N222" t="s">
        <v>12232</v>
      </c>
    </row>
    <row r="223" spans="1:14">
      <c r="A223" t="s">
        <v>12203</v>
      </c>
      <c r="B223" t="s">
        <v>12203</v>
      </c>
      <c r="C223" t="s">
        <v>12184</v>
      </c>
      <c r="D223" t="s">
        <v>12191</v>
      </c>
      <c r="F223" t="s">
        <v>7986</v>
      </c>
      <c r="G223" t="s">
        <v>7987</v>
      </c>
      <c r="H223" t="s">
        <v>7988</v>
      </c>
      <c r="I223" t="s">
        <v>12220</v>
      </c>
      <c r="J223" t="s">
        <v>12177</v>
      </c>
      <c r="K223" t="s">
        <v>12191</v>
      </c>
      <c r="L223" t="s">
        <v>12203</v>
      </c>
      <c r="M223" t="s">
        <v>25</v>
      </c>
      <c r="N223" t="s">
        <v>12233</v>
      </c>
    </row>
    <row r="224" spans="1:14">
      <c r="A224" t="s">
        <v>12204</v>
      </c>
      <c r="B224" t="s">
        <v>12204</v>
      </c>
      <c r="C224" t="s">
        <v>12180</v>
      </c>
      <c r="D224" t="s">
        <v>12191</v>
      </c>
      <c r="F224" t="s">
        <v>7986</v>
      </c>
      <c r="G224" t="s">
        <v>12219</v>
      </c>
      <c r="H224" t="s">
        <v>7988</v>
      </c>
      <c r="I224" t="s">
        <v>12221</v>
      </c>
      <c r="J224" t="s">
        <v>12177</v>
      </c>
      <c r="K224" t="s">
        <v>12191</v>
      </c>
      <c r="L224" t="s">
        <v>12204</v>
      </c>
      <c r="M224" t="s">
        <v>25</v>
      </c>
      <c r="N224" t="s">
        <v>12234</v>
      </c>
    </row>
    <row r="225" spans="1:18">
      <c r="A225" t="s">
        <v>12205</v>
      </c>
      <c r="B225" t="s">
        <v>12205</v>
      </c>
      <c r="C225" t="s">
        <v>12180</v>
      </c>
      <c r="D225" t="s">
        <v>12191</v>
      </c>
      <c r="F225" t="s">
        <v>7986</v>
      </c>
      <c r="G225" t="s">
        <v>12219</v>
      </c>
      <c r="H225" t="s">
        <v>7988</v>
      </c>
      <c r="I225" t="s">
        <v>12221</v>
      </c>
      <c r="J225" t="s">
        <v>12177</v>
      </c>
      <c r="K225" t="s">
        <v>12191</v>
      </c>
      <c r="L225" t="s">
        <v>12205</v>
      </c>
      <c r="M225" t="s">
        <v>25</v>
      </c>
      <c r="N225" t="s">
        <v>12235</v>
      </c>
    </row>
    <row r="226" spans="1:18">
      <c r="A226" t="s">
        <v>12206</v>
      </c>
      <c r="B226" t="s">
        <v>12206</v>
      </c>
      <c r="C226" t="s">
        <v>12178</v>
      </c>
      <c r="D226" t="s">
        <v>12191</v>
      </c>
      <c r="F226" t="s">
        <v>7986</v>
      </c>
      <c r="G226" t="s">
        <v>7987</v>
      </c>
      <c r="H226" t="s">
        <v>7988</v>
      </c>
      <c r="I226" t="s">
        <v>12220</v>
      </c>
      <c r="J226" t="s">
        <v>12177</v>
      </c>
      <c r="K226" t="s">
        <v>12191</v>
      </c>
      <c r="L226" t="s">
        <v>12206</v>
      </c>
      <c r="M226" t="s">
        <v>25</v>
      </c>
      <c r="N226" t="s">
        <v>12236</v>
      </c>
    </row>
    <row r="227" spans="1:18">
      <c r="A227" t="s">
        <v>12207</v>
      </c>
      <c r="B227" t="s">
        <v>12207</v>
      </c>
      <c r="C227" t="s">
        <v>12178</v>
      </c>
      <c r="D227" t="s">
        <v>12191</v>
      </c>
      <c r="F227" t="s">
        <v>7986</v>
      </c>
      <c r="G227" t="s">
        <v>7987</v>
      </c>
      <c r="H227" t="s">
        <v>7988</v>
      </c>
      <c r="I227" t="s">
        <v>12220</v>
      </c>
      <c r="J227" t="s">
        <v>12177</v>
      </c>
      <c r="K227" t="s">
        <v>12191</v>
      </c>
      <c r="L227" t="s">
        <v>12207</v>
      </c>
      <c r="M227" t="s">
        <v>25</v>
      </c>
      <c r="N227" t="s">
        <v>12237</v>
      </c>
    </row>
    <row r="228" spans="1:18">
      <c r="A228" t="s">
        <v>12208</v>
      </c>
      <c r="B228" t="s">
        <v>12208</v>
      </c>
      <c r="C228" t="s">
        <v>12185</v>
      </c>
      <c r="D228" t="s">
        <v>12191</v>
      </c>
      <c r="F228" t="s">
        <v>7986</v>
      </c>
      <c r="G228" t="s">
        <v>7987</v>
      </c>
      <c r="H228" t="s">
        <v>7988</v>
      </c>
      <c r="I228" t="s">
        <v>12220</v>
      </c>
      <c r="J228" t="s">
        <v>12177</v>
      </c>
      <c r="K228" t="s">
        <v>12191</v>
      </c>
      <c r="L228" t="s">
        <v>12208</v>
      </c>
      <c r="M228" t="s">
        <v>25</v>
      </c>
      <c r="N228" t="s">
        <v>12238</v>
      </c>
    </row>
    <row r="229" spans="1:18">
      <c r="A229" t="s">
        <v>12209</v>
      </c>
      <c r="B229" t="s">
        <v>12209</v>
      </c>
      <c r="C229" t="s">
        <v>12182</v>
      </c>
      <c r="D229" t="s">
        <v>12191</v>
      </c>
      <c r="F229" t="s">
        <v>7986</v>
      </c>
      <c r="G229" t="s">
        <v>12219</v>
      </c>
      <c r="H229" t="s">
        <v>7988</v>
      </c>
      <c r="I229" t="s">
        <v>12221</v>
      </c>
      <c r="J229" t="s">
        <v>12177</v>
      </c>
      <c r="K229" t="s">
        <v>12191</v>
      </c>
      <c r="L229" t="s">
        <v>12209</v>
      </c>
      <c r="M229" t="s">
        <v>25</v>
      </c>
      <c r="N229" t="s">
        <v>12239</v>
      </c>
    </row>
    <row r="230" spans="1:18">
      <c r="A230" t="s">
        <v>12210</v>
      </c>
      <c r="B230" t="s">
        <v>12210</v>
      </c>
      <c r="C230" t="s">
        <v>12186</v>
      </c>
      <c r="D230" t="s">
        <v>12191</v>
      </c>
      <c r="F230" t="s">
        <v>7986</v>
      </c>
      <c r="G230" t="s">
        <v>12219</v>
      </c>
      <c r="H230" t="s">
        <v>7988</v>
      </c>
      <c r="I230" t="s">
        <v>12221</v>
      </c>
      <c r="J230" t="s">
        <v>12177</v>
      </c>
      <c r="K230" t="s">
        <v>12191</v>
      </c>
      <c r="L230" t="s">
        <v>12210</v>
      </c>
      <c r="M230" t="s">
        <v>25</v>
      </c>
      <c r="N230" t="s">
        <v>12240</v>
      </c>
    </row>
    <row r="231" spans="1:18">
      <c r="A231" t="s">
        <v>12211</v>
      </c>
      <c r="B231" t="s">
        <v>12211</v>
      </c>
      <c r="C231" t="s">
        <v>12180</v>
      </c>
      <c r="D231" t="s">
        <v>12191</v>
      </c>
      <c r="F231" t="s">
        <v>7986</v>
      </c>
      <c r="G231" t="s">
        <v>12219</v>
      </c>
      <c r="H231" t="s">
        <v>7988</v>
      </c>
      <c r="I231" t="s">
        <v>12221</v>
      </c>
      <c r="J231" t="s">
        <v>12177</v>
      </c>
      <c r="K231" t="s">
        <v>12191</v>
      </c>
      <c r="L231" t="s">
        <v>12211</v>
      </c>
      <c r="M231" t="s">
        <v>25</v>
      </c>
      <c r="N231" t="s">
        <v>12241</v>
      </c>
    </row>
    <row r="232" spans="1:18">
      <c r="A232" t="s">
        <v>12212</v>
      </c>
      <c r="B232" t="s">
        <v>12212</v>
      </c>
      <c r="C232" t="s">
        <v>12185</v>
      </c>
      <c r="D232" t="s">
        <v>12191</v>
      </c>
      <c r="F232" t="s">
        <v>7986</v>
      </c>
      <c r="G232" t="s">
        <v>7987</v>
      </c>
      <c r="H232" t="s">
        <v>7988</v>
      </c>
      <c r="I232" t="s">
        <v>12220</v>
      </c>
      <c r="J232" t="s">
        <v>12177</v>
      </c>
      <c r="K232" t="s">
        <v>12191</v>
      </c>
      <c r="L232" t="s">
        <v>12212</v>
      </c>
      <c r="M232" t="s">
        <v>25</v>
      </c>
      <c r="N232" t="s">
        <v>12242</v>
      </c>
    </row>
    <row r="233" spans="1:18">
      <c r="A233" t="s">
        <v>12213</v>
      </c>
      <c r="B233" t="s">
        <v>12213</v>
      </c>
      <c r="C233" t="s">
        <v>12187</v>
      </c>
      <c r="D233" t="s">
        <v>12191</v>
      </c>
      <c r="F233" t="s">
        <v>7986</v>
      </c>
      <c r="G233" t="s">
        <v>7987</v>
      </c>
      <c r="H233" t="s">
        <v>7988</v>
      </c>
      <c r="I233" t="s">
        <v>12220</v>
      </c>
      <c r="J233" t="s">
        <v>12177</v>
      </c>
      <c r="K233" t="s">
        <v>12191</v>
      </c>
      <c r="L233" t="s">
        <v>12213</v>
      </c>
      <c r="M233" t="s">
        <v>25</v>
      </c>
      <c r="N233" t="s">
        <v>12243</v>
      </c>
    </row>
    <row r="234" spans="1:18">
      <c r="A234" t="s">
        <v>12214</v>
      </c>
      <c r="B234" t="s">
        <v>12214</v>
      </c>
      <c r="C234" t="s">
        <v>12188</v>
      </c>
      <c r="D234" t="s">
        <v>12191</v>
      </c>
      <c r="F234" t="s">
        <v>7986</v>
      </c>
      <c r="G234" t="s">
        <v>12219</v>
      </c>
      <c r="H234" t="s">
        <v>7988</v>
      </c>
      <c r="I234" t="s">
        <v>12221</v>
      </c>
      <c r="J234" t="s">
        <v>12177</v>
      </c>
      <c r="K234" t="s">
        <v>12191</v>
      </c>
      <c r="L234" t="s">
        <v>12214</v>
      </c>
      <c r="M234" t="s">
        <v>25</v>
      </c>
      <c r="N234" t="s">
        <v>12244</v>
      </c>
    </row>
    <row r="235" spans="1:18">
      <c r="A235" t="s">
        <v>12215</v>
      </c>
      <c r="B235" t="s">
        <v>12215</v>
      </c>
      <c r="C235" t="s">
        <v>12184</v>
      </c>
      <c r="D235" t="s">
        <v>12191</v>
      </c>
      <c r="F235" t="s">
        <v>7986</v>
      </c>
      <c r="G235" t="s">
        <v>7987</v>
      </c>
      <c r="H235" t="s">
        <v>7988</v>
      </c>
      <c r="I235" t="s">
        <v>12220</v>
      </c>
      <c r="J235" t="s">
        <v>12177</v>
      </c>
      <c r="K235" t="s">
        <v>12191</v>
      </c>
      <c r="L235" t="s">
        <v>12215</v>
      </c>
      <c r="M235" t="s">
        <v>25</v>
      </c>
      <c r="N235" t="s">
        <v>12245</v>
      </c>
    </row>
    <row r="236" spans="1:18">
      <c r="A236" t="s">
        <v>12216</v>
      </c>
      <c r="B236" t="s">
        <v>12216</v>
      </c>
      <c r="C236" t="s">
        <v>12189</v>
      </c>
      <c r="D236" t="s">
        <v>12191</v>
      </c>
      <c r="F236" t="s">
        <v>7986</v>
      </c>
      <c r="G236" t="s">
        <v>7987</v>
      </c>
      <c r="H236" t="s">
        <v>7988</v>
      </c>
      <c r="I236" t="s">
        <v>12220</v>
      </c>
      <c r="J236" t="s">
        <v>12177</v>
      </c>
      <c r="K236" t="s">
        <v>12191</v>
      </c>
      <c r="L236" t="s">
        <v>12216</v>
      </c>
      <c r="M236" t="s">
        <v>25</v>
      </c>
      <c r="N236" t="s">
        <v>12246</v>
      </c>
    </row>
    <row r="237" spans="1:18">
      <c r="A237" t="s">
        <v>12217</v>
      </c>
      <c r="B237" t="s">
        <v>12217</v>
      </c>
      <c r="C237" t="s">
        <v>12190</v>
      </c>
      <c r="D237" t="s">
        <v>12191</v>
      </c>
      <c r="F237" t="s">
        <v>7986</v>
      </c>
      <c r="G237" t="s">
        <v>12219</v>
      </c>
      <c r="H237" t="s">
        <v>7988</v>
      </c>
      <c r="I237" t="s">
        <v>12221</v>
      </c>
      <c r="J237" t="s">
        <v>12177</v>
      </c>
      <c r="K237" t="s">
        <v>12191</v>
      </c>
      <c r="L237" t="s">
        <v>12217</v>
      </c>
      <c r="M237" t="s">
        <v>25</v>
      </c>
      <c r="N237" t="s">
        <v>12247</v>
      </c>
    </row>
    <row r="238" spans="1:18">
      <c r="A238" t="s">
        <v>12218</v>
      </c>
      <c r="B238" t="s">
        <v>12218</v>
      </c>
      <c r="C238" t="s">
        <v>12183</v>
      </c>
      <c r="D238" t="s">
        <v>12191</v>
      </c>
      <c r="F238" t="s">
        <v>7986</v>
      </c>
      <c r="G238" t="s">
        <v>7987</v>
      </c>
      <c r="H238" t="s">
        <v>7988</v>
      </c>
      <c r="I238" t="s">
        <v>12220</v>
      </c>
      <c r="J238" t="s">
        <v>12177</v>
      </c>
      <c r="K238" t="s">
        <v>12191</v>
      </c>
      <c r="L238" t="s">
        <v>12218</v>
      </c>
      <c r="M238" t="s">
        <v>25</v>
      </c>
      <c r="N238" t="s">
        <v>12248</v>
      </c>
    </row>
    <row r="239" spans="1:18">
      <c r="A239" t="s">
        <v>12513</v>
      </c>
      <c r="B239" t="s">
        <v>12513</v>
      </c>
      <c r="C239" t="s">
        <v>12521</v>
      </c>
      <c r="D239" t="s">
        <v>12522</v>
      </c>
      <c r="F239" t="s">
        <v>8453</v>
      </c>
      <c r="G239" t="s">
        <v>12519</v>
      </c>
      <c r="H239" t="s">
        <v>8455</v>
      </c>
      <c r="I239" t="s">
        <v>12518</v>
      </c>
      <c r="J239" t="s">
        <v>12540</v>
      </c>
      <c r="K239" t="s">
        <v>12522</v>
      </c>
      <c r="L239">
        <v>7346710</v>
      </c>
      <c r="M239" t="s">
        <v>8447</v>
      </c>
      <c r="N239">
        <v>30403424</v>
      </c>
      <c r="O239" t="s">
        <v>12522</v>
      </c>
      <c r="P239">
        <v>7346710</v>
      </c>
      <c r="Q239" t="s">
        <v>11193</v>
      </c>
      <c r="R239">
        <v>7346710</v>
      </c>
    </row>
    <row r="240" spans="1:18">
      <c r="A240" t="s">
        <v>12523</v>
      </c>
      <c r="B240" t="s">
        <v>12523</v>
      </c>
      <c r="C240" t="s">
        <v>12527</v>
      </c>
      <c r="D240" t="s">
        <v>12522</v>
      </c>
      <c r="F240" t="s">
        <v>8453</v>
      </c>
      <c r="G240" t="s">
        <v>12520</v>
      </c>
      <c r="H240" t="s">
        <v>8455</v>
      </c>
      <c r="I240" t="s">
        <v>12533</v>
      </c>
      <c r="J240" t="s">
        <v>12545</v>
      </c>
      <c r="K240" t="s">
        <v>12522</v>
      </c>
      <c r="L240" t="s">
        <v>12544</v>
      </c>
      <c r="M240" t="s">
        <v>11193</v>
      </c>
      <c r="N240" t="s">
        <v>12544</v>
      </c>
    </row>
    <row r="241" spans="1:18">
      <c r="A241" t="s">
        <v>12515</v>
      </c>
      <c r="B241" t="s">
        <v>12515</v>
      </c>
      <c r="C241" t="s">
        <v>12516</v>
      </c>
      <c r="D241" t="s">
        <v>12522</v>
      </c>
      <c r="F241" t="s">
        <v>8453</v>
      </c>
      <c r="G241" t="s">
        <v>12520</v>
      </c>
      <c r="H241" t="s">
        <v>8455</v>
      </c>
      <c r="I241" t="s">
        <v>12534</v>
      </c>
      <c r="J241" t="s">
        <v>12541</v>
      </c>
      <c r="K241" t="s">
        <v>12522</v>
      </c>
      <c r="L241">
        <v>7346704</v>
      </c>
      <c r="M241" t="s">
        <v>8447</v>
      </c>
      <c r="N241">
        <v>30403423</v>
      </c>
      <c r="O241" t="s">
        <v>12522</v>
      </c>
      <c r="P241" t="s">
        <v>12542</v>
      </c>
      <c r="Q241" t="s">
        <v>11193</v>
      </c>
      <c r="R241" t="s">
        <v>12542</v>
      </c>
    </row>
    <row r="242" spans="1:18">
      <c r="A242" t="s">
        <v>12514</v>
      </c>
      <c r="B242" t="s">
        <v>12514</v>
      </c>
      <c r="C242" t="s">
        <v>12517</v>
      </c>
      <c r="D242" t="s">
        <v>12522</v>
      </c>
      <c r="F242" t="s">
        <v>8453</v>
      </c>
      <c r="G242" t="s">
        <v>12520</v>
      </c>
      <c r="H242" t="s">
        <v>8455</v>
      </c>
      <c r="I242" t="s">
        <v>12518</v>
      </c>
      <c r="J242" t="s">
        <v>12548</v>
      </c>
      <c r="K242" t="s">
        <v>12522</v>
      </c>
      <c r="L242">
        <v>7346716</v>
      </c>
      <c r="M242" t="s">
        <v>8447</v>
      </c>
      <c r="N242">
        <v>30395366</v>
      </c>
      <c r="O242" t="s">
        <v>12522</v>
      </c>
      <c r="P242" t="s">
        <v>12543</v>
      </c>
      <c r="Q242" t="s">
        <v>11193</v>
      </c>
      <c r="R242" t="s">
        <v>12543</v>
      </c>
    </row>
    <row r="243" spans="1:18">
      <c r="A243" t="s">
        <v>12524</v>
      </c>
      <c r="B243" t="s">
        <v>12524</v>
      </c>
      <c r="C243" t="s">
        <v>12528</v>
      </c>
      <c r="D243" t="s">
        <v>12522</v>
      </c>
      <c r="F243" t="s">
        <v>8453</v>
      </c>
      <c r="G243" t="s">
        <v>12520</v>
      </c>
      <c r="H243" t="s">
        <v>8455</v>
      </c>
      <c r="I243" t="s">
        <v>12535</v>
      </c>
      <c r="J243" t="s">
        <v>12547</v>
      </c>
      <c r="K243" t="s">
        <v>12522</v>
      </c>
      <c r="L243" t="s">
        <v>12546</v>
      </c>
      <c r="M243" t="s">
        <v>11193</v>
      </c>
      <c r="N243" t="s">
        <v>12546</v>
      </c>
      <c r="O243" t="s">
        <v>12522</v>
      </c>
    </row>
    <row r="244" spans="1:18">
      <c r="A244" t="s">
        <v>12525</v>
      </c>
      <c r="B244" t="s">
        <v>12525</v>
      </c>
      <c r="C244" t="s">
        <v>12529</v>
      </c>
      <c r="D244" t="s">
        <v>12522</v>
      </c>
      <c r="F244" t="s">
        <v>8453</v>
      </c>
      <c r="G244" t="s">
        <v>12520</v>
      </c>
      <c r="H244" t="s">
        <v>8455</v>
      </c>
      <c r="I244" t="s">
        <v>12536</v>
      </c>
      <c r="J244" t="s">
        <v>12550</v>
      </c>
      <c r="K244" t="s">
        <v>12522</v>
      </c>
      <c r="L244" t="s">
        <v>12549</v>
      </c>
      <c r="M244" t="s">
        <v>11193</v>
      </c>
      <c r="N244" t="s">
        <v>12549</v>
      </c>
      <c r="O244" t="s">
        <v>12522</v>
      </c>
      <c r="Q244" t="s">
        <v>11193</v>
      </c>
      <c r="R244" t="s">
        <v>12539</v>
      </c>
    </row>
    <row r="245" spans="1:18">
      <c r="A245" t="s">
        <v>12526</v>
      </c>
      <c r="B245" t="s">
        <v>12526</v>
      </c>
      <c r="C245" t="s">
        <v>12530</v>
      </c>
      <c r="D245" t="s">
        <v>12522</v>
      </c>
      <c r="F245" t="s">
        <v>8453</v>
      </c>
      <c r="G245" t="s">
        <v>12520</v>
      </c>
      <c r="H245" t="s">
        <v>8455</v>
      </c>
      <c r="I245" t="s">
        <v>12537</v>
      </c>
      <c r="J245" t="s">
        <v>12552</v>
      </c>
      <c r="K245" t="s">
        <v>12522</v>
      </c>
      <c r="L245" t="s">
        <v>12551</v>
      </c>
      <c r="M245" t="s">
        <v>11193</v>
      </c>
      <c r="N245" t="s">
        <v>12551</v>
      </c>
      <c r="O245" t="s">
        <v>12522</v>
      </c>
    </row>
    <row r="246" spans="1:18">
      <c r="A246" t="s">
        <v>12531</v>
      </c>
      <c r="B246" t="s">
        <v>12531</v>
      </c>
      <c r="C246" t="s">
        <v>12532</v>
      </c>
      <c r="D246" t="s">
        <v>12522</v>
      </c>
      <c r="F246" t="s">
        <v>8453</v>
      </c>
      <c r="G246" t="s">
        <v>12520</v>
      </c>
      <c r="H246" t="s">
        <v>8455</v>
      </c>
      <c r="I246" t="s">
        <v>12538</v>
      </c>
      <c r="J246" t="s">
        <v>12553</v>
      </c>
      <c r="K246" t="s">
        <v>12522</v>
      </c>
      <c r="L246" t="s">
        <v>12554</v>
      </c>
      <c r="M246" t="s">
        <v>11193</v>
      </c>
      <c r="N246" t="s">
        <v>12554</v>
      </c>
      <c r="O246" t="s">
        <v>12522</v>
      </c>
    </row>
    <row r="247" spans="1:18">
      <c r="A247" t="s">
        <v>12555</v>
      </c>
      <c r="B247" t="s">
        <v>12557</v>
      </c>
      <c r="C247" t="s">
        <v>12569</v>
      </c>
      <c r="F247" t="s">
        <v>8453</v>
      </c>
      <c r="G247" t="s">
        <v>12520</v>
      </c>
      <c r="H247" t="s">
        <v>8455</v>
      </c>
      <c r="I247" t="s">
        <v>12590</v>
      </c>
      <c r="J247" t="s">
        <v>12603</v>
      </c>
      <c r="K247" t="s">
        <v>12191</v>
      </c>
      <c r="L247" t="s">
        <v>12604</v>
      </c>
      <c r="M247" t="s">
        <v>25</v>
      </c>
      <c r="N247" t="s">
        <v>12625</v>
      </c>
    </row>
    <row r="248" spans="1:18">
      <c r="A248" t="s">
        <v>12556</v>
      </c>
      <c r="B248" t="s">
        <v>12557</v>
      </c>
      <c r="C248" t="s">
        <v>12570</v>
      </c>
      <c r="F248" t="s">
        <v>8453</v>
      </c>
      <c r="G248" t="s">
        <v>12520</v>
      </c>
      <c r="H248" t="s">
        <v>8455</v>
      </c>
      <c r="I248" t="s">
        <v>12591</v>
      </c>
      <c r="J248" t="s">
        <v>12603</v>
      </c>
      <c r="K248" t="s">
        <v>12191</v>
      </c>
      <c r="L248" t="s">
        <v>12605</v>
      </c>
      <c r="M248" t="s">
        <v>25</v>
      </c>
      <c r="N248" t="s">
        <v>12626</v>
      </c>
    </row>
    <row r="249" spans="1:18">
      <c r="A249" t="s">
        <v>12558</v>
      </c>
      <c r="B249" t="s">
        <v>12557</v>
      </c>
      <c r="C249" t="s">
        <v>12571</v>
      </c>
      <c r="F249" t="s">
        <v>8453</v>
      </c>
      <c r="G249" t="s">
        <v>12520</v>
      </c>
      <c r="H249" t="s">
        <v>8455</v>
      </c>
      <c r="I249" t="s">
        <v>12594</v>
      </c>
      <c r="J249" t="s">
        <v>12603</v>
      </c>
      <c r="K249" t="s">
        <v>12191</v>
      </c>
      <c r="L249" t="s">
        <v>12606</v>
      </c>
      <c r="M249" t="s">
        <v>25</v>
      </c>
      <c r="N249" t="s">
        <v>12627</v>
      </c>
    </row>
    <row r="250" spans="1:18">
      <c r="A250" t="s">
        <v>12559</v>
      </c>
      <c r="B250" t="s">
        <v>12557</v>
      </c>
      <c r="C250" t="s">
        <v>12572</v>
      </c>
      <c r="F250" t="s">
        <v>8453</v>
      </c>
      <c r="G250" t="s">
        <v>12520</v>
      </c>
      <c r="H250" t="s">
        <v>8455</v>
      </c>
      <c r="I250" t="s">
        <v>12595</v>
      </c>
      <c r="J250" t="s">
        <v>12603</v>
      </c>
      <c r="K250" t="s">
        <v>12191</v>
      </c>
      <c r="L250" t="s">
        <v>12607</v>
      </c>
      <c r="M250" t="s">
        <v>25</v>
      </c>
      <c r="N250" t="s">
        <v>12628</v>
      </c>
    </row>
    <row r="251" spans="1:18">
      <c r="A251" t="s">
        <v>12560</v>
      </c>
      <c r="B251" t="s">
        <v>12557</v>
      </c>
      <c r="C251" t="s">
        <v>12573</v>
      </c>
      <c r="F251" t="s">
        <v>8453</v>
      </c>
      <c r="G251" t="s">
        <v>12520</v>
      </c>
      <c r="H251" t="s">
        <v>8455</v>
      </c>
      <c r="I251" t="s">
        <v>12596</v>
      </c>
      <c r="J251" t="s">
        <v>12603</v>
      </c>
      <c r="K251" t="s">
        <v>12191</v>
      </c>
      <c r="L251" t="s">
        <v>12608</v>
      </c>
      <c r="M251" t="s">
        <v>25</v>
      </c>
      <c r="N251" t="s">
        <v>12629</v>
      </c>
    </row>
    <row r="252" spans="1:18">
      <c r="A252" t="s">
        <v>12561</v>
      </c>
      <c r="B252" t="s">
        <v>12557</v>
      </c>
      <c r="C252" t="s">
        <v>12574</v>
      </c>
      <c r="F252" t="s">
        <v>8453</v>
      </c>
      <c r="G252" t="s">
        <v>12520</v>
      </c>
      <c r="H252" t="s">
        <v>8455</v>
      </c>
      <c r="I252" t="s">
        <v>12597</v>
      </c>
      <c r="J252" t="s">
        <v>12603</v>
      </c>
      <c r="K252" t="s">
        <v>12191</v>
      </c>
      <c r="L252" t="s">
        <v>12609</v>
      </c>
      <c r="M252" t="s">
        <v>25</v>
      </c>
      <c r="N252" t="s">
        <v>12630</v>
      </c>
    </row>
    <row r="253" spans="1:18">
      <c r="A253" t="s">
        <v>12562</v>
      </c>
      <c r="B253" t="s">
        <v>12557</v>
      </c>
      <c r="C253" t="s">
        <v>12575</v>
      </c>
      <c r="F253" t="s">
        <v>8453</v>
      </c>
      <c r="G253" t="s">
        <v>12520</v>
      </c>
      <c r="H253" t="s">
        <v>8455</v>
      </c>
      <c r="I253" t="s">
        <v>12598</v>
      </c>
      <c r="J253" t="s">
        <v>12603</v>
      </c>
      <c r="K253" t="s">
        <v>12191</v>
      </c>
      <c r="L253" t="s">
        <v>12610</v>
      </c>
      <c r="M253" t="s">
        <v>25</v>
      </c>
      <c r="N253" t="s">
        <v>12631</v>
      </c>
    </row>
    <row r="254" spans="1:18">
      <c r="A254" t="s">
        <v>12563</v>
      </c>
      <c r="B254" t="s">
        <v>12557</v>
      </c>
      <c r="C254" t="s">
        <v>12576</v>
      </c>
      <c r="F254" t="s">
        <v>8453</v>
      </c>
      <c r="G254" t="s">
        <v>12520</v>
      </c>
      <c r="H254" t="s">
        <v>8455</v>
      </c>
      <c r="I254" t="s">
        <v>12599</v>
      </c>
      <c r="J254" t="s">
        <v>12603</v>
      </c>
      <c r="K254" t="s">
        <v>12191</v>
      </c>
      <c r="L254" t="s">
        <v>12611</v>
      </c>
      <c r="M254" t="s">
        <v>25</v>
      </c>
      <c r="N254" t="s">
        <v>12632</v>
      </c>
    </row>
    <row r="255" spans="1:18">
      <c r="A255" t="s">
        <v>12564</v>
      </c>
      <c r="B255" t="s">
        <v>12557</v>
      </c>
      <c r="C255" t="s">
        <v>12577</v>
      </c>
      <c r="F255" t="s">
        <v>8453</v>
      </c>
      <c r="G255" t="s">
        <v>12520</v>
      </c>
      <c r="H255" t="s">
        <v>8455</v>
      </c>
      <c r="I255" t="s">
        <v>12600</v>
      </c>
      <c r="J255" t="s">
        <v>12603</v>
      </c>
      <c r="K255" t="s">
        <v>12191</v>
      </c>
      <c r="L255" t="s">
        <v>12612</v>
      </c>
      <c r="M255" t="s">
        <v>25</v>
      </c>
      <c r="N255" t="s">
        <v>12633</v>
      </c>
    </row>
    <row r="256" spans="1:18">
      <c r="A256" t="s">
        <v>12565</v>
      </c>
      <c r="B256" t="s">
        <v>12557</v>
      </c>
      <c r="C256" t="s">
        <v>12578</v>
      </c>
      <c r="F256" t="s">
        <v>8453</v>
      </c>
      <c r="G256" t="s">
        <v>12520</v>
      </c>
      <c r="H256" t="s">
        <v>8455</v>
      </c>
      <c r="I256" t="s">
        <v>12592</v>
      </c>
      <c r="J256" t="s">
        <v>12603</v>
      </c>
      <c r="K256" t="s">
        <v>12191</v>
      </c>
      <c r="L256" t="s">
        <v>12613</v>
      </c>
      <c r="M256" t="s">
        <v>25</v>
      </c>
      <c r="N256" t="s">
        <v>12634</v>
      </c>
    </row>
    <row r="257" spans="1:23">
      <c r="A257" t="s">
        <v>12566</v>
      </c>
      <c r="B257" t="s">
        <v>12557</v>
      </c>
      <c r="C257" t="s">
        <v>12579</v>
      </c>
      <c r="F257" t="s">
        <v>8453</v>
      </c>
      <c r="G257" t="s">
        <v>12520</v>
      </c>
      <c r="H257" t="s">
        <v>8455</v>
      </c>
      <c r="I257" t="s">
        <v>12601</v>
      </c>
      <c r="J257" t="s">
        <v>12603</v>
      </c>
      <c r="K257" t="s">
        <v>12191</v>
      </c>
      <c r="L257" t="s">
        <v>12614</v>
      </c>
      <c r="M257" t="s">
        <v>25</v>
      </c>
      <c r="N257" t="s">
        <v>12635</v>
      </c>
    </row>
    <row r="258" spans="1:23">
      <c r="A258" t="s">
        <v>12567</v>
      </c>
      <c r="B258" t="s">
        <v>12557</v>
      </c>
      <c r="C258" t="s">
        <v>12580</v>
      </c>
      <c r="F258" t="s">
        <v>8453</v>
      </c>
      <c r="G258" t="s">
        <v>12520</v>
      </c>
      <c r="H258" t="s">
        <v>8455</v>
      </c>
      <c r="I258" t="s">
        <v>12593</v>
      </c>
      <c r="J258" t="s">
        <v>12603</v>
      </c>
      <c r="K258" t="s">
        <v>12191</v>
      </c>
      <c r="L258" t="s">
        <v>12615</v>
      </c>
      <c r="M258" t="s">
        <v>25</v>
      </c>
      <c r="N258" t="s">
        <v>12636</v>
      </c>
    </row>
    <row r="259" spans="1:23">
      <c r="A259" t="s">
        <v>12568</v>
      </c>
      <c r="B259" t="s">
        <v>12557</v>
      </c>
      <c r="C259" t="s">
        <v>12581</v>
      </c>
      <c r="F259" t="s">
        <v>8453</v>
      </c>
      <c r="G259" t="s">
        <v>12520</v>
      </c>
      <c r="H259" t="s">
        <v>8455</v>
      </c>
      <c r="I259" t="s">
        <v>12602</v>
      </c>
      <c r="J259" t="s">
        <v>12603</v>
      </c>
      <c r="K259" t="s">
        <v>12191</v>
      </c>
      <c r="L259" t="s">
        <v>12616</v>
      </c>
      <c r="M259" t="s">
        <v>25</v>
      </c>
      <c r="N259" t="s">
        <v>12637</v>
      </c>
    </row>
    <row r="260" spans="1:23">
      <c r="A260" t="s">
        <v>12582</v>
      </c>
      <c r="B260" t="s">
        <v>12557</v>
      </c>
      <c r="C260" t="s">
        <v>12586</v>
      </c>
      <c r="F260" t="s">
        <v>8453</v>
      </c>
      <c r="G260" t="s">
        <v>12520</v>
      </c>
      <c r="H260" t="s">
        <v>8455</v>
      </c>
      <c r="I260" t="s">
        <v>12591</v>
      </c>
      <c r="J260" t="s">
        <v>12603</v>
      </c>
      <c r="K260" t="s">
        <v>12191</v>
      </c>
      <c r="L260" t="s">
        <v>12617</v>
      </c>
      <c r="M260" t="s">
        <v>25</v>
      </c>
      <c r="N260" t="s">
        <v>12621</v>
      </c>
    </row>
    <row r="261" spans="1:23">
      <c r="A261" t="s">
        <v>12583</v>
      </c>
      <c r="B261" t="s">
        <v>12557</v>
      </c>
      <c r="C261" t="s">
        <v>12587</v>
      </c>
      <c r="F261" t="s">
        <v>8453</v>
      </c>
      <c r="G261" t="s">
        <v>12520</v>
      </c>
      <c r="H261" t="s">
        <v>8455</v>
      </c>
      <c r="I261" t="s">
        <v>12597</v>
      </c>
      <c r="J261" t="s">
        <v>12603</v>
      </c>
      <c r="K261" t="s">
        <v>12191</v>
      </c>
      <c r="L261" t="s">
        <v>12618</v>
      </c>
      <c r="M261" t="s">
        <v>25</v>
      </c>
      <c r="N261" t="s">
        <v>12622</v>
      </c>
    </row>
    <row r="262" spans="1:23">
      <c r="A262" t="s">
        <v>12584</v>
      </c>
      <c r="B262" t="s">
        <v>12557</v>
      </c>
      <c r="C262" t="s">
        <v>12588</v>
      </c>
      <c r="F262" t="s">
        <v>8453</v>
      </c>
      <c r="G262" t="s">
        <v>12520</v>
      </c>
      <c r="H262" t="s">
        <v>8455</v>
      </c>
      <c r="I262" t="s">
        <v>12592</v>
      </c>
      <c r="J262" t="s">
        <v>12603</v>
      </c>
      <c r="K262" t="s">
        <v>12191</v>
      </c>
      <c r="L262" t="s">
        <v>12619</v>
      </c>
      <c r="M262" t="s">
        <v>25</v>
      </c>
      <c r="N262" t="s">
        <v>12623</v>
      </c>
    </row>
    <row r="263" spans="1:23">
      <c r="A263" t="s">
        <v>12585</v>
      </c>
      <c r="B263" t="s">
        <v>12557</v>
      </c>
      <c r="C263" t="s">
        <v>12589</v>
      </c>
      <c r="F263" t="s">
        <v>8453</v>
      </c>
      <c r="G263" t="s">
        <v>12520</v>
      </c>
      <c r="H263" t="s">
        <v>8455</v>
      </c>
      <c r="I263" t="s">
        <v>12602</v>
      </c>
      <c r="J263" t="s">
        <v>12603</v>
      </c>
      <c r="K263" t="s">
        <v>12191</v>
      </c>
      <c r="L263" t="s">
        <v>12620</v>
      </c>
      <c r="M263" t="s">
        <v>25</v>
      </c>
      <c r="N263" t="s">
        <v>12624</v>
      </c>
    </row>
    <row r="264" spans="1:23">
      <c r="A264" t="s">
        <v>14210</v>
      </c>
      <c r="B264" t="s">
        <v>14188</v>
      </c>
      <c r="C264" t="s">
        <v>14190</v>
      </c>
      <c r="D264" t="s">
        <v>12970</v>
      </c>
      <c r="E264" t="s">
        <v>14211</v>
      </c>
      <c r="F264" t="s">
        <v>2655</v>
      </c>
      <c r="G264" t="s">
        <v>14199</v>
      </c>
      <c r="H264" t="s">
        <v>12992</v>
      </c>
      <c r="S264" t="s">
        <v>12941</v>
      </c>
      <c r="T264" t="s">
        <v>12940</v>
      </c>
      <c r="U264" t="s">
        <v>4559</v>
      </c>
      <c r="V264" t="s">
        <v>12942</v>
      </c>
      <c r="W264" t="s">
        <v>4727</v>
      </c>
    </row>
    <row r="265" spans="1:23">
      <c r="A265" t="s">
        <v>13304</v>
      </c>
      <c r="B265" t="s">
        <v>14188</v>
      </c>
      <c r="C265" t="s">
        <v>14190</v>
      </c>
      <c r="D265" t="s">
        <v>6223</v>
      </c>
      <c r="E265" t="s">
        <v>12937</v>
      </c>
      <c r="F265" t="s">
        <v>2655</v>
      </c>
      <c r="G265" t="s">
        <v>14199</v>
      </c>
      <c r="H265" t="s">
        <v>12992</v>
      </c>
      <c r="I265" t="s">
        <v>12989</v>
      </c>
      <c r="J265" t="s">
        <v>12938</v>
      </c>
      <c r="K265" t="s">
        <v>6223</v>
      </c>
      <c r="L265">
        <v>830025159</v>
      </c>
      <c r="M265" t="s">
        <v>25</v>
      </c>
      <c r="N265" t="s">
        <v>12939</v>
      </c>
    </row>
    <row r="266" spans="1:23">
      <c r="A266" t="s">
        <v>12967</v>
      </c>
      <c r="B266" t="s">
        <v>12968</v>
      </c>
      <c r="C266" t="s">
        <v>12969</v>
      </c>
      <c r="D266" t="s">
        <v>12970</v>
      </c>
      <c r="F266" t="s">
        <v>2655</v>
      </c>
      <c r="G266" t="s">
        <v>12991</v>
      </c>
      <c r="H266" t="s">
        <v>12992</v>
      </c>
      <c r="I266" t="s">
        <v>12990</v>
      </c>
      <c r="J266" t="s">
        <v>12971</v>
      </c>
      <c r="K266" t="s">
        <v>6223</v>
      </c>
      <c r="L266">
        <v>830053099</v>
      </c>
      <c r="M266" t="s">
        <v>25</v>
      </c>
      <c r="N266" t="s">
        <v>12972</v>
      </c>
      <c r="S266" t="s">
        <v>12974</v>
      </c>
      <c r="T266" t="s">
        <v>12973</v>
      </c>
      <c r="U266" t="s">
        <v>4559</v>
      </c>
      <c r="V266" t="s">
        <v>12975</v>
      </c>
    </row>
    <row r="267" spans="1:23">
      <c r="A267" t="s">
        <v>12966</v>
      </c>
      <c r="B267" t="s">
        <v>12977</v>
      </c>
      <c r="C267" t="s">
        <v>12976</v>
      </c>
      <c r="D267" t="s">
        <v>12978</v>
      </c>
      <c r="F267" t="s">
        <v>11199</v>
      </c>
      <c r="G267" t="s">
        <v>12981</v>
      </c>
      <c r="H267" t="s">
        <v>12987</v>
      </c>
      <c r="I267" t="s">
        <v>12988</v>
      </c>
      <c r="J267" t="s">
        <v>12993</v>
      </c>
      <c r="K267" t="s">
        <v>12978</v>
      </c>
      <c r="L267" t="s">
        <v>12980</v>
      </c>
      <c r="M267" t="s">
        <v>25</v>
      </c>
      <c r="N267" t="s">
        <v>12979</v>
      </c>
      <c r="S267" t="s">
        <v>12983</v>
      </c>
      <c r="T267" t="s">
        <v>12982</v>
      </c>
      <c r="U267" t="s">
        <v>4559</v>
      </c>
      <c r="V267" t="s">
        <v>12984</v>
      </c>
    </row>
    <row r="268" spans="1:23">
      <c r="A268" t="s">
        <v>12994</v>
      </c>
      <c r="B268" t="s">
        <v>12994</v>
      </c>
      <c r="C268" t="s">
        <v>12995</v>
      </c>
      <c r="D268" t="s">
        <v>12970</v>
      </c>
      <c r="F268" t="s">
        <v>4358</v>
      </c>
      <c r="G268" t="s">
        <v>10932</v>
      </c>
      <c r="H268" t="s">
        <v>4359</v>
      </c>
      <c r="I268" t="s">
        <v>12994</v>
      </c>
      <c r="J268" t="s">
        <v>12996</v>
      </c>
      <c r="K268" t="s">
        <v>12997</v>
      </c>
      <c r="L268" t="s">
        <v>12999</v>
      </c>
      <c r="M268" t="s">
        <v>25</v>
      </c>
      <c r="N268" t="s">
        <v>12998</v>
      </c>
      <c r="S268" t="s">
        <v>13000</v>
      </c>
      <c r="T268" t="s">
        <v>13002</v>
      </c>
      <c r="U268" t="s">
        <v>4559</v>
      </c>
      <c r="V268" t="s">
        <v>13001</v>
      </c>
    </row>
    <row r="269" spans="1:23">
      <c r="A269" t="s">
        <v>13262</v>
      </c>
      <c r="B269" t="s">
        <v>13262</v>
      </c>
      <c r="C269" t="s">
        <v>13266</v>
      </c>
      <c r="F269" t="s">
        <v>2655</v>
      </c>
      <c r="G269" t="s">
        <v>12991</v>
      </c>
      <c r="H269" t="s">
        <v>12992</v>
      </c>
      <c r="I269" t="s">
        <v>13268</v>
      </c>
      <c r="J269" t="s">
        <v>13265</v>
      </c>
      <c r="K269" t="s">
        <v>13264</v>
      </c>
      <c r="L269" t="s">
        <v>13263</v>
      </c>
      <c r="M269" t="s">
        <v>25</v>
      </c>
      <c r="N269" t="s">
        <v>13267</v>
      </c>
      <c r="S269" t="s">
        <v>13271</v>
      </c>
      <c r="T269" t="s">
        <v>13270</v>
      </c>
      <c r="U269" t="s">
        <v>4559</v>
      </c>
      <c r="V269" t="s">
        <v>13269</v>
      </c>
    </row>
    <row r="270" spans="1:23">
      <c r="A270" t="s">
        <v>12935</v>
      </c>
      <c r="B270" t="s">
        <v>12936</v>
      </c>
      <c r="C270" t="s">
        <v>14191</v>
      </c>
      <c r="F270" t="s">
        <v>2655</v>
      </c>
      <c r="G270" t="s">
        <v>13295</v>
      </c>
      <c r="H270" t="s">
        <v>12992</v>
      </c>
      <c r="I270" t="s">
        <v>13303</v>
      </c>
      <c r="J270" t="s">
        <v>13302</v>
      </c>
      <c r="K270" t="s">
        <v>13301</v>
      </c>
      <c r="L270" t="s">
        <v>13300</v>
      </c>
      <c r="M270" t="s">
        <v>25</v>
      </c>
      <c r="N270" t="s">
        <v>13299</v>
      </c>
      <c r="S270" t="s">
        <v>13297</v>
      </c>
      <c r="T270" t="s">
        <v>13296</v>
      </c>
      <c r="U270" t="s">
        <v>4559</v>
      </c>
      <c r="V270" t="s">
        <v>13298</v>
      </c>
      <c r="W270" t="s">
        <v>4727</v>
      </c>
    </row>
    <row r="271" spans="1:23">
      <c r="A271" t="s">
        <v>13314</v>
      </c>
      <c r="B271" t="s">
        <v>13313</v>
      </c>
      <c r="C271" t="s">
        <v>13312</v>
      </c>
      <c r="F271" t="s">
        <v>13306</v>
      </c>
      <c r="G271" t="s">
        <v>13305</v>
      </c>
      <c r="H271" t="s">
        <v>13307</v>
      </c>
      <c r="I271" t="s">
        <v>13315</v>
      </c>
      <c r="J271" t="s">
        <v>13311</v>
      </c>
      <c r="S271" t="s">
        <v>13310</v>
      </c>
      <c r="T271" t="s">
        <v>13308</v>
      </c>
      <c r="U271" t="s">
        <v>4559</v>
      </c>
      <c r="V271" t="s">
        <v>13309</v>
      </c>
    </row>
    <row r="272" spans="1:23">
      <c r="A272" t="s">
        <v>14189</v>
      </c>
      <c r="B272" t="s">
        <v>14189</v>
      </c>
      <c r="C272" t="s">
        <v>14204</v>
      </c>
      <c r="D272" t="s">
        <v>14192</v>
      </c>
      <c r="E272" t="s">
        <v>14193</v>
      </c>
      <c r="F272" t="s">
        <v>2655</v>
      </c>
      <c r="G272" t="s">
        <v>12934</v>
      </c>
      <c r="H272" t="s">
        <v>12992</v>
      </c>
      <c r="I272" t="s">
        <v>14200</v>
      </c>
      <c r="J272" t="s">
        <v>14194</v>
      </c>
      <c r="K272" t="s">
        <v>13301</v>
      </c>
      <c r="L272" t="s">
        <v>14195</v>
      </c>
      <c r="M272" t="s">
        <v>25</v>
      </c>
      <c r="N272" t="s">
        <v>14196</v>
      </c>
      <c r="S272" t="s">
        <v>13301</v>
      </c>
      <c r="T272" t="s">
        <v>14197</v>
      </c>
      <c r="U272" t="s">
        <v>4559</v>
      </c>
      <c r="V272" t="s">
        <v>14198</v>
      </c>
      <c r="W272" t="s">
        <v>4728</v>
      </c>
    </row>
    <row r="273" spans="1:23">
      <c r="A273" t="s">
        <v>14202</v>
      </c>
      <c r="B273" t="s">
        <v>14202</v>
      </c>
      <c r="C273" t="s">
        <v>14203</v>
      </c>
      <c r="D273" t="s">
        <v>14205</v>
      </c>
      <c r="E273" t="s">
        <v>14201</v>
      </c>
      <c r="F273" t="s">
        <v>2655</v>
      </c>
      <c r="G273" t="s">
        <v>12934</v>
      </c>
      <c r="H273" t="s">
        <v>12992</v>
      </c>
      <c r="I273" t="s">
        <v>14209</v>
      </c>
      <c r="J273" t="s">
        <v>14206</v>
      </c>
      <c r="S273" t="s">
        <v>14205</v>
      </c>
      <c r="T273" t="s">
        <v>14207</v>
      </c>
      <c r="U273" t="s">
        <v>4559</v>
      </c>
      <c r="V273" t="s">
        <v>14208</v>
      </c>
      <c r="W273" t="s">
        <v>4727</v>
      </c>
    </row>
    <row r="274" spans="1:23">
      <c r="A274" t="s">
        <v>14212</v>
      </c>
      <c r="B274" t="s">
        <v>14212</v>
      </c>
      <c r="C274" t="s">
        <v>14213</v>
      </c>
      <c r="D274" t="s">
        <v>14214</v>
      </c>
      <c r="F274" t="s">
        <v>7986</v>
      </c>
      <c r="G274" t="s">
        <v>18601</v>
      </c>
      <c r="H274" t="s">
        <v>7988</v>
      </c>
      <c r="I274" t="s">
        <v>14218</v>
      </c>
      <c r="J274" t="s">
        <v>14215</v>
      </c>
      <c r="S274" t="s">
        <v>14216</v>
      </c>
      <c r="T274" t="s">
        <v>14212</v>
      </c>
      <c r="U274" t="s">
        <v>4559</v>
      </c>
      <c r="V274" t="s">
        <v>14217</v>
      </c>
      <c r="W274" t="s">
        <v>4727</v>
      </c>
    </row>
    <row r="275" spans="1:23">
      <c r="A275" t="s">
        <v>14219</v>
      </c>
      <c r="B275" t="s">
        <v>14219</v>
      </c>
      <c r="C275" t="s">
        <v>14221</v>
      </c>
      <c r="D275" t="s">
        <v>14223</v>
      </c>
      <c r="F275" t="s">
        <v>7986</v>
      </c>
      <c r="G275" t="s">
        <v>18601</v>
      </c>
      <c r="H275" t="s">
        <v>7988</v>
      </c>
      <c r="I275" t="s">
        <v>14225</v>
      </c>
      <c r="J275" t="s">
        <v>14226</v>
      </c>
      <c r="K275" t="s">
        <v>14227</v>
      </c>
      <c r="L275" t="s">
        <v>14228</v>
      </c>
      <c r="M275" t="s">
        <v>25</v>
      </c>
      <c r="N275" t="s">
        <v>14229</v>
      </c>
      <c r="S275" t="s">
        <v>6981</v>
      </c>
      <c r="T275" t="s">
        <v>14228</v>
      </c>
      <c r="U275" t="s">
        <v>4559</v>
      </c>
      <c r="V275" t="s">
        <v>14232</v>
      </c>
      <c r="W275" t="s">
        <v>4727</v>
      </c>
    </row>
    <row r="276" spans="1:23">
      <c r="A276" t="s">
        <v>14220</v>
      </c>
      <c r="B276" t="s">
        <v>14220</v>
      </c>
      <c r="C276" t="s">
        <v>14222</v>
      </c>
      <c r="D276" t="s">
        <v>14223</v>
      </c>
      <c r="F276" t="s">
        <v>7986</v>
      </c>
      <c r="G276" t="s">
        <v>18601</v>
      </c>
      <c r="H276" t="s">
        <v>7988</v>
      </c>
      <c r="I276" t="s">
        <v>14224</v>
      </c>
      <c r="J276" t="s">
        <v>14226</v>
      </c>
      <c r="K276" t="s">
        <v>14227</v>
      </c>
      <c r="L276" t="s">
        <v>14230</v>
      </c>
      <c r="M276" t="s">
        <v>25</v>
      </c>
      <c r="N276" t="s">
        <v>14231</v>
      </c>
      <c r="S276" t="s">
        <v>6981</v>
      </c>
      <c r="T276" t="s">
        <v>14233</v>
      </c>
      <c r="U276" t="s">
        <v>4559</v>
      </c>
      <c r="V276" t="s">
        <v>14234</v>
      </c>
      <c r="W276" t="s">
        <v>4727</v>
      </c>
    </row>
    <row r="277" spans="1:23">
      <c r="A277" t="s">
        <v>18018</v>
      </c>
      <c r="B277" t="s">
        <v>18018</v>
      </c>
      <c r="C277" t="s">
        <v>18019</v>
      </c>
      <c r="D277" t="s">
        <v>13264</v>
      </c>
      <c r="F277" t="s">
        <v>2655</v>
      </c>
      <c r="G277" t="s">
        <v>18020</v>
      </c>
      <c r="H277" t="s">
        <v>12992</v>
      </c>
      <c r="I277" t="s">
        <v>18021</v>
      </c>
      <c r="J277" t="s">
        <v>18024</v>
      </c>
      <c r="K277" t="s">
        <v>13264</v>
      </c>
      <c r="L277" t="s">
        <v>18023</v>
      </c>
      <c r="M277" t="s">
        <v>25</v>
      </c>
      <c r="N277" t="s">
        <v>18022</v>
      </c>
      <c r="S277" t="s">
        <v>18027</v>
      </c>
      <c r="T277" t="s">
        <v>18026</v>
      </c>
      <c r="U277" t="s">
        <v>4559</v>
      </c>
      <c r="V277" t="s">
        <v>18025</v>
      </c>
    </row>
    <row r="278" spans="1:23">
      <c r="A278" t="s">
        <v>18657</v>
      </c>
      <c r="B278" t="s">
        <v>18657</v>
      </c>
      <c r="C278" t="s">
        <v>18669</v>
      </c>
      <c r="D278" t="s">
        <v>18658</v>
      </c>
      <c r="E278" t="s">
        <v>18659</v>
      </c>
      <c r="F278" t="s">
        <v>7986</v>
      </c>
      <c r="G278" t="s">
        <v>7987</v>
      </c>
      <c r="H278" t="s">
        <v>7988</v>
      </c>
      <c r="I278" t="s">
        <v>18660</v>
      </c>
      <c r="J278" t="s">
        <v>18661</v>
      </c>
    </row>
    <row r="279" spans="1:23">
      <c r="A279" t="s">
        <v>18654</v>
      </c>
      <c r="B279" t="s">
        <v>18654</v>
      </c>
      <c r="C279" t="s">
        <v>18670</v>
      </c>
      <c r="D279" t="s">
        <v>18658</v>
      </c>
      <c r="E279" t="s">
        <v>18659</v>
      </c>
      <c r="F279" t="s">
        <v>7986</v>
      </c>
      <c r="G279" t="s">
        <v>7987</v>
      </c>
      <c r="H279" t="s">
        <v>7988</v>
      </c>
      <c r="I279" t="s">
        <v>18660</v>
      </c>
      <c r="J279" t="s">
        <v>18661</v>
      </c>
      <c r="K279" t="s">
        <v>18662</v>
      </c>
      <c r="L279" t="s">
        <v>18654</v>
      </c>
      <c r="M279" t="s">
        <v>25</v>
      </c>
      <c r="N279" t="s">
        <v>18663</v>
      </c>
    </row>
    <row r="280" spans="1:23">
      <c r="A280" t="s">
        <v>18655</v>
      </c>
      <c r="B280" t="s">
        <v>18655</v>
      </c>
      <c r="C280" t="s">
        <v>18671</v>
      </c>
      <c r="D280" t="s">
        <v>18658</v>
      </c>
      <c r="E280" t="s">
        <v>18659</v>
      </c>
      <c r="F280" t="s">
        <v>7986</v>
      </c>
      <c r="G280" t="s">
        <v>7987</v>
      </c>
      <c r="H280" t="s">
        <v>7988</v>
      </c>
      <c r="I280" t="s">
        <v>18660</v>
      </c>
      <c r="J280" t="s">
        <v>18661</v>
      </c>
      <c r="K280" t="s">
        <v>18662</v>
      </c>
      <c r="L280" t="s">
        <v>18655</v>
      </c>
      <c r="M280" t="s">
        <v>25</v>
      </c>
      <c r="N280" t="s">
        <v>18664</v>
      </c>
    </row>
    <row r="281" spans="1:23">
      <c r="A281" t="s">
        <v>18656</v>
      </c>
      <c r="B281" t="s">
        <v>18656</v>
      </c>
      <c r="C281" t="s">
        <v>18672</v>
      </c>
      <c r="D281" t="s">
        <v>18658</v>
      </c>
      <c r="E281" t="s">
        <v>18659</v>
      </c>
      <c r="F281" t="s">
        <v>7986</v>
      </c>
      <c r="G281" t="s">
        <v>7987</v>
      </c>
      <c r="H281" t="s">
        <v>7988</v>
      </c>
      <c r="I281" t="s">
        <v>18660</v>
      </c>
      <c r="J281" t="s">
        <v>18661</v>
      </c>
      <c r="K281" t="s">
        <v>18662</v>
      </c>
      <c r="L281" t="s">
        <v>18656</v>
      </c>
      <c r="M281" t="s">
        <v>25</v>
      </c>
      <c r="N281" t="s">
        <v>18665</v>
      </c>
    </row>
    <row r="282" spans="1:23">
      <c r="A282" s="25" t="s">
        <v>18667</v>
      </c>
      <c r="B282" s="25" t="s">
        <v>18667</v>
      </c>
      <c r="C282" t="s">
        <v>18673</v>
      </c>
      <c r="D282" t="s">
        <v>18675</v>
      </c>
      <c r="E282">
        <v>9105</v>
      </c>
      <c r="F282" t="s">
        <v>7986</v>
      </c>
      <c r="G282" t="s">
        <v>7987</v>
      </c>
      <c r="H282" t="s">
        <v>7988</v>
      </c>
      <c r="I282" t="s">
        <v>18676</v>
      </c>
      <c r="J282" t="s">
        <v>18666</v>
      </c>
      <c r="K282" t="s">
        <v>18677</v>
      </c>
      <c r="L282" t="s">
        <v>18678</v>
      </c>
      <c r="M282" t="s">
        <v>25</v>
      </c>
      <c r="N282" t="s">
        <v>18679</v>
      </c>
      <c r="O282" t="s">
        <v>18677</v>
      </c>
      <c r="P282" t="s">
        <v>18680</v>
      </c>
      <c r="Q282" t="s">
        <v>25</v>
      </c>
      <c r="R282" t="s">
        <v>18681</v>
      </c>
    </row>
    <row r="283" spans="1:23">
      <c r="A283" s="25" t="s">
        <v>18668</v>
      </c>
      <c r="B283" s="25" t="s">
        <v>18668</v>
      </c>
      <c r="C283" t="s">
        <v>18674</v>
      </c>
      <c r="D283" t="s">
        <v>18675</v>
      </c>
      <c r="E283">
        <v>9105</v>
      </c>
      <c r="F283" t="s">
        <v>7986</v>
      </c>
      <c r="G283" t="s">
        <v>7987</v>
      </c>
      <c r="H283" t="s">
        <v>7988</v>
      </c>
      <c r="I283" t="s">
        <v>18676</v>
      </c>
      <c r="J283" t="s">
        <v>18666</v>
      </c>
      <c r="K283" t="s">
        <v>18677</v>
      </c>
      <c r="L283" t="s">
        <v>18682</v>
      </c>
      <c r="M283" t="s">
        <v>25</v>
      </c>
      <c r="N283" t="s">
        <v>18683</v>
      </c>
      <c r="O283" t="s">
        <v>18677</v>
      </c>
      <c r="P283" t="s">
        <v>18684</v>
      </c>
      <c r="Q283" t="s">
        <v>25</v>
      </c>
      <c r="R283" t="s">
        <v>18685</v>
      </c>
    </row>
    <row r="284" spans="1:23">
      <c r="A284" t="s">
        <v>18686</v>
      </c>
      <c r="B284" t="s">
        <v>18686</v>
      </c>
      <c r="C284" t="s">
        <v>18689</v>
      </c>
      <c r="D284" t="s">
        <v>18692</v>
      </c>
      <c r="E284" t="s">
        <v>18693</v>
      </c>
      <c r="F284" t="s">
        <v>7986</v>
      </c>
      <c r="G284" t="s">
        <v>7987</v>
      </c>
      <c r="H284" t="s">
        <v>7988</v>
      </c>
      <c r="I284" t="s">
        <v>18660</v>
      </c>
      <c r="J284" t="s">
        <v>18695</v>
      </c>
      <c r="S284" t="s">
        <v>18692</v>
      </c>
      <c r="T284" t="s">
        <v>18686</v>
      </c>
      <c r="U284" t="s">
        <v>4559</v>
      </c>
      <c r="V284" t="s">
        <v>18697</v>
      </c>
      <c r="W284" t="s">
        <v>4727</v>
      </c>
    </row>
    <row r="285" spans="1:23">
      <c r="A285" t="s">
        <v>18687</v>
      </c>
      <c r="B285" t="s">
        <v>18687</v>
      </c>
      <c r="C285" t="s">
        <v>18690</v>
      </c>
      <c r="D285" t="s">
        <v>18692</v>
      </c>
      <c r="E285" t="s">
        <v>18693</v>
      </c>
      <c r="F285" t="s">
        <v>7986</v>
      </c>
      <c r="G285" t="s">
        <v>7987</v>
      </c>
      <c r="H285" t="s">
        <v>7988</v>
      </c>
      <c r="I285" t="s">
        <v>18660</v>
      </c>
      <c r="J285" t="s">
        <v>18694</v>
      </c>
      <c r="S285" t="s">
        <v>18692</v>
      </c>
      <c r="T285" t="s">
        <v>18687</v>
      </c>
      <c r="U285" t="s">
        <v>4559</v>
      </c>
      <c r="V285" t="s">
        <v>18698</v>
      </c>
      <c r="W285" t="s">
        <v>4727</v>
      </c>
    </row>
    <row r="286" spans="1:23">
      <c r="A286" t="s">
        <v>18688</v>
      </c>
      <c r="B286" t="s">
        <v>18688</v>
      </c>
      <c r="C286" t="s">
        <v>18691</v>
      </c>
      <c r="D286" t="s">
        <v>18692</v>
      </c>
      <c r="E286" t="s">
        <v>18693</v>
      </c>
      <c r="F286" t="s">
        <v>7986</v>
      </c>
      <c r="G286" t="s">
        <v>7987</v>
      </c>
      <c r="H286" t="s">
        <v>7988</v>
      </c>
      <c r="I286" t="s">
        <v>18660</v>
      </c>
      <c r="J286" t="s">
        <v>18696</v>
      </c>
      <c r="S286" t="s">
        <v>18692</v>
      </c>
      <c r="T286" t="s">
        <v>18688</v>
      </c>
      <c r="U286" t="s">
        <v>4559</v>
      </c>
      <c r="V286" t="s">
        <v>18699</v>
      </c>
      <c r="W286" t="s">
        <v>4727</v>
      </c>
    </row>
  </sheetData>
  <phoneticPr fontId="2" type="noConversion"/>
  <hyperlinks>
    <hyperlink ref="J83" r:id="rId1" xr:uid="{87781633-39AF-43F4-9B59-6B071DCD639F}"/>
    <hyperlink ref="J98" r:id="rId2" xr:uid="{9AA03FFF-97B9-46EA-A8AB-2879CFBDAEDD}"/>
    <hyperlink ref="J99" r:id="rId3" xr:uid="{943911E4-6B95-4648-A434-F1E2F7FE56E8}"/>
    <hyperlink ref="J101" r:id="rId4" xr:uid="{7B95649C-8ABB-498A-B7E6-C155EBFC68C3}"/>
    <hyperlink ref="J102" r:id="rId5" xr:uid="{5FD714E7-7453-45EB-8152-1F21A4764B1D}"/>
    <hyperlink ref="J103" r:id="rId6" xr:uid="{F8E85698-8458-41DD-A290-C0F6971F7240}"/>
    <hyperlink ref="J104" r:id="rId7" xr:uid="{9E8A709C-4D72-4E03-B880-1CB63F7321AC}"/>
    <hyperlink ref="J100" r:id="rId8" xr:uid="{A6A4C393-FB58-4ACE-85E4-DEE63DC7E426}"/>
  </hyperlinks>
  <pageMargins left="0.7" right="0.7" top="0.75" bottom="0.75" header="0.3" footer="0.3"/>
  <pageSetup paperSize="9" orientation="portrait" r:id="rId9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EA5C60-0093-4B93-9FB6-E3D2C67E7029}">
  <dimension ref="A1:W612"/>
  <sheetViews>
    <sheetView zoomScale="55" zoomScaleNormal="5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defaultColWidth="9.28515625" defaultRowHeight="15"/>
  <cols>
    <col min="1" max="1" width="24.42578125" bestFit="1" customWidth="1"/>
    <col min="2" max="2" width="22.5703125" bestFit="1" customWidth="1"/>
    <col min="3" max="3" width="38.85546875" customWidth="1"/>
    <col min="4" max="4" width="13.7109375" bestFit="1" customWidth="1"/>
    <col min="5" max="5" width="8.42578125" bestFit="1" customWidth="1"/>
    <col min="6" max="6" width="20.7109375" bestFit="1" customWidth="1"/>
    <col min="7" max="7" width="10.7109375" bestFit="1" customWidth="1"/>
    <col min="8" max="8" width="25.28515625" bestFit="1" customWidth="1"/>
    <col min="9" max="9" width="27.28515625" customWidth="1"/>
    <col min="10" max="10" width="8.5703125" bestFit="1" customWidth="1"/>
    <col min="11" max="11" width="9.28515625" bestFit="1" customWidth="1"/>
    <col min="12" max="12" width="10.5703125" bestFit="1" customWidth="1"/>
    <col min="13" max="13" width="14.42578125" bestFit="1" customWidth="1"/>
    <col min="14" max="14" width="23.28515625" bestFit="1" customWidth="1"/>
    <col min="15" max="15" width="15.5703125" bestFit="1" customWidth="1"/>
    <col min="16" max="16" width="28.42578125" bestFit="1" customWidth="1"/>
    <col min="17" max="17" width="10.42578125" bestFit="1" customWidth="1"/>
    <col min="18" max="18" width="23.28515625" bestFit="1" customWidth="1"/>
    <col min="19" max="19" width="15.42578125" bestFit="1" customWidth="1"/>
  </cols>
  <sheetData>
    <row r="1" spans="1:23" ht="15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11</v>
      </c>
      <c r="K1" s="1" t="s">
        <v>16090</v>
      </c>
      <c r="L1" s="1" t="s">
        <v>16091</v>
      </c>
      <c r="M1" s="1" t="s">
        <v>16092</v>
      </c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>
      <c r="A2" t="s">
        <v>14920</v>
      </c>
      <c r="B2" t="s">
        <v>14920</v>
      </c>
      <c r="C2" t="s">
        <v>14860</v>
      </c>
      <c r="D2" t="s">
        <v>4310</v>
      </c>
      <c r="F2" t="str">
        <f>Config!$B$7</f>
        <v>SCH/Connector.SchLib</v>
      </c>
      <c r="G2" t="s">
        <v>14827</v>
      </c>
      <c r="H2" t="s">
        <v>14919</v>
      </c>
      <c r="I2" t="s">
        <v>14857</v>
      </c>
      <c r="J2" s="47"/>
      <c r="K2" s="47" t="s">
        <v>16093</v>
      </c>
      <c r="L2" t="s">
        <v>16093</v>
      </c>
      <c r="M2" t="s">
        <v>16114</v>
      </c>
    </row>
    <row r="3" spans="1:23">
      <c r="A3" t="s">
        <v>14828</v>
      </c>
      <c r="B3" t="s">
        <v>14828</v>
      </c>
      <c r="C3" t="s">
        <v>14859</v>
      </c>
      <c r="D3" t="s">
        <v>4310</v>
      </c>
      <c r="F3" t="str">
        <f>Config!$B$7</f>
        <v>SCH/Connector.SchLib</v>
      </c>
      <c r="G3" t="s">
        <v>14827</v>
      </c>
      <c r="H3" t="s">
        <v>14919</v>
      </c>
      <c r="I3" t="s">
        <v>14858</v>
      </c>
      <c r="J3" s="47"/>
      <c r="K3" s="47" t="s">
        <v>16093</v>
      </c>
      <c r="L3" t="s">
        <v>16094</v>
      </c>
      <c r="M3" t="s">
        <v>16114</v>
      </c>
    </row>
    <row r="4" spans="1:23">
      <c r="A4" t="s">
        <v>14921</v>
      </c>
      <c r="B4" t="s">
        <v>14921</v>
      </c>
      <c r="C4" t="s">
        <v>14861</v>
      </c>
      <c r="D4" t="s">
        <v>4310</v>
      </c>
      <c r="F4" t="str">
        <f>Config!$B$7</f>
        <v>SCH/Connector.SchLib</v>
      </c>
      <c r="G4" t="s">
        <v>14827</v>
      </c>
      <c r="H4" t="s">
        <v>14919</v>
      </c>
      <c r="I4" t="s">
        <v>14829</v>
      </c>
      <c r="J4" s="47"/>
      <c r="K4" s="47" t="s">
        <v>16094</v>
      </c>
      <c r="L4" t="s">
        <v>16093</v>
      </c>
      <c r="M4" t="s">
        <v>16114</v>
      </c>
    </row>
    <row r="5" spans="1:23">
      <c r="A5" t="s">
        <v>14922</v>
      </c>
      <c r="B5" t="s">
        <v>14922</v>
      </c>
      <c r="C5" t="s">
        <v>14862</v>
      </c>
      <c r="D5" t="s">
        <v>4310</v>
      </c>
      <c r="F5" t="str">
        <f>Config!$B$7</f>
        <v>SCH/Connector.SchLib</v>
      </c>
      <c r="G5" t="s">
        <v>14827</v>
      </c>
      <c r="H5" t="s">
        <v>14919</v>
      </c>
      <c r="I5" t="s">
        <v>14830</v>
      </c>
      <c r="J5" s="47"/>
      <c r="K5" s="47" t="s">
        <v>16094</v>
      </c>
      <c r="L5" t="s">
        <v>16094</v>
      </c>
      <c r="M5" t="s">
        <v>16114</v>
      </c>
    </row>
    <row r="6" spans="1:23">
      <c r="A6" t="s">
        <v>14923</v>
      </c>
      <c r="B6" t="s">
        <v>14923</v>
      </c>
      <c r="C6" t="s">
        <v>14864</v>
      </c>
      <c r="D6" t="s">
        <v>4310</v>
      </c>
      <c r="F6" t="str">
        <f>Config!$B$7</f>
        <v>SCH/Connector.SchLib</v>
      </c>
      <c r="G6" t="s">
        <v>14827</v>
      </c>
      <c r="H6" t="s">
        <v>14919</v>
      </c>
      <c r="I6" t="s">
        <v>14831</v>
      </c>
      <c r="J6" s="47"/>
      <c r="K6" s="47" t="s">
        <v>16094</v>
      </c>
      <c r="L6" t="s">
        <v>16095</v>
      </c>
      <c r="M6" t="s">
        <v>16114</v>
      </c>
    </row>
    <row r="7" spans="1:23">
      <c r="A7" t="s">
        <v>14924</v>
      </c>
      <c r="B7" t="s">
        <v>14924</v>
      </c>
      <c r="C7" t="s">
        <v>14865</v>
      </c>
      <c r="D7" t="s">
        <v>4310</v>
      </c>
      <c r="F7" t="str">
        <f>Config!$B$7</f>
        <v>SCH/Connector.SchLib</v>
      </c>
      <c r="G7" t="s">
        <v>14827</v>
      </c>
      <c r="H7" t="s">
        <v>14919</v>
      </c>
      <c r="I7" t="s">
        <v>14832</v>
      </c>
      <c r="J7" s="47"/>
      <c r="K7" s="47" t="s">
        <v>16095</v>
      </c>
      <c r="L7" t="s">
        <v>16093</v>
      </c>
      <c r="M7" t="s">
        <v>16114</v>
      </c>
    </row>
    <row r="8" spans="1:23">
      <c r="A8" t="s">
        <v>14925</v>
      </c>
      <c r="B8" t="s">
        <v>14925</v>
      </c>
      <c r="C8" t="s">
        <v>14866</v>
      </c>
      <c r="D8" t="s">
        <v>4310</v>
      </c>
      <c r="F8" t="str">
        <f>Config!$B$7</f>
        <v>SCH/Connector.SchLib</v>
      </c>
      <c r="G8" t="s">
        <v>14827</v>
      </c>
      <c r="H8" t="s">
        <v>14919</v>
      </c>
      <c r="I8" t="s">
        <v>14833</v>
      </c>
      <c r="J8" s="47"/>
      <c r="K8" s="47" t="s">
        <v>16095</v>
      </c>
      <c r="L8" t="s">
        <v>16094</v>
      </c>
      <c r="M8" t="s">
        <v>16114</v>
      </c>
    </row>
    <row r="9" spans="1:23">
      <c r="A9" t="s">
        <v>14926</v>
      </c>
      <c r="B9" t="s">
        <v>14926</v>
      </c>
      <c r="C9" t="s">
        <v>14867</v>
      </c>
      <c r="D9" t="s">
        <v>4310</v>
      </c>
      <c r="F9" t="str">
        <f>Config!$B$7</f>
        <v>SCH/Connector.SchLib</v>
      </c>
      <c r="G9" t="s">
        <v>14827</v>
      </c>
      <c r="H9" t="s">
        <v>14919</v>
      </c>
      <c r="I9" t="s">
        <v>14834</v>
      </c>
      <c r="J9" s="47"/>
      <c r="K9" s="47" t="s">
        <v>16095</v>
      </c>
      <c r="L9" t="s">
        <v>16095</v>
      </c>
      <c r="M9" t="s">
        <v>16114</v>
      </c>
    </row>
    <row r="10" spans="1:23">
      <c r="A10" t="s">
        <v>14927</v>
      </c>
      <c r="B10" t="s">
        <v>14927</v>
      </c>
      <c r="C10" t="s">
        <v>14868</v>
      </c>
      <c r="D10" t="s">
        <v>4310</v>
      </c>
      <c r="F10" t="str">
        <f>Config!$B$7</f>
        <v>SCH/Connector.SchLib</v>
      </c>
      <c r="G10" t="s">
        <v>14827</v>
      </c>
      <c r="H10" t="s">
        <v>14919</v>
      </c>
      <c r="I10" t="s">
        <v>14835</v>
      </c>
      <c r="J10" s="47"/>
      <c r="K10" s="47" t="s">
        <v>16095</v>
      </c>
      <c r="L10" t="s">
        <v>16097</v>
      </c>
      <c r="M10" t="s">
        <v>16114</v>
      </c>
    </row>
    <row r="11" spans="1:23">
      <c r="A11" t="s">
        <v>14928</v>
      </c>
      <c r="B11" t="s">
        <v>14928</v>
      </c>
      <c r="C11" t="s">
        <v>14869</v>
      </c>
      <c r="D11" t="s">
        <v>4310</v>
      </c>
      <c r="F11" t="str">
        <f>Config!$B$7</f>
        <v>SCH/Connector.SchLib</v>
      </c>
      <c r="G11" t="s">
        <v>14827</v>
      </c>
      <c r="H11" t="s">
        <v>14919</v>
      </c>
      <c r="I11" t="s">
        <v>14836</v>
      </c>
      <c r="J11" s="47"/>
      <c r="K11" s="47" t="s">
        <v>16096</v>
      </c>
      <c r="L11" t="s">
        <v>16104</v>
      </c>
      <c r="M11" t="s">
        <v>16114</v>
      </c>
    </row>
    <row r="12" spans="1:23">
      <c r="A12" t="s">
        <v>14929</v>
      </c>
      <c r="B12" t="s">
        <v>14929</v>
      </c>
      <c r="C12" t="s">
        <v>14863</v>
      </c>
      <c r="D12" t="s">
        <v>4310</v>
      </c>
      <c r="F12" t="str">
        <f>Config!$B$7</f>
        <v>SCH/Connector.SchLib</v>
      </c>
      <c r="G12" t="s">
        <v>14827</v>
      </c>
      <c r="H12" t="s">
        <v>14919</v>
      </c>
      <c r="I12" t="s">
        <v>14837</v>
      </c>
      <c r="J12" s="47"/>
      <c r="K12" s="47" t="s">
        <v>16096</v>
      </c>
      <c r="L12" t="s">
        <v>16096</v>
      </c>
      <c r="M12" t="s">
        <v>16114</v>
      </c>
    </row>
    <row r="13" spans="1:23">
      <c r="A13" t="s">
        <v>14930</v>
      </c>
      <c r="B13" t="s">
        <v>14930</v>
      </c>
      <c r="C13" t="s">
        <v>14870</v>
      </c>
      <c r="D13" t="s">
        <v>4310</v>
      </c>
      <c r="F13" t="str">
        <f>Config!$B$7</f>
        <v>SCH/Connector.SchLib</v>
      </c>
      <c r="G13" t="s">
        <v>14827</v>
      </c>
      <c r="H13" t="s">
        <v>14919</v>
      </c>
      <c r="I13" t="s">
        <v>14838</v>
      </c>
      <c r="J13" s="47"/>
      <c r="K13" s="47" t="s">
        <v>16096</v>
      </c>
      <c r="L13" t="s">
        <v>16098</v>
      </c>
      <c r="M13" t="s">
        <v>16114</v>
      </c>
    </row>
    <row r="14" spans="1:23">
      <c r="A14" t="s">
        <v>14931</v>
      </c>
      <c r="B14" t="s">
        <v>14931</v>
      </c>
      <c r="C14" t="s">
        <v>14871</v>
      </c>
      <c r="D14" t="s">
        <v>4310</v>
      </c>
      <c r="F14" t="str">
        <f>Config!$B$7</f>
        <v>SCH/Connector.SchLib</v>
      </c>
      <c r="G14" t="s">
        <v>14827</v>
      </c>
      <c r="H14" t="s">
        <v>14919</v>
      </c>
      <c r="I14" t="s">
        <v>14839</v>
      </c>
      <c r="J14" s="47"/>
      <c r="K14" s="47" t="s">
        <v>16097</v>
      </c>
      <c r="L14" t="s">
        <v>16094</v>
      </c>
      <c r="M14" t="s">
        <v>16114</v>
      </c>
    </row>
    <row r="15" spans="1:23">
      <c r="A15" t="s">
        <v>14932</v>
      </c>
      <c r="B15" t="s">
        <v>14932</v>
      </c>
      <c r="C15" t="s">
        <v>14872</v>
      </c>
      <c r="D15" t="s">
        <v>4310</v>
      </c>
      <c r="F15" t="str">
        <f>Config!$B$7</f>
        <v>SCH/Connector.SchLib</v>
      </c>
      <c r="G15" t="s">
        <v>14827</v>
      </c>
      <c r="H15" t="s">
        <v>14919</v>
      </c>
      <c r="I15" t="s">
        <v>14840</v>
      </c>
      <c r="J15" s="47"/>
      <c r="K15" s="47" t="s">
        <v>16097</v>
      </c>
      <c r="L15" t="s">
        <v>16095</v>
      </c>
      <c r="M15" t="s">
        <v>16114</v>
      </c>
    </row>
    <row r="16" spans="1:23">
      <c r="A16" t="s">
        <v>14933</v>
      </c>
      <c r="B16" t="s">
        <v>14933</v>
      </c>
      <c r="C16" t="s">
        <v>14873</v>
      </c>
      <c r="D16" t="s">
        <v>4310</v>
      </c>
      <c r="F16" t="str">
        <f>Config!$B$7</f>
        <v>SCH/Connector.SchLib</v>
      </c>
      <c r="G16" t="s">
        <v>14827</v>
      </c>
      <c r="H16" t="s">
        <v>14919</v>
      </c>
      <c r="I16" t="s">
        <v>14841</v>
      </c>
      <c r="J16" s="47"/>
      <c r="K16" s="47" t="s">
        <v>16097</v>
      </c>
      <c r="L16" t="s">
        <v>16097</v>
      </c>
      <c r="M16" t="s">
        <v>16114</v>
      </c>
    </row>
    <row r="17" spans="1:13">
      <c r="A17" t="s">
        <v>14934</v>
      </c>
      <c r="B17" t="s">
        <v>14934</v>
      </c>
      <c r="C17" t="s">
        <v>14874</v>
      </c>
      <c r="D17" t="s">
        <v>4310</v>
      </c>
      <c r="F17" t="str">
        <f>Config!$B$7</f>
        <v>SCH/Connector.SchLib</v>
      </c>
      <c r="G17" t="s">
        <v>14827</v>
      </c>
      <c r="H17" t="s">
        <v>14919</v>
      </c>
      <c r="I17" t="s">
        <v>14842</v>
      </c>
      <c r="J17" s="47"/>
      <c r="K17" s="47" t="s">
        <v>16097</v>
      </c>
      <c r="L17" t="s">
        <v>16099</v>
      </c>
      <c r="M17" t="s">
        <v>16114</v>
      </c>
    </row>
    <row r="18" spans="1:13">
      <c r="A18" t="s">
        <v>14935</v>
      </c>
      <c r="B18" t="s">
        <v>14935</v>
      </c>
      <c r="C18" t="s">
        <v>14875</v>
      </c>
      <c r="D18" t="s">
        <v>4310</v>
      </c>
      <c r="F18" t="str">
        <f>Config!$B$7</f>
        <v>SCH/Connector.SchLib</v>
      </c>
      <c r="G18" t="s">
        <v>14827</v>
      </c>
      <c r="H18" t="s">
        <v>14919</v>
      </c>
      <c r="I18" t="s">
        <v>14843</v>
      </c>
      <c r="J18" s="47"/>
      <c r="K18" s="47" t="s">
        <v>16098</v>
      </c>
      <c r="L18" t="s">
        <v>16104</v>
      </c>
      <c r="M18" t="s">
        <v>16114</v>
      </c>
    </row>
    <row r="19" spans="1:13">
      <c r="A19" t="s">
        <v>14936</v>
      </c>
      <c r="B19" t="s">
        <v>14936</v>
      </c>
      <c r="C19" t="s">
        <v>14876</v>
      </c>
      <c r="D19" t="s">
        <v>4310</v>
      </c>
      <c r="F19" t="str">
        <f>Config!$B$7</f>
        <v>SCH/Connector.SchLib</v>
      </c>
      <c r="G19" t="s">
        <v>14827</v>
      </c>
      <c r="H19" t="s">
        <v>14919</v>
      </c>
      <c r="I19" t="s">
        <v>14844</v>
      </c>
      <c r="J19" s="47"/>
      <c r="K19" s="47" t="s">
        <v>16098</v>
      </c>
      <c r="L19" t="s">
        <v>16096</v>
      </c>
      <c r="M19" t="s">
        <v>16114</v>
      </c>
    </row>
    <row r="20" spans="1:13">
      <c r="A20" t="s">
        <v>14937</v>
      </c>
      <c r="B20" t="s">
        <v>14937</v>
      </c>
      <c r="C20" t="s">
        <v>14877</v>
      </c>
      <c r="D20" t="s">
        <v>4310</v>
      </c>
      <c r="F20" t="str">
        <f>Config!$B$7</f>
        <v>SCH/Connector.SchLib</v>
      </c>
      <c r="G20" t="s">
        <v>14827</v>
      </c>
      <c r="H20" t="s">
        <v>14919</v>
      </c>
      <c r="I20" t="s">
        <v>14845</v>
      </c>
      <c r="J20" s="47"/>
      <c r="K20" s="47" t="s">
        <v>16098</v>
      </c>
      <c r="L20" t="s">
        <v>16098</v>
      </c>
      <c r="M20" t="s">
        <v>16114</v>
      </c>
    </row>
    <row r="21" spans="1:13">
      <c r="A21" t="s">
        <v>14938</v>
      </c>
      <c r="B21" t="s">
        <v>14938</v>
      </c>
      <c r="C21" t="s">
        <v>14878</v>
      </c>
      <c r="D21" t="s">
        <v>4310</v>
      </c>
      <c r="F21" t="str">
        <f>Config!$B$7</f>
        <v>SCH/Connector.SchLib</v>
      </c>
      <c r="G21" t="s">
        <v>14827</v>
      </c>
      <c r="H21" t="s">
        <v>14919</v>
      </c>
      <c r="I21" t="s">
        <v>14846</v>
      </c>
      <c r="J21" s="47"/>
      <c r="K21" s="47" t="s">
        <v>16098</v>
      </c>
      <c r="L21" t="s">
        <v>16101</v>
      </c>
      <c r="M21" t="s">
        <v>16114</v>
      </c>
    </row>
    <row r="22" spans="1:13">
      <c r="A22" t="s">
        <v>14939</v>
      </c>
      <c r="B22" t="s">
        <v>14939</v>
      </c>
      <c r="C22" t="s">
        <v>14879</v>
      </c>
      <c r="D22" t="s">
        <v>4310</v>
      </c>
      <c r="F22" t="str">
        <f>Config!$B$7</f>
        <v>SCH/Connector.SchLib</v>
      </c>
      <c r="G22" t="s">
        <v>14827</v>
      </c>
      <c r="H22" t="s">
        <v>14919</v>
      </c>
      <c r="I22" t="s">
        <v>14847</v>
      </c>
      <c r="J22" s="47"/>
      <c r="K22" s="47" t="s">
        <v>16099</v>
      </c>
      <c r="L22" t="s">
        <v>16105</v>
      </c>
      <c r="M22" t="s">
        <v>16114</v>
      </c>
    </row>
    <row r="23" spans="1:13">
      <c r="A23" t="s">
        <v>14940</v>
      </c>
      <c r="B23" t="s">
        <v>14940</v>
      </c>
      <c r="C23" t="s">
        <v>14880</v>
      </c>
      <c r="D23" t="s">
        <v>4310</v>
      </c>
      <c r="F23" t="str">
        <f>Config!$B$7</f>
        <v>SCH/Connector.SchLib</v>
      </c>
      <c r="G23" t="s">
        <v>14827</v>
      </c>
      <c r="H23" t="s">
        <v>14919</v>
      </c>
      <c r="I23" t="s">
        <v>14848</v>
      </c>
      <c r="J23" s="47"/>
      <c r="K23" s="47" t="s">
        <v>16099</v>
      </c>
      <c r="L23" t="s">
        <v>16095</v>
      </c>
      <c r="M23" t="s">
        <v>16114</v>
      </c>
    </row>
    <row r="24" spans="1:13">
      <c r="A24" t="s">
        <v>14941</v>
      </c>
      <c r="B24" t="s">
        <v>14941</v>
      </c>
      <c r="C24" t="s">
        <v>14881</v>
      </c>
      <c r="D24" t="s">
        <v>4310</v>
      </c>
      <c r="F24" t="str">
        <f>Config!$B$7</f>
        <v>SCH/Connector.SchLib</v>
      </c>
      <c r="G24" t="s">
        <v>14827</v>
      </c>
      <c r="H24" t="s">
        <v>14919</v>
      </c>
      <c r="I24" t="s">
        <v>14849</v>
      </c>
      <c r="J24" s="47"/>
      <c r="K24" s="47" t="s">
        <v>16099</v>
      </c>
      <c r="L24" t="s">
        <v>16097</v>
      </c>
      <c r="M24" t="s">
        <v>16114</v>
      </c>
    </row>
    <row r="25" spans="1:13">
      <c r="A25" t="s">
        <v>14942</v>
      </c>
      <c r="B25" t="s">
        <v>14942</v>
      </c>
      <c r="C25" t="s">
        <v>14882</v>
      </c>
      <c r="D25" t="s">
        <v>4310</v>
      </c>
      <c r="F25" t="str">
        <f>Config!$B$7</f>
        <v>SCH/Connector.SchLib</v>
      </c>
      <c r="G25" t="s">
        <v>14827</v>
      </c>
      <c r="H25" t="s">
        <v>14919</v>
      </c>
      <c r="I25" t="s">
        <v>14850</v>
      </c>
      <c r="J25" s="47"/>
      <c r="K25" s="47" t="s">
        <v>16099</v>
      </c>
      <c r="L25" t="s">
        <v>16099</v>
      </c>
      <c r="M25" t="s">
        <v>16114</v>
      </c>
    </row>
    <row r="26" spans="1:13">
      <c r="A26" t="s">
        <v>14943</v>
      </c>
      <c r="B26" t="s">
        <v>14943</v>
      </c>
      <c r="C26" t="s">
        <v>14883</v>
      </c>
      <c r="D26" t="s">
        <v>4310</v>
      </c>
      <c r="F26" t="str">
        <f>Config!$B$7</f>
        <v>SCH/Connector.SchLib</v>
      </c>
      <c r="G26" t="s">
        <v>14827</v>
      </c>
      <c r="H26" t="s">
        <v>14919</v>
      </c>
      <c r="I26" t="s">
        <v>14851</v>
      </c>
      <c r="J26" s="47"/>
      <c r="K26" s="47" t="s">
        <v>16099</v>
      </c>
      <c r="L26" t="s">
        <v>16102</v>
      </c>
      <c r="M26" t="s">
        <v>16114</v>
      </c>
    </row>
    <row r="27" spans="1:13">
      <c r="A27" t="s">
        <v>14944</v>
      </c>
      <c r="B27" t="s">
        <v>14944</v>
      </c>
      <c r="C27" t="s">
        <v>14884</v>
      </c>
      <c r="D27" t="s">
        <v>4310</v>
      </c>
      <c r="F27" t="str">
        <f>Config!$B$7</f>
        <v>SCH/Connector.SchLib</v>
      </c>
      <c r="G27" t="s">
        <v>14827</v>
      </c>
      <c r="H27" t="s">
        <v>14919</v>
      </c>
      <c r="I27" t="s">
        <v>14852</v>
      </c>
      <c r="J27" s="47"/>
      <c r="K27" s="47" t="s">
        <v>16100</v>
      </c>
      <c r="L27" t="s">
        <v>16094</v>
      </c>
      <c r="M27" t="s">
        <v>16114</v>
      </c>
    </row>
    <row r="28" spans="1:13">
      <c r="A28" t="s">
        <v>15592</v>
      </c>
      <c r="B28" t="s">
        <v>15592</v>
      </c>
      <c r="C28" t="s">
        <v>15591</v>
      </c>
      <c r="D28" t="s">
        <v>4310</v>
      </c>
      <c r="F28" t="str">
        <f>Config!$B$7</f>
        <v>SCH/Connector.SchLib</v>
      </c>
      <c r="G28" t="s">
        <v>14827</v>
      </c>
      <c r="H28" t="s">
        <v>14919</v>
      </c>
      <c r="I28" t="s">
        <v>15590</v>
      </c>
      <c r="J28" s="47"/>
      <c r="K28" s="47" t="s">
        <v>16100</v>
      </c>
      <c r="L28" t="s">
        <v>16095</v>
      </c>
      <c r="M28" t="s">
        <v>16114</v>
      </c>
    </row>
    <row r="29" spans="1:13">
      <c r="A29" t="s">
        <v>14945</v>
      </c>
      <c r="B29" t="s">
        <v>14945</v>
      </c>
      <c r="C29" t="s">
        <v>14885</v>
      </c>
      <c r="D29" t="s">
        <v>4310</v>
      </c>
      <c r="F29" t="str">
        <f>Config!$B$7</f>
        <v>SCH/Connector.SchLib</v>
      </c>
      <c r="G29" t="s">
        <v>14827</v>
      </c>
      <c r="H29" t="s">
        <v>14919</v>
      </c>
      <c r="I29" t="s">
        <v>14853</v>
      </c>
      <c r="J29" s="47"/>
      <c r="K29" s="47" t="s">
        <v>16100</v>
      </c>
      <c r="L29" t="s">
        <v>16106</v>
      </c>
      <c r="M29" t="s">
        <v>16114</v>
      </c>
    </row>
    <row r="30" spans="1:13">
      <c r="A30" t="s">
        <v>14946</v>
      </c>
      <c r="B30" t="s">
        <v>14946</v>
      </c>
      <c r="C30" t="s">
        <v>14886</v>
      </c>
      <c r="D30" t="s">
        <v>4310</v>
      </c>
      <c r="F30" t="str">
        <f>Config!$B$7</f>
        <v>SCH/Connector.SchLib</v>
      </c>
      <c r="G30" t="s">
        <v>14827</v>
      </c>
      <c r="H30" t="s">
        <v>14919</v>
      </c>
      <c r="I30" t="s">
        <v>14854</v>
      </c>
      <c r="J30" s="47"/>
      <c r="K30" s="47" t="s">
        <v>16100</v>
      </c>
      <c r="L30" t="s">
        <v>16107</v>
      </c>
      <c r="M30" t="s">
        <v>16114</v>
      </c>
    </row>
    <row r="31" spans="1:13">
      <c r="A31" t="s">
        <v>14947</v>
      </c>
      <c r="B31" t="s">
        <v>14947</v>
      </c>
      <c r="C31" t="s">
        <v>14887</v>
      </c>
      <c r="D31" t="s">
        <v>4310</v>
      </c>
      <c r="F31" t="str">
        <f>Config!$B$7</f>
        <v>SCH/Connector.SchLib</v>
      </c>
      <c r="G31" t="s">
        <v>14827</v>
      </c>
      <c r="H31" t="s">
        <v>14919</v>
      </c>
      <c r="I31" t="s">
        <v>14855</v>
      </c>
      <c r="J31" s="47"/>
      <c r="K31" s="47" t="s">
        <v>16100</v>
      </c>
      <c r="L31" t="s">
        <v>16100</v>
      </c>
      <c r="M31" t="s">
        <v>16114</v>
      </c>
    </row>
    <row r="32" spans="1:13">
      <c r="A32" t="s">
        <v>14948</v>
      </c>
      <c r="B32" t="s">
        <v>14948</v>
      </c>
      <c r="C32" t="s">
        <v>14888</v>
      </c>
      <c r="D32" t="s">
        <v>4310</v>
      </c>
      <c r="F32" t="str">
        <f>Config!$B$7</f>
        <v>SCH/Connector.SchLib</v>
      </c>
      <c r="G32" t="s">
        <v>14827</v>
      </c>
      <c r="H32" t="s">
        <v>14919</v>
      </c>
      <c r="I32" t="s">
        <v>14856</v>
      </c>
      <c r="J32" s="47"/>
      <c r="K32" s="47" t="s">
        <v>16100</v>
      </c>
      <c r="L32" t="s">
        <v>16108</v>
      </c>
      <c r="M32" t="s">
        <v>16114</v>
      </c>
    </row>
    <row r="33" spans="1:13">
      <c r="A33" t="s">
        <v>15615</v>
      </c>
      <c r="B33" t="s">
        <v>15615</v>
      </c>
      <c r="C33" t="s">
        <v>15631</v>
      </c>
      <c r="D33" t="s">
        <v>4310</v>
      </c>
      <c r="F33" t="str">
        <f>Config!$B$7</f>
        <v>SCH/Connector.SchLib</v>
      </c>
      <c r="G33" t="s">
        <v>14827</v>
      </c>
      <c r="H33" t="s">
        <v>14919</v>
      </c>
      <c r="I33" t="s">
        <v>15593</v>
      </c>
      <c r="J33" s="47"/>
      <c r="K33" s="47" t="s">
        <v>16101</v>
      </c>
      <c r="L33" t="s">
        <v>16109</v>
      </c>
      <c r="M33" t="s">
        <v>16114</v>
      </c>
    </row>
    <row r="34" spans="1:13">
      <c r="A34" t="s">
        <v>15612</v>
      </c>
      <c r="B34" t="s">
        <v>15612</v>
      </c>
      <c r="C34" t="s">
        <v>15632</v>
      </c>
      <c r="D34" t="s">
        <v>4310</v>
      </c>
      <c r="F34" t="str">
        <f>Config!$B$7</f>
        <v>SCH/Connector.SchLib</v>
      </c>
      <c r="G34" t="s">
        <v>14827</v>
      </c>
      <c r="H34" t="s">
        <v>14919</v>
      </c>
      <c r="I34" t="s">
        <v>15594</v>
      </c>
      <c r="J34" s="47"/>
      <c r="K34" s="47" t="s">
        <v>16101</v>
      </c>
      <c r="L34" t="s">
        <v>16095</v>
      </c>
      <c r="M34" t="s">
        <v>16114</v>
      </c>
    </row>
    <row r="35" spans="1:13">
      <c r="A35" t="s">
        <v>15616</v>
      </c>
      <c r="B35" t="s">
        <v>15616</v>
      </c>
      <c r="C35" t="s">
        <v>15633</v>
      </c>
      <c r="D35" t="s">
        <v>4310</v>
      </c>
      <c r="F35" t="str">
        <f>Config!$B$7</f>
        <v>SCH/Connector.SchLib</v>
      </c>
      <c r="G35" t="s">
        <v>14827</v>
      </c>
      <c r="H35" t="s">
        <v>14919</v>
      </c>
      <c r="I35" t="s">
        <v>15595</v>
      </c>
      <c r="J35" s="47"/>
      <c r="K35" s="47" t="s">
        <v>16101</v>
      </c>
      <c r="L35" t="s">
        <v>16096</v>
      </c>
      <c r="M35" t="s">
        <v>16114</v>
      </c>
    </row>
    <row r="36" spans="1:13">
      <c r="A36" t="s">
        <v>15617</v>
      </c>
      <c r="B36" t="s">
        <v>15617</v>
      </c>
      <c r="C36" t="s">
        <v>15634</v>
      </c>
      <c r="D36" t="s">
        <v>4310</v>
      </c>
      <c r="F36" t="str">
        <f>Config!$B$7</f>
        <v>SCH/Connector.SchLib</v>
      </c>
      <c r="G36" t="s">
        <v>14827</v>
      </c>
      <c r="H36" t="s">
        <v>14919</v>
      </c>
      <c r="I36" t="s">
        <v>15596</v>
      </c>
      <c r="J36" s="47"/>
      <c r="K36" s="47" t="s">
        <v>16101</v>
      </c>
      <c r="L36" t="s">
        <v>16098</v>
      </c>
      <c r="M36" t="s">
        <v>16114</v>
      </c>
    </row>
    <row r="37" spans="1:13">
      <c r="A37" t="s">
        <v>15618</v>
      </c>
      <c r="B37" t="s">
        <v>15618</v>
      </c>
      <c r="C37" t="s">
        <v>15635</v>
      </c>
      <c r="D37" t="s">
        <v>4310</v>
      </c>
      <c r="F37" t="str">
        <f>Config!$B$7</f>
        <v>SCH/Connector.SchLib</v>
      </c>
      <c r="G37" t="s">
        <v>14827</v>
      </c>
      <c r="H37" t="s">
        <v>14919</v>
      </c>
      <c r="I37" t="s">
        <v>15597</v>
      </c>
      <c r="J37" s="47"/>
      <c r="K37" s="47" t="s">
        <v>16101</v>
      </c>
      <c r="L37" t="s">
        <v>16101</v>
      </c>
      <c r="M37" t="s">
        <v>16114</v>
      </c>
    </row>
    <row r="38" spans="1:13">
      <c r="A38" t="s">
        <v>15619</v>
      </c>
      <c r="B38" t="s">
        <v>15619</v>
      </c>
      <c r="C38" t="s">
        <v>15636</v>
      </c>
      <c r="D38" t="s">
        <v>4310</v>
      </c>
      <c r="F38" t="str">
        <f>Config!$B$7</f>
        <v>SCH/Connector.SchLib</v>
      </c>
      <c r="G38" t="s">
        <v>14827</v>
      </c>
      <c r="H38" t="s">
        <v>14919</v>
      </c>
      <c r="I38" t="s">
        <v>15598</v>
      </c>
      <c r="J38" s="47"/>
      <c r="K38" s="47" t="s">
        <v>16101</v>
      </c>
      <c r="L38" t="s">
        <v>16110</v>
      </c>
      <c r="M38" t="s">
        <v>16114</v>
      </c>
    </row>
    <row r="39" spans="1:13">
      <c r="A39" t="s">
        <v>15620</v>
      </c>
      <c r="B39" t="s">
        <v>15620</v>
      </c>
      <c r="C39" t="s">
        <v>15637</v>
      </c>
      <c r="D39" t="s">
        <v>4310</v>
      </c>
      <c r="F39" t="str">
        <f>Config!$B$7</f>
        <v>SCH/Connector.SchLib</v>
      </c>
      <c r="G39" t="s">
        <v>14827</v>
      </c>
      <c r="H39" t="s">
        <v>14919</v>
      </c>
      <c r="I39" t="s">
        <v>15599</v>
      </c>
      <c r="J39" s="47"/>
      <c r="K39" s="47" t="s">
        <v>16102</v>
      </c>
      <c r="L39" t="s">
        <v>16094</v>
      </c>
      <c r="M39" t="s">
        <v>16114</v>
      </c>
    </row>
    <row r="40" spans="1:13">
      <c r="A40" t="s">
        <v>15621</v>
      </c>
      <c r="B40" t="s">
        <v>15621</v>
      </c>
      <c r="C40" t="s">
        <v>15638</v>
      </c>
      <c r="D40" t="s">
        <v>4310</v>
      </c>
      <c r="F40" t="str">
        <f>Config!$B$7</f>
        <v>SCH/Connector.SchLib</v>
      </c>
      <c r="G40" t="s">
        <v>14827</v>
      </c>
      <c r="H40" t="s">
        <v>14919</v>
      </c>
      <c r="I40" t="s">
        <v>15600</v>
      </c>
      <c r="J40" s="47"/>
      <c r="K40" s="47" t="s">
        <v>16102</v>
      </c>
      <c r="L40" t="s">
        <v>16111</v>
      </c>
      <c r="M40" t="s">
        <v>16114</v>
      </c>
    </row>
    <row r="41" spans="1:13">
      <c r="A41" t="s">
        <v>15613</v>
      </c>
      <c r="B41" t="s">
        <v>15613</v>
      </c>
      <c r="C41" t="s">
        <v>15639</v>
      </c>
      <c r="D41" t="s">
        <v>4310</v>
      </c>
      <c r="F41" t="str">
        <f>Config!$B$7</f>
        <v>SCH/Connector.SchLib</v>
      </c>
      <c r="G41" t="s">
        <v>14827</v>
      </c>
      <c r="H41" t="s">
        <v>14919</v>
      </c>
      <c r="I41" t="s">
        <v>15601</v>
      </c>
      <c r="J41" s="47"/>
      <c r="K41" s="47" t="s">
        <v>16102</v>
      </c>
      <c r="L41" t="s">
        <v>16095</v>
      </c>
      <c r="M41" t="s">
        <v>16114</v>
      </c>
    </row>
    <row r="42" spans="1:13">
      <c r="A42" t="s">
        <v>15622</v>
      </c>
      <c r="B42" t="s">
        <v>15622</v>
      </c>
      <c r="C42" t="s">
        <v>15640</v>
      </c>
      <c r="D42" t="s">
        <v>4310</v>
      </c>
      <c r="F42" t="str">
        <f>Config!$B$7</f>
        <v>SCH/Connector.SchLib</v>
      </c>
      <c r="G42" t="s">
        <v>14827</v>
      </c>
      <c r="H42" t="s">
        <v>14919</v>
      </c>
      <c r="I42" t="s">
        <v>15602</v>
      </c>
      <c r="J42" s="47"/>
      <c r="K42" s="47" t="s">
        <v>16102</v>
      </c>
      <c r="L42" t="s">
        <v>16097</v>
      </c>
      <c r="M42" t="s">
        <v>16114</v>
      </c>
    </row>
    <row r="43" spans="1:13">
      <c r="A43" t="s">
        <v>15623</v>
      </c>
      <c r="B43" t="s">
        <v>15623</v>
      </c>
      <c r="C43" t="s">
        <v>15641</v>
      </c>
      <c r="D43" t="s">
        <v>4310</v>
      </c>
      <c r="F43" t="str">
        <f>Config!$B$7</f>
        <v>SCH/Connector.SchLib</v>
      </c>
      <c r="G43" t="s">
        <v>14827</v>
      </c>
      <c r="H43" t="s">
        <v>14919</v>
      </c>
      <c r="I43" t="s">
        <v>15603</v>
      </c>
      <c r="J43" s="47"/>
      <c r="K43" s="47" t="s">
        <v>16102</v>
      </c>
      <c r="L43" t="s">
        <v>16099</v>
      </c>
      <c r="M43" t="s">
        <v>16114</v>
      </c>
    </row>
    <row r="44" spans="1:13">
      <c r="A44" t="s">
        <v>15624</v>
      </c>
      <c r="B44" t="s">
        <v>15624</v>
      </c>
      <c r="C44" t="s">
        <v>15642</v>
      </c>
      <c r="D44" t="s">
        <v>4310</v>
      </c>
      <c r="F44" t="str">
        <f>Config!$B$7</f>
        <v>SCH/Connector.SchLib</v>
      </c>
      <c r="G44" t="s">
        <v>14827</v>
      </c>
      <c r="H44" t="s">
        <v>14919</v>
      </c>
      <c r="I44" t="s">
        <v>15604</v>
      </c>
      <c r="J44" s="47"/>
      <c r="K44" s="47" t="s">
        <v>16102</v>
      </c>
      <c r="L44" t="s">
        <v>16102</v>
      </c>
      <c r="M44" t="s">
        <v>16114</v>
      </c>
    </row>
    <row r="45" spans="1:13">
      <c r="A45" t="s">
        <v>15625</v>
      </c>
      <c r="B45" t="s">
        <v>15625</v>
      </c>
      <c r="C45" t="s">
        <v>15643</v>
      </c>
      <c r="D45" t="s">
        <v>4310</v>
      </c>
      <c r="F45" t="str">
        <f>Config!$B$7</f>
        <v>SCH/Connector.SchLib</v>
      </c>
      <c r="G45" t="s">
        <v>14827</v>
      </c>
      <c r="H45" t="s">
        <v>14919</v>
      </c>
      <c r="I45" t="s">
        <v>15605</v>
      </c>
      <c r="J45" s="47"/>
      <c r="K45" s="47" t="s">
        <v>16102</v>
      </c>
      <c r="L45" t="s">
        <v>16112</v>
      </c>
      <c r="M45" t="s">
        <v>16114</v>
      </c>
    </row>
    <row r="46" spans="1:13">
      <c r="A46" t="s">
        <v>15626</v>
      </c>
      <c r="B46" t="s">
        <v>15626</v>
      </c>
      <c r="C46" t="s">
        <v>15644</v>
      </c>
      <c r="D46" t="s">
        <v>4310</v>
      </c>
      <c r="F46" t="str">
        <f>Config!$B$7</f>
        <v>SCH/Connector.SchLib</v>
      </c>
      <c r="G46" t="s">
        <v>14827</v>
      </c>
      <c r="H46" t="s">
        <v>14919</v>
      </c>
      <c r="I46" t="s">
        <v>15606</v>
      </c>
      <c r="J46" s="47"/>
      <c r="K46" s="47" t="s">
        <v>16103</v>
      </c>
      <c r="L46" t="s">
        <v>16094</v>
      </c>
      <c r="M46" t="s">
        <v>16114</v>
      </c>
    </row>
    <row r="47" spans="1:13">
      <c r="A47" t="s">
        <v>15614</v>
      </c>
      <c r="B47" t="s">
        <v>15614</v>
      </c>
      <c r="C47" t="s">
        <v>15645</v>
      </c>
      <c r="D47" t="s">
        <v>4310</v>
      </c>
      <c r="F47" t="str">
        <f>Config!$B$7</f>
        <v>SCH/Connector.SchLib</v>
      </c>
      <c r="G47" t="s">
        <v>14827</v>
      </c>
      <c r="H47" t="s">
        <v>14919</v>
      </c>
      <c r="I47" t="s">
        <v>15607</v>
      </c>
      <c r="J47" s="47"/>
      <c r="K47" s="47" t="s">
        <v>16103</v>
      </c>
      <c r="L47" t="s">
        <v>16095</v>
      </c>
      <c r="M47" t="s">
        <v>16114</v>
      </c>
    </row>
    <row r="48" spans="1:13">
      <c r="A48" t="s">
        <v>15627</v>
      </c>
      <c r="B48" t="s">
        <v>15627</v>
      </c>
      <c r="C48" t="s">
        <v>15646</v>
      </c>
      <c r="D48" t="s">
        <v>4310</v>
      </c>
      <c r="F48" t="str">
        <f>Config!$B$7</f>
        <v>SCH/Connector.SchLib</v>
      </c>
      <c r="G48" t="s">
        <v>14827</v>
      </c>
      <c r="H48" t="s">
        <v>14919</v>
      </c>
      <c r="I48" t="s">
        <v>15608</v>
      </c>
      <c r="J48" s="47"/>
      <c r="K48" s="47" t="s">
        <v>16103</v>
      </c>
      <c r="L48" t="s">
        <v>16107</v>
      </c>
      <c r="M48" t="s">
        <v>16114</v>
      </c>
    </row>
    <row r="49" spans="1:13">
      <c r="A49" t="s">
        <v>15628</v>
      </c>
      <c r="B49" t="s">
        <v>15628</v>
      </c>
      <c r="C49" t="s">
        <v>15647</v>
      </c>
      <c r="D49" t="s">
        <v>4310</v>
      </c>
      <c r="F49" t="str">
        <f>Config!$B$7</f>
        <v>SCH/Connector.SchLib</v>
      </c>
      <c r="G49" t="s">
        <v>14827</v>
      </c>
      <c r="H49" t="s">
        <v>14919</v>
      </c>
      <c r="I49" t="s">
        <v>15609</v>
      </c>
      <c r="J49" s="47"/>
      <c r="K49" s="47" t="s">
        <v>16103</v>
      </c>
      <c r="L49" t="s">
        <v>16100</v>
      </c>
      <c r="M49" t="s">
        <v>16114</v>
      </c>
    </row>
    <row r="50" spans="1:13">
      <c r="A50" t="s">
        <v>15629</v>
      </c>
      <c r="B50" t="s">
        <v>15629</v>
      </c>
      <c r="C50" t="s">
        <v>15648</v>
      </c>
      <c r="D50" t="s">
        <v>4310</v>
      </c>
      <c r="F50" t="str">
        <f>Config!$B$7</f>
        <v>SCH/Connector.SchLib</v>
      </c>
      <c r="G50" t="s">
        <v>14827</v>
      </c>
      <c r="H50" t="s">
        <v>14919</v>
      </c>
      <c r="I50" t="s">
        <v>15610</v>
      </c>
      <c r="J50" s="47"/>
      <c r="K50" s="47" t="s">
        <v>16103</v>
      </c>
      <c r="L50" t="s">
        <v>16108</v>
      </c>
      <c r="M50" t="s">
        <v>16114</v>
      </c>
    </row>
    <row r="51" spans="1:13">
      <c r="A51" t="s">
        <v>15630</v>
      </c>
      <c r="B51" t="s">
        <v>15630</v>
      </c>
      <c r="C51" t="s">
        <v>15649</v>
      </c>
      <c r="D51" t="s">
        <v>4310</v>
      </c>
      <c r="F51" t="str">
        <f>Config!$B$7</f>
        <v>SCH/Connector.SchLib</v>
      </c>
      <c r="G51" t="s">
        <v>14827</v>
      </c>
      <c r="H51" t="s">
        <v>14919</v>
      </c>
      <c r="I51" t="s">
        <v>15611</v>
      </c>
      <c r="J51" s="47"/>
      <c r="K51" s="47" t="s">
        <v>16103</v>
      </c>
      <c r="L51" t="s">
        <v>16113</v>
      </c>
      <c r="M51" t="s">
        <v>16114</v>
      </c>
    </row>
    <row r="52" spans="1:13">
      <c r="J52" s="47"/>
      <c r="K52" s="47"/>
    </row>
    <row r="53" spans="1:13">
      <c r="A53" t="s">
        <v>15529</v>
      </c>
      <c r="B53" t="s">
        <v>15529</v>
      </c>
      <c r="C53" t="s">
        <v>15530</v>
      </c>
      <c r="D53" t="s">
        <v>4310</v>
      </c>
      <c r="F53" t="str">
        <f>Config!$B$7</f>
        <v>SCH/Connector.SchLib</v>
      </c>
      <c r="G53" t="s">
        <v>14827</v>
      </c>
      <c r="H53" t="s">
        <v>15531</v>
      </c>
      <c r="I53" t="s">
        <v>14857</v>
      </c>
      <c r="J53" s="47"/>
      <c r="K53" s="47" t="s">
        <v>16093</v>
      </c>
      <c r="L53" t="s">
        <v>16093</v>
      </c>
      <c r="M53" t="s">
        <v>16118</v>
      </c>
    </row>
    <row r="54" spans="1:13">
      <c r="A54" t="s">
        <v>15532</v>
      </c>
      <c r="B54" t="s">
        <v>15532</v>
      </c>
      <c r="C54" t="s">
        <v>15533</v>
      </c>
      <c r="D54" t="s">
        <v>4310</v>
      </c>
      <c r="F54" t="str">
        <f>Config!$B$7</f>
        <v>SCH/Connector.SchLib</v>
      </c>
      <c r="G54" t="s">
        <v>14827</v>
      </c>
      <c r="H54" t="s">
        <v>15531</v>
      </c>
      <c r="I54" t="s">
        <v>14858</v>
      </c>
      <c r="J54" s="47"/>
      <c r="K54" s="47" t="s">
        <v>16093</v>
      </c>
      <c r="L54" t="s">
        <v>16094</v>
      </c>
      <c r="M54" t="s">
        <v>16118</v>
      </c>
    </row>
    <row r="55" spans="1:13">
      <c r="A55" t="s">
        <v>15534</v>
      </c>
      <c r="B55" t="s">
        <v>15534</v>
      </c>
      <c r="C55" t="s">
        <v>15535</v>
      </c>
      <c r="D55" t="s">
        <v>4310</v>
      </c>
      <c r="F55" t="str">
        <f>Config!$B$7</f>
        <v>SCH/Connector.SchLib</v>
      </c>
      <c r="G55" t="s">
        <v>14827</v>
      </c>
      <c r="H55" t="s">
        <v>15531</v>
      </c>
      <c r="I55" t="s">
        <v>14829</v>
      </c>
      <c r="J55" s="47"/>
      <c r="K55" s="47" t="s">
        <v>16094</v>
      </c>
      <c r="L55" t="s">
        <v>16093</v>
      </c>
      <c r="M55" t="s">
        <v>16118</v>
      </c>
    </row>
    <row r="56" spans="1:13">
      <c r="A56" t="s">
        <v>15536</v>
      </c>
      <c r="B56" t="s">
        <v>15536</v>
      </c>
      <c r="C56" t="s">
        <v>15537</v>
      </c>
      <c r="D56" t="s">
        <v>4310</v>
      </c>
      <c r="F56" t="str">
        <f>Config!$B$7</f>
        <v>SCH/Connector.SchLib</v>
      </c>
      <c r="G56" t="s">
        <v>14827</v>
      </c>
      <c r="H56" t="s">
        <v>15531</v>
      </c>
      <c r="I56" t="s">
        <v>14830</v>
      </c>
      <c r="K56" s="47" t="s">
        <v>16094</v>
      </c>
      <c r="L56" t="s">
        <v>16094</v>
      </c>
      <c r="M56" t="s">
        <v>16118</v>
      </c>
    </row>
    <row r="57" spans="1:13">
      <c r="A57" t="s">
        <v>15538</v>
      </c>
      <c r="B57" t="s">
        <v>15538</v>
      </c>
      <c r="C57" t="s">
        <v>15539</v>
      </c>
      <c r="D57" t="s">
        <v>4310</v>
      </c>
      <c r="F57" t="str">
        <f>Config!$B$7</f>
        <v>SCH/Connector.SchLib</v>
      </c>
      <c r="G57" t="s">
        <v>14827</v>
      </c>
      <c r="H57" t="s">
        <v>15531</v>
      </c>
      <c r="I57" t="s">
        <v>14831</v>
      </c>
      <c r="J57" s="47"/>
      <c r="K57" s="47" t="s">
        <v>16094</v>
      </c>
      <c r="L57" t="s">
        <v>16095</v>
      </c>
      <c r="M57" t="s">
        <v>16118</v>
      </c>
    </row>
    <row r="58" spans="1:13">
      <c r="A58" t="s">
        <v>15540</v>
      </c>
      <c r="B58" t="s">
        <v>15540</v>
      </c>
      <c r="C58" t="s">
        <v>15541</v>
      </c>
      <c r="D58" t="s">
        <v>4310</v>
      </c>
      <c r="F58" t="str">
        <f>Config!$B$7</f>
        <v>SCH/Connector.SchLib</v>
      </c>
      <c r="G58" t="s">
        <v>14827</v>
      </c>
      <c r="H58" t="s">
        <v>15531</v>
      </c>
      <c r="I58" t="s">
        <v>14832</v>
      </c>
      <c r="J58" s="47"/>
      <c r="K58" s="47" t="s">
        <v>16095</v>
      </c>
      <c r="L58" t="s">
        <v>16093</v>
      </c>
      <c r="M58" t="s">
        <v>16118</v>
      </c>
    </row>
    <row r="59" spans="1:13">
      <c r="A59" t="s">
        <v>15542</v>
      </c>
      <c r="B59" t="s">
        <v>15542</v>
      </c>
      <c r="C59" t="s">
        <v>15543</v>
      </c>
      <c r="D59" t="s">
        <v>4310</v>
      </c>
      <c r="F59" t="str">
        <f>Config!$B$7</f>
        <v>SCH/Connector.SchLib</v>
      </c>
      <c r="G59" t="s">
        <v>14827</v>
      </c>
      <c r="H59" t="s">
        <v>15531</v>
      </c>
      <c r="I59" t="s">
        <v>14833</v>
      </c>
      <c r="J59" s="47"/>
      <c r="K59" s="47" t="s">
        <v>16095</v>
      </c>
      <c r="L59" t="s">
        <v>16094</v>
      </c>
      <c r="M59" t="s">
        <v>16118</v>
      </c>
    </row>
    <row r="60" spans="1:13">
      <c r="A60" t="s">
        <v>15544</v>
      </c>
      <c r="B60" t="s">
        <v>15544</v>
      </c>
      <c r="C60" t="s">
        <v>15545</v>
      </c>
      <c r="D60" t="s">
        <v>4310</v>
      </c>
      <c r="F60" t="str">
        <f>Config!$B$7</f>
        <v>SCH/Connector.SchLib</v>
      </c>
      <c r="G60" t="s">
        <v>14827</v>
      </c>
      <c r="H60" t="s">
        <v>15531</v>
      </c>
      <c r="I60" t="s">
        <v>14834</v>
      </c>
      <c r="J60" s="47"/>
      <c r="K60" s="47" t="s">
        <v>16095</v>
      </c>
      <c r="L60" t="s">
        <v>16095</v>
      </c>
      <c r="M60" t="s">
        <v>16118</v>
      </c>
    </row>
    <row r="61" spans="1:13">
      <c r="A61" t="s">
        <v>15546</v>
      </c>
      <c r="B61" t="s">
        <v>15546</v>
      </c>
      <c r="C61" t="s">
        <v>15547</v>
      </c>
      <c r="D61" t="s">
        <v>4310</v>
      </c>
      <c r="F61" t="str">
        <f>Config!$B$7</f>
        <v>SCH/Connector.SchLib</v>
      </c>
      <c r="G61" t="s">
        <v>14827</v>
      </c>
      <c r="H61" t="s">
        <v>15531</v>
      </c>
      <c r="I61" t="s">
        <v>14835</v>
      </c>
      <c r="J61" s="47"/>
      <c r="K61" s="47" t="s">
        <v>16095</v>
      </c>
      <c r="L61" t="s">
        <v>16097</v>
      </c>
      <c r="M61" t="s">
        <v>16118</v>
      </c>
    </row>
    <row r="62" spans="1:13">
      <c r="A62" t="s">
        <v>15548</v>
      </c>
      <c r="B62" t="s">
        <v>15548</v>
      </c>
      <c r="C62" t="s">
        <v>15549</v>
      </c>
      <c r="D62" t="s">
        <v>4310</v>
      </c>
      <c r="F62" t="str">
        <f>Config!$B$7</f>
        <v>SCH/Connector.SchLib</v>
      </c>
      <c r="G62" t="s">
        <v>14827</v>
      </c>
      <c r="H62" t="s">
        <v>15531</v>
      </c>
      <c r="I62" t="s">
        <v>14836</v>
      </c>
      <c r="J62" s="47"/>
      <c r="K62" s="47" t="s">
        <v>16096</v>
      </c>
      <c r="L62" t="s">
        <v>16104</v>
      </c>
      <c r="M62" t="s">
        <v>16118</v>
      </c>
    </row>
    <row r="63" spans="1:13">
      <c r="A63" t="s">
        <v>15550</v>
      </c>
      <c r="B63" t="s">
        <v>15550</v>
      </c>
      <c r="C63" t="s">
        <v>15551</v>
      </c>
      <c r="D63" t="s">
        <v>4310</v>
      </c>
      <c r="F63" t="str">
        <f>Config!$B$7</f>
        <v>SCH/Connector.SchLib</v>
      </c>
      <c r="G63" t="s">
        <v>14827</v>
      </c>
      <c r="H63" t="s">
        <v>15531</v>
      </c>
      <c r="I63" t="s">
        <v>14837</v>
      </c>
      <c r="J63" s="47"/>
      <c r="K63" s="47" t="s">
        <v>16096</v>
      </c>
      <c r="L63" t="s">
        <v>16096</v>
      </c>
      <c r="M63" t="s">
        <v>16118</v>
      </c>
    </row>
    <row r="64" spans="1:13">
      <c r="A64" t="s">
        <v>15552</v>
      </c>
      <c r="B64" t="s">
        <v>15552</v>
      </c>
      <c r="C64" t="s">
        <v>15553</v>
      </c>
      <c r="D64" t="s">
        <v>4310</v>
      </c>
      <c r="F64" t="str">
        <f>Config!$B$7</f>
        <v>SCH/Connector.SchLib</v>
      </c>
      <c r="G64" t="s">
        <v>14827</v>
      </c>
      <c r="H64" t="s">
        <v>15531</v>
      </c>
      <c r="I64" t="s">
        <v>14838</v>
      </c>
      <c r="J64" s="47"/>
      <c r="K64" s="47" t="s">
        <v>16096</v>
      </c>
      <c r="L64" t="s">
        <v>16098</v>
      </c>
      <c r="M64" t="s">
        <v>16118</v>
      </c>
    </row>
    <row r="65" spans="1:13">
      <c r="A65" t="s">
        <v>15554</v>
      </c>
      <c r="B65" t="s">
        <v>15554</v>
      </c>
      <c r="C65" t="s">
        <v>15555</v>
      </c>
      <c r="D65" t="s">
        <v>4310</v>
      </c>
      <c r="F65" t="str">
        <f>Config!$B$7</f>
        <v>SCH/Connector.SchLib</v>
      </c>
      <c r="G65" t="s">
        <v>14827</v>
      </c>
      <c r="H65" t="s">
        <v>15531</v>
      </c>
      <c r="I65" t="s">
        <v>14839</v>
      </c>
      <c r="J65" s="47"/>
      <c r="K65" s="47" t="s">
        <v>16097</v>
      </c>
      <c r="L65" t="s">
        <v>16094</v>
      </c>
      <c r="M65" t="s">
        <v>16118</v>
      </c>
    </row>
    <row r="66" spans="1:13">
      <c r="A66" t="s">
        <v>15556</v>
      </c>
      <c r="B66" t="s">
        <v>15556</v>
      </c>
      <c r="C66" t="s">
        <v>15557</v>
      </c>
      <c r="D66" t="s">
        <v>4310</v>
      </c>
      <c r="F66" t="str">
        <f>Config!$B$7</f>
        <v>SCH/Connector.SchLib</v>
      </c>
      <c r="G66" t="s">
        <v>14827</v>
      </c>
      <c r="H66" t="s">
        <v>15531</v>
      </c>
      <c r="I66" t="s">
        <v>14840</v>
      </c>
      <c r="J66" s="47"/>
      <c r="K66" s="47" t="s">
        <v>16097</v>
      </c>
      <c r="L66" t="s">
        <v>16095</v>
      </c>
      <c r="M66" t="s">
        <v>16118</v>
      </c>
    </row>
    <row r="67" spans="1:13">
      <c r="A67" t="s">
        <v>15558</v>
      </c>
      <c r="B67" t="s">
        <v>15558</v>
      </c>
      <c r="C67" t="s">
        <v>15559</v>
      </c>
      <c r="D67" t="s">
        <v>4310</v>
      </c>
      <c r="F67" t="str">
        <f>Config!$B$7</f>
        <v>SCH/Connector.SchLib</v>
      </c>
      <c r="G67" t="s">
        <v>14827</v>
      </c>
      <c r="H67" t="s">
        <v>15531</v>
      </c>
      <c r="I67" t="s">
        <v>14841</v>
      </c>
      <c r="J67" s="47"/>
      <c r="K67" s="47" t="s">
        <v>16097</v>
      </c>
      <c r="L67" t="s">
        <v>16097</v>
      </c>
      <c r="M67" t="s">
        <v>16118</v>
      </c>
    </row>
    <row r="68" spans="1:13">
      <c r="A68" t="s">
        <v>15560</v>
      </c>
      <c r="B68" t="s">
        <v>15560</v>
      </c>
      <c r="C68" t="s">
        <v>15561</v>
      </c>
      <c r="D68" t="s">
        <v>4310</v>
      </c>
      <c r="F68" t="str">
        <f>Config!$B$7</f>
        <v>SCH/Connector.SchLib</v>
      </c>
      <c r="G68" t="s">
        <v>14827</v>
      </c>
      <c r="H68" t="s">
        <v>15531</v>
      </c>
      <c r="I68" t="s">
        <v>14842</v>
      </c>
      <c r="J68" s="47"/>
      <c r="K68" s="47" t="s">
        <v>16097</v>
      </c>
      <c r="L68" t="s">
        <v>16099</v>
      </c>
      <c r="M68" t="s">
        <v>16118</v>
      </c>
    </row>
    <row r="69" spans="1:13">
      <c r="A69" t="s">
        <v>15562</v>
      </c>
      <c r="B69" t="s">
        <v>15562</v>
      </c>
      <c r="C69" t="s">
        <v>15563</v>
      </c>
      <c r="D69" t="s">
        <v>4310</v>
      </c>
      <c r="F69" t="str">
        <f>Config!$B$7</f>
        <v>SCH/Connector.SchLib</v>
      </c>
      <c r="G69" t="s">
        <v>14827</v>
      </c>
      <c r="H69" t="s">
        <v>15531</v>
      </c>
      <c r="I69" t="s">
        <v>14843</v>
      </c>
      <c r="J69" s="47"/>
      <c r="K69" s="47" t="s">
        <v>16098</v>
      </c>
      <c r="L69" t="s">
        <v>16104</v>
      </c>
      <c r="M69" t="s">
        <v>16118</v>
      </c>
    </row>
    <row r="70" spans="1:13">
      <c r="A70" t="s">
        <v>15564</v>
      </c>
      <c r="B70" t="s">
        <v>15564</v>
      </c>
      <c r="C70" t="s">
        <v>15565</v>
      </c>
      <c r="D70" t="s">
        <v>4310</v>
      </c>
      <c r="F70" t="str">
        <f>Config!$B$7</f>
        <v>SCH/Connector.SchLib</v>
      </c>
      <c r="G70" t="s">
        <v>14827</v>
      </c>
      <c r="H70" t="s">
        <v>15531</v>
      </c>
      <c r="I70" t="s">
        <v>14844</v>
      </c>
      <c r="J70" s="47"/>
      <c r="K70" s="47" t="s">
        <v>16098</v>
      </c>
      <c r="L70" t="s">
        <v>16096</v>
      </c>
      <c r="M70" t="s">
        <v>16118</v>
      </c>
    </row>
    <row r="71" spans="1:13">
      <c r="A71" t="s">
        <v>15566</v>
      </c>
      <c r="B71" t="s">
        <v>15566</v>
      </c>
      <c r="C71" t="s">
        <v>15567</v>
      </c>
      <c r="D71" t="s">
        <v>4310</v>
      </c>
      <c r="F71" t="str">
        <f>Config!$B$7</f>
        <v>SCH/Connector.SchLib</v>
      </c>
      <c r="G71" t="s">
        <v>14827</v>
      </c>
      <c r="H71" t="s">
        <v>15531</v>
      </c>
      <c r="I71" t="s">
        <v>14845</v>
      </c>
      <c r="J71" s="47"/>
      <c r="K71" s="47" t="s">
        <v>16098</v>
      </c>
      <c r="L71" t="s">
        <v>16098</v>
      </c>
      <c r="M71" t="s">
        <v>16118</v>
      </c>
    </row>
    <row r="72" spans="1:13">
      <c r="A72" t="s">
        <v>15568</v>
      </c>
      <c r="B72" t="s">
        <v>15568</v>
      </c>
      <c r="C72" t="s">
        <v>15569</v>
      </c>
      <c r="D72" t="s">
        <v>4310</v>
      </c>
      <c r="F72" t="str">
        <f>Config!$B$7</f>
        <v>SCH/Connector.SchLib</v>
      </c>
      <c r="G72" t="s">
        <v>14827</v>
      </c>
      <c r="H72" t="s">
        <v>15531</v>
      </c>
      <c r="I72" t="s">
        <v>14846</v>
      </c>
      <c r="J72" s="47"/>
      <c r="K72" s="47" t="s">
        <v>16098</v>
      </c>
      <c r="L72" t="s">
        <v>16101</v>
      </c>
      <c r="M72" t="s">
        <v>16118</v>
      </c>
    </row>
    <row r="73" spans="1:13">
      <c r="A73" t="s">
        <v>15570</v>
      </c>
      <c r="B73" t="s">
        <v>15570</v>
      </c>
      <c r="C73" t="s">
        <v>15571</v>
      </c>
      <c r="D73" t="s">
        <v>4310</v>
      </c>
      <c r="F73" t="str">
        <f>Config!$B$7</f>
        <v>SCH/Connector.SchLib</v>
      </c>
      <c r="G73" t="s">
        <v>14827</v>
      </c>
      <c r="H73" t="s">
        <v>15531</v>
      </c>
      <c r="I73" t="s">
        <v>14847</v>
      </c>
      <c r="J73" s="47"/>
      <c r="K73" s="47" t="s">
        <v>16099</v>
      </c>
      <c r="L73" t="s">
        <v>16105</v>
      </c>
      <c r="M73" t="s">
        <v>16118</v>
      </c>
    </row>
    <row r="74" spans="1:13">
      <c r="A74" t="s">
        <v>15572</v>
      </c>
      <c r="B74" t="s">
        <v>15572</v>
      </c>
      <c r="C74" t="s">
        <v>15573</v>
      </c>
      <c r="D74" t="s">
        <v>4310</v>
      </c>
      <c r="F74" t="str">
        <f>Config!$B$7</f>
        <v>SCH/Connector.SchLib</v>
      </c>
      <c r="G74" t="s">
        <v>14827</v>
      </c>
      <c r="H74" t="s">
        <v>15531</v>
      </c>
      <c r="I74" t="s">
        <v>14848</v>
      </c>
      <c r="J74" s="47"/>
      <c r="K74" s="47" t="s">
        <v>16099</v>
      </c>
      <c r="L74" t="s">
        <v>16095</v>
      </c>
      <c r="M74" t="s">
        <v>16118</v>
      </c>
    </row>
    <row r="75" spans="1:13">
      <c r="A75" t="s">
        <v>15574</v>
      </c>
      <c r="B75" t="s">
        <v>15574</v>
      </c>
      <c r="C75" t="s">
        <v>15575</v>
      </c>
      <c r="D75" t="s">
        <v>4310</v>
      </c>
      <c r="F75" t="str">
        <f>Config!$B$7</f>
        <v>SCH/Connector.SchLib</v>
      </c>
      <c r="G75" t="s">
        <v>14827</v>
      </c>
      <c r="H75" t="s">
        <v>15531</v>
      </c>
      <c r="I75" t="s">
        <v>14849</v>
      </c>
      <c r="J75" s="47"/>
      <c r="K75" s="47" t="s">
        <v>16099</v>
      </c>
      <c r="L75" t="s">
        <v>16097</v>
      </c>
      <c r="M75" t="s">
        <v>16118</v>
      </c>
    </row>
    <row r="76" spans="1:13">
      <c r="A76" t="s">
        <v>15576</v>
      </c>
      <c r="B76" t="s">
        <v>15576</v>
      </c>
      <c r="C76" t="s">
        <v>15577</v>
      </c>
      <c r="D76" t="s">
        <v>4310</v>
      </c>
      <c r="F76" t="str">
        <f>Config!$B$7</f>
        <v>SCH/Connector.SchLib</v>
      </c>
      <c r="G76" t="s">
        <v>14827</v>
      </c>
      <c r="H76" t="s">
        <v>15531</v>
      </c>
      <c r="I76" t="s">
        <v>14850</v>
      </c>
      <c r="J76" s="47"/>
      <c r="K76" s="47" t="s">
        <v>16099</v>
      </c>
      <c r="L76" t="s">
        <v>16099</v>
      </c>
      <c r="M76" t="s">
        <v>16118</v>
      </c>
    </row>
    <row r="77" spans="1:13">
      <c r="A77" t="s">
        <v>15578</v>
      </c>
      <c r="B77" t="s">
        <v>15578</v>
      </c>
      <c r="C77" t="s">
        <v>15579</v>
      </c>
      <c r="D77" t="s">
        <v>4310</v>
      </c>
      <c r="F77" t="str">
        <f>Config!$B$7</f>
        <v>SCH/Connector.SchLib</v>
      </c>
      <c r="G77" t="s">
        <v>14827</v>
      </c>
      <c r="H77" t="s">
        <v>15531</v>
      </c>
      <c r="I77" t="s">
        <v>14851</v>
      </c>
      <c r="J77" s="47"/>
      <c r="K77" s="47" t="s">
        <v>16099</v>
      </c>
      <c r="L77" t="s">
        <v>16102</v>
      </c>
      <c r="M77" t="s">
        <v>16118</v>
      </c>
    </row>
    <row r="78" spans="1:13">
      <c r="A78" t="s">
        <v>15580</v>
      </c>
      <c r="B78" t="s">
        <v>15580</v>
      </c>
      <c r="C78" t="s">
        <v>15581</v>
      </c>
      <c r="D78" t="s">
        <v>4310</v>
      </c>
      <c r="F78" t="str">
        <f>Config!$B$7</f>
        <v>SCH/Connector.SchLib</v>
      </c>
      <c r="G78" t="s">
        <v>14827</v>
      </c>
      <c r="H78" t="s">
        <v>15531</v>
      </c>
      <c r="I78" t="s">
        <v>14852</v>
      </c>
      <c r="J78" s="47"/>
      <c r="K78" s="47" t="s">
        <v>16100</v>
      </c>
      <c r="L78" t="s">
        <v>16094</v>
      </c>
      <c r="M78" t="s">
        <v>16118</v>
      </c>
    </row>
    <row r="79" spans="1:13">
      <c r="A79" t="s">
        <v>16050</v>
      </c>
      <c r="B79" t="s">
        <v>16050</v>
      </c>
      <c r="C79" t="s">
        <v>16051</v>
      </c>
      <c r="D79" t="s">
        <v>4310</v>
      </c>
      <c r="F79" t="str">
        <f>Config!$B$7</f>
        <v>SCH/Connector.SchLib</v>
      </c>
      <c r="G79" t="s">
        <v>14827</v>
      </c>
      <c r="H79" t="s">
        <v>15531</v>
      </c>
      <c r="I79" t="s">
        <v>15590</v>
      </c>
      <c r="J79" s="47"/>
      <c r="K79" s="47" t="s">
        <v>16100</v>
      </c>
      <c r="L79" t="s">
        <v>16095</v>
      </c>
      <c r="M79" t="s">
        <v>16118</v>
      </c>
    </row>
    <row r="80" spans="1:13">
      <c r="A80" t="s">
        <v>15582</v>
      </c>
      <c r="B80" t="s">
        <v>15582</v>
      </c>
      <c r="C80" t="s">
        <v>15583</v>
      </c>
      <c r="D80" t="s">
        <v>4310</v>
      </c>
      <c r="F80" t="str">
        <f>Config!$B$7</f>
        <v>SCH/Connector.SchLib</v>
      </c>
      <c r="G80" t="s">
        <v>14827</v>
      </c>
      <c r="H80" t="s">
        <v>15531</v>
      </c>
      <c r="I80" t="s">
        <v>14853</v>
      </c>
      <c r="J80" s="47"/>
      <c r="K80" s="47" t="s">
        <v>16100</v>
      </c>
      <c r="L80" t="s">
        <v>16106</v>
      </c>
      <c r="M80" t="s">
        <v>16118</v>
      </c>
    </row>
    <row r="81" spans="1:13">
      <c r="A81" t="s">
        <v>15584</v>
      </c>
      <c r="B81" t="s">
        <v>15584</v>
      </c>
      <c r="C81" t="s">
        <v>15585</v>
      </c>
      <c r="D81" t="s">
        <v>4310</v>
      </c>
      <c r="F81" t="str">
        <f>Config!$B$7</f>
        <v>SCH/Connector.SchLib</v>
      </c>
      <c r="G81" t="s">
        <v>14827</v>
      </c>
      <c r="H81" t="s">
        <v>15531</v>
      </c>
      <c r="I81" t="s">
        <v>14854</v>
      </c>
      <c r="J81" s="47"/>
      <c r="K81" s="47" t="s">
        <v>16100</v>
      </c>
      <c r="L81" t="s">
        <v>16107</v>
      </c>
      <c r="M81" t="s">
        <v>16118</v>
      </c>
    </row>
    <row r="82" spans="1:13">
      <c r="A82" t="s">
        <v>15586</v>
      </c>
      <c r="B82" t="s">
        <v>15586</v>
      </c>
      <c r="C82" t="s">
        <v>15587</v>
      </c>
      <c r="D82" t="s">
        <v>4310</v>
      </c>
      <c r="F82" t="str">
        <f>Config!$B$7</f>
        <v>SCH/Connector.SchLib</v>
      </c>
      <c r="G82" t="s">
        <v>14827</v>
      </c>
      <c r="H82" t="s">
        <v>15531</v>
      </c>
      <c r="I82" t="s">
        <v>14855</v>
      </c>
      <c r="J82" s="47"/>
      <c r="K82" s="47" t="s">
        <v>16100</v>
      </c>
      <c r="L82" t="s">
        <v>16100</v>
      </c>
      <c r="M82" t="s">
        <v>16118</v>
      </c>
    </row>
    <row r="83" spans="1:13">
      <c r="A83" t="s">
        <v>15588</v>
      </c>
      <c r="B83" t="s">
        <v>15588</v>
      </c>
      <c r="C83" t="s">
        <v>15589</v>
      </c>
      <c r="D83" t="s">
        <v>4310</v>
      </c>
      <c r="F83" t="str">
        <f>Config!$B$7</f>
        <v>SCH/Connector.SchLib</v>
      </c>
      <c r="G83" t="s">
        <v>14827</v>
      </c>
      <c r="H83" t="s">
        <v>15531</v>
      </c>
      <c r="I83" t="s">
        <v>14856</v>
      </c>
      <c r="J83" s="47"/>
      <c r="K83" s="47" t="s">
        <v>16100</v>
      </c>
      <c r="L83" t="s">
        <v>16108</v>
      </c>
      <c r="M83" t="s">
        <v>16118</v>
      </c>
    </row>
    <row r="84" spans="1:13">
      <c r="A84" t="s">
        <v>16052</v>
      </c>
      <c r="B84" t="s">
        <v>16052</v>
      </c>
      <c r="C84" t="s">
        <v>16053</v>
      </c>
      <c r="D84" t="s">
        <v>4310</v>
      </c>
      <c r="F84" t="str">
        <f>Config!$B$7</f>
        <v>SCH/Connector.SchLib</v>
      </c>
      <c r="G84" t="s">
        <v>14827</v>
      </c>
      <c r="H84" t="s">
        <v>15531</v>
      </c>
      <c r="I84" t="s">
        <v>15593</v>
      </c>
      <c r="J84" s="47"/>
      <c r="K84" s="47" t="s">
        <v>16101</v>
      </c>
      <c r="L84" t="s">
        <v>16109</v>
      </c>
      <c r="M84" t="s">
        <v>16118</v>
      </c>
    </row>
    <row r="85" spans="1:13">
      <c r="A85" t="s">
        <v>16054</v>
      </c>
      <c r="B85" t="s">
        <v>16054</v>
      </c>
      <c r="C85" t="s">
        <v>16055</v>
      </c>
      <c r="D85" t="s">
        <v>4310</v>
      </c>
      <c r="F85" t="str">
        <f>Config!$B$7</f>
        <v>SCH/Connector.SchLib</v>
      </c>
      <c r="G85" t="s">
        <v>14827</v>
      </c>
      <c r="H85" t="s">
        <v>15531</v>
      </c>
      <c r="I85" t="s">
        <v>15594</v>
      </c>
      <c r="J85" s="47"/>
      <c r="K85" s="47" t="s">
        <v>16101</v>
      </c>
      <c r="L85" t="s">
        <v>16095</v>
      </c>
      <c r="M85" t="s">
        <v>16118</v>
      </c>
    </row>
    <row r="86" spans="1:13">
      <c r="A86" t="s">
        <v>16056</v>
      </c>
      <c r="B86" t="s">
        <v>16056</v>
      </c>
      <c r="C86" t="s">
        <v>16057</v>
      </c>
      <c r="D86" t="s">
        <v>4310</v>
      </c>
      <c r="F86" t="str">
        <f>Config!$B$7</f>
        <v>SCH/Connector.SchLib</v>
      </c>
      <c r="G86" t="s">
        <v>14827</v>
      </c>
      <c r="H86" t="s">
        <v>15531</v>
      </c>
      <c r="I86" t="s">
        <v>15595</v>
      </c>
      <c r="J86" s="47"/>
      <c r="K86" s="47" t="s">
        <v>16101</v>
      </c>
      <c r="L86" t="s">
        <v>16096</v>
      </c>
      <c r="M86" t="s">
        <v>16118</v>
      </c>
    </row>
    <row r="87" spans="1:13">
      <c r="A87" t="s">
        <v>16058</v>
      </c>
      <c r="B87" t="s">
        <v>16058</v>
      </c>
      <c r="C87" t="s">
        <v>16059</v>
      </c>
      <c r="D87" t="s">
        <v>4310</v>
      </c>
      <c r="F87" t="str">
        <f>Config!$B$7</f>
        <v>SCH/Connector.SchLib</v>
      </c>
      <c r="G87" t="s">
        <v>14827</v>
      </c>
      <c r="H87" t="s">
        <v>15531</v>
      </c>
      <c r="I87" t="s">
        <v>15596</v>
      </c>
      <c r="K87" s="47" t="s">
        <v>16101</v>
      </c>
      <c r="L87" t="s">
        <v>16098</v>
      </c>
      <c r="M87" t="s">
        <v>16118</v>
      </c>
    </row>
    <row r="88" spans="1:13">
      <c r="A88" t="s">
        <v>16060</v>
      </c>
      <c r="B88" t="s">
        <v>16060</v>
      </c>
      <c r="C88" t="s">
        <v>16061</v>
      </c>
      <c r="D88" t="s">
        <v>4310</v>
      </c>
      <c r="F88" t="str">
        <f>Config!$B$7</f>
        <v>SCH/Connector.SchLib</v>
      </c>
      <c r="G88" t="s">
        <v>14827</v>
      </c>
      <c r="H88" t="s">
        <v>15531</v>
      </c>
      <c r="I88" t="s">
        <v>15597</v>
      </c>
      <c r="J88" s="47"/>
      <c r="K88" s="47" t="s">
        <v>16101</v>
      </c>
      <c r="L88" t="s">
        <v>16101</v>
      </c>
      <c r="M88" t="s">
        <v>16118</v>
      </c>
    </row>
    <row r="89" spans="1:13">
      <c r="A89" t="s">
        <v>16062</v>
      </c>
      <c r="B89" t="s">
        <v>16062</v>
      </c>
      <c r="C89" t="s">
        <v>16063</v>
      </c>
      <c r="D89" t="s">
        <v>4310</v>
      </c>
      <c r="F89" t="str">
        <f>Config!$B$7</f>
        <v>SCH/Connector.SchLib</v>
      </c>
      <c r="G89" t="s">
        <v>14827</v>
      </c>
      <c r="H89" t="s">
        <v>15531</v>
      </c>
      <c r="I89" t="s">
        <v>15598</v>
      </c>
      <c r="J89" s="47"/>
      <c r="K89" s="47" t="s">
        <v>16101</v>
      </c>
      <c r="L89" t="s">
        <v>16110</v>
      </c>
      <c r="M89" t="s">
        <v>16118</v>
      </c>
    </row>
    <row r="90" spans="1:13">
      <c r="A90" t="s">
        <v>16064</v>
      </c>
      <c r="B90" t="s">
        <v>16064</v>
      </c>
      <c r="C90" t="s">
        <v>16065</v>
      </c>
      <c r="D90" t="s">
        <v>4310</v>
      </c>
      <c r="F90" t="str">
        <f>Config!$B$7</f>
        <v>SCH/Connector.SchLib</v>
      </c>
      <c r="G90" t="s">
        <v>14827</v>
      </c>
      <c r="H90" t="s">
        <v>15531</v>
      </c>
      <c r="I90" t="s">
        <v>15599</v>
      </c>
      <c r="J90" s="47"/>
      <c r="K90" s="47" t="s">
        <v>16102</v>
      </c>
      <c r="L90" t="s">
        <v>16094</v>
      </c>
      <c r="M90" t="s">
        <v>16118</v>
      </c>
    </row>
    <row r="91" spans="1:13">
      <c r="A91" t="s">
        <v>16066</v>
      </c>
      <c r="B91" t="s">
        <v>16066</v>
      </c>
      <c r="C91" t="s">
        <v>16067</v>
      </c>
      <c r="D91" t="s">
        <v>4310</v>
      </c>
      <c r="F91" t="str">
        <f>Config!$B$7</f>
        <v>SCH/Connector.SchLib</v>
      </c>
      <c r="G91" t="s">
        <v>14827</v>
      </c>
      <c r="H91" t="s">
        <v>15531</v>
      </c>
      <c r="I91" t="s">
        <v>15600</v>
      </c>
      <c r="J91" s="47"/>
      <c r="K91" s="47" t="s">
        <v>16102</v>
      </c>
      <c r="L91" t="s">
        <v>16111</v>
      </c>
      <c r="M91" t="s">
        <v>16118</v>
      </c>
    </row>
    <row r="92" spans="1:13">
      <c r="A92" t="s">
        <v>16068</v>
      </c>
      <c r="B92" t="s">
        <v>16068</v>
      </c>
      <c r="C92" t="s">
        <v>16069</v>
      </c>
      <c r="D92" t="s">
        <v>4310</v>
      </c>
      <c r="F92" t="str">
        <f>Config!$B$7</f>
        <v>SCH/Connector.SchLib</v>
      </c>
      <c r="G92" t="s">
        <v>14827</v>
      </c>
      <c r="H92" t="s">
        <v>15531</v>
      </c>
      <c r="I92" t="s">
        <v>15601</v>
      </c>
      <c r="J92" s="47"/>
      <c r="K92" s="47" t="s">
        <v>16102</v>
      </c>
      <c r="L92" t="s">
        <v>16095</v>
      </c>
      <c r="M92" t="s">
        <v>16118</v>
      </c>
    </row>
    <row r="93" spans="1:13">
      <c r="A93" t="s">
        <v>16070</v>
      </c>
      <c r="B93" t="s">
        <v>16070</v>
      </c>
      <c r="C93" t="s">
        <v>16071</v>
      </c>
      <c r="D93" t="s">
        <v>4310</v>
      </c>
      <c r="F93" t="str">
        <f>Config!$B$7</f>
        <v>SCH/Connector.SchLib</v>
      </c>
      <c r="G93" t="s">
        <v>14827</v>
      </c>
      <c r="H93" t="s">
        <v>15531</v>
      </c>
      <c r="I93" t="s">
        <v>15602</v>
      </c>
      <c r="J93" s="47"/>
      <c r="K93" s="47" t="s">
        <v>16102</v>
      </c>
      <c r="L93" t="s">
        <v>16097</v>
      </c>
      <c r="M93" t="s">
        <v>16118</v>
      </c>
    </row>
    <row r="94" spans="1:13">
      <c r="A94" t="s">
        <v>16072</v>
      </c>
      <c r="B94" t="s">
        <v>16072</v>
      </c>
      <c r="C94" t="s">
        <v>16073</v>
      </c>
      <c r="D94" t="s">
        <v>4310</v>
      </c>
      <c r="F94" t="str">
        <f>Config!$B$7</f>
        <v>SCH/Connector.SchLib</v>
      </c>
      <c r="G94" t="s">
        <v>14827</v>
      </c>
      <c r="H94" t="s">
        <v>15531</v>
      </c>
      <c r="I94" t="s">
        <v>15603</v>
      </c>
      <c r="J94" s="47"/>
      <c r="K94" s="47" t="s">
        <v>16102</v>
      </c>
      <c r="L94" t="s">
        <v>16099</v>
      </c>
      <c r="M94" t="s">
        <v>16118</v>
      </c>
    </row>
    <row r="95" spans="1:13">
      <c r="A95" t="s">
        <v>16074</v>
      </c>
      <c r="B95" t="s">
        <v>16074</v>
      </c>
      <c r="C95" t="s">
        <v>16075</v>
      </c>
      <c r="D95" t="s">
        <v>4310</v>
      </c>
      <c r="F95" t="str">
        <f>Config!$B$7</f>
        <v>SCH/Connector.SchLib</v>
      </c>
      <c r="G95" t="s">
        <v>14827</v>
      </c>
      <c r="H95" t="s">
        <v>15531</v>
      </c>
      <c r="I95" t="s">
        <v>15604</v>
      </c>
      <c r="J95" s="47"/>
      <c r="K95" s="47" t="s">
        <v>16102</v>
      </c>
      <c r="L95" t="s">
        <v>16102</v>
      </c>
      <c r="M95" t="s">
        <v>16118</v>
      </c>
    </row>
    <row r="96" spans="1:13">
      <c r="A96" t="s">
        <v>16076</v>
      </c>
      <c r="B96" t="s">
        <v>16076</v>
      </c>
      <c r="C96" t="s">
        <v>16077</v>
      </c>
      <c r="D96" t="s">
        <v>4310</v>
      </c>
      <c r="F96" t="str">
        <f>Config!$B$7</f>
        <v>SCH/Connector.SchLib</v>
      </c>
      <c r="G96" t="s">
        <v>14827</v>
      </c>
      <c r="H96" t="s">
        <v>15531</v>
      </c>
      <c r="I96" t="s">
        <v>15605</v>
      </c>
      <c r="J96" s="47"/>
      <c r="K96" s="47" t="s">
        <v>16102</v>
      </c>
      <c r="L96" t="s">
        <v>16112</v>
      </c>
      <c r="M96" t="s">
        <v>16118</v>
      </c>
    </row>
    <row r="97" spans="1:13">
      <c r="A97" t="s">
        <v>16078</v>
      </c>
      <c r="B97" t="s">
        <v>16078</v>
      </c>
      <c r="C97" t="s">
        <v>16079</v>
      </c>
      <c r="D97" t="s">
        <v>4310</v>
      </c>
      <c r="F97" t="str">
        <f>Config!$B$7</f>
        <v>SCH/Connector.SchLib</v>
      </c>
      <c r="G97" t="s">
        <v>14827</v>
      </c>
      <c r="H97" t="s">
        <v>15531</v>
      </c>
      <c r="I97" t="s">
        <v>15606</v>
      </c>
      <c r="J97" s="47"/>
      <c r="K97" s="47" t="s">
        <v>16103</v>
      </c>
      <c r="L97" t="s">
        <v>16094</v>
      </c>
      <c r="M97" t="s">
        <v>16118</v>
      </c>
    </row>
    <row r="98" spans="1:13">
      <c r="A98" t="s">
        <v>16080</v>
      </c>
      <c r="B98" t="s">
        <v>16080</v>
      </c>
      <c r="C98" t="s">
        <v>16081</v>
      </c>
      <c r="D98" t="s">
        <v>4310</v>
      </c>
      <c r="F98" t="str">
        <f>Config!$B$7</f>
        <v>SCH/Connector.SchLib</v>
      </c>
      <c r="G98" t="s">
        <v>14827</v>
      </c>
      <c r="H98" t="s">
        <v>15531</v>
      </c>
      <c r="I98" t="s">
        <v>15607</v>
      </c>
      <c r="J98" s="47"/>
      <c r="K98" s="47" t="s">
        <v>16103</v>
      </c>
      <c r="L98" t="s">
        <v>16095</v>
      </c>
      <c r="M98" t="s">
        <v>16118</v>
      </c>
    </row>
    <row r="99" spans="1:13">
      <c r="A99" t="s">
        <v>16082</v>
      </c>
      <c r="B99" t="s">
        <v>16082</v>
      </c>
      <c r="C99" t="s">
        <v>16083</v>
      </c>
      <c r="D99" t="s">
        <v>4310</v>
      </c>
      <c r="F99" t="str">
        <f>Config!$B$7</f>
        <v>SCH/Connector.SchLib</v>
      </c>
      <c r="G99" t="s">
        <v>14827</v>
      </c>
      <c r="H99" t="s">
        <v>15531</v>
      </c>
      <c r="I99" t="s">
        <v>15608</v>
      </c>
      <c r="J99" s="47"/>
      <c r="K99" s="47" t="s">
        <v>16103</v>
      </c>
      <c r="L99" t="s">
        <v>16107</v>
      </c>
      <c r="M99" t="s">
        <v>16118</v>
      </c>
    </row>
    <row r="100" spans="1:13">
      <c r="A100" t="s">
        <v>16084</v>
      </c>
      <c r="B100" t="s">
        <v>16084</v>
      </c>
      <c r="C100" t="s">
        <v>16085</v>
      </c>
      <c r="D100" t="s">
        <v>4310</v>
      </c>
      <c r="F100" t="str">
        <f>Config!$B$7</f>
        <v>SCH/Connector.SchLib</v>
      </c>
      <c r="G100" t="s">
        <v>14827</v>
      </c>
      <c r="H100" t="s">
        <v>15531</v>
      </c>
      <c r="I100" t="s">
        <v>15609</v>
      </c>
      <c r="J100" s="47"/>
      <c r="K100" s="47" t="s">
        <v>16103</v>
      </c>
      <c r="L100" t="s">
        <v>16100</v>
      </c>
      <c r="M100" t="s">
        <v>16118</v>
      </c>
    </row>
    <row r="101" spans="1:13">
      <c r="A101" t="s">
        <v>16086</v>
      </c>
      <c r="B101" t="s">
        <v>16086</v>
      </c>
      <c r="C101" t="s">
        <v>16087</v>
      </c>
      <c r="D101" t="s">
        <v>4310</v>
      </c>
      <c r="F101" t="str">
        <f>Config!$B$7</f>
        <v>SCH/Connector.SchLib</v>
      </c>
      <c r="G101" t="s">
        <v>14827</v>
      </c>
      <c r="H101" t="s">
        <v>15531</v>
      </c>
      <c r="I101" t="s">
        <v>15610</v>
      </c>
      <c r="J101" s="47"/>
      <c r="K101" s="47" t="s">
        <v>16103</v>
      </c>
      <c r="L101" t="s">
        <v>16108</v>
      </c>
      <c r="M101" t="s">
        <v>16118</v>
      </c>
    </row>
    <row r="102" spans="1:13">
      <c r="A102" t="s">
        <v>16088</v>
      </c>
      <c r="B102" t="s">
        <v>16088</v>
      </c>
      <c r="C102" t="s">
        <v>16089</v>
      </c>
      <c r="D102" t="s">
        <v>4310</v>
      </c>
      <c r="F102" t="str">
        <f>Config!$B$7</f>
        <v>SCH/Connector.SchLib</v>
      </c>
      <c r="G102" t="s">
        <v>14827</v>
      </c>
      <c r="H102" t="s">
        <v>15531</v>
      </c>
      <c r="I102" t="s">
        <v>15611</v>
      </c>
      <c r="J102" s="47"/>
      <c r="K102" s="47" t="s">
        <v>16103</v>
      </c>
      <c r="L102" t="s">
        <v>16113</v>
      </c>
      <c r="M102" t="s">
        <v>16118</v>
      </c>
    </row>
    <row r="103" spans="1:13">
      <c r="J103" s="47"/>
      <c r="K103" s="47"/>
    </row>
    <row r="104" spans="1:13">
      <c r="A104" t="s">
        <v>15468</v>
      </c>
      <c r="B104" t="s">
        <v>15468</v>
      </c>
      <c r="C104" t="s">
        <v>15469</v>
      </c>
      <c r="D104" t="s">
        <v>4310</v>
      </c>
      <c r="F104" t="str">
        <f>Config!$B$7</f>
        <v>SCH/Connector.SchLib</v>
      </c>
      <c r="G104" t="s">
        <v>14827</v>
      </c>
      <c r="H104" t="s">
        <v>15470</v>
      </c>
      <c r="I104" t="s">
        <v>14857</v>
      </c>
      <c r="J104" s="47"/>
      <c r="K104" s="47" t="s">
        <v>16093</v>
      </c>
      <c r="L104" t="s">
        <v>16093</v>
      </c>
      <c r="M104" t="s">
        <v>16119</v>
      </c>
    </row>
    <row r="105" spans="1:13">
      <c r="A105" t="s">
        <v>15471</v>
      </c>
      <c r="B105" t="s">
        <v>15471</v>
      </c>
      <c r="C105" t="s">
        <v>15472</v>
      </c>
      <c r="D105" t="s">
        <v>4310</v>
      </c>
      <c r="F105" t="str">
        <f>Config!$B$7</f>
        <v>SCH/Connector.SchLib</v>
      </c>
      <c r="G105" t="s">
        <v>14827</v>
      </c>
      <c r="H105" t="s">
        <v>15470</v>
      </c>
      <c r="I105" t="s">
        <v>14858</v>
      </c>
      <c r="J105" s="47"/>
      <c r="K105" s="47" t="s">
        <v>16093</v>
      </c>
      <c r="L105" t="s">
        <v>16094</v>
      </c>
      <c r="M105" t="s">
        <v>16119</v>
      </c>
    </row>
    <row r="106" spans="1:13">
      <c r="A106" t="s">
        <v>15473</v>
      </c>
      <c r="B106" t="s">
        <v>15473</v>
      </c>
      <c r="C106" t="s">
        <v>15474</v>
      </c>
      <c r="D106" t="s">
        <v>4310</v>
      </c>
      <c r="F106" t="str">
        <f>Config!$B$7</f>
        <v>SCH/Connector.SchLib</v>
      </c>
      <c r="G106" t="s">
        <v>14827</v>
      </c>
      <c r="H106" t="s">
        <v>15470</v>
      </c>
      <c r="I106" t="s">
        <v>14829</v>
      </c>
      <c r="J106" s="47"/>
      <c r="K106" s="47" t="s">
        <v>16094</v>
      </c>
      <c r="L106" t="s">
        <v>16093</v>
      </c>
      <c r="M106" t="s">
        <v>16119</v>
      </c>
    </row>
    <row r="107" spans="1:13">
      <c r="A107" t="s">
        <v>15475</v>
      </c>
      <c r="B107" t="s">
        <v>15475</v>
      </c>
      <c r="C107" t="s">
        <v>15476</v>
      </c>
      <c r="D107" t="s">
        <v>4310</v>
      </c>
      <c r="F107" t="str">
        <f>Config!$B$7</f>
        <v>SCH/Connector.SchLib</v>
      </c>
      <c r="G107" t="s">
        <v>14827</v>
      </c>
      <c r="H107" t="s">
        <v>15470</v>
      </c>
      <c r="I107" t="s">
        <v>14830</v>
      </c>
      <c r="J107" s="47"/>
      <c r="K107" s="47" t="s">
        <v>16094</v>
      </c>
      <c r="L107" t="s">
        <v>16094</v>
      </c>
      <c r="M107" t="s">
        <v>16119</v>
      </c>
    </row>
    <row r="108" spans="1:13">
      <c r="A108" t="s">
        <v>15477</v>
      </c>
      <c r="B108" t="s">
        <v>15477</v>
      </c>
      <c r="C108" t="s">
        <v>15478</v>
      </c>
      <c r="D108" t="s">
        <v>4310</v>
      </c>
      <c r="F108" t="str">
        <f>Config!$B$7</f>
        <v>SCH/Connector.SchLib</v>
      </c>
      <c r="G108" t="s">
        <v>14827</v>
      </c>
      <c r="H108" t="s">
        <v>15470</v>
      </c>
      <c r="I108" t="s">
        <v>14831</v>
      </c>
      <c r="J108" s="47"/>
      <c r="K108" s="47" t="s">
        <v>16094</v>
      </c>
      <c r="L108" t="s">
        <v>16095</v>
      </c>
      <c r="M108" t="s">
        <v>16119</v>
      </c>
    </row>
    <row r="109" spans="1:13">
      <c r="A109" t="s">
        <v>15479</v>
      </c>
      <c r="B109" t="s">
        <v>15479</v>
      </c>
      <c r="C109" t="s">
        <v>15480</v>
      </c>
      <c r="D109" t="s">
        <v>4310</v>
      </c>
      <c r="F109" t="str">
        <f>Config!$B$7</f>
        <v>SCH/Connector.SchLib</v>
      </c>
      <c r="G109" t="s">
        <v>14827</v>
      </c>
      <c r="H109" t="s">
        <v>15470</v>
      </c>
      <c r="I109" t="s">
        <v>14832</v>
      </c>
      <c r="J109" s="47"/>
      <c r="K109" s="47" t="s">
        <v>16095</v>
      </c>
      <c r="L109" t="s">
        <v>16093</v>
      </c>
      <c r="M109" t="s">
        <v>16119</v>
      </c>
    </row>
    <row r="110" spans="1:13">
      <c r="A110" t="s">
        <v>15481</v>
      </c>
      <c r="B110" t="s">
        <v>15481</v>
      </c>
      <c r="C110" t="s">
        <v>15482</v>
      </c>
      <c r="D110" t="s">
        <v>4310</v>
      </c>
      <c r="F110" t="str">
        <f>Config!$B$7</f>
        <v>SCH/Connector.SchLib</v>
      </c>
      <c r="G110" t="s">
        <v>14827</v>
      </c>
      <c r="H110" t="s">
        <v>15470</v>
      </c>
      <c r="I110" t="s">
        <v>14833</v>
      </c>
      <c r="J110" s="47"/>
      <c r="K110" s="47" t="s">
        <v>16095</v>
      </c>
      <c r="L110" t="s">
        <v>16094</v>
      </c>
      <c r="M110" t="s">
        <v>16119</v>
      </c>
    </row>
    <row r="111" spans="1:13">
      <c r="A111" t="s">
        <v>15483</v>
      </c>
      <c r="B111" t="s">
        <v>15483</v>
      </c>
      <c r="C111" t="s">
        <v>15484</v>
      </c>
      <c r="D111" t="s">
        <v>4310</v>
      </c>
      <c r="F111" t="str">
        <f>Config!$B$7</f>
        <v>SCH/Connector.SchLib</v>
      </c>
      <c r="G111" t="s">
        <v>14827</v>
      </c>
      <c r="H111" t="s">
        <v>15470</v>
      </c>
      <c r="I111" t="s">
        <v>14834</v>
      </c>
      <c r="J111" s="47"/>
      <c r="K111" s="47" t="s">
        <v>16095</v>
      </c>
      <c r="L111" t="s">
        <v>16095</v>
      </c>
      <c r="M111" t="s">
        <v>16119</v>
      </c>
    </row>
    <row r="112" spans="1:13">
      <c r="A112" t="s">
        <v>15485</v>
      </c>
      <c r="B112" t="s">
        <v>15485</v>
      </c>
      <c r="C112" t="s">
        <v>15486</v>
      </c>
      <c r="D112" t="s">
        <v>4310</v>
      </c>
      <c r="F112" t="str">
        <f>Config!$B$7</f>
        <v>SCH/Connector.SchLib</v>
      </c>
      <c r="G112" t="s">
        <v>14827</v>
      </c>
      <c r="H112" t="s">
        <v>15470</v>
      </c>
      <c r="I112" t="s">
        <v>14835</v>
      </c>
      <c r="J112" s="47"/>
      <c r="K112" s="47" t="s">
        <v>16095</v>
      </c>
      <c r="L112" t="s">
        <v>16097</v>
      </c>
      <c r="M112" t="s">
        <v>16119</v>
      </c>
    </row>
    <row r="113" spans="1:13">
      <c r="A113" t="s">
        <v>15487</v>
      </c>
      <c r="B113" t="s">
        <v>15487</v>
      </c>
      <c r="C113" t="s">
        <v>15488</v>
      </c>
      <c r="D113" t="s">
        <v>4310</v>
      </c>
      <c r="F113" t="str">
        <f>Config!$B$7</f>
        <v>SCH/Connector.SchLib</v>
      </c>
      <c r="G113" t="s">
        <v>14827</v>
      </c>
      <c r="H113" t="s">
        <v>15470</v>
      </c>
      <c r="I113" t="s">
        <v>14836</v>
      </c>
      <c r="J113" s="47"/>
      <c r="K113" s="47" t="s">
        <v>16096</v>
      </c>
      <c r="L113" t="s">
        <v>16104</v>
      </c>
      <c r="M113" t="s">
        <v>16119</v>
      </c>
    </row>
    <row r="114" spans="1:13">
      <c r="A114" t="s">
        <v>15489</v>
      </c>
      <c r="B114" t="s">
        <v>15489</v>
      </c>
      <c r="C114" t="s">
        <v>15490</v>
      </c>
      <c r="D114" t="s">
        <v>4310</v>
      </c>
      <c r="F114" t="str">
        <f>Config!$B$7</f>
        <v>SCH/Connector.SchLib</v>
      </c>
      <c r="G114" t="s">
        <v>14827</v>
      </c>
      <c r="H114" t="s">
        <v>15470</v>
      </c>
      <c r="I114" t="s">
        <v>14837</v>
      </c>
      <c r="J114" s="47"/>
      <c r="K114" s="47" t="s">
        <v>16096</v>
      </c>
      <c r="L114" t="s">
        <v>16096</v>
      </c>
      <c r="M114" t="s">
        <v>16119</v>
      </c>
    </row>
    <row r="115" spans="1:13">
      <c r="A115" t="s">
        <v>15491</v>
      </c>
      <c r="B115" t="s">
        <v>15491</v>
      </c>
      <c r="C115" t="s">
        <v>15492</v>
      </c>
      <c r="D115" t="s">
        <v>4310</v>
      </c>
      <c r="F115" t="str">
        <f>Config!$B$7</f>
        <v>SCH/Connector.SchLib</v>
      </c>
      <c r="G115" t="s">
        <v>14827</v>
      </c>
      <c r="H115" t="s">
        <v>15470</v>
      </c>
      <c r="I115" t="s">
        <v>14838</v>
      </c>
      <c r="J115" s="47"/>
      <c r="K115" s="47" t="s">
        <v>16096</v>
      </c>
      <c r="L115" t="s">
        <v>16098</v>
      </c>
      <c r="M115" t="s">
        <v>16119</v>
      </c>
    </row>
    <row r="116" spans="1:13">
      <c r="A116" t="s">
        <v>15493</v>
      </c>
      <c r="B116" t="s">
        <v>15493</v>
      </c>
      <c r="C116" t="s">
        <v>15494</v>
      </c>
      <c r="D116" t="s">
        <v>4310</v>
      </c>
      <c r="F116" t="str">
        <f>Config!$B$7</f>
        <v>SCH/Connector.SchLib</v>
      </c>
      <c r="G116" t="s">
        <v>14827</v>
      </c>
      <c r="H116" t="s">
        <v>15470</v>
      </c>
      <c r="I116" t="s">
        <v>14839</v>
      </c>
      <c r="J116" s="47"/>
      <c r="K116" s="47" t="s">
        <v>16097</v>
      </c>
      <c r="L116" t="s">
        <v>16094</v>
      </c>
      <c r="M116" t="s">
        <v>16119</v>
      </c>
    </row>
    <row r="117" spans="1:13">
      <c r="A117" t="s">
        <v>15495</v>
      </c>
      <c r="B117" t="s">
        <v>15495</v>
      </c>
      <c r="C117" t="s">
        <v>15496</v>
      </c>
      <c r="D117" t="s">
        <v>4310</v>
      </c>
      <c r="F117" t="str">
        <f>Config!$B$7</f>
        <v>SCH/Connector.SchLib</v>
      </c>
      <c r="G117" t="s">
        <v>14827</v>
      </c>
      <c r="H117" t="s">
        <v>15470</v>
      </c>
      <c r="I117" t="s">
        <v>14840</v>
      </c>
      <c r="J117" s="47"/>
      <c r="K117" s="47" t="s">
        <v>16097</v>
      </c>
      <c r="L117" t="s">
        <v>16095</v>
      </c>
      <c r="M117" t="s">
        <v>16119</v>
      </c>
    </row>
    <row r="118" spans="1:13">
      <c r="A118" t="s">
        <v>15497</v>
      </c>
      <c r="B118" t="s">
        <v>15497</v>
      </c>
      <c r="C118" t="s">
        <v>15498</v>
      </c>
      <c r="D118" t="s">
        <v>4310</v>
      </c>
      <c r="F118" t="str">
        <f>Config!$B$7</f>
        <v>SCH/Connector.SchLib</v>
      </c>
      <c r="G118" t="s">
        <v>14827</v>
      </c>
      <c r="H118" t="s">
        <v>15470</v>
      </c>
      <c r="I118" t="s">
        <v>14841</v>
      </c>
      <c r="K118" s="47" t="s">
        <v>16097</v>
      </c>
      <c r="L118" t="s">
        <v>16097</v>
      </c>
      <c r="M118" t="s">
        <v>16119</v>
      </c>
    </row>
    <row r="119" spans="1:13">
      <c r="A119" t="s">
        <v>15499</v>
      </c>
      <c r="B119" t="s">
        <v>15499</v>
      </c>
      <c r="C119" t="s">
        <v>15500</v>
      </c>
      <c r="D119" t="s">
        <v>4310</v>
      </c>
      <c r="F119" t="str">
        <f>Config!$B$7</f>
        <v>SCH/Connector.SchLib</v>
      </c>
      <c r="G119" t="s">
        <v>14827</v>
      </c>
      <c r="H119" t="s">
        <v>15470</v>
      </c>
      <c r="I119" t="s">
        <v>14842</v>
      </c>
      <c r="K119" s="47" t="s">
        <v>16097</v>
      </c>
      <c r="L119" t="s">
        <v>16099</v>
      </c>
      <c r="M119" t="s">
        <v>16119</v>
      </c>
    </row>
    <row r="120" spans="1:13">
      <c r="A120" t="s">
        <v>15501</v>
      </c>
      <c r="B120" t="s">
        <v>15501</v>
      </c>
      <c r="C120" t="s">
        <v>15502</v>
      </c>
      <c r="D120" t="s">
        <v>4310</v>
      </c>
      <c r="F120" t="str">
        <f>Config!$B$7</f>
        <v>SCH/Connector.SchLib</v>
      </c>
      <c r="G120" t="s">
        <v>14827</v>
      </c>
      <c r="H120" t="s">
        <v>15470</v>
      </c>
      <c r="I120" t="s">
        <v>14843</v>
      </c>
      <c r="K120" s="47" t="s">
        <v>16098</v>
      </c>
      <c r="L120" t="s">
        <v>16104</v>
      </c>
      <c r="M120" t="s">
        <v>16119</v>
      </c>
    </row>
    <row r="121" spans="1:13">
      <c r="A121" t="s">
        <v>15503</v>
      </c>
      <c r="B121" t="s">
        <v>15503</v>
      </c>
      <c r="C121" t="s">
        <v>15504</v>
      </c>
      <c r="D121" t="s">
        <v>4310</v>
      </c>
      <c r="F121" t="str">
        <f>Config!$B$7</f>
        <v>SCH/Connector.SchLib</v>
      </c>
      <c r="G121" t="s">
        <v>14827</v>
      </c>
      <c r="H121" t="s">
        <v>15470</v>
      </c>
      <c r="I121" t="s">
        <v>14844</v>
      </c>
      <c r="K121" s="47" t="s">
        <v>16098</v>
      </c>
      <c r="L121" t="s">
        <v>16096</v>
      </c>
      <c r="M121" t="s">
        <v>16119</v>
      </c>
    </row>
    <row r="122" spans="1:13">
      <c r="A122" t="s">
        <v>15505</v>
      </c>
      <c r="B122" t="s">
        <v>15505</v>
      </c>
      <c r="C122" t="s">
        <v>15506</v>
      </c>
      <c r="D122" t="s">
        <v>4310</v>
      </c>
      <c r="F122" t="str">
        <f>Config!$B$7</f>
        <v>SCH/Connector.SchLib</v>
      </c>
      <c r="G122" t="s">
        <v>14827</v>
      </c>
      <c r="H122" t="s">
        <v>15470</v>
      </c>
      <c r="I122" t="s">
        <v>14845</v>
      </c>
      <c r="K122" s="47" t="s">
        <v>16098</v>
      </c>
      <c r="L122" t="s">
        <v>16098</v>
      </c>
      <c r="M122" t="s">
        <v>16119</v>
      </c>
    </row>
    <row r="123" spans="1:13">
      <c r="A123" t="s">
        <v>15507</v>
      </c>
      <c r="B123" t="s">
        <v>15507</v>
      </c>
      <c r="C123" t="s">
        <v>15508</v>
      </c>
      <c r="D123" t="s">
        <v>4310</v>
      </c>
      <c r="F123" t="str">
        <f>Config!$B$7</f>
        <v>SCH/Connector.SchLib</v>
      </c>
      <c r="G123" t="s">
        <v>14827</v>
      </c>
      <c r="H123" t="s">
        <v>15470</v>
      </c>
      <c r="I123" t="s">
        <v>14846</v>
      </c>
      <c r="K123" s="47" t="s">
        <v>16098</v>
      </c>
      <c r="L123" t="s">
        <v>16101</v>
      </c>
      <c r="M123" t="s">
        <v>16119</v>
      </c>
    </row>
    <row r="124" spans="1:13">
      <c r="A124" t="s">
        <v>15509</v>
      </c>
      <c r="B124" t="s">
        <v>15509</v>
      </c>
      <c r="C124" t="s">
        <v>15510</v>
      </c>
      <c r="D124" t="s">
        <v>4310</v>
      </c>
      <c r="F124" t="str">
        <f>Config!$B$7</f>
        <v>SCH/Connector.SchLib</v>
      </c>
      <c r="G124" t="s">
        <v>14827</v>
      </c>
      <c r="H124" t="s">
        <v>15470</v>
      </c>
      <c r="I124" t="s">
        <v>14847</v>
      </c>
      <c r="K124" s="47" t="s">
        <v>16099</v>
      </c>
      <c r="L124" t="s">
        <v>16105</v>
      </c>
      <c r="M124" t="s">
        <v>16119</v>
      </c>
    </row>
    <row r="125" spans="1:13">
      <c r="A125" t="s">
        <v>15511</v>
      </c>
      <c r="B125" t="s">
        <v>15511</v>
      </c>
      <c r="C125" t="s">
        <v>15512</v>
      </c>
      <c r="D125" t="s">
        <v>4310</v>
      </c>
      <c r="F125" t="str">
        <f>Config!$B$7</f>
        <v>SCH/Connector.SchLib</v>
      </c>
      <c r="G125" t="s">
        <v>14827</v>
      </c>
      <c r="H125" t="s">
        <v>15470</v>
      </c>
      <c r="I125" t="s">
        <v>14848</v>
      </c>
      <c r="K125" s="47" t="s">
        <v>16099</v>
      </c>
      <c r="L125" t="s">
        <v>16095</v>
      </c>
      <c r="M125" t="s">
        <v>16119</v>
      </c>
    </row>
    <row r="126" spans="1:13">
      <c r="A126" t="s">
        <v>15513</v>
      </c>
      <c r="B126" t="s">
        <v>15513</v>
      </c>
      <c r="C126" t="s">
        <v>15514</v>
      </c>
      <c r="D126" t="s">
        <v>4310</v>
      </c>
      <c r="F126" t="str">
        <f>Config!$B$7</f>
        <v>SCH/Connector.SchLib</v>
      </c>
      <c r="G126" t="s">
        <v>14827</v>
      </c>
      <c r="H126" t="s">
        <v>15470</v>
      </c>
      <c r="I126" t="s">
        <v>14849</v>
      </c>
      <c r="K126" s="47" t="s">
        <v>16099</v>
      </c>
      <c r="L126" t="s">
        <v>16097</v>
      </c>
      <c r="M126" t="s">
        <v>16119</v>
      </c>
    </row>
    <row r="127" spans="1:13">
      <c r="A127" t="s">
        <v>15515</v>
      </c>
      <c r="B127" t="s">
        <v>15515</v>
      </c>
      <c r="C127" t="s">
        <v>15516</v>
      </c>
      <c r="D127" t="s">
        <v>4310</v>
      </c>
      <c r="F127" t="str">
        <f>Config!$B$7</f>
        <v>SCH/Connector.SchLib</v>
      </c>
      <c r="G127" t="s">
        <v>14827</v>
      </c>
      <c r="H127" t="s">
        <v>15470</v>
      </c>
      <c r="I127" t="s">
        <v>14850</v>
      </c>
      <c r="K127" s="47" t="s">
        <v>16099</v>
      </c>
      <c r="L127" t="s">
        <v>16099</v>
      </c>
      <c r="M127" t="s">
        <v>16119</v>
      </c>
    </row>
    <row r="128" spans="1:13">
      <c r="A128" t="s">
        <v>15517</v>
      </c>
      <c r="B128" t="s">
        <v>15517</v>
      </c>
      <c r="C128" t="s">
        <v>15518</v>
      </c>
      <c r="D128" t="s">
        <v>4310</v>
      </c>
      <c r="F128" t="str">
        <f>Config!$B$7</f>
        <v>SCH/Connector.SchLib</v>
      </c>
      <c r="G128" t="s">
        <v>14827</v>
      </c>
      <c r="H128" t="s">
        <v>15470</v>
      </c>
      <c r="I128" t="s">
        <v>14851</v>
      </c>
      <c r="K128" s="47" t="s">
        <v>16099</v>
      </c>
      <c r="L128" t="s">
        <v>16102</v>
      </c>
      <c r="M128" t="s">
        <v>16119</v>
      </c>
    </row>
    <row r="129" spans="1:13">
      <c r="A129" t="s">
        <v>15519</v>
      </c>
      <c r="B129" t="s">
        <v>15519</v>
      </c>
      <c r="C129" t="s">
        <v>15520</v>
      </c>
      <c r="D129" t="s">
        <v>4310</v>
      </c>
      <c r="F129" t="str">
        <f>Config!$B$7</f>
        <v>SCH/Connector.SchLib</v>
      </c>
      <c r="G129" t="s">
        <v>14827</v>
      </c>
      <c r="H129" t="s">
        <v>15470</v>
      </c>
      <c r="I129" t="s">
        <v>14852</v>
      </c>
      <c r="K129" s="47" t="s">
        <v>16100</v>
      </c>
      <c r="L129" t="s">
        <v>16094</v>
      </c>
      <c r="M129" t="s">
        <v>16119</v>
      </c>
    </row>
    <row r="130" spans="1:13">
      <c r="A130" t="s">
        <v>16010</v>
      </c>
      <c r="B130" t="s">
        <v>16010</v>
      </c>
      <c r="C130" t="s">
        <v>16011</v>
      </c>
      <c r="D130" t="s">
        <v>4310</v>
      </c>
      <c r="F130" t="str">
        <f>Config!$B$7</f>
        <v>SCH/Connector.SchLib</v>
      </c>
      <c r="G130" t="s">
        <v>14827</v>
      </c>
      <c r="H130" t="s">
        <v>15470</v>
      </c>
      <c r="I130" t="s">
        <v>15590</v>
      </c>
      <c r="K130" s="47" t="s">
        <v>16100</v>
      </c>
      <c r="L130" t="s">
        <v>16095</v>
      </c>
      <c r="M130" t="s">
        <v>16119</v>
      </c>
    </row>
    <row r="131" spans="1:13">
      <c r="A131" t="s">
        <v>15521</v>
      </c>
      <c r="B131" t="s">
        <v>15521</v>
      </c>
      <c r="C131" t="s">
        <v>15522</v>
      </c>
      <c r="D131" t="s">
        <v>4310</v>
      </c>
      <c r="F131" t="str">
        <f>Config!$B$7</f>
        <v>SCH/Connector.SchLib</v>
      </c>
      <c r="G131" t="s">
        <v>14827</v>
      </c>
      <c r="H131" t="s">
        <v>15470</v>
      </c>
      <c r="I131" t="s">
        <v>14853</v>
      </c>
      <c r="K131" s="47" t="s">
        <v>16100</v>
      </c>
      <c r="L131" t="s">
        <v>16106</v>
      </c>
      <c r="M131" t="s">
        <v>16119</v>
      </c>
    </row>
    <row r="132" spans="1:13">
      <c r="A132" t="s">
        <v>15523</v>
      </c>
      <c r="B132" t="s">
        <v>15523</v>
      </c>
      <c r="C132" t="s">
        <v>15524</v>
      </c>
      <c r="D132" t="s">
        <v>4310</v>
      </c>
      <c r="F132" t="str">
        <f>Config!$B$7</f>
        <v>SCH/Connector.SchLib</v>
      </c>
      <c r="G132" t="s">
        <v>14827</v>
      </c>
      <c r="H132" t="s">
        <v>15470</v>
      </c>
      <c r="I132" t="s">
        <v>14854</v>
      </c>
      <c r="K132" s="47" t="s">
        <v>16100</v>
      </c>
      <c r="L132" t="s">
        <v>16107</v>
      </c>
      <c r="M132" t="s">
        <v>16119</v>
      </c>
    </row>
    <row r="133" spans="1:13">
      <c r="A133" t="s">
        <v>15525</v>
      </c>
      <c r="B133" t="s">
        <v>15525</v>
      </c>
      <c r="C133" t="s">
        <v>15526</v>
      </c>
      <c r="D133" t="s">
        <v>4310</v>
      </c>
      <c r="F133" t="str">
        <f>Config!$B$7</f>
        <v>SCH/Connector.SchLib</v>
      </c>
      <c r="G133" t="s">
        <v>14827</v>
      </c>
      <c r="H133" t="s">
        <v>15470</v>
      </c>
      <c r="I133" t="s">
        <v>14855</v>
      </c>
      <c r="K133" s="47" t="s">
        <v>16100</v>
      </c>
      <c r="L133" t="s">
        <v>16100</v>
      </c>
      <c r="M133" t="s">
        <v>16119</v>
      </c>
    </row>
    <row r="134" spans="1:13">
      <c r="A134" t="s">
        <v>15527</v>
      </c>
      <c r="B134" t="s">
        <v>15527</v>
      </c>
      <c r="C134" t="s">
        <v>15528</v>
      </c>
      <c r="D134" t="s">
        <v>4310</v>
      </c>
      <c r="F134" t="str">
        <f>Config!$B$7</f>
        <v>SCH/Connector.SchLib</v>
      </c>
      <c r="G134" t="s">
        <v>14827</v>
      </c>
      <c r="H134" t="s">
        <v>15470</v>
      </c>
      <c r="I134" t="s">
        <v>14856</v>
      </c>
      <c r="K134" s="47" t="s">
        <v>16100</v>
      </c>
      <c r="L134" t="s">
        <v>16108</v>
      </c>
      <c r="M134" t="s">
        <v>16119</v>
      </c>
    </row>
    <row r="135" spans="1:13">
      <c r="A135" t="s">
        <v>16012</v>
      </c>
      <c r="B135" t="s">
        <v>16012</v>
      </c>
      <c r="C135" t="s">
        <v>16013</v>
      </c>
      <c r="D135" t="s">
        <v>4310</v>
      </c>
      <c r="F135" t="str">
        <f>Config!$B$7</f>
        <v>SCH/Connector.SchLib</v>
      </c>
      <c r="G135" t="s">
        <v>14827</v>
      </c>
      <c r="H135" t="s">
        <v>15470</v>
      </c>
      <c r="I135" t="s">
        <v>15593</v>
      </c>
      <c r="K135" s="47" t="s">
        <v>16101</v>
      </c>
      <c r="L135" t="s">
        <v>16109</v>
      </c>
      <c r="M135" t="s">
        <v>16119</v>
      </c>
    </row>
    <row r="136" spans="1:13">
      <c r="A136" t="s">
        <v>16014</v>
      </c>
      <c r="B136" t="s">
        <v>16014</v>
      </c>
      <c r="C136" t="s">
        <v>16015</v>
      </c>
      <c r="D136" t="s">
        <v>4310</v>
      </c>
      <c r="F136" t="str">
        <f>Config!$B$7</f>
        <v>SCH/Connector.SchLib</v>
      </c>
      <c r="G136" t="s">
        <v>14827</v>
      </c>
      <c r="H136" t="s">
        <v>15470</v>
      </c>
      <c r="I136" t="s">
        <v>15594</v>
      </c>
      <c r="K136" s="47" t="s">
        <v>16101</v>
      </c>
      <c r="L136" t="s">
        <v>16095</v>
      </c>
      <c r="M136" t="s">
        <v>16119</v>
      </c>
    </row>
    <row r="137" spans="1:13">
      <c r="A137" t="s">
        <v>16016</v>
      </c>
      <c r="B137" t="s">
        <v>16016</v>
      </c>
      <c r="C137" t="s">
        <v>16017</v>
      </c>
      <c r="D137" t="s">
        <v>4310</v>
      </c>
      <c r="F137" t="str">
        <f>Config!$B$7</f>
        <v>SCH/Connector.SchLib</v>
      </c>
      <c r="G137" t="s">
        <v>14827</v>
      </c>
      <c r="H137" t="s">
        <v>15470</v>
      </c>
      <c r="I137" t="s">
        <v>15595</v>
      </c>
      <c r="K137" s="47" t="s">
        <v>16101</v>
      </c>
      <c r="L137" t="s">
        <v>16096</v>
      </c>
      <c r="M137" t="s">
        <v>16119</v>
      </c>
    </row>
    <row r="138" spans="1:13">
      <c r="A138" t="s">
        <v>16018</v>
      </c>
      <c r="B138" t="s">
        <v>16018</v>
      </c>
      <c r="C138" t="s">
        <v>16019</v>
      </c>
      <c r="D138" t="s">
        <v>4310</v>
      </c>
      <c r="F138" t="str">
        <f>Config!$B$7</f>
        <v>SCH/Connector.SchLib</v>
      </c>
      <c r="G138" t="s">
        <v>14827</v>
      </c>
      <c r="H138" t="s">
        <v>15470</v>
      </c>
      <c r="I138" t="s">
        <v>15596</v>
      </c>
      <c r="K138" s="47" t="s">
        <v>16101</v>
      </c>
      <c r="L138" t="s">
        <v>16098</v>
      </c>
      <c r="M138" t="s">
        <v>16119</v>
      </c>
    </row>
    <row r="139" spans="1:13">
      <c r="A139" t="s">
        <v>16020</v>
      </c>
      <c r="B139" t="s">
        <v>16020</v>
      </c>
      <c r="C139" t="s">
        <v>16021</v>
      </c>
      <c r="D139" t="s">
        <v>4310</v>
      </c>
      <c r="F139" t="str">
        <f>Config!$B$7</f>
        <v>SCH/Connector.SchLib</v>
      </c>
      <c r="G139" t="s">
        <v>14827</v>
      </c>
      <c r="H139" t="s">
        <v>15470</v>
      </c>
      <c r="I139" t="s">
        <v>15597</v>
      </c>
      <c r="K139" s="47" t="s">
        <v>16101</v>
      </c>
      <c r="L139" t="s">
        <v>16101</v>
      </c>
      <c r="M139" t="s">
        <v>16119</v>
      </c>
    </row>
    <row r="140" spans="1:13">
      <c r="A140" t="s">
        <v>16022</v>
      </c>
      <c r="B140" t="s">
        <v>16022</v>
      </c>
      <c r="C140" t="s">
        <v>16023</v>
      </c>
      <c r="D140" t="s">
        <v>4310</v>
      </c>
      <c r="F140" t="str">
        <f>Config!$B$7</f>
        <v>SCH/Connector.SchLib</v>
      </c>
      <c r="G140" t="s">
        <v>14827</v>
      </c>
      <c r="H140" t="s">
        <v>15470</v>
      </c>
      <c r="I140" t="s">
        <v>15598</v>
      </c>
      <c r="K140" s="47" t="s">
        <v>16101</v>
      </c>
      <c r="L140" t="s">
        <v>16110</v>
      </c>
      <c r="M140" t="s">
        <v>16119</v>
      </c>
    </row>
    <row r="141" spans="1:13">
      <c r="A141" t="s">
        <v>16024</v>
      </c>
      <c r="B141" t="s">
        <v>16024</v>
      </c>
      <c r="C141" t="s">
        <v>16025</v>
      </c>
      <c r="D141" t="s">
        <v>4310</v>
      </c>
      <c r="F141" t="str">
        <f>Config!$B$7</f>
        <v>SCH/Connector.SchLib</v>
      </c>
      <c r="G141" t="s">
        <v>14827</v>
      </c>
      <c r="H141" t="s">
        <v>15470</v>
      </c>
      <c r="I141" t="s">
        <v>15599</v>
      </c>
      <c r="K141" s="47" t="s">
        <v>16102</v>
      </c>
      <c r="L141" t="s">
        <v>16094</v>
      </c>
      <c r="M141" t="s">
        <v>16119</v>
      </c>
    </row>
    <row r="142" spans="1:13">
      <c r="A142" t="s">
        <v>16026</v>
      </c>
      <c r="B142" t="s">
        <v>16026</v>
      </c>
      <c r="C142" t="s">
        <v>16027</v>
      </c>
      <c r="D142" t="s">
        <v>4310</v>
      </c>
      <c r="F142" t="str">
        <f>Config!$B$7</f>
        <v>SCH/Connector.SchLib</v>
      </c>
      <c r="G142" t="s">
        <v>14827</v>
      </c>
      <c r="H142" t="s">
        <v>15470</v>
      </c>
      <c r="I142" t="s">
        <v>15600</v>
      </c>
      <c r="K142" s="47" t="s">
        <v>16102</v>
      </c>
      <c r="L142" t="s">
        <v>16111</v>
      </c>
      <c r="M142" t="s">
        <v>16119</v>
      </c>
    </row>
    <row r="143" spans="1:13">
      <c r="A143" t="s">
        <v>16028</v>
      </c>
      <c r="B143" t="s">
        <v>16028</v>
      </c>
      <c r="C143" t="s">
        <v>16029</v>
      </c>
      <c r="D143" t="s">
        <v>4310</v>
      </c>
      <c r="F143" t="str">
        <f>Config!$B$7</f>
        <v>SCH/Connector.SchLib</v>
      </c>
      <c r="G143" t="s">
        <v>14827</v>
      </c>
      <c r="H143" t="s">
        <v>15470</v>
      </c>
      <c r="I143" t="s">
        <v>15601</v>
      </c>
      <c r="K143" s="47" t="s">
        <v>16102</v>
      </c>
      <c r="L143" t="s">
        <v>16095</v>
      </c>
      <c r="M143" t="s">
        <v>16119</v>
      </c>
    </row>
    <row r="144" spans="1:13">
      <c r="A144" t="s">
        <v>16030</v>
      </c>
      <c r="B144" t="s">
        <v>16030</v>
      </c>
      <c r="C144" t="s">
        <v>16031</v>
      </c>
      <c r="D144" t="s">
        <v>4310</v>
      </c>
      <c r="F144" t="str">
        <f>Config!$B$7</f>
        <v>SCH/Connector.SchLib</v>
      </c>
      <c r="G144" t="s">
        <v>14827</v>
      </c>
      <c r="H144" t="s">
        <v>15470</v>
      </c>
      <c r="I144" t="s">
        <v>15602</v>
      </c>
      <c r="K144" s="47" t="s">
        <v>16102</v>
      </c>
      <c r="L144" t="s">
        <v>16097</v>
      </c>
      <c r="M144" t="s">
        <v>16119</v>
      </c>
    </row>
    <row r="145" spans="1:13">
      <c r="A145" t="s">
        <v>16032</v>
      </c>
      <c r="B145" t="s">
        <v>16032</v>
      </c>
      <c r="C145" t="s">
        <v>16033</v>
      </c>
      <c r="D145" t="s">
        <v>4310</v>
      </c>
      <c r="F145" t="str">
        <f>Config!$B$7</f>
        <v>SCH/Connector.SchLib</v>
      </c>
      <c r="G145" t="s">
        <v>14827</v>
      </c>
      <c r="H145" t="s">
        <v>15470</v>
      </c>
      <c r="I145" t="s">
        <v>15603</v>
      </c>
      <c r="K145" s="47" t="s">
        <v>16102</v>
      </c>
      <c r="L145" t="s">
        <v>16099</v>
      </c>
      <c r="M145" t="s">
        <v>16119</v>
      </c>
    </row>
    <row r="146" spans="1:13">
      <c r="A146" t="s">
        <v>16034</v>
      </c>
      <c r="B146" t="s">
        <v>16034</v>
      </c>
      <c r="C146" t="s">
        <v>16035</v>
      </c>
      <c r="D146" t="s">
        <v>4310</v>
      </c>
      <c r="F146" t="str">
        <f>Config!$B$7</f>
        <v>SCH/Connector.SchLib</v>
      </c>
      <c r="G146" t="s">
        <v>14827</v>
      </c>
      <c r="H146" t="s">
        <v>15470</v>
      </c>
      <c r="I146" t="s">
        <v>15604</v>
      </c>
      <c r="K146" s="47" t="s">
        <v>16102</v>
      </c>
      <c r="L146" t="s">
        <v>16102</v>
      </c>
      <c r="M146" t="s">
        <v>16119</v>
      </c>
    </row>
    <row r="147" spans="1:13">
      <c r="A147" t="s">
        <v>16036</v>
      </c>
      <c r="B147" t="s">
        <v>16036</v>
      </c>
      <c r="C147" t="s">
        <v>16037</v>
      </c>
      <c r="D147" t="s">
        <v>4310</v>
      </c>
      <c r="F147" t="str">
        <f>Config!$B$7</f>
        <v>SCH/Connector.SchLib</v>
      </c>
      <c r="G147" t="s">
        <v>14827</v>
      </c>
      <c r="H147" t="s">
        <v>15470</v>
      </c>
      <c r="I147" t="s">
        <v>15605</v>
      </c>
      <c r="K147" s="47" t="s">
        <v>16102</v>
      </c>
      <c r="L147" t="s">
        <v>16112</v>
      </c>
      <c r="M147" t="s">
        <v>16119</v>
      </c>
    </row>
    <row r="148" spans="1:13">
      <c r="A148" t="s">
        <v>16038</v>
      </c>
      <c r="B148" t="s">
        <v>16038</v>
      </c>
      <c r="C148" t="s">
        <v>16039</v>
      </c>
      <c r="D148" t="s">
        <v>4310</v>
      </c>
      <c r="F148" t="str">
        <f>Config!$B$7</f>
        <v>SCH/Connector.SchLib</v>
      </c>
      <c r="G148" t="s">
        <v>14827</v>
      </c>
      <c r="H148" t="s">
        <v>15470</v>
      </c>
      <c r="I148" t="s">
        <v>15606</v>
      </c>
      <c r="K148" s="47" t="s">
        <v>16103</v>
      </c>
      <c r="L148" t="s">
        <v>16094</v>
      </c>
      <c r="M148" t="s">
        <v>16119</v>
      </c>
    </row>
    <row r="149" spans="1:13">
      <c r="A149" t="s">
        <v>16040</v>
      </c>
      <c r="B149" t="s">
        <v>16040</v>
      </c>
      <c r="C149" t="s">
        <v>16041</v>
      </c>
      <c r="D149" t="s">
        <v>4310</v>
      </c>
      <c r="F149" t="str">
        <f>Config!$B$7</f>
        <v>SCH/Connector.SchLib</v>
      </c>
      <c r="G149" t="s">
        <v>14827</v>
      </c>
      <c r="H149" t="s">
        <v>15470</v>
      </c>
      <c r="I149" t="s">
        <v>15607</v>
      </c>
      <c r="K149" s="47" t="s">
        <v>16103</v>
      </c>
      <c r="L149" t="s">
        <v>16095</v>
      </c>
      <c r="M149" t="s">
        <v>16119</v>
      </c>
    </row>
    <row r="150" spans="1:13">
      <c r="A150" t="s">
        <v>16042</v>
      </c>
      <c r="B150" t="s">
        <v>16042</v>
      </c>
      <c r="C150" t="s">
        <v>16043</v>
      </c>
      <c r="D150" t="s">
        <v>4310</v>
      </c>
      <c r="F150" t="str">
        <f>Config!$B$7</f>
        <v>SCH/Connector.SchLib</v>
      </c>
      <c r="G150" t="s">
        <v>14827</v>
      </c>
      <c r="H150" t="s">
        <v>15470</v>
      </c>
      <c r="I150" t="s">
        <v>15608</v>
      </c>
      <c r="K150" s="47" t="s">
        <v>16103</v>
      </c>
      <c r="L150" t="s">
        <v>16107</v>
      </c>
      <c r="M150" t="s">
        <v>16119</v>
      </c>
    </row>
    <row r="151" spans="1:13">
      <c r="A151" t="s">
        <v>16044</v>
      </c>
      <c r="B151" t="s">
        <v>16044</v>
      </c>
      <c r="C151" t="s">
        <v>16045</v>
      </c>
      <c r="D151" t="s">
        <v>4310</v>
      </c>
      <c r="F151" t="str">
        <f>Config!$B$7</f>
        <v>SCH/Connector.SchLib</v>
      </c>
      <c r="G151" t="s">
        <v>14827</v>
      </c>
      <c r="H151" t="s">
        <v>15470</v>
      </c>
      <c r="I151" t="s">
        <v>15609</v>
      </c>
      <c r="K151" s="47" t="s">
        <v>16103</v>
      </c>
      <c r="L151" t="s">
        <v>16100</v>
      </c>
      <c r="M151" t="s">
        <v>16119</v>
      </c>
    </row>
    <row r="152" spans="1:13">
      <c r="A152" t="s">
        <v>16046</v>
      </c>
      <c r="B152" t="s">
        <v>16046</v>
      </c>
      <c r="C152" t="s">
        <v>16047</v>
      </c>
      <c r="D152" t="s">
        <v>4310</v>
      </c>
      <c r="F152" t="str">
        <f>Config!$B$7</f>
        <v>SCH/Connector.SchLib</v>
      </c>
      <c r="G152" t="s">
        <v>14827</v>
      </c>
      <c r="H152" t="s">
        <v>15470</v>
      </c>
      <c r="I152" t="s">
        <v>15610</v>
      </c>
      <c r="K152" s="47" t="s">
        <v>16103</v>
      </c>
      <c r="L152" t="s">
        <v>16108</v>
      </c>
      <c r="M152" t="s">
        <v>16119</v>
      </c>
    </row>
    <row r="153" spans="1:13">
      <c r="A153" t="s">
        <v>16048</v>
      </c>
      <c r="B153" t="s">
        <v>16048</v>
      </c>
      <c r="C153" t="s">
        <v>16049</v>
      </c>
      <c r="D153" t="s">
        <v>4310</v>
      </c>
      <c r="F153" t="str">
        <f>Config!$B$7</f>
        <v>SCH/Connector.SchLib</v>
      </c>
      <c r="G153" t="s">
        <v>14827</v>
      </c>
      <c r="H153" t="s">
        <v>15470</v>
      </c>
      <c r="I153" t="s">
        <v>15611</v>
      </c>
      <c r="K153" s="47" t="s">
        <v>16103</v>
      </c>
      <c r="L153" t="s">
        <v>16113</v>
      </c>
      <c r="M153" t="s">
        <v>16119</v>
      </c>
    </row>
    <row r="155" spans="1:13">
      <c r="A155" t="s">
        <v>15407</v>
      </c>
      <c r="B155" t="s">
        <v>15407</v>
      </c>
      <c r="C155" t="s">
        <v>15408</v>
      </c>
      <c r="D155" t="s">
        <v>4310</v>
      </c>
      <c r="F155" t="str">
        <f>Config!$B$7</f>
        <v>SCH/Connector.SchLib</v>
      </c>
      <c r="G155" t="s">
        <v>14827</v>
      </c>
      <c r="H155" t="s">
        <v>15409</v>
      </c>
      <c r="I155" t="s">
        <v>14857</v>
      </c>
      <c r="K155" s="47" t="s">
        <v>16093</v>
      </c>
      <c r="L155" t="s">
        <v>16093</v>
      </c>
      <c r="M155" t="s">
        <v>16120</v>
      </c>
    </row>
    <row r="156" spans="1:13">
      <c r="A156" t="s">
        <v>15410</v>
      </c>
      <c r="B156" t="s">
        <v>15410</v>
      </c>
      <c r="C156" t="s">
        <v>15411</v>
      </c>
      <c r="D156" t="s">
        <v>4310</v>
      </c>
      <c r="F156" t="str">
        <f>Config!$B$7</f>
        <v>SCH/Connector.SchLib</v>
      </c>
      <c r="G156" t="s">
        <v>14827</v>
      </c>
      <c r="H156" t="s">
        <v>15409</v>
      </c>
      <c r="I156" t="s">
        <v>14858</v>
      </c>
      <c r="K156" s="47" t="s">
        <v>16093</v>
      </c>
      <c r="L156" t="s">
        <v>16094</v>
      </c>
      <c r="M156" t="s">
        <v>16120</v>
      </c>
    </row>
    <row r="157" spans="1:13">
      <c r="A157" t="s">
        <v>15412</v>
      </c>
      <c r="B157" t="s">
        <v>15412</v>
      </c>
      <c r="C157" t="s">
        <v>15413</v>
      </c>
      <c r="D157" t="s">
        <v>4310</v>
      </c>
      <c r="F157" t="str">
        <f>Config!$B$7</f>
        <v>SCH/Connector.SchLib</v>
      </c>
      <c r="G157" t="s">
        <v>14827</v>
      </c>
      <c r="H157" t="s">
        <v>15409</v>
      </c>
      <c r="I157" t="s">
        <v>14829</v>
      </c>
      <c r="K157" s="47" t="s">
        <v>16094</v>
      </c>
      <c r="L157" t="s">
        <v>16093</v>
      </c>
      <c r="M157" t="s">
        <v>16120</v>
      </c>
    </row>
    <row r="158" spans="1:13">
      <c r="A158" t="s">
        <v>15414</v>
      </c>
      <c r="B158" t="s">
        <v>15414</v>
      </c>
      <c r="C158" t="s">
        <v>15415</v>
      </c>
      <c r="D158" t="s">
        <v>4310</v>
      </c>
      <c r="F158" t="str">
        <f>Config!$B$7</f>
        <v>SCH/Connector.SchLib</v>
      </c>
      <c r="G158" t="s">
        <v>14827</v>
      </c>
      <c r="H158" t="s">
        <v>15409</v>
      </c>
      <c r="I158" t="s">
        <v>14830</v>
      </c>
      <c r="K158" s="47" t="s">
        <v>16094</v>
      </c>
      <c r="L158" t="s">
        <v>16094</v>
      </c>
      <c r="M158" t="s">
        <v>16120</v>
      </c>
    </row>
    <row r="159" spans="1:13">
      <c r="A159" t="s">
        <v>15416</v>
      </c>
      <c r="B159" t="s">
        <v>15416</v>
      </c>
      <c r="C159" t="s">
        <v>15417</v>
      </c>
      <c r="D159" t="s">
        <v>4310</v>
      </c>
      <c r="F159" t="str">
        <f>Config!$B$7</f>
        <v>SCH/Connector.SchLib</v>
      </c>
      <c r="G159" t="s">
        <v>14827</v>
      </c>
      <c r="H159" t="s">
        <v>15409</v>
      </c>
      <c r="I159" t="s">
        <v>14831</v>
      </c>
      <c r="K159" s="47" t="s">
        <v>16094</v>
      </c>
      <c r="L159" t="s">
        <v>16095</v>
      </c>
      <c r="M159" t="s">
        <v>16120</v>
      </c>
    </row>
    <row r="160" spans="1:13">
      <c r="A160" t="s">
        <v>15418</v>
      </c>
      <c r="B160" t="s">
        <v>15418</v>
      </c>
      <c r="C160" t="s">
        <v>15419</v>
      </c>
      <c r="D160" t="s">
        <v>4310</v>
      </c>
      <c r="F160" t="str">
        <f>Config!$B$7</f>
        <v>SCH/Connector.SchLib</v>
      </c>
      <c r="G160" t="s">
        <v>14827</v>
      </c>
      <c r="H160" t="s">
        <v>15409</v>
      </c>
      <c r="I160" t="s">
        <v>14832</v>
      </c>
      <c r="K160" s="47" t="s">
        <v>16095</v>
      </c>
      <c r="L160" t="s">
        <v>16093</v>
      </c>
      <c r="M160" t="s">
        <v>16120</v>
      </c>
    </row>
    <row r="161" spans="1:13">
      <c r="A161" t="s">
        <v>15420</v>
      </c>
      <c r="B161" t="s">
        <v>15420</v>
      </c>
      <c r="C161" t="s">
        <v>15421</v>
      </c>
      <c r="D161" t="s">
        <v>4310</v>
      </c>
      <c r="F161" t="str">
        <f>Config!$B$7</f>
        <v>SCH/Connector.SchLib</v>
      </c>
      <c r="G161" t="s">
        <v>14827</v>
      </c>
      <c r="H161" t="s">
        <v>15409</v>
      </c>
      <c r="I161" t="s">
        <v>14833</v>
      </c>
      <c r="K161" s="47" t="s">
        <v>16095</v>
      </c>
      <c r="L161" t="s">
        <v>16094</v>
      </c>
      <c r="M161" t="s">
        <v>16120</v>
      </c>
    </row>
    <row r="162" spans="1:13">
      <c r="A162" t="s">
        <v>15422</v>
      </c>
      <c r="B162" t="s">
        <v>15422</v>
      </c>
      <c r="C162" t="s">
        <v>15423</v>
      </c>
      <c r="D162" t="s">
        <v>4310</v>
      </c>
      <c r="F162" t="str">
        <f>Config!$B$7</f>
        <v>SCH/Connector.SchLib</v>
      </c>
      <c r="G162" t="s">
        <v>14827</v>
      </c>
      <c r="H162" t="s">
        <v>15409</v>
      </c>
      <c r="I162" t="s">
        <v>14834</v>
      </c>
      <c r="K162" s="47" t="s">
        <v>16095</v>
      </c>
      <c r="L162" t="s">
        <v>16095</v>
      </c>
      <c r="M162" t="s">
        <v>16120</v>
      </c>
    </row>
    <row r="163" spans="1:13">
      <c r="A163" t="s">
        <v>15424</v>
      </c>
      <c r="B163" t="s">
        <v>15424</v>
      </c>
      <c r="C163" t="s">
        <v>15425</v>
      </c>
      <c r="D163" t="s">
        <v>4310</v>
      </c>
      <c r="F163" t="str">
        <f>Config!$B$7</f>
        <v>SCH/Connector.SchLib</v>
      </c>
      <c r="G163" t="s">
        <v>14827</v>
      </c>
      <c r="H163" t="s">
        <v>15409</v>
      </c>
      <c r="I163" t="s">
        <v>14835</v>
      </c>
      <c r="K163" s="47" t="s">
        <v>16095</v>
      </c>
      <c r="L163" t="s">
        <v>16097</v>
      </c>
      <c r="M163" t="s">
        <v>16120</v>
      </c>
    </row>
    <row r="164" spans="1:13">
      <c r="A164" t="s">
        <v>15426</v>
      </c>
      <c r="B164" t="s">
        <v>15426</v>
      </c>
      <c r="C164" t="s">
        <v>15427</v>
      </c>
      <c r="D164" t="s">
        <v>4310</v>
      </c>
      <c r="F164" t="str">
        <f>Config!$B$7</f>
        <v>SCH/Connector.SchLib</v>
      </c>
      <c r="G164" t="s">
        <v>14827</v>
      </c>
      <c r="H164" t="s">
        <v>15409</v>
      </c>
      <c r="I164" t="s">
        <v>14836</v>
      </c>
      <c r="K164" s="47" t="s">
        <v>16096</v>
      </c>
      <c r="L164" t="s">
        <v>16104</v>
      </c>
      <c r="M164" t="s">
        <v>16120</v>
      </c>
    </row>
    <row r="165" spans="1:13">
      <c r="A165" t="s">
        <v>15428</v>
      </c>
      <c r="B165" t="s">
        <v>15428</v>
      </c>
      <c r="C165" t="s">
        <v>15429</v>
      </c>
      <c r="D165" t="s">
        <v>4310</v>
      </c>
      <c r="F165" t="str">
        <f>Config!$B$7</f>
        <v>SCH/Connector.SchLib</v>
      </c>
      <c r="G165" t="s">
        <v>14827</v>
      </c>
      <c r="H165" t="s">
        <v>15409</v>
      </c>
      <c r="I165" t="s">
        <v>14837</v>
      </c>
      <c r="K165" s="47" t="s">
        <v>16096</v>
      </c>
      <c r="L165" t="s">
        <v>16096</v>
      </c>
      <c r="M165" t="s">
        <v>16120</v>
      </c>
    </row>
    <row r="166" spans="1:13">
      <c r="A166" t="s">
        <v>15430</v>
      </c>
      <c r="B166" t="s">
        <v>15430</v>
      </c>
      <c r="C166" t="s">
        <v>15431</v>
      </c>
      <c r="D166" t="s">
        <v>4310</v>
      </c>
      <c r="F166" t="str">
        <f>Config!$B$7</f>
        <v>SCH/Connector.SchLib</v>
      </c>
      <c r="G166" t="s">
        <v>14827</v>
      </c>
      <c r="H166" t="s">
        <v>15409</v>
      </c>
      <c r="I166" t="s">
        <v>14838</v>
      </c>
      <c r="K166" s="47" t="s">
        <v>16096</v>
      </c>
      <c r="L166" t="s">
        <v>16098</v>
      </c>
      <c r="M166" t="s">
        <v>16120</v>
      </c>
    </row>
    <row r="167" spans="1:13">
      <c r="A167" t="s">
        <v>15432</v>
      </c>
      <c r="B167" t="s">
        <v>15432</v>
      </c>
      <c r="C167" t="s">
        <v>15433</v>
      </c>
      <c r="D167" t="s">
        <v>4310</v>
      </c>
      <c r="F167" t="str">
        <f>Config!$B$7</f>
        <v>SCH/Connector.SchLib</v>
      </c>
      <c r="G167" t="s">
        <v>14827</v>
      </c>
      <c r="H167" t="s">
        <v>15409</v>
      </c>
      <c r="I167" t="s">
        <v>14839</v>
      </c>
      <c r="K167" s="47" t="s">
        <v>16097</v>
      </c>
      <c r="L167" t="s">
        <v>16094</v>
      </c>
      <c r="M167" t="s">
        <v>16120</v>
      </c>
    </row>
    <row r="168" spans="1:13">
      <c r="A168" t="s">
        <v>15434</v>
      </c>
      <c r="B168" t="s">
        <v>15434</v>
      </c>
      <c r="C168" t="s">
        <v>15435</v>
      </c>
      <c r="D168" t="s">
        <v>4310</v>
      </c>
      <c r="F168" t="str">
        <f>Config!$B$7</f>
        <v>SCH/Connector.SchLib</v>
      </c>
      <c r="G168" t="s">
        <v>14827</v>
      </c>
      <c r="H168" t="s">
        <v>15409</v>
      </c>
      <c r="I168" t="s">
        <v>14840</v>
      </c>
      <c r="K168" s="47" t="s">
        <v>16097</v>
      </c>
      <c r="L168" t="s">
        <v>16095</v>
      </c>
      <c r="M168" t="s">
        <v>16120</v>
      </c>
    </row>
    <row r="169" spans="1:13">
      <c r="A169" t="s">
        <v>15436</v>
      </c>
      <c r="B169" t="s">
        <v>15436</v>
      </c>
      <c r="C169" t="s">
        <v>15437</v>
      </c>
      <c r="D169" t="s">
        <v>4310</v>
      </c>
      <c r="F169" t="str">
        <f>Config!$B$7</f>
        <v>SCH/Connector.SchLib</v>
      </c>
      <c r="G169" t="s">
        <v>14827</v>
      </c>
      <c r="H169" t="s">
        <v>15409</v>
      </c>
      <c r="I169" t="s">
        <v>14841</v>
      </c>
      <c r="K169" s="47" t="s">
        <v>16097</v>
      </c>
      <c r="L169" t="s">
        <v>16097</v>
      </c>
      <c r="M169" t="s">
        <v>16120</v>
      </c>
    </row>
    <row r="170" spans="1:13">
      <c r="A170" t="s">
        <v>15438</v>
      </c>
      <c r="B170" t="s">
        <v>15438</v>
      </c>
      <c r="C170" t="s">
        <v>15439</v>
      </c>
      <c r="D170" t="s">
        <v>4310</v>
      </c>
      <c r="F170" t="str">
        <f>Config!$B$7</f>
        <v>SCH/Connector.SchLib</v>
      </c>
      <c r="G170" t="s">
        <v>14827</v>
      </c>
      <c r="H170" t="s">
        <v>15409</v>
      </c>
      <c r="I170" t="s">
        <v>14842</v>
      </c>
      <c r="K170" s="47" t="s">
        <v>16097</v>
      </c>
      <c r="L170" t="s">
        <v>16099</v>
      </c>
      <c r="M170" t="s">
        <v>16120</v>
      </c>
    </row>
    <row r="171" spans="1:13">
      <c r="A171" t="s">
        <v>15440</v>
      </c>
      <c r="B171" t="s">
        <v>15440</v>
      </c>
      <c r="C171" t="s">
        <v>15441</v>
      </c>
      <c r="D171" t="s">
        <v>4310</v>
      </c>
      <c r="F171" t="str">
        <f>Config!$B$7</f>
        <v>SCH/Connector.SchLib</v>
      </c>
      <c r="G171" t="s">
        <v>14827</v>
      </c>
      <c r="H171" t="s">
        <v>15409</v>
      </c>
      <c r="I171" t="s">
        <v>14843</v>
      </c>
      <c r="K171" s="47" t="s">
        <v>16098</v>
      </c>
      <c r="L171" t="s">
        <v>16104</v>
      </c>
      <c r="M171" t="s">
        <v>16120</v>
      </c>
    </row>
    <row r="172" spans="1:13">
      <c r="A172" t="s">
        <v>15442</v>
      </c>
      <c r="B172" t="s">
        <v>15442</v>
      </c>
      <c r="C172" t="s">
        <v>15443</v>
      </c>
      <c r="D172" t="s">
        <v>4310</v>
      </c>
      <c r="F172" t="str">
        <f>Config!$B$7</f>
        <v>SCH/Connector.SchLib</v>
      </c>
      <c r="G172" t="s">
        <v>14827</v>
      </c>
      <c r="H172" t="s">
        <v>15409</v>
      </c>
      <c r="I172" t="s">
        <v>14844</v>
      </c>
      <c r="K172" s="47" t="s">
        <v>16098</v>
      </c>
      <c r="L172" t="s">
        <v>16096</v>
      </c>
      <c r="M172" t="s">
        <v>16120</v>
      </c>
    </row>
    <row r="173" spans="1:13">
      <c r="A173" t="s">
        <v>15444</v>
      </c>
      <c r="B173" t="s">
        <v>15444</v>
      </c>
      <c r="C173" t="s">
        <v>15445</v>
      </c>
      <c r="D173" t="s">
        <v>4310</v>
      </c>
      <c r="F173" t="str">
        <f>Config!$B$7</f>
        <v>SCH/Connector.SchLib</v>
      </c>
      <c r="G173" t="s">
        <v>14827</v>
      </c>
      <c r="H173" t="s">
        <v>15409</v>
      </c>
      <c r="I173" t="s">
        <v>14845</v>
      </c>
      <c r="K173" s="47" t="s">
        <v>16098</v>
      </c>
      <c r="L173" t="s">
        <v>16098</v>
      </c>
      <c r="M173" t="s">
        <v>16120</v>
      </c>
    </row>
    <row r="174" spans="1:13">
      <c r="A174" t="s">
        <v>15446</v>
      </c>
      <c r="B174" t="s">
        <v>15446</v>
      </c>
      <c r="C174" t="s">
        <v>15447</v>
      </c>
      <c r="D174" t="s">
        <v>4310</v>
      </c>
      <c r="F174" t="str">
        <f>Config!$B$7</f>
        <v>SCH/Connector.SchLib</v>
      </c>
      <c r="G174" t="s">
        <v>14827</v>
      </c>
      <c r="H174" t="s">
        <v>15409</v>
      </c>
      <c r="I174" t="s">
        <v>14846</v>
      </c>
      <c r="K174" s="47" t="s">
        <v>16098</v>
      </c>
      <c r="L174" t="s">
        <v>16101</v>
      </c>
      <c r="M174" t="s">
        <v>16120</v>
      </c>
    </row>
    <row r="175" spans="1:13">
      <c r="A175" t="s">
        <v>15448</v>
      </c>
      <c r="B175" t="s">
        <v>15448</v>
      </c>
      <c r="C175" t="s">
        <v>15449</v>
      </c>
      <c r="D175" t="s">
        <v>4310</v>
      </c>
      <c r="F175" t="str">
        <f>Config!$B$7</f>
        <v>SCH/Connector.SchLib</v>
      </c>
      <c r="G175" t="s">
        <v>14827</v>
      </c>
      <c r="H175" t="s">
        <v>15409</v>
      </c>
      <c r="I175" t="s">
        <v>14847</v>
      </c>
      <c r="K175" s="47" t="s">
        <v>16099</v>
      </c>
      <c r="L175" t="s">
        <v>16105</v>
      </c>
      <c r="M175" t="s">
        <v>16120</v>
      </c>
    </row>
    <row r="176" spans="1:13">
      <c r="A176" t="s">
        <v>15450</v>
      </c>
      <c r="B176" t="s">
        <v>15450</v>
      </c>
      <c r="C176" t="s">
        <v>15451</v>
      </c>
      <c r="D176" t="s">
        <v>4310</v>
      </c>
      <c r="F176" t="str">
        <f>Config!$B$7</f>
        <v>SCH/Connector.SchLib</v>
      </c>
      <c r="G176" t="s">
        <v>14827</v>
      </c>
      <c r="H176" t="s">
        <v>15409</v>
      </c>
      <c r="I176" t="s">
        <v>14848</v>
      </c>
      <c r="K176" s="47" t="s">
        <v>16099</v>
      </c>
      <c r="L176" t="s">
        <v>16095</v>
      </c>
      <c r="M176" t="s">
        <v>16120</v>
      </c>
    </row>
    <row r="177" spans="1:13">
      <c r="A177" t="s">
        <v>15452</v>
      </c>
      <c r="B177" t="s">
        <v>15452</v>
      </c>
      <c r="C177" t="s">
        <v>15453</v>
      </c>
      <c r="D177" t="s">
        <v>4310</v>
      </c>
      <c r="F177" t="str">
        <f>Config!$B$7</f>
        <v>SCH/Connector.SchLib</v>
      </c>
      <c r="G177" t="s">
        <v>14827</v>
      </c>
      <c r="H177" t="s">
        <v>15409</v>
      </c>
      <c r="I177" t="s">
        <v>14849</v>
      </c>
      <c r="K177" s="47" t="s">
        <v>16099</v>
      </c>
      <c r="L177" t="s">
        <v>16097</v>
      </c>
      <c r="M177" t="s">
        <v>16120</v>
      </c>
    </row>
    <row r="178" spans="1:13">
      <c r="A178" t="s">
        <v>15454</v>
      </c>
      <c r="B178" t="s">
        <v>15454</v>
      </c>
      <c r="C178" t="s">
        <v>15455</v>
      </c>
      <c r="D178" t="s">
        <v>4310</v>
      </c>
      <c r="F178" t="str">
        <f>Config!$B$7</f>
        <v>SCH/Connector.SchLib</v>
      </c>
      <c r="G178" t="s">
        <v>14827</v>
      </c>
      <c r="H178" t="s">
        <v>15409</v>
      </c>
      <c r="I178" t="s">
        <v>14850</v>
      </c>
      <c r="K178" s="47" t="s">
        <v>16099</v>
      </c>
      <c r="L178" t="s">
        <v>16099</v>
      </c>
      <c r="M178" t="s">
        <v>16120</v>
      </c>
    </row>
    <row r="179" spans="1:13">
      <c r="A179" t="s">
        <v>15456</v>
      </c>
      <c r="B179" t="s">
        <v>15456</v>
      </c>
      <c r="C179" t="s">
        <v>15457</v>
      </c>
      <c r="D179" t="s">
        <v>4310</v>
      </c>
      <c r="F179" t="str">
        <f>Config!$B$7</f>
        <v>SCH/Connector.SchLib</v>
      </c>
      <c r="G179" t="s">
        <v>14827</v>
      </c>
      <c r="H179" t="s">
        <v>15409</v>
      </c>
      <c r="I179" t="s">
        <v>14851</v>
      </c>
      <c r="K179" s="47" t="s">
        <v>16099</v>
      </c>
      <c r="L179" t="s">
        <v>16102</v>
      </c>
      <c r="M179" t="s">
        <v>16120</v>
      </c>
    </row>
    <row r="180" spans="1:13">
      <c r="A180" t="s">
        <v>15458</v>
      </c>
      <c r="B180" t="s">
        <v>15458</v>
      </c>
      <c r="C180" t="s">
        <v>15459</v>
      </c>
      <c r="D180" t="s">
        <v>4310</v>
      </c>
      <c r="F180" t="str">
        <f>Config!$B$7</f>
        <v>SCH/Connector.SchLib</v>
      </c>
      <c r="G180" t="s">
        <v>14827</v>
      </c>
      <c r="H180" t="s">
        <v>15409</v>
      </c>
      <c r="I180" t="s">
        <v>14852</v>
      </c>
      <c r="K180" s="47" t="s">
        <v>16100</v>
      </c>
      <c r="L180" t="s">
        <v>16094</v>
      </c>
      <c r="M180" t="s">
        <v>16120</v>
      </c>
    </row>
    <row r="181" spans="1:13">
      <c r="A181" t="s">
        <v>15970</v>
      </c>
      <c r="B181" t="s">
        <v>15970</v>
      </c>
      <c r="C181" t="s">
        <v>15971</v>
      </c>
      <c r="D181" t="s">
        <v>4310</v>
      </c>
      <c r="F181" t="str">
        <f>Config!$B$7</f>
        <v>SCH/Connector.SchLib</v>
      </c>
      <c r="G181" t="s">
        <v>14827</v>
      </c>
      <c r="H181" t="s">
        <v>15409</v>
      </c>
      <c r="I181" t="s">
        <v>15590</v>
      </c>
      <c r="K181" s="47" t="s">
        <v>16100</v>
      </c>
      <c r="L181" t="s">
        <v>16095</v>
      </c>
      <c r="M181" t="s">
        <v>16120</v>
      </c>
    </row>
    <row r="182" spans="1:13">
      <c r="A182" t="s">
        <v>15460</v>
      </c>
      <c r="B182" t="s">
        <v>15460</v>
      </c>
      <c r="C182" t="s">
        <v>15461</v>
      </c>
      <c r="D182" t="s">
        <v>4310</v>
      </c>
      <c r="F182" t="str">
        <f>Config!$B$7</f>
        <v>SCH/Connector.SchLib</v>
      </c>
      <c r="G182" t="s">
        <v>14827</v>
      </c>
      <c r="H182" t="s">
        <v>15409</v>
      </c>
      <c r="I182" t="s">
        <v>14853</v>
      </c>
      <c r="K182" s="47" t="s">
        <v>16100</v>
      </c>
      <c r="L182" t="s">
        <v>16106</v>
      </c>
      <c r="M182" t="s">
        <v>16120</v>
      </c>
    </row>
    <row r="183" spans="1:13">
      <c r="A183" t="s">
        <v>15462</v>
      </c>
      <c r="B183" t="s">
        <v>15462</v>
      </c>
      <c r="C183" t="s">
        <v>15463</v>
      </c>
      <c r="D183" t="s">
        <v>4310</v>
      </c>
      <c r="F183" t="str">
        <f>Config!$B$7</f>
        <v>SCH/Connector.SchLib</v>
      </c>
      <c r="G183" t="s">
        <v>14827</v>
      </c>
      <c r="H183" t="s">
        <v>15409</v>
      </c>
      <c r="I183" t="s">
        <v>14854</v>
      </c>
      <c r="K183" s="47" t="s">
        <v>16100</v>
      </c>
      <c r="L183" t="s">
        <v>16107</v>
      </c>
      <c r="M183" t="s">
        <v>16120</v>
      </c>
    </row>
    <row r="184" spans="1:13">
      <c r="A184" t="s">
        <v>15464</v>
      </c>
      <c r="B184" t="s">
        <v>15464</v>
      </c>
      <c r="C184" t="s">
        <v>15465</v>
      </c>
      <c r="D184" t="s">
        <v>4310</v>
      </c>
      <c r="F184" t="str">
        <f>Config!$B$7</f>
        <v>SCH/Connector.SchLib</v>
      </c>
      <c r="G184" t="s">
        <v>14827</v>
      </c>
      <c r="H184" t="s">
        <v>15409</v>
      </c>
      <c r="I184" t="s">
        <v>14855</v>
      </c>
      <c r="K184" s="47" t="s">
        <v>16100</v>
      </c>
      <c r="L184" t="s">
        <v>16100</v>
      </c>
      <c r="M184" t="s">
        <v>16120</v>
      </c>
    </row>
    <row r="185" spans="1:13">
      <c r="A185" t="s">
        <v>15466</v>
      </c>
      <c r="B185" t="s">
        <v>15466</v>
      </c>
      <c r="C185" t="s">
        <v>15467</v>
      </c>
      <c r="D185" t="s">
        <v>4310</v>
      </c>
      <c r="F185" t="str">
        <f>Config!$B$7</f>
        <v>SCH/Connector.SchLib</v>
      </c>
      <c r="G185" t="s">
        <v>14827</v>
      </c>
      <c r="H185" t="s">
        <v>15409</v>
      </c>
      <c r="I185" t="s">
        <v>14856</v>
      </c>
      <c r="K185" s="47" t="s">
        <v>16100</v>
      </c>
      <c r="L185" t="s">
        <v>16108</v>
      </c>
      <c r="M185" t="s">
        <v>16120</v>
      </c>
    </row>
    <row r="186" spans="1:13">
      <c r="A186" t="s">
        <v>15972</v>
      </c>
      <c r="B186" t="s">
        <v>15972</v>
      </c>
      <c r="C186" t="s">
        <v>15973</v>
      </c>
      <c r="D186" t="s">
        <v>4310</v>
      </c>
      <c r="F186" t="str">
        <f>Config!$B$7</f>
        <v>SCH/Connector.SchLib</v>
      </c>
      <c r="G186" t="s">
        <v>14827</v>
      </c>
      <c r="H186" t="s">
        <v>15409</v>
      </c>
      <c r="I186" t="s">
        <v>15593</v>
      </c>
      <c r="K186" s="47" t="s">
        <v>16101</v>
      </c>
      <c r="L186" t="s">
        <v>16109</v>
      </c>
      <c r="M186" t="s">
        <v>16120</v>
      </c>
    </row>
    <row r="187" spans="1:13">
      <c r="A187" t="s">
        <v>15974</v>
      </c>
      <c r="B187" t="s">
        <v>15974</v>
      </c>
      <c r="C187" t="s">
        <v>15975</v>
      </c>
      <c r="D187" t="s">
        <v>4310</v>
      </c>
      <c r="F187" t="str">
        <f>Config!$B$7</f>
        <v>SCH/Connector.SchLib</v>
      </c>
      <c r="G187" t="s">
        <v>14827</v>
      </c>
      <c r="H187" t="s">
        <v>15409</v>
      </c>
      <c r="I187" t="s">
        <v>15594</v>
      </c>
      <c r="K187" s="47" t="s">
        <v>16101</v>
      </c>
      <c r="L187" t="s">
        <v>16095</v>
      </c>
      <c r="M187" t="s">
        <v>16120</v>
      </c>
    </row>
    <row r="188" spans="1:13">
      <c r="A188" t="s">
        <v>15976</v>
      </c>
      <c r="B188" t="s">
        <v>15976</v>
      </c>
      <c r="C188" t="s">
        <v>15977</v>
      </c>
      <c r="D188" t="s">
        <v>4310</v>
      </c>
      <c r="F188" t="str">
        <f>Config!$B$7</f>
        <v>SCH/Connector.SchLib</v>
      </c>
      <c r="G188" t="s">
        <v>14827</v>
      </c>
      <c r="H188" t="s">
        <v>15409</v>
      </c>
      <c r="I188" t="s">
        <v>15595</v>
      </c>
      <c r="K188" s="47" t="s">
        <v>16101</v>
      </c>
      <c r="L188" t="s">
        <v>16096</v>
      </c>
      <c r="M188" t="s">
        <v>16120</v>
      </c>
    </row>
    <row r="189" spans="1:13">
      <c r="A189" t="s">
        <v>15978</v>
      </c>
      <c r="B189" t="s">
        <v>15978</v>
      </c>
      <c r="C189" t="s">
        <v>15979</v>
      </c>
      <c r="D189" t="s">
        <v>4310</v>
      </c>
      <c r="F189" t="str">
        <f>Config!$B$7</f>
        <v>SCH/Connector.SchLib</v>
      </c>
      <c r="G189" t="s">
        <v>14827</v>
      </c>
      <c r="H189" t="s">
        <v>15409</v>
      </c>
      <c r="I189" t="s">
        <v>15596</v>
      </c>
      <c r="K189" s="47" t="s">
        <v>16101</v>
      </c>
      <c r="L189" t="s">
        <v>16098</v>
      </c>
      <c r="M189" t="s">
        <v>16120</v>
      </c>
    </row>
    <row r="190" spans="1:13">
      <c r="A190" t="s">
        <v>15980</v>
      </c>
      <c r="B190" t="s">
        <v>15980</v>
      </c>
      <c r="C190" t="s">
        <v>15981</v>
      </c>
      <c r="D190" t="s">
        <v>4310</v>
      </c>
      <c r="F190" t="str">
        <f>Config!$B$7</f>
        <v>SCH/Connector.SchLib</v>
      </c>
      <c r="G190" t="s">
        <v>14827</v>
      </c>
      <c r="H190" t="s">
        <v>15409</v>
      </c>
      <c r="I190" t="s">
        <v>15597</v>
      </c>
      <c r="K190" s="47" t="s">
        <v>16101</v>
      </c>
      <c r="L190" t="s">
        <v>16101</v>
      </c>
      <c r="M190" t="s">
        <v>16120</v>
      </c>
    </row>
    <row r="191" spans="1:13">
      <c r="A191" t="s">
        <v>15982</v>
      </c>
      <c r="B191" t="s">
        <v>15982</v>
      </c>
      <c r="C191" t="s">
        <v>15983</v>
      </c>
      <c r="D191" t="s">
        <v>4310</v>
      </c>
      <c r="F191" t="str">
        <f>Config!$B$7</f>
        <v>SCH/Connector.SchLib</v>
      </c>
      <c r="G191" t="s">
        <v>14827</v>
      </c>
      <c r="H191" t="s">
        <v>15409</v>
      </c>
      <c r="I191" t="s">
        <v>15598</v>
      </c>
      <c r="K191" s="47" t="s">
        <v>16101</v>
      </c>
      <c r="L191" t="s">
        <v>16110</v>
      </c>
      <c r="M191" t="s">
        <v>16120</v>
      </c>
    </row>
    <row r="192" spans="1:13">
      <c r="A192" t="s">
        <v>15984</v>
      </c>
      <c r="B192" t="s">
        <v>15984</v>
      </c>
      <c r="C192" t="s">
        <v>15985</v>
      </c>
      <c r="D192" t="s">
        <v>4310</v>
      </c>
      <c r="F192" t="str">
        <f>Config!$B$7</f>
        <v>SCH/Connector.SchLib</v>
      </c>
      <c r="G192" t="s">
        <v>14827</v>
      </c>
      <c r="H192" t="s">
        <v>15409</v>
      </c>
      <c r="I192" t="s">
        <v>15599</v>
      </c>
      <c r="K192" s="47" t="s">
        <v>16102</v>
      </c>
      <c r="L192" t="s">
        <v>16094</v>
      </c>
      <c r="M192" t="s">
        <v>16120</v>
      </c>
    </row>
    <row r="193" spans="1:13">
      <c r="A193" t="s">
        <v>15986</v>
      </c>
      <c r="B193" t="s">
        <v>15986</v>
      </c>
      <c r="C193" t="s">
        <v>15987</v>
      </c>
      <c r="D193" t="s">
        <v>4310</v>
      </c>
      <c r="F193" t="str">
        <f>Config!$B$7</f>
        <v>SCH/Connector.SchLib</v>
      </c>
      <c r="G193" t="s">
        <v>14827</v>
      </c>
      <c r="H193" t="s">
        <v>15409</v>
      </c>
      <c r="I193" t="s">
        <v>15600</v>
      </c>
      <c r="K193" s="47" t="s">
        <v>16102</v>
      </c>
      <c r="L193" t="s">
        <v>16111</v>
      </c>
      <c r="M193" t="s">
        <v>16120</v>
      </c>
    </row>
    <row r="194" spans="1:13">
      <c r="A194" t="s">
        <v>15988</v>
      </c>
      <c r="B194" t="s">
        <v>15988</v>
      </c>
      <c r="C194" t="s">
        <v>15989</v>
      </c>
      <c r="D194" t="s">
        <v>4310</v>
      </c>
      <c r="F194" t="str">
        <f>Config!$B$7</f>
        <v>SCH/Connector.SchLib</v>
      </c>
      <c r="G194" t="s">
        <v>14827</v>
      </c>
      <c r="H194" t="s">
        <v>15409</v>
      </c>
      <c r="I194" t="s">
        <v>15601</v>
      </c>
      <c r="K194" s="47" t="s">
        <v>16102</v>
      </c>
      <c r="L194" t="s">
        <v>16095</v>
      </c>
      <c r="M194" t="s">
        <v>16120</v>
      </c>
    </row>
    <row r="195" spans="1:13">
      <c r="A195" t="s">
        <v>15990</v>
      </c>
      <c r="B195" t="s">
        <v>15990</v>
      </c>
      <c r="C195" t="s">
        <v>15991</v>
      </c>
      <c r="D195" t="s">
        <v>4310</v>
      </c>
      <c r="F195" t="str">
        <f>Config!$B$7</f>
        <v>SCH/Connector.SchLib</v>
      </c>
      <c r="G195" t="s">
        <v>14827</v>
      </c>
      <c r="H195" t="s">
        <v>15409</v>
      </c>
      <c r="I195" t="s">
        <v>15602</v>
      </c>
      <c r="K195" s="47" t="s">
        <v>16102</v>
      </c>
      <c r="L195" t="s">
        <v>16097</v>
      </c>
      <c r="M195" t="s">
        <v>16120</v>
      </c>
    </row>
    <row r="196" spans="1:13">
      <c r="A196" t="s">
        <v>15992</v>
      </c>
      <c r="B196" t="s">
        <v>15992</v>
      </c>
      <c r="C196" t="s">
        <v>15993</v>
      </c>
      <c r="D196" t="s">
        <v>4310</v>
      </c>
      <c r="F196" t="str">
        <f>Config!$B$7</f>
        <v>SCH/Connector.SchLib</v>
      </c>
      <c r="G196" t="s">
        <v>14827</v>
      </c>
      <c r="H196" t="s">
        <v>15409</v>
      </c>
      <c r="I196" t="s">
        <v>15603</v>
      </c>
      <c r="K196" s="47" t="s">
        <v>16102</v>
      </c>
      <c r="L196" t="s">
        <v>16099</v>
      </c>
      <c r="M196" t="s">
        <v>16120</v>
      </c>
    </row>
    <row r="197" spans="1:13">
      <c r="A197" t="s">
        <v>15994</v>
      </c>
      <c r="B197" t="s">
        <v>15994</v>
      </c>
      <c r="C197" t="s">
        <v>15995</v>
      </c>
      <c r="D197" t="s">
        <v>4310</v>
      </c>
      <c r="F197" t="str">
        <f>Config!$B$7</f>
        <v>SCH/Connector.SchLib</v>
      </c>
      <c r="G197" t="s">
        <v>14827</v>
      </c>
      <c r="H197" t="s">
        <v>15409</v>
      </c>
      <c r="I197" t="s">
        <v>15604</v>
      </c>
      <c r="K197" s="47" t="s">
        <v>16102</v>
      </c>
      <c r="L197" t="s">
        <v>16102</v>
      </c>
      <c r="M197" t="s">
        <v>16120</v>
      </c>
    </row>
    <row r="198" spans="1:13">
      <c r="A198" t="s">
        <v>15996</v>
      </c>
      <c r="B198" t="s">
        <v>15996</v>
      </c>
      <c r="C198" t="s">
        <v>15997</v>
      </c>
      <c r="D198" t="s">
        <v>4310</v>
      </c>
      <c r="F198" t="str">
        <f>Config!$B$7</f>
        <v>SCH/Connector.SchLib</v>
      </c>
      <c r="G198" t="s">
        <v>14827</v>
      </c>
      <c r="H198" t="s">
        <v>15409</v>
      </c>
      <c r="I198" t="s">
        <v>15605</v>
      </c>
      <c r="K198" s="47" t="s">
        <v>16102</v>
      </c>
      <c r="L198" t="s">
        <v>16112</v>
      </c>
      <c r="M198" t="s">
        <v>16120</v>
      </c>
    </row>
    <row r="199" spans="1:13">
      <c r="A199" t="s">
        <v>15998</v>
      </c>
      <c r="B199" t="s">
        <v>15998</v>
      </c>
      <c r="C199" t="s">
        <v>15999</v>
      </c>
      <c r="D199" t="s">
        <v>4310</v>
      </c>
      <c r="F199" t="str">
        <f>Config!$B$7</f>
        <v>SCH/Connector.SchLib</v>
      </c>
      <c r="G199" t="s">
        <v>14827</v>
      </c>
      <c r="H199" t="s">
        <v>15409</v>
      </c>
      <c r="I199" t="s">
        <v>15606</v>
      </c>
      <c r="K199" s="47" t="s">
        <v>16103</v>
      </c>
      <c r="L199" t="s">
        <v>16094</v>
      </c>
      <c r="M199" t="s">
        <v>16120</v>
      </c>
    </row>
    <row r="200" spans="1:13">
      <c r="A200" t="s">
        <v>16000</v>
      </c>
      <c r="B200" t="s">
        <v>16000</v>
      </c>
      <c r="C200" t="s">
        <v>16001</v>
      </c>
      <c r="D200" t="s">
        <v>4310</v>
      </c>
      <c r="F200" t="str">
        <f>Config!$B$7</f>
        <v>SCH/Connector.SchLib</v>
      </c>
      <c r="G200" t="s">
        <v>14827</v>
      </c>
      <c r="H200" t="s">
        <v>15409</v>
      </c>
      <c r="I200" t="s">
        <v>15607</v>
      </c>
      <c r="K200" s="47" t="s">
        <v>16103</v>
      </c>
      <c r="L200" t="s">
        <v>16095</v>
      </c>
      <c r="M200" t="s">
        <v>16120</v>
      </c>
    </row>
    <row r="201" spans="1:13">
      <c r="A201" t="s">
        <v>16002</v>
      </c>
      <c r="B201" t="s">
        <v>16002</v>
      </c>
      <c r="C201" t="s">
        <v>16003</v>
      </c>
      <c r="D201" t="s">
        <v>4310</v>
      </c>
      <c r="F201" t="str">
        <f>Config!$B$7</f>
        <v>SCH/Connector.SchLib</v>
      </c>
      <c r="G201" t="s">
        <v>14827</v>
      </c>
      <c r="H201" t="s">
        <v>15409</v>
      </c>
      <c r="I201" t="s">
        <v>15608</v>
      </c>
      <c r="K201" s="47" t="s">
        <v>16103</v>
      </c>
      <c r="L201" t="s">
        <v>16107</v>
      </c>
      <c r="M201" t="s">
        <v>16120</v>
      </c>
    </row>
    <row r="202" spans="1:13">
      <c r="A202" t="s">
        <v>16004</v>
      </c>
      <c r="B202" t="s">
        <v>16004</v>
      </c>
      <c r="C202" t="s">
        <v>16005</v>
      </c>
      <c r="D202" t="s">
        <v>4310</v>
      </c>
      <c r="F202" t="str">
        <f>Config!$B$7</f>
        <v>SCH/Connector.SchLib</v>
      </c>
      <c r="G202" t="s">
        <v>14827</v>
      </c>
      <c r="H202" t="s">
        <v>15409</v>
      </c>
      <c r="I202" t="s">
        <v>15609</v>
      </c>
      <c r="K202" s="47" t="s">
        <v>16103</v>
      </c>
      <c r="L202" t="s">
        <v>16100</v>
      </c>
      <c r="M202" t="s">
        <v>16120</v>
      </c>
    </row>
    <row r="203" spans="1:13">
      <c r="A203" t="s">
        <v>16006</v>
      </c>
      <c r="B203" t="s">
        <v>16006</v>
      </c>
      <c r="C203" t="s">
        <v>16007</v>
      </c>
      <c r="D203" t="s">
        <v>4310</v>
      </c>
      <c r="F203" t="str">
        <f>Config!$B$7</f>
        <v>SCH/Connector.SchLib</v>
      </c>
      <c r="G203" t="s">
        <v>14827</v>
      </c>
      <c r="H203" t="s">
        <v>15409</v>
      </c>
      <c r="I203" t="s">
        <v>15610</v>
      </c>
      <c r="K203" s="47" t="s">
        <v>16103</v>
      </c>
      <c r="L203" t="s">
        <v>16108</v>
      </c>
      <c r="M203" t="s">
        <v>16120</v>
      </c>
    </row>
    <row r="204" spans="1:13">
      <c r="A204" t="s">
        <v>16008</v>
      </c>
      <c r="B204" t="s">
        <v>16008</v>
      </c>
      <c r="C204" t="s">
        <v>16009</v>
      </c>
      <c r="D204" t="s">
        <v>4310</v>
      </c>
      <c r="F204" t="str">
        <f>Config!$B$7</f>
        <v>SCH/Connector.SchLib</v>
      </c>
      <c r="G204" t="s">
        <v>14827</v>
      </c>
      <c r="H204" t="s">
        <v>15409</v>
      </c>
      <c r="I204" t="s">
        <v>15611</v>
      </c>
      <c r="K204" s="47" t="s">
        <v>16103</v>
      </c>
      <c r="L204" t="s">
        <v>16113</v>
      </c>
      <c r="M204" t="s">
        <v>16120</v>
      </c>
    </row>
    <row r="206" spans="1:13">
      <c r="A206" t="s">
        <v>15346</v>
      </c>
      <c r="B206" t="s">
        <v>15346</v>
      </c>
      <c r="C206" t="s">
        <v>15347</v>
      </c>
      <c r="D206" t="s">
        <v>4310</v>
      </c>
      <c r="F206" t="str">
        <f>Config!$B$7</f>
        <v>SCH/Connector.SchLib</v>
      </c>
      <c r="G206" t="s">
        <v>14827</v>
      </c>
      <c r="H206" t="s">
        <v>15348</v>
      </c>
      <c r="I206" t="s">
        <v>14857</v>
      </c>
      <c r="K206" s="47" t="s">
        <v>16093</v>
      </c>
      <c r="L206" t="s">
        <v>16093</v>
      </c>
      <c r="M206" t="s">
        <v>16121</v>
      </c>
    </row>
    <row r="207" spans="1:13">
      <c r="A207" t="s">
        <v>15349</v>
      </c>
      <c r="B207" t="s">
        <v>15349</v>
      </c>
      <c r="C207" t="s">
        <v>15350</v>
      </c>
      <c r="D207" t="s">
        <v>4310</v>
      </c>
      <c r="F207" t="str">
        <f>Config!$B$7</f>
        <v>SCH/Connector.SchLib</v>
      </c>
      <c r="G207" t="s">
        <v>14827</v>
      </c>
      <c r="H207" t="s">
        <v>15348</v>
      </c>
      <c r="I207" t="s">
        <v>14858</v>
      </c>
      <c r="K207" s="47" t="s">
        <v>16093</v>
      </c>
      <c r="L207" t="s">
        <v>16094</v>
      </c>
      <c r="M207" t="s">
        <v>16121</v>
      </c>
    </row>
    <row r="208" spans="1:13">
      <c r="A208" t="s">
        <v>15351</v>
      </c>
      <c r="B208" t="s">
        <v>15351</v>
      </c>
      <c r="C208" t="s">
        <v>15352</v>
      </c>
      <c r="D208" t="s">
        <v>4310</v>
      </c>
      <c r="F208" t="str">
        <f>Config!$B$7</f>
        <v>SCH/Connector.SchLib</v>
      </c>
      <c r="G208" t="s">
        <v>14827</v>
      </c>
      <c r="H208" t="s">
        <v>15348</v>
      </c>
      <c r="I208" t="s">
        <v>14829</v>
      </c>
      <c r="K208" s="47" t="s">
        <v>16094</v>
      </c>
      <c r="L208" t="s">
        <v>16093</v>
      </c>
      <c r="M208" t="s">
        <v>16121</v>
      </c>
    </row>
    <row r="209" spans="1:13">
      <c r="A209" t="s">
        <v>15353</v>
      </c>
      <c r="B209" t="s">
        <v>15353</v>
      </c>
      <c r="C209" t="s">
        <v>15354</v>
      </c>
      <c r="D209" t="s">
        <v>4310</v>
      </c>
      <c r="F209" t="str">
        <f>Config!$B$7</f>
        <v>SCH/Connector.SchLib</v>
      </c>
      <c r="G209" t="s">
        <v>14827</v>
      </c>
      <c r="H209" t="s">
        <v>15348</v>
      </c>
      <c r="I209" t="s">
        <v>14830</v>
      </c>
      <c r="K209" s="47" t="s">
        <v>16094</v>
      </c>
      <c r="L209" t="s">
        <v>16094</v>
      </c>
      <c r="M209" t="s">
        <v>16121</v>
      </c>
    </row>
    <row r="210" spans="1:13">
      <c r="A210" t="s">
        <v>15355</v>
      </c>
      <c r="B210" t="s">
        <v>15355</v>
      </c>
      <c r="C210" t="s">
        <v>15356</v>
      </c>
      <c r="D210" t="s">
        <v>4310</v>
      </c>
      <c r="F210" t="str">
        <f>Config!$B$7</f>
        <v>SCH/Connector.SchLib</v>
      </c>
      <c r="G210" t="s">
        <v>14827</v>
      </c>
      <c r="H210" t="s">
        <v>15348</v>
      </c>
      <c r="I210" t="s">
        <v>14831</v>
      </c>
      <c r="K210" s="47" t="s">
        <v>16094</v>
      </c>
      <c r="L210" t="s">
        <v>16095</v>
      </c>
      <c r="M210" t="s">
        <v>16121</v>
      </c>
    </row>
    <row r="211" spans="1:13">
      <c r="A211" t="s">
        <v>15357</v>
      </c>
      <c r="B211" t="s">
        <v>15357</v>
      </c>
      <c r="C211" t="s">
        <v>15358</v>
      </c>
      <c r="D211" t="s">
        <v>4310</v>
      </c>
      <c r="F211" t="str">
        <f>Config!$B$7</f>
        <v>SCH/Connector.SchLib</v>
      </c>
      <c r="G211" t="s">
        <v>14827</v>
      </c>
      <c r="H211" t="s">
        <v>15348</v>
      </c>
      <c r="I211" t="s">
        <v>14832</v>
      </c>
      <c r="K211" s="47" t="s">
        <v>16095</v>
      </c>
      <c r="L211" t="s">
        <v>16093</v>
      </c>
      <c r="M211" t="s">
        <v>16121</v>
      </c>
    </row>
    <row r="212" spans="1:13">
      <c r="A212" t="s">
        <v>15359</v>
      </c>
      <c r="B212" t="s">
        <v>15359</v>
      </c>
      <c r="C212" t="s">
        <v>15360</v>
      </c>
      <c r="D212" t="s">
        <v>4310</v>
      </c>
      <c r="F212" t="str">
        <f>Config!$B$7</f>
        <v>SCH/Connector.SchLib</v>
      </c>
      <c r="G212" t="s">
        <v>14827</v>
      </c>
      <c r="H212" t="s">
        <v>15348</v>
      </c>
      <c r="I212" t="s">
        <v>14833</v>
      </c>
      <c r="K212" s="47" t="s">
        <v>16095</v>
      </c>
      <c r="L212" t="s">
        <v>16094</v>
      </c>
      <c r="M212" t="s">
        <v>16121</v>
      </c>
    </row>
    <row r="213" spans="1:13">
      <c r="A213" t="s">
        <v>15361</v>
      </c>
      <c r="B213" t="s">
        <v>15361</v>
      </c>
      <c r="C213" t="s">
        <v>15362</v>
      </c>
      <c r="D213" t="s">
        <v>4310</v>
      </c>
      <c r="F213" t="str">
        <f>Config!$B$7</f>
        <v>SCH/Connector.SchLib</v>
      </c>
      <c r="G213" t="s">
        <v>14827</v>
      </c>
      <c r="H213" t="s">
        <v>15348</v>
      </c>
      <c r="I213" t="s">
        <v>14834</v>
      </c>
      <c r="K213" s="47" t="s">
        <v>16095</v>
      </c>
      <c r="L213" t="s">
        <v>16095</v>
      </c>
      <c r="M213" t="s">
        <v>16121</v>
      </c>
    </row>
    <row r="214" spans="1:13">
      <c r="A214" t="s">
        <v>15363</v>
      </c>
      <c r="B214" t="s">
        <v>15363</v>
      </c>
      <c r="C214" t="s">
        <v>15364</v>
      </c>
      <c r="D214" t="s">
        <v>4310</v>
      </c>
      <c r="F214" t="str">
        <f>Config!$B$7</f>
        <v>SCH/Connector.SchLib</v>
      </c>
      <c r="G214" t="s">
        <v>14827</v>
      </c>
      <c r="H214" t="s">
        <v>15348</v>
      </c>
      <c r="I214" t="s">
        <v>14835</v>
      </c>
      <c r="K214" s="47" t="s">
        <v>16095</v>
      </c>
      <c r="L214" t="s">
        <v>16097</v>
      </c>
      <c r="M214" t="s">
        <v>16121</v>
      </c>
    </row>
    <row r="215" spans="1:13">
      <c r="A215" t="s">
        <v>15365</v>
      </c>
      <c r="B215" t="s">
        <v>15365</v>
      </c>
      <c r="C215" t="s">
        <v>15366</v>
      </c>
      <c r="D215" t="s">
        <v>4310</v>
      </c>
      <c r="F215" t="str">
        <f>Config!$B$7</f>
        <v>SCH/Connector.SchLib</v>
      </c>
      <c r="G215" t="s">
        <v>14827</v>
      </c>
      <c r="H215" t="s">
        <v>15348</v>
      </c>
      <c r="I215" t="s">
        <v>14836</v>
      </c>
      <c r="K215" s="47" t="s">
        <v>16096</v>
      </c>
      <c r="L215" t="s">
        <v>16104</v>
      </c>
      <c r="M215" t="s">
        <v>16121</v>
      </c>
    </row>
    <row r="216" spans="1:13">
      <c r="A216" t="s">
        <v>15367</v>
      </c>
      <c r="B216" t="s">
        <v>15367</v>
      </c>
      <c r="C216" t="s">
        <v>15368</v>
      </c>
      <c r="D216" t="s">
        <v>4310</v>
      </c>
      <c r="F216" t="str">
        <f>Config!$B$7</f>
        <v>SCH/Connector.SchLib</v>
      </c>
      <c r="G216" t="s">
        <v>14827</v>
      </c>
      <c r="H216" t="s">
        <v>15348</v>
      </c>
      <c r="I216" t="s">
        <v>14837</v>
      </c>
      <c r="K216" s="47" t="s">
        <v>16096</v>
      </c>
      <c r="L216" t="s">
        <v>16096</v>
      </c>
      <c r="M216" t="s">
        <v>16121</v>
      </c>
    </row>
    <row r="217" spans="1:13">
      <c r="A217" t="s">
        <v>15369</v>
      </c>
      <c r="B217" t="s">
        <v>15369</v>
      </c>
      <c r="C217" t="s">
        <v>15370</v>
      </c>
      <c r="D217" t="s">
        <v>4310</v>
      </c>
      <c r="F217" t="str">
        <f>Config!$B$7</f>
        <v>SCH/Connector.SchLib</v>
      </c>
      <c r="G217" t="s">
        <v>14827</v>
      </c>
      <c r="H217" t="s">
        <v>15348</v>
      </c>
      <c r="I217" t="s">
        <v>14838</v>
      </c>
      <c r="K217" s="47" t="s">
        <v>16096</v>
      </c>
      <c r="L217" t="s">
        <v>16098</v>
      </c>
      <c r="M217" t="s">
        <v>16121</v>
      </c>
    </row>
    <row r="218" spans="1:13">
      <c r="A218" t="s">
        <v>15371</v>
      </c>
      <c r="B218" t="s">
        <v>15371</v>
      </c>
      <c r="C218" t="s">
        <v>15372</v>
      </c>
      <c r="D218" t="s">
        <v>4310</v>
      </c>
      <c r="F218" t="str">
        <f>Config!$B$7</f>
        <v>SCH/Connector.SchLib</v>
      </c>
      <c r="G218" t="s">
        <v>14827</v>
      </c>
      <c r="H218" t="s">
        <v>15348</v>
      </c>
      <c r="I218" t="s">
        <v>14839</v>
      </c>
      <c r="K218" s="47" t="s">
        <v>16097</v>
      </c>
      <c r="L218" t="s">
        <v>16094</v>
      </c>
      <c r="M218" t="s">
        <v>16121</v>
      </c>
    </row>
    <row r="219" spans="1:13">
      <c r="A219" t="s">
        <v>15373</v>
      </c>
      <c r="B219" t="s">
        <v>15373</v>
      </c>
      <c r="C219" t="s">
        <v>15374</v>
      </c>
      <c r="D219" t="s">
        <v>4310</v>
      </c>
      <c r="F219" t="str">
        <f>Config!$B$7</f>
        <v>SCH/Connector.SchLib</v>
      </c>
      <c r="G219" t="s">
        <v>14827</v>
      </c>
      <c r="H219" t="s">
        <v>15348</v>
      </c>
      <c r="I219" t="s">
        <v>14840</v>
      </c>
      <c r="K219" s="47" t="s">
        <v>16097</v>
      </c>
      <c r="L219" t="s">
        <v>16095</v>
      </c>
      <c r="M219" t="s">
        <v>16121</v>
      </c>
    </row>
    <row r="220" spans="1:13">
      <c r="A220" t="s">
        <v>15375</v>
      </c>
      <c r="B220" t="s">
        <v>15375</v>
      </c>
      <c r="C220" t="s">
        <v>15376</v>
      </c>
      <c r="D220" t="s">
        <v>4310</v>
      </c>
      <c r="F220" t="str">
        <f>Config!$B$7</f>
        <v>SCH/Connector.SchLib</v>
      </c>
      <c r="G220" t="s">
        <v>14827</v>
      </c>
      <c r="H220" t="s">
        <v>15348</v>
      </c>
      <c r="I220" t="s">
        <v>14841</v>
      </c>
      <c r="K220" s="47" t="s">
        <v>16097</v>
      </c>
      <c r="L220" t="s">
        <v>16097</v>
      </c>
      <c r="M220" t="s">
        <v>16121</v>
      </c>
    </row>
    <row r="221" spans="1:13">
      <c r="A221" t="s">
        <v>15377</v>
      </c>
      <c r="B221" t="s">
        <v>15377</v>
      </c>
      <c r="C221" t="s">
        <v>15378</v>
      </c>
      <c r="D221" t="s">
        <v>4310</v>
      </c>
      <c r="F221" t="str">
        <f>Config!$B$7</f>
        <v>SCH/Connector.SchLib</v>
      </c>
      <c r="G221" t="s">
        <v>14827</v>
      </c>
      <c r="H221" t="s">
        <v>15348</v>
      </c>
      <c r="I221" t="s">
        <v>14842</v>
      </c>
      <c r="K221" s="47" t="s">
        <v>16097</v>
      </c>
      <c r="L221" t="s">
        <v>16099</v>
      </c>
      <c r="M221" t="s">
        <v>16121</v>
      </c>
    </row>
    <row r="222" spans="1:13">
      <c r="A222" t="s">
        <v>15379</v>
      </c>
      <c r="B222" t="s">
        <v>15379</v>
      </c>
      <c r="C222" t="s">
        <v>15380</v>
      </c>
      <c r="D222" t="s">
        <v>4310</v>
      </c>
      <c r="F222" t="str">
        <f>Config!$B$7</f>
        <v>SCH/Connector.SchLib</v>
      </c>
      <c r="G222" t="s">
        <v>14827</v>
      </c>
      <c r="H222" t="s">
        <v>15348</v>
      </c>
      <c r="I222" t="s">
        <v>14843</v>
      </c>
      <c r="K222" s="47" t="s">
        <v>16098</v>
      </c>
      <c r="L222" t="s">
        <v>16104</v>
      </c>
      <c r="M222" t="s">
        <v>16121</v>
      </c>
    </row>
    <row r="223" spans="1:13">
      <c r="A223" t="s">
        <v>15381</v>
      </c>
      <c r="B223" t="s">
        <v>15381</v>
      </c>
      <c r="C223" t="s">
        <v>15382</v>
      </c>
      <c r="D223" t="s">
        <v>4310</v>
      </c>
      <c r="F223" t="str">
        <f>Config!$B$7</f>
        <v>SCH/Connector.SchLib</v>
      </c>
      <c r="G223" t="s">
        <v>14827</v>
      </c>
      <c r="H223" t="s">
        <v>15348</v>
      </c>
      <c r="I223" t="s">
        <v>14844</v>
      </c>
      <c r="K223" s="47" t="s">
        <v>16098</v>
      </c>
      <c r="L223" t="s">
        <v>16096</v>
      </c>
      <c r="M223" t="s">
        <v>16121</v>
      </c>
    </row>
    <row r="224" spans="1:13">
      <c r="A224" t="s">
        <v>15383</v>
      </c>
      <c r="B224" t="s">
        <v>15383</v>
      </c>
      <c r="C224" t="s">
        <v>15384</v>
      </c>
      <c r="D224" t="s">
        <v>4310</v>
      </c>
      <c r="F224" t="str">
        <f>Config!$B$7</f>
        <v>SCH/Connector.SchLib</v>
      </c>
      <c r="G224" t="s">
        <v>14827</v>
      </c>
      <c r="H224" t="s">
        <v>15348</v>
      </c>
      <c r="I224" t="s">
        <v>14845</v>
      </c>
      <c r="K224" s="47" t="s">
        <v>16098</v>
      </c>
      <c r="L224" t="s">
        <v>16098</v>
      </c>
      <c r="M224" t="s">
        <v>16121</v>
      </c>
    </row>
    <row r="225" spans="1:13">
      <c r="A225" t="s">
        <v>15385</v>
      </c>
      <c r="B225" t="s">
        <v>15385</v>
      </c>
      <c r="C225" t="s">
        <v>15386</v>
      </c>
      <c r="D225" t="s">
        <v>4310</v>
      </c>
      <c r="F225" t="str">
        <f>Config!$B$7</f>
        <v>SCH/Connector.SchLib</v>
      </c>
      <c r="G225" t="s">
        <v>14827</v>
      </c>
      <c r="H225" t="s">
        <v>15348</v>
      </c>
      <c r="I225" t="s">
        <v>14846</v>
      </c>
      <c r="K225" s="47" t="s">
        <v>16098</v>
      </c>
      <c r="L225" t="s">
        <v>16101</v>
      </c>
      <c r="M225" t="s">
        <v>16121</v>
      </c>
    </row>
    <row r="226" spans="1:13">
      <c r="A226" t="s">
        <v>15387</v>
      </c>
      <c r="B226" t="s">
        <v>15387</v>
      </c>
      <c r="C226" t="s">
        <v>15388</v>
      </c>
      <c r="D226" t="s">
        <v>4310</v>
      </c>
      <c r="F226" t="str">
        <f>Config!$B$7</f>
        <v>SCH/Connector.SchLib</v>
      </c>
      <c r="G226" t="s">
        <v>14827</v>
      </c>
      <c r="H226" t="s">
        <v>15348</v>
      </c>
      <c r="I226" t="s">
        <v>14847</v>
      </c>
      <c r="K226" s="47" t="s">
        <v>16099</v>
      </c>
      <c r="L226" t="s">
        <v>16105</v>
      </c>
      <c r="M226" t="s">
        <v>16121</v>
      </c>
    </row>
    <row r="227" spans="1:13">
      <c r="A227" t="s">
        <v>15389</v>
      </c>
      <c r="B227" t="s">
        <v>15389</v>
      </c>
      <c r="C227" t="s">
        <v>15390</v>
      </c>
      <c r="D227" t="s">
        <v>4310</v>
      </c>
      <c r="F227" t="str">
        <f>Config!$B$7</f>
        <v>SCH/Connector.SchLib</v>
      </c>
      <c r="G227" t="s">
        <v>14827</v>
      </c>
      <c r="H227" t="s">
        <v>15348</v>
      </c>
      <c r="I227" t="s">
        <v>14848</v>
      </c>
      <c r="K227" s="47" t="s">
        <v>16099</v>
      </c>
      <c r="L227" t="s">
        <v>16095</v>
      </c>
      <c r="M227" t="s">
        <v>16121</v>
      </c>
    </row>
    <row r="228" spans="1:13">
      <c r="A228" t="s">
        <v>15391</v>
      </c>
      <c r="B228" t="s">
        <v>15391</v>
      </c>
      <c r="C228" t="s">
        <v>15392</v>
      </c>
      <c r="D228" t="s">
        <v>4310</v>
      </c>
      <c r="F228" t="str">
        <f>Config!$B$7</f>
        <v>SCH/Connector.SchLib</v>
      </c>
      <c r="G228" t="s">
        <v>14827</v>
      </c>
      <c r="H228" t="s">
        <v>15348</v>
      </c>
      <c r="I228" t="s">
        <v>14849</v>
      </c>
      <c r="K228" s="47" t="s">
        <v>16099</v>
      </c>
      <c r="L228" t="s">
        <v>16097</v>
      </c>
      <c r="M228" t="s">
        <v>16121</v>
      </c>
    </row>
    <row r="229" spans="1:13">
      <c r="A229" t="s">
        <v>15393</v>
      </c>
      <c r="B229" t="s">
        <v>15393</v>
      </c>
      <c r="C229" t="s">
        <v>15394</v>
      </c>
      <c r="D229" t="s">
        <v>4310</v>
      </c>
      <c r="F229" t="str">
        <f>Config!$B$7</f>
        <v>SCH/Connector.SchLib</v>
      </c>
      <c r="G229" t="s">
        <v>14827</v>
      </c>
      <c r="H229" t="s">
        <v>15348</v>
      </c>
      <c r="I229" t="s">
        <v>14850</v>
      </c>
      <c r="K229" s="47" t="s">
        <v>16099</v>
      </c>
      <c r="L229" t="s">
        <v>16099</v>
      </c>
      <c r="M229" t="s">
        <v>16121</v>
      </c>
    </row>
    <row r="230" spans="1:13">
      <c r="A230" t="s">
        <v>15395</v>
      </c>
      <c r="B230" t="s">
        <v>15395</v>
      </c>
      <c r="C230" t="s">
        <v>15396</v>
      </c>
      <c r="D230" t="s">
        <v>4310</v>
      </c>
      <c r="F230" t="str">
        <f>Config!$B$7</f>
        <v>SCH/Connector.SchLib</v>
      </c>
      <c r="G230" t="s">
        <v>14827</v>
      </c>
      <c r="H230" t="s">
        <v>15348</v>
      </c>
      <c r="I230" t="s">
        <v>14851</v>
      </c>
      <c r="K230" s="47" t="s">
        <v>16099</v>
      </c>
      <c r="L230" t="s">
        <v>16102</v>
      </c>
      <c r="M230" t="s">
        <v>16121</v>
      </c>
    </row>
    <row r="231" spans="1:13">
      <c r="A231" t="s">
        <v>15397</v>
      </c>
      <c r="B231" t="s">
        <v>15397</v>
      </c>
      <c r="C231" t="s">
        <v>15398</v>
      </c>
      <c r="D231" t="s">
        <v>4310</v>
      </c>
      <c r="F231" t="str">
        <f>Config!$B$7</f>
        <v>SCH/Connector.SchLib</v>
      </c>
      <c r="G231" t="s">
        <v>14827</v>
      </c>
      <c r="H231" t="s">
        <v>15348</v>
      </c>
      <c r="I231" t="s">
        <v>14852</v>
      </c>
      <c r="K231" s="47" t="s">
        <v>16100</v>
      </c>
      <c r="L231" t="s">
        <v>16094</v>
      </c>
      <c r="M231" t="s">
        <v>16121</v>
      </c>
    </row>
    <row r="232" spans="1:13">
      <c r="A232" t="s">
        <v>15930</v>
      </c>
      <c r="B232" t="s">
        <v>15930</v>
      </c>
      <c r="C232" t="s">
        <v>15931</v>
      </c>
      <c r="D232" t="s">
        <v>4310</v>
      </c>
      <c r="F232" t="str">
        <f>Config!$B$7</f>
        <v>SCH/Connector.SchLib</v>
      </c>
      <c r="G232" t="s">
        <v>14827</v>
      </c>
      <c r="H232" t="s">
        <v>15348</v>
      </c>
      <c r="I232" t="s">
        <v>15590</v>
      </c>
      <c r="K232" s="47" t="s">
        <v>16100</v>
      </c>
      <c r="L232" t="s">
        <v>16095</v>
      </c>
      <c r="M232" t="s">
        <v>16121</v>
      </c>
    </row>
    <row r="233" spans="1:13">
      <c r="A233" t="s">
        <v>15399</v>
      </c>
      <c r="B233" t="s">
        <v>15399</v>
      </c>
      <c r="C233" t="s">
        <v>15400</v>
      </c>
      <c r="D233" t="s">
        <v>4310</v>
      </c>
      <c r="F233" t="str">
        <f>Config!$B$7</f>
        <v>SCH/Connector.SchLib</v>
      </c>
      <c r="G233" t="s">
        <v>14827</v>
      </c>
      <c r="H233" t="s">
        <v>15348</v>
      </c>
      <c r="I233" t="s">
        <v>14853</v>
      </c>
      <c r="K233" s="47" t="s">
        <v>16100</v>
      </c>
      <c r="L233" t="s">
        <v>16106</v>
      </c>
      <c r="M233" t="s">
        <v>16121</v>
      </c>
    </row>
    <row r="234" spans="1:13">
      <c r="A234" t="s">
        <v>15401</v>
      </c>
      <c r="B234" t="s">
        <v>15401</v>
      </c>
      <c r="C234" t="s">
        <v>15402</v>
      </c>
      <c r="D234" t="s">
        <v>4310</v>
      </c>
      <c r="F234" t="str">
        <f>Config!$B$7</f>
        <v>SCH/Connector.SchLib</v>
      </c>
      <c r="G234" t="s">
        <v>14827</v>
      </c>
      <c r="H234" t="s">
        <v>15348</v>
      </c>
      <c r="I234" t="s">
        <v>14854</v>
      </c>
      <c r="K234" s="47" t="s">
        <v>16100</v>
      </c>
      <c r="L234" t="s">
        <v>16107</v>
      </c>
      <c r="M234" t="s">
        <v>16121</v>
      </c>
    </row>
    <row r="235" spans="1:13">
      <c r="A235" t="s">
        <v>15403</v>
      </c>
      <c r="B235" t="s">
        <v>15403</v>
      </c>
      <c r="C235" t="s">
        <v>15404</v>
      </c>
      <c r="D235" t="s">
        <v>4310</v>
      </c>
      <c r="F235" t="str">
        <f>Config!$B$7</f>
        <v>SCH/Connector.SchLib</v>
      </c>
      <c r="G235" t="s">
        <v>14827</v>
      </c>
      <c r="H235" t="s">
        <v>15348</v>
      </c>
      <c r="I235" t="s">
        <v>14855</v>
      </c>
      <c r="K235" s="47" t="s">
        <v>16100</v>
      </c>
      <c r="L235" t="s">
        <v>16100</v>
      </c>
      <c r="M235" t="s">
        <v>16121</v>
      </c>
    </row>
    <row r="236" spans="1:13">
      <c r="A236" t="s">
        <v>15405</v>
      </c>
      <c r="B236" t="s">
        <v>15405</v>
      </c>
      <c r="C236" t="s">
        <v>15406</v>
      </c>
      <c r="D236" t="s">
        <v>4310</v>
      </c>
      <c r="F236" t="str">
        <f>Config!$B$7</f>
        <v>SCH/Connector.SchLib</v>
      </c>
      <c r="G236" t="s">
        <v>14827</v>
      </c>
      <c r="H236" t="s">
        <v>15348</v>
      </c>
      <c r="I236" t="s">
        <v>14856</v>
      </c>
      <c r="K236" s="47" t="s">
        <v>16100</v>
      </c>
      <c r="L236" t="s">
        <v>16108</v>
      </c>
      <c r="M236" t="s">
        <v>16121</v>
      </c>
    </row>
    <row r="237" spans="1:13">
      <c r="A237" t="s">
        <v>15932</v>
      </c>
      <c r="B237" t="s">
        <v>15932</v>
      </c>
      <c r="C237" t="s">
        <v>15933</v>
      </c>
      <c r="D237" t="s">
        <v>4310</v>
      </c>
      <c r="F237" t="str">
        <f>Config!$B$7</f>
        <v>SCH/Connector.SchLib</v>
      </c>
      <c r="G237" t="s">
        <v>14827</v>
      </c>
      <c r="H237" t="s">
        <v>15348</v>
      </c>
      <c r="I237" t="s">
        <v>15593</v>
      </c>
      <c r="K237" s="47" t="s">
        <v>16101</v>
      </c>
      <c r="L237" t="s">
        <v>16109</v>
      </c>
      <c r="M237" t="s">
        <v>16121</v>
      </c>
    </row>
    <row r="238" spans="1:13">
      <c r="A238" t="s">
        <v>15934</v>
      </c>
      <c r="B238" t="s">
        <v>15934</v>
      </c>
      <c r="C238" t="s">
        <v>15935</v>
      </c>
      <c r="D238" t="s">
        <v>4310</v>
      </c>
      <c r="F238" t="str">
        <f>Config!$B$7</f>
        <v>SCH/Connector.SchLib</v>
      </c>
      <c r="G238" t="s">
        <v>14827</v>
      </c>
      <c r="H238" t="s">
        <v>15348</v>
      </c>
      <c r="I238" t="s">
        <v>15594</v>
      </c>
      <c r="K238" s="47" t="s">
        <v>16101</v>
      </c>
      <c r="L238" t="s">
        <v>16095</v>
      </c>
      <c r="M238" t="s">
        <v>16121</v>
      </c>
    </row>
    <row r="239" spans="1:13">
      <c r="A239" t="s">
        <v>15936</v>
      </c>
      <c r="B239" t="s">
        <v>15936</v>
      </c>
      <c r="C239" t="s">
        <v>15937</v>
      </c>
      <c r="D239" t="s">
        <v>4310</v>
      </c>
      <c r="F239" t="str">
        <f>Config!$B$7</f>
        <v>SCH/Connector.SchLib</v>
      </c>
      <c r="G239" t="s">
        <v>14827</v>
      </c>
      <c r="H239" t="s">
        <v>15348</v>
      </c>
      <c r="I239" t="s">
        <v>15595</v>
      </c>
      <c r="K239" s="47" t="s">
        <v>16101</v>
      </c>
      <c r="L239" t="s">
        <v>16096</v>
      </c>
      <c r="M239" t="s">
        <v>16121</v>
      </c>
    </row>
    <row r="240" spans="1:13">
      <c r="A240" t="s">
        <v>15938</v>
      </c>
      <c r="B240" t="s">
        <v>15938</v>
      </c>
      <c r="C240" t="s">
        <v>15939</v>
      </c>
      <c r="D240" t="s">
        <v>4310</v>
      </c>
      <c r="F240" t="str">
        <f>Config!$B$7</f>
        <v>SCH/Connector.SchLib</v>
      </c>
      <c r="G240" t="s">
        <v>14827</v>
      </c>
      <c r="H240" t="s">
        <v>15348</v>
      </c>
      <c r="I240" t="s">
        <v>15596</v>
      </c>
      <c r="K240" s="47" t="s">
        <v>16101</v>
      </c>
      <c r="L240" t="s">
        <v>16098</v>
      </c>
      <c r="M240" t="s">
        <v>16121</v>
      </c>
    </row>
    <row r="241" spans="1:13">
      <c r="A241" t="s">
        <v>15940</v>
      </c>
      <c r="B241" t="s">
        <v>15940</v>
      </c>
      <c r="C241" t="s">
        <v>15941</v>
      </c>
      <c r="D241" t="s">
        <v>4310</v>
      </c>
      <c r="F241" t="str">
        <f>Config!$B$7</f>
        <v>SCH/Connector.SchLib</v>
      </c>
      <c r="G241" t="s">
        <v>14827</v>
      </c>
      <c r="H241" t="s">
        <v>15348</v>
      </c>
      <c r="I241" t="s">
        <v>15597</v>
      </c>
      <c r="K241" s="47" t="s">
        <v>16101</v>
      </c>
      <c r="L241" t="s">
        <v>16101</v>
      </c>
      <c r="M241" t="s">
        <v>16121</v>
      </c>
    </row>
    <row r="242" spans="1:13">
      <c r="A242" t="s">
        <v>15942</v>
      </c>
      <c r="B242" t="s">
        <v>15942</v>
      </c>
      <c r="C242" t="s">
        <v>15943</v>
      </c>
      <c r="D242" t="s">
        <v>4310</v>
      </c>
      <c r="F242" t="str">
        <f>Config!$B$7</f>
        <v>SCH/Connector.SchLib</v>
      </c>
      <c r="G242" t="s">
        <v>14827</v>
      </c>
      <c r="H242" t="s">
        <v>15348</v>
      </c>
      <c r="I242" t="s">
        <v>15598</v>
      </c>
      <c r="K242" s="47" t="s">
        <v>16101</v>
      </c>
      <c r="L242" t="s">
        <v>16110</v>
      </c>
      <c r="M242" t="s">
        <v>16121</v>
      </c>
    </row>
    <row r="243" spans="1:13">
      <c r="A243" t="s">
        <v>15944</v>
      </c>
      <c r="B243" t="s">
        <v>15944</v>
      </c>
      <c r="C243" t="s">
        <v>15945</v>
      </c>
      <c r="D243" t="s">
        <v>4310</v>
      </c>
      <c r="F243" t="str">
        <f>Config!$B$7</f>
        <v>SCH/Connector.SchLib</v>
      </c>
      <c r="G243" t="s">
        <v>14827</v>
      </c>
      <c r="H243" t="s">
        <v>15348</v>
      </c>
      <c r="I243" t="s">
        <v>15599</v>
      </c>
      <c r="K243" s="47" t="s">
        <v>16102</v>
      </c>
      <c r="L243" t="s">
        <v>16094</v>
      </c>
      <c r="M243" t="s">
        <v>16121</v>
      </c>
    </row>
    <row r="244" spans="1:13">
      <c r="A244" t="s">
        <v>15946</v>
      </c>
      <c r="B244" t="s">
        <v>15946</v>
      </c>
      <c r="C244" t="s">
        <v>15947</v>
      </c>
      <c r="D244" t="s">
        <v>4310</v>
      </c>
      <c r="F244" t="str">
        <f>Config!$B$7</f>
        <v>SCH/Connector.SchLib</v>
      </c>
      <c r="G244" t="s">
        <v>14827</v>
      </c>
      <c r="H244" t="s">
        <v>15348</v>
      </c>
      <c r="I244" t="s">
        <v>15600</v>
      </c>
      <c r="K244" s="47" t="s">
        <v>16102</v>
      </c>
      <c r="L244" t="s">
        <v>16111</v>
      </c>
      <c r="M244" t="s">
        <v>16121</v>
      </c>
    </row>
    <row r="245" spans="1:13">
      <c r="A245" t="s">
        <v>15948</v>
      </c>
      <c r="B245" t="s">
        <v>15948</v>
      </c>
      <c r="C245" t="s">
        <v>15949</v>
      </c>
      <c r="D245" t="s">
        <v>4310</v>
      </c>
      <c r="F245" t="str">
        <f>Config!$B$7</f>
        <v>SCH/Connector.SchLib</v>
      </c>
      <c r="G245" t="s">
        <v>14827</v>
      </c>
      <c r="H245" t="s">
        <v>15348</v>
      </c>
      <c r="I245" t="s">
        <v>15601</v>
      </c>
      <c r="K245" s="47" t="s">
        <v>16102</v>
      </c>
      <c r="L245" t="s">
        <v>16095</v>
      </c>
      <c r="M245" t="s">
        <v>16121</v>
      </c>
    </row>
    <row r="246" spans="1:13">
      <c r="A246" t="s">
        <v>15950</v>
      </c>
      <c r="B246" t="s">
        <v>15950</v>
      </c>
      <c r="C246" t="s">
        <v>15951</v>
      </c>
      <c r="D246" t="s">
        <v>4310</v>
      </c>
      <c r="F246" t="str">
        <f>Config!$B$7</f>
        <v>SCH/Connector.SchLib</v>
      </c>
      <c r="G246" t="s">
        <v>14827</v>
      </c>
      <c r="H246" t="s">
        <v>15348</v>
      </c>
      <c r="I246" t="s">
        <v>15602</v>
      </c>
      <c r="K246" s="47" t="s">
        <v>16102</v>
      </c>
      <c r="L246" t="s">
        <v>16097</v>
      </c>
      <c r="M246" t="s">
        <v>16121</v>
      </c>
    </row>
    <row r="247" spans="1:13">
      <c r="A247" t="s">
        <v>15952</v>
      </c>
      <c r="B247" t="s">
        <v>15952</v>
      </c>
      <c r="C247" t="s">
        <v>15953</v>
      </c>
      <c r="D247" t="s">
        <v>4310</v>
      </c>
      <c r="F247" t="str">
        <f>Config!$B$7</f>
        <v>SCH/Connector.SchLib</v>
      </c>
      <c r="G247" t="s">
        <v>14827</v>
      </c>
      <c r="H247" t="s">
        <v>15348</v>
      </c>
      <c r="I247" t="s">
        <v>15603</v>
      </c>
      <c r="K247" s="47" t="s">
        <v>16102</v>
      </c>
      <c r="L247" t="s">
        <v>16099</v>
      </c>
      <c r="M247" t="s">
        <v>16121</v>
      </c>
    </row>
    <row r="248" spans="1:13">
      <c r="A248" t="s">
        <v>15954</v>
      </c>
      <c r="B248" t="s">
        <v>15954</v>
      </c>
      <c r="C248" t="s">
        <v>15955</v>
      </c>
      <c r="D248" t="s">
        <v>4310</v>
      </c>
      <c r="F248" t="str">
        <f>Config!$B$7</f>
        <v>SCH/Connector.SchLib</v>
      </c>
      <c r="G248" t="s">
        <v>14827</v>
      </c>
      <c r="H248" t="s">
        <v>15348</v>
      </c>
      <c r="I248" t="s">
        <v>15604</v>
      </c>
      <c r="K248" s="47" t="s">
        <v>16102</v>
      </c>
      <c r="L248" t="s">
        <v>16102</v>
      </c>
      <c r="M248" t="s">
        <v>16121</v>
      </c>
    </row>
    <row r="249" spans="1:13">
      <c r="A249" t="s">
        <v>15956</v>
      </c>
      <c r="B249" t="s">
        <v>15956</v>
      </c>
      <c r="C249" t="s">
        <v>15957</v>
      </c>
      <c r="D249" t="s">
        <v>4310</v>
      </c>
      <c r="F249" t="str">
        <f>Config!$B$7</f>
        <v>SCH/Connector.SchLib</v>
      </c>
      <c r="G249" t="s">
        <v>14827</v>
      </c>
      <c r="H249" t="s">
        <v>15348</v>
      </c>
      <c r="I249" t="s">
        <v>15605</v>
      </c>
      <c r="K249" s="47" t="s">
        <v>16102</v>
      </c>
      <c r="L249" t="s">
        <v>16112</v>
      </c>
      <c r="M249" t="s">
        <v>16121</v>
      </c>
    </row>
    <row r="250" spans="1:13">
      <c r="A250" t="s">
        <v>15958</v>
      </c>
      <c r="B250" t="s">
        <v>15958</v>
      </c>
      <c r="C250" t="s">
        <v>15959</v>
      </c>
      <c r="D250" t="s">
        <v>4310</v>
      </c>
      <c r="F250" t="str">
        <f>Config!$B$7</f>
        <v>SCH/Connector.SchLib</v>
      </c>
      <c r="G250" t="s">
        <v>14827</v>
      </c>
      <c r="H250" t="s">
        <v>15348</v>
      </c>
      <c r="I250" t="s">
        <v>15606</v>
      </c>
      <c r="K250" s="47" t="s">
        <v>16103</v>
      </c>
      <c r="L250" t="s">
        <v>16094</v>
      </c>
      <c r="M250" t="s">
        <v>16121</v>
      </c>
    </row>
    <row r="251" spans="1:13">
      <c r="A251" t="s">
        <v>15960</v>
      </c>
      <c r="B251" t="s">
        <v>15960</v>
      </c>
      <c r="C251" t="s">
        <v>15961</v>
      </c>
      <c r="D251" t="s">
        <v>4310</v>
      </c>
      <c r="F251" t="str">
        <f>Config!$B$7</f>
        <v>SCH/Connector.SchLib</v>
      </c>
      <c r="G251" t="s">
        <v>14827</v>
      </c>
      <c r="H251" t="s">
        <v>15348</v>
      </c>
      <c r="I251" t="s">
        <v>15607</v>
      </c>
      <c r="K251" s="47" t="s">
        <v>16103</v>
      </c>
      <c r="L251" t="s">
        <v>16095</v>
      </c>
      <c r="M251" t="s">
        <v>16121</v>
      </c>
    </row>
    <row r="252" spans="1:13">
      <c r="A252" t="s">
        <v>15962</v>
      </c>
      <c r="B252" t="s">
        <v>15962</v>
      </c>
      <c r="C252" t="s">
        <v>15963</v>
      </c>
      <c r="D252" t="s">
        <v>4310</v>
      </c>
      <c r="F252" t="str">
        <f>Config!$B$7</f>
        <v>SCH/Connector.SchLib</v>
      </c>
      <c r="G252" t="s">
        <v>14827</v>
      </c>
      <c r="H252" t="s">
        <v>15348</v>
      </c>
      <c r="I252" t="s">
        <v>15608</v>
      </c>
      <c r="K252" s="47" t="s">
        <v>16103</v>
      </c>
      <c r="L252" t="s">
        <v>16107</v>
      </c>
      <c r="M252" t="s">
        <v>16121</v>
      </c>
    </row>
    <row r="253" spans="1:13">
      <c r="A253" t="s">
        <v>15964</v>
      </c>
      <c r="B253" t="s">
        <v>15964</v>
      </c>
      <c r="C253" t="s">
        <v>15965</v>
      </c>
      <c r="D253" t="s">
        <v>4310</v>
      </c>
      <c r="F253" t="str">
        <f>Config!$B$7</f>
        <v>SCH/Connector.SchLib</v>
      </c>
      <c r="G253" t="s">
        <v>14827</v>
      </c>
      <c r="H253" t="s">
        <v>15348</v>
      </c>
      <c r="I253" t="s">
        <v>15609</v>
      </c>
      <c r="K253" s="47" t="s">
        <v>16103</v>
      </c>
      <c r="L253" t="s">
        <v>16100</v>
      </c>
      <c r="M253" t="s">
        <v>16121</v>
      </c>
    </row>
    <row r="254" spans="1:13">
      <c r="A254" t="s">
        <v>15966</v>
      </c>
      <c r="B254" t="s">
        <v>15966</v>
      </c>
      <c r="C254" t="s">
        <v>15967</v>
      </c>
      <c r="D254" t="s">
        <v>4310</v>
      </c>
      <c r="F254" t="str">
        <f>Config!$B$7</f>
        <v>SCH/Connector.SchLib</v>
      </c>
      <c r="G254" t="s">
        <v>14827</v>
      </c>
      <c r="H254" t="s">
        <v>15348</v>
      </c>
      <c r="I254" t="s">
        <v>15610</v>
      </c>
      <c r="K254" s="47" t="s">
        <v>16103</v>
      </c>
      <c r="L254" t="s">
        <v>16108</v>
      </c>
      <c r="M254" t="s">
        <v>16121</v>
      </c>
    </row>
    <row r="255" spans="1:13">
      <c r="A255" t="s">
        <v>15968</v>
      </c>
      <c r="B255" t="s">
        <v>15968</v>
      </c>
      <c r="C255" t="s">
        <v>15969</v>
      </c>
      <c r="D255" t="s">
        <v>4310</v>
      </c>
      <c r="F255" t="str">
        <f>Config!$B$7</f>
        <v>SCH/Connector.SchLib</v>
      </c>
      <c r="G255" t="s">
        <v>14827</v>
      </c>
      <c r="H255" t="s">
        <v>15348</v>
      </c>
      <c r="I255" t="s">
        <v>15611</v>
      </c>
      <c r="K255" s="47" t="s">
        <v>16103</v>
      </c>
      <c r="L255" t="s">
        <v>16113</v>
      </c>
      <c r="M255" t="s">
        <v>16121</v>
      </c>
    </row>
    <row r="257" spans="1:13">
      <c r="A257" t="s">
        <v>15285</v>
      </c>
      <c r="B257" t="s">
        <v>15285</v>
      </c>
      <c r="C257" t="s">
        <v>15286</v>
      </c>
      <c r="D257" t="s">
        <v>4310</v>
      </c>
      <c r="F257" t="str">
        <f>Config!$B$7</f>
        <v>SCH/Connector.SchLib</v>
      </c>
      <c r="G257" t="s">
        <v>14827</v>
      </c>
      <c r="H257" t="s">
        <v>15287</v>
      </c>
      <c r="I257" t="s">
        <v>14857</v>
      </c>
      <c r="K257" s="47" t="s">
        <v>16093</v>
      </c>
      <c r="L257" t="s">
        <v>16093</v>
      </c>
      <c r="M257" t="s">
        <v>16122</v>
      </c>
    </row>
    <row r="258" spans="1:13">
      <c r="A258" t="s">
        <v>15288</v>
      </c>
      <c r="B258" t="s">
        <v>15288</v>
      </c>
      <c r="C258" t="s">
        <v>15289</v>
      </c>
      <c r="D258" t="s">
        <v>4310</v>
      </c>
      <c r="F258" t="str">
        <f>Config!$B$7</f>
        <v>SCH/Connector.SchLib</v>
      </c>
      <c r="G258" t="s">
        <v>14827</v>
      </c>
      <c r="H258" t="s">
        <v>15287</v>
      </c>
      <c r="I258" t="s">
        <v>14858</v>
      </c>
      <c r="K258" s="47" t="s">
        <v>16093</v>
      </c>
      <c r="L258" t="s">
        <v>16094</v>
      </c>
      <c r="M258" t="s">
        <v>16122</v>
      </c>
    </row>
    <row r="259" spans="1:13">
      <c r="A259" t="s">
        <v>15290</v>
      </c>
      <c r="B259" t="s">
        <v>15290</v>
      </c>
      <c r="C259" t="s">
        <v>15291</v>
      </c>
      <c r="D259" t="s">
        <v>4310</v>
      </c>
      <c r="F259" t="str">
        <f>Config!$B$7</f>
        <v>SCH/Connector.SchLib</v>
      </c>
      <c r="G259" t="s">
        <v>14827</v>
      </c>
      <c r="H259" t="s">
        <v>15287</v>
      </c>
      <c r="I259" t="s">
        <v>14829</v>
      </c>
      <c r="K259" s="47" t="s">
        <v>16094</v>
      </c>
      <c r="L259" t="s">
        <v>16093</v>
      </c>
      <c r="M259" t="s">
        <v>16122</v>
      </c>
    </row>
    <row r="260" spans="1:13">
      <c r="A260" t="s">
        <v>15292</v>
      </c>
      <c r="B260" t="s">
        <v>15292</v>
      </c>
      <c r="C260" t="s">
        <v>15293</v>
      </c>
      <c r="D260" t="s">
        <v>4310</v>
      </c>
      <c r="F260" t="str">
        <f>Config!$B$7</f>
        <v>SCH/Connector.SchLib</v>
      </c>
      <c r="G260" t="s">
        <v>14827</v>
      </c>
      <c r="H260" t="s">
        <v>15287</v>
      </c>
      <c r="I260" t="s">
        <v>14830</v>
      </c>
      <c r="K260" s="47" t="s">
        <v>16094</v>
      </c>
      <c r="L260" t="s">
        <v>16094</v>
      </c>
      <c r="M260" t="s">
        <v>16122</v>
      </c>
    </row>
    <row r="261" spans="1:13">
      <c r="A261" t="s">
        <v>15294</v>
      </c>
      <c r="B261" t="s">
        <v>15294</v>
      </c>
      <c r="C261" t="s">
        <v>15295</v>
      </c>
      <c r="D261" t="s">
        <v>4310</v>
      </c>
      <c r="F261" t="str">
        <f>Config!$B$7</f>
        <v>SCH/Connector.SchLib</v>
      </c>
      <c r="G261" t="s">
        <v>14827</v>
      </c>
      <c r="H261" t="s">
        <v>15287</v>
      </c>
      <c r="I261" t="s">
        <v>14831</v>
      </c>
      <c r="K261" s="47" t="s">
        <v>16094</v>
      </c>
      <c r="L261" t="s">
        <v>16095</v>
      </c>
      <c r="M261" t="s">
        <v>16122</v>
      </c>
    </row>
    <row r="262" spans="1:13">
      <c r="A262" t="s">
        <v>15296</v>
      </c>
      <c r="B262" t="s">
        <v>15296</v>
      </c>
      <c r="C262" t="s">
        <v>15297</v>
      </c>
      <c r="D262" t="s">
        <v>4310</v>
      </c>
      <c r="F262" t="str">
        <f>Config!$B$7</f>
        <v>SCH/Connector.SchLib</v>
      </c>
      <c r="G262" t="s">
        <v>14827</v>
      </c>
      <c r="H262" t="s">
        <v>15287</v>
      </c>
      <c r="I262" t="s">
        <v>14832</v>
      </c>
      <c r="K262" s="47" t="s">
        <v>16095</v>
      </c>
      <c r="L262" t="s">
        <v>16093</v>
      </c>
      <c r="M262" t="s">
        <v>16122</v>
      </c>
    </row>
    <row r="263" spans="1:13">
      <c r="A263" t="s">
        <v>15298</v>
      </c>
      <c r="B263" t="s">
        <v>15298</v>
      </c>
      <c r="C263" t="s">
        <v>15299</v>
      </c>
      <c r="D263" t="s">
        <v>4310</v>
      </c>
      <c r="F263" t="str">
        <f>Config!$B$7</f>
        <v>SCH/Connector.SchLib</v>
      </c>
      <c r="G263" t="s">
        <v>14827</v>
      </c>
      <c r="H263" t="s">
        <v>15287</v>
      </c>
      <c r="I263" t="s">
        <v>14833</v>
      </c>
      <c r="K263" s="47" t="s">
        <v>16095</v>
      </c>
      <c r="L263" t="s">
        <v>16094</v>
      </c>
      <c r="M263" t="s">
        <v>16122</v>
      </c>
    </row>
    <row r="264" spans="1:13">
      <c r="A264" t="s">
        <v>15300</v>
      </c>
      <c r="B264" t="s">
        <v>15300</v>
      </c>
      <c r="C264" t="s">
        <v>15301</v>
      </c>
      <c r="D264" t="s">
        <v>4310</v>
      </c>
      <c r="F264" t="str">
        <f>Config!$B$7</f>
        <v>SCH/Connector.SchLib</v>
      </c>
      <c r="G264" t="s">
        <v>14827</v>
      </c>
      <c r="H264" t="s">
        <v>15287</v>
      </c>
      <c r="I264" t="s">
        <v>14834</v>
      </c>
      <c r="K264" s="47" t="s">
        <v>16095</v>
      </c>
      <c r="L264" t="s">
        <v>16095</v>
      </c>
      <c r="M264" t="s">
        <v>16122</v>
      </c>
    </row>
    <row r="265" spans="1:13">
      <c r="A265" t="s">
        <v>15302</v>
      </c>
      <c r="B265" t="s">
        <v>15302</v>
      </c>
      <c r="C265" t="s">
        <v>15303</v>
      </c>
      <c r="D265" t="s">
        <v>4310</v>
      </c>
      <c r="F265" t="str">
        <f>Config!$B$7</f>
        <v>SCH/Connector.SchLib</v>
      </c>
      <c r="G265" t="s">
        <v>14827</v>
      </c>
      <c r="H265" t="s">
        <v>15287</v>
      </c>
      <c r="I265" t="s">
        <v>14835</v>
      </c>
      <c r="K265" s="47" t="s">
        <v>16095</v>
      </c>
      <c r="L265" t="s">
        <v>16097</v>
      </c>
      <c r="M265" t="s">
        <v>16122</v>
      </c>
    </row>
    <row r="266" spans="1:13">
      <c r="A266" t="s">
        <v>15304</v>
      </c>
      <c r="B266" t="s">
        <v>15304</v>
      </c>
      <c r="C266" t="s">
        <v>15305</v>
      </c>
      <c r="D266" t="s">
        <v>4310</v>
      </c>
      <c r="F266" t="str">
        <f>Config!$B$7</f>
        <v>SCH/Connector.SchLib</v>
      </c>
      <c r="G266" t="s">
        <v>14827</v>
      </c>
      <c r="H266" t="s">
        <v>15287</v>
      </c>
      <c r="I266" t="s">
        <v>14836</v>
      </c>
      <c r="K266" s="47" t="s">
        <v>16096</v>
      </c>
      <c r="L266" t="s">
        <v>16104</v>
      </c>
      <c r="M266" t="s">
        <v>16122</v>
      </c>
    </row>
    <row r="267" spans="1:13">
      <c r="A267" t="s">
        <v>15306</v>
      </c>
      <c r="B267" t="s">
        <v>15306</v>
      </c>
      <c r="C267" t="s">
        <v>15307</v>
      </c>
      <c r="D267" t="s">
        <v>4310</v>
      </c>
      <c r="F267" t="str">
        <f>Config!$B$7</f>
        <v>SCH/Connector.SchLib</v>
      </c>
      <c r="G267" t="s">
        <v>14827</v>
      </c>
      <c r="H267" t="s">
        <v>15287</v>
      </c>
      <c r="I267" t="s">
        <v>14837</v>
      </c>
      <c r="K267" s="47" t="s">
        <v>16096</v>
      </c>
      <c r="L267" t="s">
        <v>16096</v>
      </c>
      <c r="M267" t="s">
        <v>16122</v>
      </c>
    </row>
    <row r="268" spans="1:13">
      <c r="A268" t="s">
        <v>15308</v>
      </c>
      <c r="B268" t="s">
        <v>15308</v>
      </c>
      <c r="C268" t="s">
        <v>15309</v>
      </c>
      <c r="D268" t="s">
        <v>4310</v>
      </c>
      <c r="F268" t="str">
        <f>Config!$B$7</f>
        <v>SCH/Connector.SchLib</v>
      </c>
      <c r="G268" t="s">
        <v>14827</v>
      </c>
      <c r="H268" t="s">
        <v>15287</v>
      </c>
      <c r="I268" t="s">
        <v>14838</v>
      </c>
      <c r="K268" s="47" t="s">
        <v>16096</v>
      </c>
      <c r="L268" t="s">
        <v>16098</v>
      </c>
      <c r="M268" t="s">
        <v>16122</v>
      </c>
    </row>
    <row r="269" spans="1:13">
      <c r="A269" t="s">
        <v>15310</v>
      </c>
      <c r="B269" t="s">
        <v>15310</v>
      </c>
      <c r="C269" t="s">
        <v>15311</v>
      </c>
      <c r="D269" t="s">
        <v>4310</v>
      </c>
      <c r="F269" t="str">
        <f>Config!$B$7</f>
        <v>SCH/Connector.SchLib</v>
      </c>
      <c r="G269" t="s">
        <v>14827</v>
      </c>
      <c r="H269" t="s">
        <v>15287</v>
      </c>
      <c r="I269" t="s">
        <v>14839</v>
      </c>
      <c r="K269" s="47" t="s">
        <v>16097</v>
      </c>
      <c r="L269" t="s">
        <v>16094</v>
      </c>
      <c r="M269" t="s">
        <v>16122</v>
      </c>
    </row>
    <row r="270" spans="1:13">
      <c r="A270" t="s">
        <v>15312</v>
      </c>
      <c r="B270" t="s">
        <v>15312</v>
      </c>
      <c r="C270" t="s">
        <v>15313</v>
      </c>
      <c r="D270" t="s">
        <v>4310</v>
      </c>
      <c r="F270" t="str">
        <f>Config!$B$7</f>
        <v>SCH/Connector.SchLib</v>
      </c>
      <c r="G270" t="s">
        <v>14827</v>
      </c>
      <c r="H270" t="s">
        <v>15287</v>
      </c>
      <c r="I270" t="s">
        <v>14840</v>
      </c>
      <c r="K270" s="47" t="s">
        <v>16097</v>
      </c>
      <c r="L270" t="s">
        <v>16095</v>
      </c>
      <c r="M270" t="s">
        <v>16122</v>
      </c>
    </row>
    <row r="271" spans="1:13">
      <c r="A271" t="s">
        <v>15314</v>
      </c>
      <c r="B271" t="s">
        <v>15314</v>
      </c>
      <c r="C271" t="s">
        <v>15315</v>
      </c>
      <c r="D271" t="s">
        <v>4310</v>
      </c>
      <c r="F271" t="str">
        <f>Config!$B$7</f>
        <v>SCH/Connector.SchLib</v>
      </c>
      <c r="G271" t="s">
        <v>14827</v>
      </c>
      <c r="H271" t="s">
        <v>15287</v>
      </c>
      <c r="I271" t="s">
        <v>14841</v>
      </c>
      <c r="K271" s="47" t="s">
        <v>16097</v>
      </c>
      <c r="L271" t="s">
        <v>16097</v>
      </c>
      <c r="M271" t="s">
        <v>16122</v>
      </c>
    </row>
    <row r="272" spans="1:13">
      <c r="A272" t="s">
        <v>15316</v>
      </c>
      <c r="B272" t="s">
        <v>15316</v>
      </c>
      <c r="C272" t="s">
        <v>15317</v>
      </c>
      <c r="D272" t="s">
        <v>4310</v>
      </c>
      <c r="F272" t="str">
        <f>Config!$B$7</f>
        <v>SCH/Connector.SchLib</v>
      </c>
      <c r="G272" t="s">
        <v>14827</v>
      </c>
      <c r="H272" t="s">
        <v>15287</v>
      </c>
      <c r="I272" t="s">
        <v>14842</v>
      </c>
      <c r="K272" s="47" t="s">
        <v>16097</v>
      </c>
      <c r="L272" t="s">
        <v>16099</v>
      </c>
      <c r="M272" t="s">
        <v>16122</v>
      </c>
    </row>
    <row r="273" spans="1:13">
      <c r="A273" t="s">
        <v>15318</v>
      </c>
      <c r="B273" t="s">
        <v>15318</v>
      </c>
      <c r="C273" t="s">
        <v>15319</v>
      </c>
      <c r="D273" t="s">
        <v>4310</v>
      </c>
      <c r="F273" t="str">
        <f>Config!$B$7</f>
        <v>SCH/Connector.SchLib</v>
      </c>
      <c r="G273" t="s">
        <v>14827</v>
      </c>
      <c r="H273" t="s">
        <v>15287</v>
      </c>
      <c r="I273" t="s">
        <v>14843</v>
      </c>
      <c r="K273" s="47" t="s">
        <v>16098</v>
      </c>
      <c r="L273" t="s">
        <v>16104</v>
      </c>
      <c r="M273" t="s">
        <v>16122</v>
      </c>
    </row>
    <row r="274" spans="1:13">
      <c r="A274" t="s">
        <v>15320</v>
      </c>
      <c r="B274" t="s">
        <v>15320</v>
      </c>
      <c r="C274" t="s">
        <v>15321</v>
      </c>
      <c r="D274" t="s">
        <v>4310</v>
      </c>
      <c r="F274" t="str">
        <f>Config!$B$7</f>
        <v>SCH/Connector.SchLib</v>
      </c>
      <c r="G274" t="s">
        <v>14827</v>
      </c>
      <c r="H274" t="s">
        <v>15287</v>
      </c>
      <c r="I274" t="s">
        <v>14844</v>
      </c>
      <c r="K274" s="47" t="s">
        <v>16098</v>
      </c>
      <c r="L274" t="s">
        <v>16096</v>
      </c>
      <c r="M274" t="s">
        <v>16122</v>
      </c>
    </row>
    <row r="275" spans="1:13">
      <c r="A275" t="s">
        <v>15322</v>
      </c>
      <c r="B275" t="s">
        <v>15322</v>
      </c>
      <c r="C275" t="s">
        <v>15323</v>
      </c>
      <c r="D275" t="s">
        <v>4310</v>
      </c>
      <c r="F275" t="str">
        <f>Config!$B$7</f>
        <v>SCH/Connector.SchLib</v>
      </c>
      <c r="G275" t="s">
        <v>14827</v>
      </c>
      <c r="H275" t="s">
        <v>15287</v>
      </c>
      <c r="I275" t="s">
        <v>14845</v>
      </c>
      <c r="K275" s="47" t="s">
        <v>16098</v>
      </c>
      <c r="L275" t="s">
        <v>16098</v>
      </c>
      <c r="M275" t="s">
        <v>16122</v>
      </c>
    </row>
    <row r="276" spans="1:13">
      <c r="A276" t="s">
        <v>15324</v>
      </c>
      <c r="B276" t="s">
        <v>15324</v>
      </c>
      <c r="C276" t="s">
        <v>15325</v>
      </c>
      <c r="D276" t="s">
        <v>4310</v>
      </c>
      <c r="F276" t="str">
        <f>Config!$B$7</f>
        <v>SCH/Connector.SchLib</v>
      </c>
      <c r="G276" t="s">
        <v>14827</v>
      </c>
      <c r="H276" t="s">
        <v>15287</v>
      </c>
      <c r="I276" t="s">
        <v>14846</v>
      </c>
      <c r="K276" s="47" t="s">
        <v>16098</v>
      </c>
      <c r="L276" t="s">
        <v>16101</v>
      </c>
      <c r="M276" t="s">
        <v>16122</v>
      </c>
    </row>
    <row r="277" spans="1:13">
      <c r="A277" t="s">
        <v>15326</v>
      </c>
      <c r="B277" t="s">
        <v>15326</v>
      </c>
      <c r="C277" t="s">
        <v>15327</v>
      </c>
      <c r="D277" t="s">
        <v>4310</v>
      </c>
      <c r="F277" t="str">
        <f>Config!$B$7</f>
        <v>SCH/Connector.SchLib</v>
      </c>
      <c r="G277" t="s">
        <v>14827</v>
      </c>
      <c r="H277" t="s">
        <v>15287</v>
      </c>
      <c r="I277" t="s">
        <v>14847</v>
      </c>
      <c r="K277" s="47" t="s">
        <v>16099</v>
      </c>
      <c r="L277" t="s">
        <v>16105</v>
      </c>
      <c r="M277" t="s">
        <v>16122</v>
      </c>
    </row>
    <row r="278" spans="1:13">
      <c r="A278" t="s">
        <v>15328</v>
      </c>
      <c r="B278" t="s">
        <v>15328</v>
      </c>
      <c r="C278" t="s">
        <v>15329</v>
      </c>
      <c r="D278" t="s">
        <v>4310</v>
      </c>
      <c r="F278" t="str">
        <f>Config!$B$7</f>
        <v>SCH/Connector.SchLib</v>
      </c>
      <c r="G278" t="s">
        <v>14827</v>
      </c>
      <c r="H278" t="s">
        <v>15287</v>
      </c>
      <c r="I278" t="s">
        <v>14848</v>
      </c>
      <c r="K278" s="47" t="s">
        <v>16099</v>
      </c>
      <c r="L278" t="s">
        <v>16095</v>
      </c>
      <c r="M278" t="s">
        <v>16122</v>
      </c>
    </row>
    <row r="279" spans="1:13">
      <c r="A279" t="s">
        <v>15330</v>
      </c>
      <c r="B279" t="s">
        <v>15330</v>
      </c>
      <c r="C279" t="s">
        <v>15331</v>
      </c>
      <c r="D279" t="s">
        <v>4310</v>
      </c>
      <c r="F279" t="str">
        <f>Config!$B$7</f>
        <v>SCH/Connector.SchLib</v>
      </c>
      <c r="G279" t="s">
        <v>14827</v>
      </c>
      <c r="H279" t="s">
        <v>15287</v>
      </c>
      <c r="I279" t="s">
        <v>14849</v>
      </c>
      <c r="K279" s="47" t="s">
        <v>16099</v>
      </c>
      <c r="L279" t="s">
        <v>16097</v>
      </c>
      <c r="M279" t="s">
        <v>16122</v>
      </c>
    </row>
    <row r="280" spans="1:13">
      <c r="A280" t="s">
        <v>15332</v>
      </c>
      <c r="B280" t="s">
        <v>15332</v>
      </c>
      <c r="C280" t="s">
        <v>15333</v>
      </c>
      <c r="D280" t="s">
        <v>4310</v>
      </c>
      <c r="F280" t="str">
        <f>Config!$B$7</f>
        <v>SCH/Connector.SchLib</v>
      </c>
      <c r="G280" t="s">
        <v>14827</v>
      </c>
      <c r="H280" t="s">
        <v>15287</v>
      </c>
      <c r="I280" t="s">
        <v>14850</v>
      </c>
      <c r="K280" s="47" t="s">
        <v>16099</v>
      </c>
      <c r="L280" t="s">
        <v>16099</v>
      </c>
      <c r="M280" t="s">
        <v>16122</v>
      </c>
    </row>
    <row r="281" spans="1:13">
      <c r="A281" t="s">
        <v>15334</v>
      </c>
      <c r="B281" t="s">
        <v>15334</v>
      </c>
      <c r="C281" t="s">
        <v>15335</v>
      </c>
      <c r="D281" t="s">
        <v>4310</v>
      </c>
      <c r="F281" t="str">
        <f>Config!$B$7</f>
        <v>SCH/Connector.SchLib</v>
      </c>
      <c r="G281" t="s">
        <v>14827</v>
      </c>
      <c r="H281" t="s">
        <v>15287</v>
      </c>
      <c r="I281" t="s">
        <v>14851</v>
      </c>
      <c r="K281" s="47" t="s">
        <v>16099</v>
      </c>
      <c r="L281" t="s">
        <v>16102</v>
      </c>
      <c r="M281" t="s">
        <v>16122</v>
      </c>
    </row>
    <row r="282" spans="1:13">
      <c r="A282" t="s">
        <v>15336</v>
      </c>
      <c r="B282" t="s">
        <v>15336</v>
      </c>
      <c r="C282" t="s">
        <v>15337</v>
      </c>
      <c r="D282" t="s">
        <v>4310</v>
      </c>
      <c r="F282" t="str">
        <f>Config!$B$7</f>
        <v>SCH/Connector.SchLib</v>
      </c>
      <c r="G282" t="s">
        <v>14827</v>
      </c>
      <c r="H282" t="s">
        <v>15287</v>
      </c>
      <c r="I282" t="s">
        <v>14852</v>
      </c>
      <c r="K282" s="47" t="s">
        <v>16100</v>
      </c>
      <c r="L282" t="s">
        <v>16094</v>
      </c>
      <c r="M282" t="s">
        <v>16122</v>
      </c>
    </row>
    <row r="283" spans="1:13">
      <c r="A283" t="s">
        <v>15890</v>
      </c>
      <c r="B283" t="s">
        <v>15890</v>
      </c>
      <c r="C283" t="s">
        <v>15891</v>
      </c>
      <c r="D283" t="s">
        <v>4310</v>
      </c>
      <c r="F283" t="str">
        <f>Config!$B$7</f>
        <v>SCH/Connector.SchLib</v>
      </c>
      <c r="G283" t="s">
        <v>14827</v>
      </c>
      <c r="H283" t="s">
        <v>15287</v>
      </c>
      <c r="I283" t="s">
        <v>15590</v>
      </c>
      <c r="K283" s="47" t="s">
        <v>16100</v>
      </c>
      <c r="L283" t="s">
        <v>16095</v>
      </c>
      <c r="M283" t="s">
        <v>16122</v>
      </c>
    </row>
    <row r="284" spans="1:13">
      <c r="A284" t="s">
        <v>15338</v>
      </c>
      <c r="B284" t="s">
        <v>15338</v>
      </c>
      <c r="C284" t="s">
        <v>15339</v>
      </c>
      <c r="D284" t="s">
        <v>4310</v>
      </c>
      <c r="F284" t="str">
        <f>Config!$B$7</f>
        <v>SCH/Connector.SchLib</v>
      </c>
      <c r="G284" t="s">
        <v>14827</v>
      </c>
      <c r="H284" t="s">
        <v>15287</v>
      </c>
      <c r="I284" t="s">
        <v>14853</v>
      </c>
      <c r="K284" s="47" t="s">
        <v>16100</v>
      </c>
      <c r="L284" t="s">
        <v>16106</v>
      </c>
      <c r="M284" t="s">
        <v>16122</v>
      </c>
    </row>
    <row r="285" spans="1:13">
      <c r="A285" t="s">
        <v>15340</v>
      </c>
      <c r="B285" t="s">
        <v>15340</v>
      </c>
      <c r="C285" t="s">
        <v>15341</v>
      </c>
      <c r="D285" t="s">
        <v>4310</v>
      </c>
      <c r="F285" t="str">
        <f>Config!$B$7</f>
        <v>SCH/Connector.SchLib</v>
      </c>
      <c r="G285" t="s">
        <v>14827</v>
      </c>
      <c r="H285" t="s">
        <v>15287</v>
      </c>
      <c r="I285" t="s">
        <v>14854</v>
      </c>
      <c r="K285" s="47" t="s">
        <v>16100</v>
      </c>
      <c r="L285" t="s">
        <v>16107</v>
      </c>
      <c r="M285" t="s">
        <v>16122</v>
      </c>
    </row>
    <row r="286" spans="1:13">
      <c r="A286" t="s">
        <v>15342</v>
      </c>
      <c r="B286" t="s">
        <v>15342</v>
      </c>
      <c r="C286" t="s">
        <v>15343</v>
      </c>
      <c r="D286" t="s">
        <v>4310</v>
      </c>
      <c r="F286" t="str">
        <f>Config!$B$7</f>
        <v>SCH/Connector.SchLib</v>
      </c>
      <c r="G286" t="s">
        <v>14827</v>
      </c>
      <c r="H286" t="s">
        <v>15287</v>
      </c>
      <c r="I286" t="s">
        <v>14855</v>
      </c>
      <c r="K286" s="47" t="s">
        <v>16100</v>
      </c>
      <c r="L286" t="s">
        <v>16100</v>
      </c>
      <c r="M286" t="s">
        <v>16122</v>
      </c>
    </row>
    <row r="287" spans="1:13">
      <c r="A287" t="s">
        <v>15344</v>
      </c>
      <c r="B287" t="s">
        <v>15344</v>
      </c>
      <c r="C287" t="s">
        <v>15345</v>
      </c>
      <c r="D287" t="s">
        <v>4310</v>
      </c>
      <c r="F287" t="str">
        <f>Config!$B$7</f>
        <v>SCH/Connector.SchLib</v>
      </c>
      <c r="G287" t="s">
        <v>14827</v>
      </c>
      <c r="H287" t="s">
        <v>15287</v>
      </c>
      <c r="I287" t="s">
        <v>14856</v>
      </c>
      <c r="K287" s="47" t="s">
        <v>16100</v>
      </c>
      <c r="L287" t="s">
        <v>16108</v>
      </c>
      <c r="M287" t="s">
        <v>16122</v>
      </c>
    </row>
    <row r="288" spans="1:13">
      <c r="A288" t="s">
        <v>15892</v>
      </c>
      <c r="B288" t="s">
        <v>15892</v>
      </c>
      <c r="C288" t="s">
        <v>15893</v>
      </c>
      <c r="D288" t="s">
        <v>4310</v>
      </c>
      <c r="F288" t="str">
        <f>Config!$B$7</f>
        <v>SCH/Connector.SchLib</v>
      </c>
      <c r="G288" t="s">
        <v>14827</v>
      </c>
      <c r="H288" t="s">
        <v>15287</v>
      </c>
      <c r="I288" t="s">
        <v>15593</v>
      </c>
      <c r="K288" s="47" t="s">
        <v>16101</v>
      </c>
      <c r="L288" t="s">
        <v>16109</v>
      </c>
      <c r="M288" t="s">
        <v>16122</v>
      </c>
    </row>
    <row r="289" spans="1:13">
      <c r="A289" t="s">
        <v>15894</v>
      </c>
      <c r="B289" t="s">
        <v>15894</v>
      </c>
      <c r="C289" t="s">
        <v>15895</v>
      </c>
      <c r="D289" t="s">
        <v>4310</v>
      </c>
      <c r="F289" t="str">
        <f>Config!$B$7</f>
        <v>SCH/Connector.SchLib</v>
      </c>
      <c r="G289" t="s">
        <v>14827</v>
      </c>
      <c r="H289" t="s">
        <v>15287</v>
      </c>
      <c r="I289" t="s">
        <v>15594</v>
      </c>
      <c r="K289" s="47" t="s">
        <v>16101</v>
      </c>
      <c r="L289" t="s">
        <v>16095</v>
      </c>
      <c r="M289" t="s">
        <v>16122</v>
      </c>
    </row>
    <row r="290" spans="1:13">
      <c r="A290" t="s">
        <v>15896</v>
      </c>
      <c r="B290" t="s">
        <v>15896</v>
      </c>
      <c r="C290" t="s">
        <v>15897</v>
      </c>
      <c r="D290" t="s">
        <v>4310</v>
      </c>
      <c r="F290" t="str">
        <f>Config!$B$7</f>
        <v>SCH/Connector.SchLib</v>
      </c>
      <c r="G290" t="s">
        <v>14827</v>
      </c>
      <c r="H290" t="s">
        <v>15287</v>
      </c>
      <c r="I290" t="s">
        <v>15595</v>
      </c>
      <c r="K290" s="47" t="s">
        <v>16101</v>
      </c>
      <c r="L290" t="s">
        <v>16096</v>
      </c>
      <c r="M290" t="s">
        <v>16122</v>
      </c>
    </row>
    <row r="291" spans="1:13">
      <c r="A291" t="s">
        <v>15898</v>
      </c>
      <c r="B291" t="s">
        <v>15898</v>
      </c>
      <c r="C291" t="s">
        <v>15899</v>
      </c>
      <c r="D291" t="s">
        <v>4310</v>
      </c>
      <c r="F291" t="str">
        <f>Config!$B$7</f>
        <v>SCH/Connector.SchLib</v>
      </c>
      <c r="G291" t="s">
        <v>14827</v>
      </c>
      <c r="H291" t="s">
        <v>15287</v>
      </c>
      <c r="I291" t="s">
        <v>15596</v>
      </c>
      <c r="K291" s="47" t="s">
        <v>16101</v>
      </c>
      <c r="L291" t="s">
        <v>16098</v>
      </c>
      <c r="M291" t="s">
        <v>16122</v>
      </c>
    </row>
    <row r="292" spans="1:13">
      <c r="A292" t="s">
        <v>15900</v>
      </c>
      <c r="B292" t="s">
        <v>15900</v>
      </c>
      <c r="C292" t="s">
        <v>15901</v>
      </c>
      <c r="D292" t="s">
        <v>4310</v>
      </c>
      <c r="F292" t="str">
        <f>Config!$B$7</f>
        <v>SCH/Connector.SchLib</v>
      </c>
      <c r="G292" t="s">
        <v>14827</v>
      </c>
      <c r="H292" t="s">
        <v>15287</v>
      </c>
      <c r="I292" t="s">
        <v>15597</v>
      </c>
      <c r="K292" s="47" t="s">
        <v>16101</v>
      </c>
      <c r="L292" t="s">
        <v>16101</v>
      </c>
      <c r="M292" t="s">
        <v>16122</v>
      </c>
    </row>
    <row r="293" spans="1:13">
      <c r="A293" t="s">
        <v>15902</v>
      </c>
      <c r="B293" t="s">
        <v>15902</v>
      </c>
      <c r="C293" t="s">
        <v>15903</v>
      </c>
      <c r="D293" t="s">
        <v>4310</v>
      </c>
      <c r="F293" t="str">
        <f>Config!$B$7</f>
        <v>SCH/Connector.SchLib</v>
      </c>
      <c r="G293" t="s">
        <v>14827</v>
      </c>
      <c r="H293" t="s">
        <v>15287</v>
      </c>
      <c r="I293" t="s">
        <v>15598</v>
      </c>
      <c r="K293" s="47" t="s">
        <v>16101</v>
      </c>
      <c r="L293" t="s">
        <v>16110</v>
      </c>
      <c r="M293" t="s">
        <v>16122</v>
      </c>
    </row>
    <row r="294" spans="1:13">
      <c r="A294" t="s">
        <v>15904</v>
      </c>
      <c r="B294" t="s">
        <v>15904</v>
      </c>
      <c r="C294" t="s">
        <v>15905</v>
      </c>
      <c r="D294" t="s">
        <v>4310</v>
      </c>
      <c r="F294" t="str">
        <f>Config!$B$7</f>
        <v>SCH/Connector.SchLib</v>
      </c>
      <c r="G294" t="s">
        <v>14827</v>
      </c>
      <c r="H294" t="s">
        <v>15287</v>
      </c>
      <c r="I294" t="s">
        <v>15599</v>
      </c>
      <c r="K294" s="47" t="s">
        <v>16102</v>
      </c>
      <c r="L294" t="s">
        <v>16094</v>
      </c>
      <c r="M294" t="s">
        <v>16122</v>
      </c>
    </row>
    <row r="295" spans="1:13">
      <c r="A295" t="s">
        <v>15906</v>
      </c>
      <c r="B295" t="s">
        <v>15906</v>
      </c>
      <c r="C295" t="s">
        <v>15907</v>
      </c>
      <c r="D295" t="s">
        <v>4310</v>
      </c>
      <c r="F295" t="str">
        <f>Config!$B$7</f>
        <v>SCH/Connector.SchLib</v>
      </c>
      <c r="G295" t="s">
        <v>14827</v>
      </c>
      <c r="H295" t="s">
        <v>15287</v>
      </c>
      <c r="I295" t="s">
        <v>15600</v>
      </c>
      <c r="K295" s="47" t="s">
        <v>16102</v>
      </c>
      <c r="L295" t="s">
        <v>16111</v>
      </c>
      <c r="M295" t="s">
        <v>16122</v>
      </c>
    </row>
    <row r="296" spans="1:13">
      <c r="A296" t="s">
        <v>15908</v>
      </c>
      <c r="B296" t="s">
        <v>15908</v>
      </c>
      <c r="C296" t="s">
        <v>15909</v>
      </c>
      <c r="D296" t="s">
        <v>4310</v>
      </c>
      <c r="F296" t="str">
        <f>Config!$B$7</f>
        <v>SCH/Connector.SchLib</v>
      </c>
      <c r="G296" t="s">
        <v>14827</v>
      </c>
      <c r="H296" t="s">
        <v>15287</v>
      </c>
      <c r="I296" t="s">
        <v>15601</v>
      </c>
      <c r="K296" s="47" t="s">
        <v>16102</v>
      </c>
      <c r="L296" t="s">
        <v>16095</v>
      </c>
      <c r="M296" t="s">
        <v>16122</v>
      </c>
    </row>
    <row r="297" spans="1:13">
      <c r="A297" t="s">
        <v>15910</v>
      </c>
      <c r="B297" t="s">
        <v>15910</v>
      </c>
      <c r="C297" t="s">
        <v>15911</v>
      </c>
      <c r="D297" t="s">
        <v>4310</v>
      </c>
      <c r="F297" t="str">
        <f>Config!$B$7</f>
        <v>SCH/Connector.SchLib</v>
      </c>
      <c r="G297" t="s">
        <v>14827</v>
      </c>
      <c r="H297" t="s">
        <v>15287</v>
      </c>
      <c r="I297" t="s">
        <v>15602</v>
      </c>
      <c r="K297" s="47" t="s">
        <v>16102</v>
      </c>
      <c r="L297" t="s">
        <v>16097</v>
      </c>
      <c r="M297" t="s">
        <v>16122</v>
      </c>
    </row>
    <row r="298" spans="1:13">
      <c r="A298" t="s">
        <v>15912</v>
      </c>
      <c r="B298" t="s">
        <v>15912</v>
      </c>
      <c r="C298" t="s">
        <v>15913</v>
      </c>
      <c r="D298" t="s">
        <v>4310</v>
      </c>
      <c r="F298" t="str">
        <f>Config!$B$7</f>
        <v>SCH/Connector.SchLib</v>
      </c>
      <c r="G298" t="s">
        <v>14827</v>
      </c>
      <c r="H298" t="s">
        <v>15287</v>
      </c>
      <c r="I298" t="s">
        <v>15603</v>
      </c>
      <c r="K298" s="47" t="s">
        <v>16102</v>
      </c>
      <c r="L298" t="s">
        <v>16099</v>
      </c>
      <c r="M298" t="s">
        <v>16122</v>
      </c>
    </row>
    <row r="299" spans="1:13">
      <c r="A299" t="s">
        <v>15914</v>
      </c>
      <c r="B299" t="s">
        <v>15914</v>
      </c>
      <c r="C299" t="s">
        <v>15915</v>
      </c>
      <c r="D299" t="s">
        <v>4310</v>
      </c>
      <c r="F299" t="str">
        <f>Config!$B$7</f>
        <v>SCH/Connector.SchLib</v>
      </c>
      <c r="G299" t="s">
        <v>14827</v>
      </c>
      <c r="H299" t="s">
        <v>15287</v>
      </c>
      <c r="I299" t="s">
        <v>15604</v>
      </c>
      <c r="K299" s="47" t="s">
        <v>16102</v>
      </c>
      <c r="L299" t="s">
        <v>16102</v>
      </c>
      <c r="M299" t="s">
        <v>16122</v>
      </c>
    </row>
    <row r="300" spans="1:13">
      <c r="A300" t="s">
        <v>15916</v>
      </c>
      <c r="B300" t="s">
        <v>15916</v>
      </c>
      <c r="C300" t="s">
        <v>15917</v>
      </c>
      <c r="D300" t="s">
        <v>4310</v>
      </c>
      <c r="F300" t="str">
        <f>Config!$B$7</f>
        <v>SCH/Connector.SchLib</v>
      </c>
      <c r="G300" t="s">
        <v>14827</v>
      </c>
      <c r="H300" t="s">
        <v>15287</v>
      </c>
      <c r="I300" t="s">
        <v>15605</v>
      </c>
      <c r="K300" s="47" t="s">
        <v>16102</v>
      </c>
      <c r="L300" t="s">
        <v>16112</v>
      </c>
      <c r="M300" t="s">
        <v>16122</v>
      </c>
    </row>
    <row r="301" spans="1:13">
      <c r="A301" t="s">
        <v>15918</v>
      </c>
      <c r="B301" t="s">
        <v>15918</v>
      </c>
      <c r="C301" t="s">
        <v>15919</v>
      </c>
      <c r="D301" t="s">
        <v>4310</v>
      </c>
      <c r="F301" t="str">
        <f>Config!$B$7</f>
        <v>SCH/Connector.SchLib</v>
      </c>
      <c r="G301" t="s">
        <v>14827</v>
      </c>
      <c r="H301" t="s">
        <v>15287</v>
      </c>
      <c r="I301" t="s">
        <v>15606</v>
      </c>
      <c r="K301" s="47" t="s">
        <v>16103</v>
      </c>
      <c r="L301" t="s">
        <v>16094</v>
      </c>
      <c r="M301" t="s">
        <v>16122</v>
      </c>
    </row>
    <row r="302" spans="1:13">
      <c r="A302" t="s">
        <v>15920</v>
      </c>
      <c r="B302" t="s">
        <v>15920</v>
      </c>
      <c r="C302" t="s">
        <v>15921</v>
      </c>
      <c r="D302" t="s">
        <v>4310</v>
      </c>
      <c r="F302" t="str">
        <f>Config!$B$7</f>
        <v>SCH/Connector.SchLib</v>
      </c>
      <c r="G302" t="s">
        <v>14827</v>
      </c>
      <c r="H302" t="s">
        <v>15287</v>
      </c>
      <c r="I302" t="s">
        <v>15607</v>
      </c>
      <c r="K302" s="47" t="s">
        <v>16103</v>
      </c>
      <c r="L302" t="s">
        <v>16095</v>
      </c>
      <c r="M302" t="s">
        <v>16122</v>
      </c>
    </row>
    <row r="303" spans="1:13">
      <c r="A303" t="s">
        <v>15922</v>
      </c>
      <c r="B303" t="s">
        <v>15922</v>
      </c>
      <c r="C303" t="s">
        <v>15923</v>
      </c>
      <c r="D303" t="s">
        <v>4310</v>
      </c>
      <c r="F303" t="str">
        <f>Config!$B$7</f>
        <v>SCH/Connector.SchLib</v>
      </c>
      <c r="G303" t="s">
        <v>14827</v>
      </c>
      <c r="H303" t="s">
        <v>15287</v>
      </c>
      <c r="I303" t="s">
        <v>15608</v>
      </c>
      <c r="K303" s="47" t="s">
        <v>16103</v>
      </c>
      <c r="L303" t="s">
        <v>16107</v>
      </c>
      <c r="M303" t="s">
        <v>16122</v>
      </c>
    </row>
    <row r="304" spans="1:13">
      <c r="A304" t="s">
        <v>15924</v>
      </c>
      <c r="B304" t="s">
        <v>15924</v>
      </c>
      <c r="C304" t="s">
        <v>15925</v>
      </c>
      <c r="D304" t="s">
        <v>4310</v>
      </c>
      <c r="F304" t="str">
        <f>Config!$B$7</f>
        <v>SCH/Connector.SchLib</v>
      </c>
      <c r="G304" t="s">
        <v>14827</v>
      </c>
      <c r="H304" t="s">
        <v>15287</v>
      </c>
      <c r="I304" t="s">
        <v>15609</v>
      </c>
      <c r="K304" s="47" t="s">
        <v>16103</v>
      </c>
      <c r="L304" t="s">
        <v>16100</v>
      </c>
      <c r="M304" t="s">
        <v>16122</v>
      </c>
    </row>
    <row r="305" spans="1:13">
      <c r="A305" t="s">
        <v>15926</v>
      </c>
      <c r="B305" t="s">
        <v>15926</v>
      </c>
      <c r="C305" t="s">
        <v>15927</v>
      </c>
      <c r="D305" t="s">
        <v>4310</v>
      </c>
      <c r="F305" t="str">
        <f>Config!$B$7</f>
        <v>SCH/Connector.SchLib</v>
      </c>
      <c r="G305" t="s">
        <v>14827</v>
      </c>
      <c r="H305" t="s">
        <v>15287</v>
      </c>
      <c r="I305" t="s">
        <v>15610</v>
      </c>
      <c r="K305" s="47" t="s">
        <v>16103</v>
      </c>
      <c r="L305" t="s">
        <v>16108</v>
      </c>
      <c r="M305" t="s">
        <v>16122</v>
      </c>
    </row>
    <row r="306" spans="1:13">
      <c r="A306" t="s">
        <v>15928</v>
      </c>
      <c r="B306" t="s">
        <v>15928</v>
      </c>
      <c r="C306" t="s">
        <v>15929</v>
      </c>
      <c r="D306" t="s">
        <v>4310</v>
      </c>
      <c r="F306" t="str">
        <f>Config!$B$7</f>
        <v>SCH/Connector.SchLib</v>
      </c>
      <c r="G306" t="s">
        <v>14827</v>
      </c>
      <c r="H306" t="s">
        <v>15287</v>
      </c>
      <c r="I306" t="s">
        <v>15611</v>
      </c>
      <c r="K306" s="47" t="s">
        <v>16103</v>
      </c>
      <c r="L306" t="s">
        <v>16113</v>
      </c>
      <c r="M306" t="s">
        <v>16122</v>
      </c>
    </row>
    <row r="308" spans="1:13">
      <c r="A308" t="s">
        <v>15224</v>
      </c>
      <c r="B308" t="s">
        <v>15224</v>
      </c>
      <c r="C308" t="s">
        <v>15225</v>
      </c>
      <c r="D308" t="s">
        <v>4310</v>
      </c>
      <c r="F308" t="str">
        <f>Config!$B$7</f>
        <v>SCH/Connector.SchLib</v>
      </c>
      <c r="G308" t="s">
        <v>14827</v>
      </c>
      <c r="H308" t="s">
        <v>15226</v>
      </c>
      <c r="I308" t="s">
        <v>14857</v>
      </c>
      <c r="K308" s="47" t="s">
        <v>16093</v>
      </c>
      <c r="L308" t="s">
        <v>16093</v>
      </c>
      <c r="M308" t="s">
        <v>16123</v>
      </c>
    </row>
    <row r="309" spans="1:13">
      <c r="A309" t="s">
        <v>15227</v>
      </c>
      <c r="B309" t="s">
        <v>15227</v>
      </c>
      <c r="C309" t="s">
        <v>15228</v>
      </c>
      <c r="D309" t="s">
        <v>4310</v>
      </c>
      <c r="F309" t="str">
        <f>Config!$B$7</f>
        <v>SCH/Connector.SchLib</v>
      </c>
      <c r="G309" t="s">
        <v>14827</v>
      </c>
      <c r="H309" t="s">
        <v>15226</v>
      </c>
      <c r="I309" t="s">
        <v>14858</v>
      </c>
      <c r="K309" s="47" t="s">
        <v>16093</v>
      </c>
      <c r="L309" t="s">
        <v>16094</v>
      </c>
      <c r="M309" t="s">
        <v>16123</v>
      </c>
    </row>
    <row r="310" spans="1:13">
      <c r="A310" t="s">
        <v>15229</v>
      </c>
      <c r="B310" t="s">
        <v>15229</v>
      </c>
      <c r="C310" t="s">
        <v>15230</v>
      </c>
      <c r="D310" t="s">
        <v>4310</v>
      </c>
      <c r="F310" t="str">
        <f>Config!$B$7</f>
        <v>SCH/Connector.SchLib</v>
      </c>
      <c r="G310" t="s">
        <v>14827</v>
      </c>
      <c r="H310" t="s">
        <v>15226</v>
      </c>
      <c r="I310" t="s">
        <v>14829</v>
      </c>
      <c r="K310" s="47" t="s">
        <v>16094</v>
      </c>
      <c r="L310" t="s">
        <v>16093</v>
      </c>
      <c r="M310" t="s">
        <v>16123</v>
      </c>
    </row>
    <row r="311" spans="1:13">
      <c r="A311" t="s">
        <v>15231</v>
      </c>
      <c r="B311" t="s">
        <v>15231</v>
      </c>
      <c r="C311" t="s">
        <v>15232</v>
      </c>
      <c r="D311" t="s">
        <v>4310</v>
      </c>
      <c r="F311" t="str">
        <f>Config!$B$7</f>
        <v>SCH/Connector.SchLib</v>
      </c>
      <c r="G311" t="s">
        <v>14827</v>
      </c>
      <c r="H311" t="s">
        <v>15226</v>
      </c>
      <c r="I311" t="s">
        <v>14830</v>
      </c>
      <c r="K311" s="47" t="s">
        <v>16094</v>
      </c>
      <c r="L311" t="s">
        <v>16094</v>
      </c>
      <c r="M311" t="s">
        <v>16123</v>
      </c>
    </row>
    <row r="312" spans="1:13">
      <c r="A312" t="s">
        <v>15233</v>
      </c>
      <c r="B312" t="s">
        <v>15233</v>
      </c>
      <c r="C312" t="s">
        <v>15234</v>
      </c>
      <c r="D312" t="s">
        <v>4310</v>
      </c>
      <c r="F312" t="str">
        <f>Config!$B$7</f>
        <v>SCH/Connector.SchLib</v>
      </c>
      <c r="G312" t="s">
        <v>14827</v>
      </c>
      <c r="H312" t="s">
        <v>15226</v>
      </c>
      <c r="I312" t="s">
        <v>14831</v>
      </c>
      <c r="K312" s="47" t="s">
        <v>16094</v>
      </c>
      <c r="L312" t="s">
        <v>16095</v>
      </c>
      <c r="M312" t="s">
        <v>16123</v>
      </c>
    </row>
    <row r="313" spans="1:13">
      <c r="A313" t="s">
        <v>15235</v>
      </c>
      <c r="B313" t="s">
        <v>15235</v>
      </c>
      <c r="C313" t="s">
        <v>15236</v>
      </c>
      <c r="D313" t="s">
        <v>4310</v>
      </c>
      <c r="F313" t="str">
        <f>Config!$B$7</f>
        <v>SCH/Connector.SchLib</v>
      </c>
      <c r="G313" t="s">
        <v>14827</v>
      </c>
      <c r="H313" t="s">
        <v>15226</v>
      </c>
      <c r="I313" t="s">
        <v>14832</v>
      </c>
      <c r="K313" s="47" t="s">
        <v>16095</v>
      </c>
      <c r="L313" t="s">
        <v>16093</v>
      </c>
      <c r="M313" t="s">
        <v>16123</v>
      </c>
    </row>
    <row r="314" spans="1:13">
      <c r="A314" t="s">
        <v>15237</v>
      </c>
      <c r="B314" t="s">
        <v>15237</v>
      </c>
      <c r="C314" t="s">
        <v>15238</v>
      </c>
      <c r="D314" t="s">
        <v>4310</v>
      </c>
      <c r="F314" t="str">
        <f>Config!$B$7</f>
        <v>SCH/Connector.SchLib</v>
      </c>
      <c r="G314" t="s">
        <v>14827</v>
      </c>
      <c r="H314" t="s">
        <v>15226</v>
      </c>
      <c r="I314" t="s">
        <v>14833</v>
      </c>
      <c r="K314" s="47" t="s">
        <v>16095</v>
      </c>
      <c r="L314" t="s">
        <v>16094</v>
      </c>
      <c r="M314" t="s">
        <v>16123</v>
      </c>
    </row>
    <row r="315" spans="1:13">
      <c r="A315" t="s">
        <v>15239</v>
      </c>
      <c r="B315" t="s">
        <v>15239</v>
      </c>
      <c r="C315" t="s">
        <v>15240</v>
      </c>
      <c r="D315" t="s">
        <v>4310</v>
      </c>
      <c r="F315" t="str">
        <f>Config!$B$7</f>
        <v>SCH/Connector.SchLib</v>
      </c>
      <c r="G315" t="s">
        <v>14827</v>
      </c>
      <c r="H315" t="s">
        <v>15226</v>
      </c>
      <c r="I315" t="s">
        <v>14834</v>
      </c>
      <c r="K315" s="47" t="s">
        <v>16095</v>
      </c>
      <c r="L315" t="s">
        <v>16095</v>
      </c>
      <c r="M315" t="s">
        <v>16123</v>
      </c>
    </row>
    <row r="316" spans="1:13">
      <c r="A316" t="s">
        <v>15241</v>
      </c>
      <c r="B316" t="s">
        <v>15241</v>
      </c>
      <c r="C316" t="s">
        <v>15242</v>
      </c>
      <c r="D316" t="s">
        <v>4310</v>
      </c>
      <c r="F316" t="str">
        <f>Config!$B$7</f>
        <v>SCH/Connector.SchLib</v>
      </c>
      <c r="G316" t="s">
        <v>14827</v>
      </c>
      <c r="H316" t="s">
        <v>15226</v>
      </c>
      <c r="I316" t="s">
        <v>14835</v>
      </c>
      <c r="K316" s="47" t="s">
        <v>16095</v>
      </c>
      <c r="L316" t="s">
        <v>16097</v>
      </c>
      <c r="M316" t="s">
        <v>16123</v>
      </c>
    </row>
    <row r="317" spans="1:13">
      <c r="A317" t="s">
        <v>15243</v>
      </c>
      <c r="B317" t="s">
        <v>15243</v>
      </c>
      <c r="C317" t="s">
        <v>15244</v>
      </c>
      <c r="D317" t="s">
        <v>4310</v>
      </c>
      <c r="F317" t="str">
        <f>Config!$B$7</f>
        <v>SCH/Connector.SchLib</v>
      </c>
      <c r="G317" t="s">
        <v>14827</v>
      </c>
      <c r="H317" t="s">
        <v>15226</v>
      </c>
      <c r="I317" t="s">
        <v>14836</v>
      </c>
      <c r="K317" s="47" t="s">
        <v>16096</v>
      </c>
      <c r="L317" t="s">
        <v>16104</v>
      </c>
      <c r="M317" t="s">
        <v>16123</v>
      </c>
    </row>
    <row r="318" spans="1:13">
      <c r="A318" t="s">
        <v>15245</v>
      </c>
      <c r="B318" t="s">
        <v>15245</v>
      </c>
      <c r="C318" t="s">
        <v>15246</v>
      </c>
      <c r="D318" t="s">
        <v>4310</v>
      </c>
      <c r="F318" t="str">
        <f>Config!$B$7</f>
        <v>SCH/Connector.SchLib</v>
      </c>
      <c r="G318" t="s">
        <v>14827</v>
      </c>
      <c r="H318" t="s">
        <v>15226</v>
      </c>
      <c r="I318" t="s">
        <v>14837</v>
      </c>
      <c r="K318" s="47" t="s">
        <v>16096</v>
      </c>
      <c r="L318" t="s">
        <v>16096</v>
      </c>
      <c r="M318" t="s">
        <v>16123</v>
      </c>
    </row>
    <row r="319" spans="1:13">
      <c r="A319" t="s">
        <v>15247</v>
      </c>
      <c r="B319" t="s">
        <v>15247</v>
      </c>
      <c r="C319" t="s">
        <v>15248</v>
      </c>
      <c r="D319" t="s">
        <v>4310</v>
      </c>
      <c r="F319" t="str">
        <f>Config!$B$7</f>
        <v>SCH/Connector.SchLib</v>
      </c>
      <c r="G319" t="s">
        <v>14827</v>
      </c>
      <c r="H319" t="s">
        <v>15226</v>
      </c>
      <c r="I319" t="s">
        <v>14838</v>
      </c>
      <c r="K319" s="47" t="s">
        <v>16096</v>
      </c>
      <c r="L319" t="s">
        <v>16098</v>
      </c>
      <c r="M319" t="s">
        <v>16123</v>
      </c>
    </row>
    <row r="320" spans="1:13">
      <c r="A320" t="s">
        <v>15249</v>
      </c>
      <c r="B320" t="s">
        <v>15249</v>
      </c>
      <c r="C320" t="s">
        <v>15250</v>
      </c>
      <c r="D320" t="s">
        <v>4310</v>
      </c>
      <c r="F320" t="str">
        <f>Config!$B$7</f>
        <v>SCH/Connector.SchLib</v>
      </c>
      <c r="G320" t="s">
        <v>14827</v>
      </c>
      <c r="H320" t="s">
        <v>15226</v>
      </c>
      <c r="I320" t="s">
        <v>14839</v>
      </c>
      <c r="K320" s="47" t="s">
        <v>16097</v>
      </c>
      <c r="L320" t="s">
        <v>16094</v>
      </c>
      <c r="M320" t="s">
        <v>16123</v>
      </c>
    </row>
    <row r="321" spans="1:13">
      <c r="A321" t="s">
        <v>15251</v>
      </c>
      <c r="B321" t="s">
        <v>15251</v>
      </c>
      <c r="C321" t="s">
        <v>15252</v>
      </c>
      <c r="D321" t="s">
        <v>4310</v>
      </c>
      <c r="F321" t="str">
        <f>Config!$B$7</f>
        <v>SCH/Connector.SchLib</v>
      </c>
      <c r="G321" t="s">
        <v>14827</v>
      </c>
      <c r="H321" t="s">
        <v>15226</v>
      </c>
      <c r="I321" t="s">
        <v>14840</v>
      </c>
      <c r="K321" s="47" t="s">
        <v>16097</v>
      </c>
      <c r="L321" t="s">
        <v>16095</v>
      </c>
      <c r="M321" t="s">
        <v>16123</v>
      </c>
    </row>
    <row r="322" spans="1:13">
      <c r="A322" t="s">
        <v>15253</v>
      </c>
      <c r="B322" t="s">
        <v>15253</v>
      </c>
      <c r="C322" t="s">
        <v>15254</v>
      </c>
      <c r="D322" t="s">
        <v>4310</v>
      </c>
      <c r="F322" t="str">
        <f>Config!$B$7</f>
        <v>SCH/Connector.SchLib</v>
      </c>
      <c r="G322" t="s">
        <v>14827</v>
      </c>
      <c r="H322" t="s">
        <v>15226</v>
      </c>
      <c r="I322" t="s">
        <v>14841</v>
      </c>
      <c r="K322" s="47" t="s">
        <v>16097</v>
      </c>
      <c r="L322" t="s">
        <v>16097</v>
      </c>
      <c r="M322" t="s">
        <v>16123</v>
      </c>
    </row>
    <row r="323" spans="1:13">
      <c r="A323" t="s">
        <v>15255</v>
      </c>
      <c r="B323" t="s">
        <v>15255</v>
      </c>
      <c r="C323" t="s">
        <v>15256</v>
      </c>
      <c r="D323" t="s">
        <v>4310</v>
      </c>
      <c r="F323" t="str">
        <f>Config!$B$7</f>
        <v>SCH/Connector.SchLib</v>
      </c>
      <c r="G323" t="s">
        <v>14827</v>
      </c>
      <c r="H323" t="s">
        <v>15226</v>
      </c>
      <c r="I323" t="s">
        <v>14842</v>
      </c>
      <c r="K323" s="47" t="s">
        <v>16097</v>
      </c>
      <c r="L323" t="s">
        <v>16099</v>
      </c>
      <c r="M323" t="s">
        <v>16123</v>
      </c>
    </row>
    <row r="324" spans="1:13">
      <c r="A324" t="s">
        <v>15257</v>
      </c>
      <c r="B324" t="s">
        <v>15257</v>
      </c>
      <c r="C324" t="s">
        <v>15258</v>
      </c>
      <c r="D324" t="s">
        <v>4310</v>
      </c>
      <c r="F324" t="str">
        <f>Config!$B$7</f>
        <v>SCH/Connector.SchLib</v>
      </c>
      <c r="G324" t="s">
        <v>14827</v>
      </c>
      <c r="H324" t="s">
        <v>15226</v>
      </c>
      <c r="I324" t="s">
        <v>14843</v>
      </c>
      <c r="K324" s="47" t="s">
        <v>16098</v>
      </c>
      <c r="L324" t="s">
        <v>16104</v>
      </c>
      <c r="M324" t="s">
        <v>16123</v>
      </c>
    </row>
    <row r="325" spans="1:13">
      <c r="A325" t="s">
        <v>15259</v>
      </c>
      <c r="B325" t="s">
        <v>15259</v>
      </c>
      <c r="C325" t="s">
        <v>15260</v>
      </c>
      <c r="D325" t="s">
        <v>4310</v>
      </c>
      <c r="F325" t="str">
        <f>Config!$B$7</f>
        <v>SCH/Connector.SchLib</v>
      </c>
      <c r="G325" t="s">
        <v>14827</v>
      </c>
      <c r="H325" t="s">
        <v>15226</v>
      </c>
      <c r="I325" t="s">
        <v>14844</v>
      </c>
      <c r="K325" s="47" t="s">
        <v>16098</v>
      </c>
      <c r="L325" t="s">
        <v>16096</v>
      </c>
      <c r="M325" t="s">
        <v>16123</v>
      </c>
    </row>
    <row r="326" spans="1:13">
      <c r="A326" t="s">
        <v>15261</v>
      </c>
      <c r="B326" t="s">
        <v>15261</v>
      </c>
      <c r="C326" t="s">
        <v>15262</v>
      </c>
      <c r="D326" t="s">
        <v>4310</v>
      </c>
      <c r="F326" t="str">
        <f>Config!$B$7</f>
        <v>SCH/Connector.SchLib</v>
      </c>
      <c r="G326" t="s">
        <v>14827</v>
      </c>
      <c r="H326" t="s">
        <v>15226</v>
      </c>
      <c r="I326" t="s">
        <v>14845</v>
      </c>
      <c r="K326" s="47" t="s">
        <v>16098</v>
      </c>
      <c r="L326" t="s">
        <v>16098</v>
      </c>
      <c r="M326" t="s">
        <v>16123</v>
      </c>
    </row>
    <row r="327" spans="1:13">
      <c r="A327" t="s">
        <v>15263</v>
      </c>
      <c r="B327" t="s">
        <v>15263</v>
      </c>
      <c r="C327" t="s">
        <v>15264</v>
      </c>
      <c r="D327" t="s">
        <v>4310</v>
      </c>
      <c r="F327" t="str">
        <f>Config!$B$7</f>
        <v>SCH/Connector.SchLib</v>
      </c>
      <c r="G327" t="s">
        <v>14827</v>
      </c>
      <c r="H327" t="s">
        <v>15226</v>
      </c>
      <c r="I327" t="s">
        <v>14846</v>
      </c>
      <c r="K327" s="47" t="s">
        <v>16098</v>
      </c>
      <c r="L327" t="s">
        <v>16101</v>
      </c>
      <c r="M327" t="s">
        <v>16123</v>
      </c>
    </row>
    <row r="328" spans="1:13">
      <c r="A328" t="s">
        <v>15265</v>
      </c>
      <c r="B328" t="s">
        <v>15265</v>
      </c>
      <c r="C328" t="s">
        <v>15266</v>
      </c>
      <c r="D328" t="s">
        <v>4310</v>
      </c>
      <c r="F328" t="str">
        <f>Config!$B$7</f>
        <v>SCH/Connector.SchLib</v>
      </c>
      <c r="G328" t="s">
        <v>14827</v>
      </c>
      <c r="H328" t="s">
        <v>15226</v>
      </c>
      <c r="I328" t="s">
        <v>14847</v>
      </c>
      <c r="K328" s="47" t="s">
        <v>16099</v>
      </c>
      <c r="L328" t="s">
        <v>16105</v>
      </c>
      <c r="M328" t="s">
        <v>16123</v>
      </c>
    </row>
    <row r="329" spans="1:13">
      <c r="A329" t="s">
        <v>15267</v>
      </c>
      <c r="B329" t="s">
        <v>15267</v>
      </c>
      <c r="C329" t="s">
        <v>15268</v>
      </c>
      <c r="D329" t="s">
        <v>4310</v>
      </c>
      <c r="F329" t="str">
        <f>Config!$B$7</f>
        <v>SCH/Connector.SchLib</v>
      </c>
      <c r="G329" t="s">
        <v>14827</v>
      </c>
      <c r="H329" t="s">
        <v>15226</v>
      </c>
      <c r="I329" t="s">
        <v>14848</v>
      </c>
      <c r="K329" s="47" t="s">
        <v>16099</v>
      </c>
      <c r="L329" t="s">
        <v>16095</v>
      </c>
      <c r="M329" t="s">
        <v>16123</v>
      </c>
    </row>
    <row r="330" spans="1:13">
      <c r="A330" t="s">
        <v>15269</v>
      </c>
      <c r="B330" t="s">
        <v>15269</v>
      </c>
      <c r="C330" t="s">
        <v>15270</v>
      </c>
      <c r="D330" t="s">
        <v>4310</v>
      </c>
      <c r="F330" t="str">
        <f>Config!$B$7</f>
        <v>SCH/Connector.SchLib</v>
      </c>
      <c r="G330" t="s">
        <v>14827</v>
      </c>
      <c r="H330" t="s">
        <v>15226</v>
      </c>
      <c r="I330" t="s">
        <v>14849</v>
      </c>
      <c r="K330" s="47" t="s">
        <v>16099</v>
      </c>
      <c r="L330" t="s">
        <v>16097</v>
      </c>
      <c r="M330" t="s">
        <v>16123</v>
      </c>
    </row>
    <row r="331" spans="1:13">
      <c r="A331" t="s">
        <v>15271</v>
      </c>
      <c r="B331" t="s">
        <v>15271</v>
      </c>
      <c r="C331" t="s">
        <v>15272</v>
      </c>
      <c r="D331" t="s">
        <v>4310</v>
      </c>
      <c r="F331" t="str">
        <f>Config!$B$7</f>
        <v>SCH/Connector.SchLib</v>
      </c>
      <c r="G331" t="s">
        <v>14827</v>
      </c>
      <c r="H331" t="s">
        <v>15226</v>
      </c>
      <c r="I331" t="s">
        <v>14850</v>
      </c>
      <c r="K331" s="47" t="s">
        <v>16099</v>
      </c>
      <c r="L331" t="s">
        <v>16099</v>
      </c>
      <c r="M331" t="s">
        <v>16123</v>
      </c>
    </row>
    <row r="332" spans="1:13">
      <c r="A332" t="s">
        <v>15273</v>
      </c>
      <c r="B332" t="s">
        <v>15273</v>
      </c>
      <c r="C332" t="s">
        <v>15274</v>
      </c>
      <c r="D332" t="s">
        <v>4310</v>
      </c>
      <c r="F332" t="str">
        <f>Config!$B$7</f>
        <v>SCH/Connector.SchLib</v>
      </c>
      <c r="G332" t="s">
        <v>14827</v>
      </c>
      <c r="H332" t="s">
        <v>15226</v>
      </c>
      <c r="I332" t="s">
        <v>14851</v>
      </c>
      <c r="K332" s="47" t="s">
        <v>16099</v>
      </c>
      <c r="L332" t="s">
        <v>16102</v>
      </c>
      <c r="M332" t="s">
        <v>16123</v>
      </c>
    </row>
    <row r="333" spans="1:13">
      <c r="A333" t="s">
        <v>15275</v>
      </c>
      <c r="B333" t="s">
        <v>15275</v>
      </c>
      <c r="C333" t="s">
        <v>15276</v>
      </c>
      <c r="D333" t="s">
        <v>4310</v>
      </c>
      <c r="F333" t="str">
        <f>Config!$B$7</f>
        <v>SCH/Connector.SchLib</v>
      </c>
      <c r="G333" t="s">
        <v>14827</v>
      </c>
      <c r="H333" t="s">
        <v>15226</v>
      </c>
      <c r="I333" t="s">
        <v>14852</v>
      </c>
      <c r="K333" s="47" t="s">
        <v>16100</v>
      </c>
      <c r="L333" t="s">
        <v>16094</v>
      </c>
      <c r="M333" t="s">
        <v>16123</v>
      </c>
    </row>
    <row r="334" spans="1:13">
      <c r="A334" t="s">
        <v>15850</v>
      </c>
      <c r="B334" t="s">
        <v>15850</v>
      </c>
      <c r="C334" t="s">
        <v>15851</v>
      </c>
      <c r="D334" t="s">
        <v>4310</v>
      </c>
      <c r="F334" t="str">
        <f>Config!$B$7</f>
        <v>SCH/Connector.SchLib</v>
      </c>
      <c r="G334" t="s">
        <v>14827</v>
      </c>
      <c r="H334" t="s">
        <v>15226</v>
      </c>
      <c r="I334" t="s">
        <v>15590</v>
      </c>
      <c r="K334" s="47" t="s">
        <v>16100</v>
      </c>
      <c r="L334" t="s">
        <v>16095</v>
      </c>
      <c r="M334" t="s">
        <v>16123</v>
      </c>
    </row>
    <row r="335" spans="1:13">
      <c r="A335" t="s">
        <v>15277</v>
      </c>
      <c r="B335" t="s">
        <v>15277</v>
      </c>
      <c r="C335" t="s">
        <v>15278</v>
      </c>
      <c r="D335" t="s">
        <v>4310</v>
      </c>
      <c r="F335" t="str">
        <f>Config!$B$7</f>
        <v>SCH/Connector.SchLib</v>
      </c>
      <c r="G335" t="s">
        <v>14827</v>
      </c>
      <c r="H335" t="s">
        <v>15226</v>
      </c>
      <c r="I335" t="s">
        <v>14853</v>
      </c>
      <c r="K335" s="47" t="s">
        <v>16100</v>
      </c>
      <c r="L335" t="s">
        <v>16106</v>
      </c>
      <c r="M335" t="s">
        <v>16123</v>
      </c>
    </row>
    <row r="336" spans="1:13">
      <c r="A336" t="s">
        <v>15279</v>
      </c>
      <c r="B336" t="s">
        <v>15279</v>
      </c>
      <c r="C336" t="s">
        <v>15280</v>
      </c>
      <c r="D336" t="s">
        <v>4310</v>
      </c>
      <c r="F336" t="str">
        <f>Config!$B$7</f>
        <v>SCH/Connector.SchLib</v>
      </c>
      <c r="G336" t="s">
        <v>14827</v>
      </c>
      <c r="H336" t="s">
        <v>15226</v>
      </c>
      <c r="I336" t="s">
        <v>14854</v>
      </c>
      <c r="K336" s="47" t="s">
        <v>16100</v>
      </c>
      <c r="L336" t="s">
        <v>16107</v>
      </c>
      <c r="M336" t="s">
        <v>16123</v>
      </c>
    </row>
    <row r="337" spans="1:13">
      <c r="A337" t="s">
        <v>15281</v>
      </c>
      <c r="B337" t="s">
        <v>15281</v>
      </c>
      <c r="C337" t="s">
        <v>15282</v>
      </c>
      <c r="D337" t="s">
        <v>4310</v>
      </c>
      <c r="F337" t="str">
        <f>Config!$B$7</f>
        <v>SCH/Connector.SchLib</v>
      </c>
      <c r="G337" t="s">
        <v>14827</v>
      </c>
      <c r="H337" t="s">
        <v>15226</v>
      </c>
      <c r="I337" t="s">
        <v>14855</v>
      </c>
      <c r="K337" s="47" t="s">
        <v>16100</v>
      </c>
      <c r="L337" t="s">
        <v>16100</v>
      </c>
      <c r="M337" t="s">
        <v>16123</v>
      </c>
    </row>
    <row r="338" spans="1:13">
      <c r="A338" t="s">
        <v>15283</v>
      </c>
      <c r="B338" t="s">
        <v>15283</v>
      </c>
      <c r="C338" t="s">
        <v>15284</v>
      </c>
      <c r="D338" t="s">
        <v>4310</v>
      </c>
      <c r="F338" t="str">
        <f>Config!$B$7</f>
        <v>SCH/Connector.SchLib</v>
      </c>
      <c r="G338" t="s">
        <v>14827</v>
      </c>
      <c r="H338" t="s">
        <v>15226</v>
      </c>
      <c r="I338" t="s">
        <v>14856</v>
      </c>
      <c r="K338" s="47" t="s">
        <v>16100</v>
      </c>
      <c r="L338" t="s">
        <v>16108</v>
      </c>
      <c r="M338" t="s">
        <v>16123</v>
      </c>
    </row>
    <row r="339" spans="1:13">
      <c r="A339" t="s">
        <v>15852</v>
      </c>
      <c r="B339" t="s">
        <v>15852</v>
      </c>
      <c r="C339" t="s">
        <v>15853</v>
      </c>
      <c r="D339" t="s">
        <v>4310</v>
      </c>
      <c r="F339" t="str">
        <f>Config!$B$7</f>
        <v>SCH/Connector.SchLib</v>
      </c>
      <c r="G339" t="s">
        <v>14827</v>
      </c>
      <c r="H339" t="s">
        <v>15226</v>
      </c>
      <c r="I339" t="s">
        <v>15593</v>
      </c>
      <c r="K339" s="47" t="s">
        <v>16101</v>
      </c>
      <c r="L339" t="s">
        <v>16109</v>
      </c>
      <c r="M339" t="s">
        <v>16123</v>
      </c>
    </row>
    <row r="340" spans="1:13">
      <c r="A340" t="s">
        <v>15854</v>
      </c>
      <c r="B340" t="s">
        <v>15854</v>
      </c>
      <c r="C340" t="s">
        <v>15855</v>
      </c>
      <c r="D340" t="s">
        <v>4310</v>
      </c>
      <c r="F340" t="str">
        <f>Config!$B$7</f>
        <v>SCH/Connector.SchLib</v>
      </c>
      <c r="G340" t="s">
        <v>14827</v>
      </c>
      <c r="H340" t="s">
        <v>15226</v>
      </c>
      <c r="I340" t="s">
        <v>15594</v>
      </c>
      <c r="K340" s="47" t="s">
        <v>16101</v>
      </c>
      <c r="L340" t="s">
        <v>16095</v>
      </c>
      <c r="M340" t="s">
        <v>16123</v>
      </c>
    </row>
    <row r="341" spans="1:13">
      <c r="A341" t="s">
        <v>15856</v>
      </c>
      <c r="B341" t="s">
        <v>15856</v>
      </c>
      <c r="C341" t="s">
        <v>15857</v>
      </c>
      <c r="D341" t="s">
        <v>4310</v>
      </c>
      <c r="F341" t="str">
        <f>Config!$B$7</f>
        <v>SCH/Connector.SchLib</v>
      </c>
      <c r="G341" t="s">
        <v>14827</v>
      </c>
      <c r="H341" t="s">
        <v>15226</v>
      </c>
      <c r="I341" t="s">
        <v>15595</v>
      </c>
      <c r="K341" s="47" t="s">
        <v>16101</v>
      </c>
      <c r="L341" t="s">
        <v>16096</v>
      </c>
      <c r="M341" t="s">
        <v>16123</v>
      </c>
    </row>
    <row r="342" spans="1:13">
      <c r="A342" t="s">
        <v>15858</v>
      </c>
      <c r="B342" t="s">
        <v>15858</v>
      </c>
      <c r="C342" t="s">
        <v>15859</v>
      </c>
      <c r="D342" t="s">
        <v>4310</v>
      </c>
      <c r="F342" t="str">
        <f>Config!$B$7</f>
        <v>SCH/Connector.SchLib</v>
      </c>
      <c r="G342" t="s">
        <v>14827</v>
      </c>
      <c r="H342" t="s">
        <v>15226</v>
      </c>
      <c r="I342" t="s">
        <v>15596</v>
      </c>
      <c r="K342" s="47" t="s">
        <v>16101</v>
      </c>
      <c r="L342" t="s">
        <v>16098</v>
      </c>
      <c r="M342" t="s">
        <v>16123</v>
      </c>
    </row>
    <row r="343" spans="1:13">
      <c r="A343" t="s">
        <v>15860</v>
      </c>
      <c r="B343" t="s">
        <v>15860</v>
      </c>
      <c r="C343" t="s">
        <v>15861</v>
      </c>
      <c r="D343" t="s">
        <v>4310</v>
      </c>
      <c r="F343" t="str">
        <f>Config!$B$7</f>
        <v>SCH/Connector.SchLib</v>
      </c>
      <c r="G343" t="s">
        <v>14827</v>
      </c>
      <c r="H343" t="s">
        <v>15226</v>
      </c>
      <c r="I343" t="s">
        <v>15597</v>
      </c>
      <c r="K343" s="47" t="s">
        <v>16101</v>
      </c>
      <c r="L343" t="s">
        <v>16101</v>
      </c>
      <c r="M343" t="s">
        <v>16123</v>
      </c>
    </row>
    <row r="344" spans="1:13">
      <c r="A344" t="s">
        <v>15862</v>
      </c>
      <c r="B344" t="s">
        <v>15862</v>
      </c>
      <c r="C344" t="s">
        <v>15863</v>
      </c>
      <c r="D344" t="s">
        <v>4310</v>
      </c>
      <c r="F344" t="str">
        <f>Config!$B$7</f>
        <v>SCH/Connector.SchLib</v>
      </c>
      <c r="G344" t="s">
        <v>14827</v>
      </c>
      <c r="H344" t="s">
        <v>15226</v>
      </c>
      <c r="I344" t="s">
        <v>15598</v>
      </c>
      <c r="K344" s="47" t="s">
        <v>16101</v>
      </c>
      <c r="L344" t="s">
        <v>16110</v>
      </c>
      <c r="M344" t="s">
        <v>16123</v>
      </c>
    </row>
    <row r="345" spans="1:13">
      <c r="A345" t="s">
        <v>15864</v>
      </c>
      <c r="B345" t="s">
        <v>15864</v>
      </c>
      <c r="C345" t="s">
        <v>15865</v>
      </c>
      <c r="D345" t="s">
        <v>4310</v>
      </c>
      <c r="F345" t="str">
        <f>Config!$B$7</f>
        <v>SCH/Connector.SchLib</v>
      </c>
      <c r="G345" t="s">
        <v>14827</v>
      </c>
      <c r="H345" t="s">
        <v>15226</v>
      </c>
      <c r="I345" t="s">
        <v>15599</v>
      </c>
      <c r="K345" s="47" t="s">
        <v>16102</v>
      </c>
      <c r="L345" t="s">
        <v>16094</v>
      </c>
      <c r="M345" t="s">
        <v>16123</v>
      </c>
    </row>
    <row r="346" spans="1:13">
      <c r="A346" t="s">
        <v>15866</v>
      </c>
      <c r="B346" t="s">
        <v>15866</v>
      </c>
      <c r="C346" t="s">
        <v>15867</v>
      </c>
      <c r="D346" t="s">
        <v>4310</v>
      </c>
      <c r="F346" t="str">
        <f>Config!$B$7</f>
        <v>SCH/Connector.SchLib</v>
      </c>
      <c r="G346" t="s">
        <v>14827</v>
      </c>
      <c r="H346" t="s">
        <v>15226</v>
      </c>
      <c r="I346" t="s">
        <v>15600</v>
      </c>
      <c r="K346" s="47" t="s">
        <v>16102</v>
      </c>
      <c r="L346" t="s">
        <v>16111</v>
      </c>
      <c r="M346" t="s">
        <v>16123</v>
      </c>
    </row>
    <row r="347" spans="1:13">
      <c r="A347" t="s">
        <v>15868</v>
      </c>
      <c r="B347" t="s">
        <v>15868</v>
      </c>
      <c r="C347" t="s">
        <v>15869</v>
      </c>
      <c r="D347" t="s">
        <v>4310</v>
      </c>
      <c r="F347" t="str">
        <f>Config!$B$7</f>
        <v>SCH/Connector.SchLib</v>
      </c>
      <c r="G347" t="s">
        <v>14827</v>
      </c>
      <c r="H347" t="s">
        <v>15226</v>
      </c>
      <c r="I347" t="s">
        <v>15601</v>
      </c>
      <c r="K347" s="47" t="s">
        <v>16102</v>
      </c>
      <c r="L347" t="s">
        <v>16095</v>
      </c>
      <c r="M347" t="s">
        <v>16123</v>
      </c>
    </row>
    <row r="348" spans="1:13">
      <c r="A348" t="s">
        <v>15870</v>
      </c>
      <c r="B348" t="s">
        <v>15870</v>
      </c>
      <c r="C348" t="s">
        <v>15871</v>
      </c>
      <c r="D348" t="s">
        <v>4310</v>
      </c>
      <c r="F348" t="str">
        <f>Config!$B$7</f>
        <v>SCH/Connector.SchLib</v>
      </c>
      <c r="G348" t="s">
        <v>14827</v>
      </c>
      <c r="H348" t="s">
        <v>15226</v>
      </c>
      <c r="I348" t="s">
        <v>15602</v>
      </c>
      <c r="K348" s="47" t="s">
        <v>16102</v>
      </c>
      <c r="L348" t="s">
        <v>16097</v>
      </c>
      <c r="M348" t="s">
        <v>16123</v>
      </c>
    </row>
    <row r="349" spans="1:13">
      <c r="A349" t="s">
        <v>15872</v>
      </c>
      <c r="B349" t="s">
        <v>15872</v>
      </c>
      <c r="C349" t="s">
        <v>15873</v>
      </c>
      <c r="D349" t="s">
        <v>4310</v>
      </c>
      <c r="F349" t="str">
        <f>Config!$B$7</f>
        <v>SCH/Connector.SchLib</v>
      </c>
      <c r="G349" t="s">
        <v>14827</v>
      </c>
      <c r="H349" t="s">
        <v>15226</v>
      </c>
      <c r="I349" t="s">
        <v>15603</v>
      </c>
      <c r="K349" s="47" t="s">
        <v>16102</v>
      </c>
      <c r="L349" t="s">
        <v>16099</v>
      </c>
      <c r="M349" t="s">
        <v>16123</v>
      </c>
    </row>
    <row r="350" spans="1:13">
      <c r="A350" t="s">
        <v>15874</v>
      </c>
      <c r="B350" t="s">
        <v>15874</v>
      </c>
      <c r="C350" t="s">
        <v>15875</v>
      </c>
      <c r="D350" t="s">
        <v>4310</v>
      </c>
      <c r="F350" t="str">
        <f>Config!$B$7</f>
        <v>SCH/Connector.SchLib</v>
      </c>
      <c r="G350" t="s">
        <v>14827</v>
      </c>
      <c r="H350" t="s">
        <v>15226</v>
      </c>
      <c r="I350" t="s">
        <v>15604</v>
      </c>
      <c r="K350" s="47" t="s">
        <v>16102</v>
      </c>
      <c r="L350" t="s">
        <v>16102</v>
      </c>
      <c r="M350" t="s">
        <v>16123</v>
      </c>
    </row>
    <row r="351" spans="1:13">
      <c r="A351" t="s">
        <v>15876</v>
      </c>
      <c r="B351" t="s">
        <v>15876</v>
      </c>
      <c r="C351" t="s">
        <v>15877</v>
      </c>
      <c r="D351" t="s">
        <v>4310</v>
      </c>
      <c r="F351" t="str">
        <f>Config!$B$7</f>
        <v>SCH/Connector.SchLib</v>
      </c>
      <c r="G351" t="s">
        <v>14827</v>
      </c>
      <c r="H351" t="s">
        <v>15226</v>
      </c>
      <c r="I351" t="s">
        <v>15605</v>
      </c>
      <c r="K351" s="47" t="s">
        <v>16102</v>
      </c>
      <c r="L351" t="s">
        <v>16112</v>
      </c>
      <c r="M351" t="s">
        <v>16123</v>
      </c>
    </row>
    <row r="352" spans="1:13">
      <c r="A352" t="s">
        <v>15878</v>
      </c>
      <c r="B352" t="s">
        <v>15878</v>
      </c>
      <c r="C352" t="s">
        <v>15879</v>
      </c>
      <c r="D352" t="s">
        <v>4310</v>
      </c>
      <c r="F352" t="str">
        <f>Config!$B$7</f>
        <v>SCH/Connector.SchLib</v>
      </c>
      <c r="G352" t="s">
        <v>14827</v>
      </c>
      <c r="H352" t="s">
        <v>15226</v>
      </c>
      <c r="I352" t="s">
        <v>15606</v>
      </c>
      <c r="K352" s="47" t="s">
        <v>16103</v>
      </c>
      <c r="L352" t="s">
        <v>16094</v>
      </c>
      <c r="M352" t="s">
        <v>16123</v>
      </c>
    </row>
    <row r="353" spans="1:13">
      <c r="A353" t="s">
        <v>15880</v>
      </c>
      <c r="B353" t="s">
        <v>15880</v>
      </c>
      <c r="C353" t="s">
        <v>15881</v>
      </c>
      <c r="D353" t="s">
        <v>4310</v>
      </c>
      <c r="F353" t="str">
        <f>Config!$B$7</f>
        <v>SCH/Connector.SchLib</v>
      </c>
      <c r="G353" t="s">
        <v>14827</v>
      </c>
      <c r="H353" t="s">
        <v>15226</v>
      </c>
      <c r="I353" t="s">
        <v>15607</v>
      </c>
      <c r="K353" s="47" t="s">
        <v>16103</v>
      </c>
      <c r="L353" t="s">
        <v>16095</v>
      </c>
      <c r="M353" t="s">
        <v>16123</v>
      </c>
    </row>
    <row r="354" spans="1:13">
      <c r="A354" t="s">
        <v>15882</v>
      </c>
      <c r="B354" t="s">
        <v>15882</v>
      </c>
      <c r="C354" t="s">
        <v>15883</v>
      </c>
      <c r="D354" t="s">
        <v>4310</v>
      </c>
      <c r="F354" t="str">
        <f>Config!$B$7</f>
        <v>SCH/Connector.SchLib</v>
      </c>
      <c r="G354" t="s">
        <v>14827</v>
      </c>
      <c r="H354" t="s">
        <v>15226</v>
      </c>
      <c r="I354" t="s">
        <v>15608</v>
      </c>
      <c r="K354" s="47" t="s">
        <v>16103</v>
      </c>
      <c r="L354" t="s">
        <v>16107</v>
      </c>
      <c r="M354" t="s">
        <v>16123</v>
      </c>
    </row>
    <row r="355" spans="1:13">
      <c r="A355" t="s">
        <v>15884</v>
      </c>
      <c r="B355" t="s">
        <v>15884</v>
      </c>
      <c r="C355" t="s">
        <v>15885</v>
      </c>
      <c r="D355" t="s">
        <v>4310</v>
      </c>
      <c r="F355" t="str">
        <f>Config!$B$7</f>
        <v>SCH/Connector.SchLib</v>
      </c>
      <c r="G355" t="s">
        <v>14827</v>
      </c>
      <c r="H355" t="s">
        <v>15226</v>
      </c>
      <c r="I355" t="s">
        <v>15609</v>
      </c>
      <c r="K355" s="47" t="s">
        <v>16103</v>
      </c>
      <c r="L355" t="s">
        <v>16100</v>
      </c>
      <c r="M355" t="s">
        <v>16123</v>
      </c>
    </row>
    <row r="356" spans="1:13">
      <c r="A356" t="s">
        <v>15886</v>
      </c>
      <c r="B356" t="s">
        <v>15886</v>
      </c>
      <c r="C356" t="s">
        <v>15887</v>
      </c>
      <c r="D356" t="s">
        <v>4310</v>
      </c>
      <c r="F356" t="str">
        <f>Config!$B$7</f>
        <v>SCH/Connector.SchLib</v>
      </c>
      <c r="G356" t="s">
        <v>14827</v>
      </c>
      <c r="H356" t="s">
        <v>15226</v>
      </c>
      <c r="I356" t="s">
        <v>15610</v>
      </c>
      <c r="K356" s="47" t="s">
        <v>16103</v>
      </c>
      <c r="L356" t="s">
        <v>16108</v>
      </c>
      <c r="M356" t="s">
        <v>16123</v>
      </c>
    </row>
    <row r="357" spans="1:13">
      <c r="A357" t="s">
        <v>15888</v>
      </c>
      <c r="B357" t="s">
        <v>15888</v>
      </c>
      <c r="C357" t="s">
        <v>15889</v>
      </c>
      <c r="D357" t="s">
        <v>4310</v>
      </c>
      <c r="F357" t="str">
        <f>Config!$B$7</f>
        <v>SCH/Connector.SchLib</v>
      </c>
      <c r="G357" t="s">
        <v>14827</v>
      </c>
      <c r="H357" t="s">
        <v>15226</v>
      </c>
      <c r="I357" t="s">
        <v>15611</v>
      </c>
      <c r="K357" s="47" t="s">
        <v>16103</v>
      </c>
      <c r="L357" t="s">
        <v>16113</v>
      </c>
      <c r="M357" t="s">
        <v>16123</v>
      </c>
    </row>
    <row r="359" spans="1:13">
      <c r="A359" t="s">
        <v>15163</v>
      </c>
      <c r="B359" t="s">
        <v>15163</v>
      </c>
      <c r="C359" t="s">
        <v>15164</v>
      </c>
      <c r="D359" t="s">
        <v>4310</v>
      </c>
      <c r="F359" t="str">
        <f>Config!$B$7</f>
        <v>SCH/Connector.SchLib</v>
      </c>
      <c r="G359" t="s">
        <v>14827</v>
      </c>
      <c r="H359" t="s">
        <v>15165</v>
      </c>
      <c r="I359" t="s">
        <v>14857</v>
      </c>
      <c r="K359" s="47" t="s">
        <v>16093</v>
      </c>
      <c r="L359" t="s">
        <v>16093</v>
      </c>
      <c r="M359" t="s">
        <v>16124</v>
      </c>
    </row>
    <row r="360" spans="1:13">
      <c r="A360" t="s">
        <v>15166</v>
      </c>
      <c r="B360" t="s">
        <v>15166</v>
      </c>
      <c r="C360" t="s">
        <v>15167</v>
      </c>
      <c r="D360" t="s">
        <v>4310</v>
      </c>
      <c r="F360" t="str">
        <f>Config!$B$7</f>
        <v>SCH/Connector.SchLib</v>
      </c>
      <c r="G360" t="s">
        <v>14827</v>
      </c>
      <c r="H360" t="s">
        <v>15165</v>
      </c>
      <c r="I360" t="s">
        <v>14858</v>
      </c>
      <c r="K360" s="47" t="s">
        <v>16093</v>
      </c>
      <c r="L360" t="s">
        <v>16094</v>
      </c>
      <c r="M360" t="s">
        <v>16124</v>
      </c>
    </row>
    <row r="361" spans="1:13">
      <c r="A361" t="s">
        <v>15168</v>
      </c>
      <c r="B361" t="s">
        <v>15168</v>
      </c>
      <c r="C361" t="s">
        <v>15169</v>
      </c>
      <c r="D361" t="s">
        <v>4310</v>
      </c>
      <c r="F361" t="str">
        <f>Config!$B$7</f>
        <v>SCH/Connector.SchLib</v>
      </c>
      <c r="G361" t="s">
        <v>14827</v>
      </c>
      <c r="H361" t="s">
        <v>15165</v>
      </c>
      <c r="I361" t="s">
        <v>14829</v>
      </c>
      <c r="K361" s="47" t="s">
        <v>16094</v>
      </c>
      <c r="L361" t="s">
        <v>16093</v>
      </c>
      <c r="M361" t="s">
        <v>16124</v>
      </c>
    </row>
    <row r="362" spans="1:13">
      <c r="A362" t="s">
        <v>15170</v>
      </c>
      <c r="B362" t="s">
        <v>15170</v>
      </c>
      <c r="C362" t="s">
        <v>15171</v>
      </c>
      <c r="D362" t="s">
        <v>4310</v>
      </c>
      <c r="F362" t="str">
        <f>Config!$B$7</f>
        <v>SCH/Connector.SchLib</v>
      </c>
      <c r="G362" t="s">
        <v>14827</v>
      </c>
      <c r="H362" t="s">
        <v>15165</v>
      </c>
      <c r="I362" t="s">
        <v>14830</v>
      </c>
      <c r="K362" s="47" t="s">
        <v>16094</v>
      </c>
      <c r="L362" t="s">
        <v>16094</v>
      </c>
      <c r="M362" t="s">
        <v>16124</v>
      </c>
    </row>
    <row r="363" spans="1:13">
      <c r="A363" t="s">
        <v>15172</v>
      </c>
      <c r="B363" t="s">
        <v>15172</v>
      </c>
      <c r="C363" t="s">
        <v>15173</v>
      </c>
      <c r="D363" t="s">
        <v>4310</v>
      </c>
      <c r="F363" t="str">
        <f>Config!$B$7</f>
        <v>SCH/Connector.SchLib</v>
      </c>
      <c r="G363" t="s">
        <v>14827</v>
      </c>
      <c r="H363" t="s">
        <v>15165</v>
      </c>
      <c r="I363" t="s">
        <v>14831</v>
      </c>
      <c r="K363" s="47" t="s">
        <v>16094</v>
      </c>
      <c r="L363" t="s">
        <v>16095</v>
      </c>
      <c r="M363" t="s">
        <v>16124</v>
      </c>
    </row>
    <row r="364" spans="1:13">
      <c r="A364" t="s">
        <v>15174</v>
      </c>
      <c r="B364" t="s">
        <v>15174</v>
      </c>
      <c r="C364" t="s">
        <v>15175</v>
      </c>
      <c r="D364" t="s">
        <v>4310</v>
      </c>
      <c r="F364" t="str">
        <f>Config!$B$7</f>
        <v>SCH/Connector.SchLib</v>
      </c>
      <c r="G364" t="s">
        <v>14827</v>
      </c>
      <c r="H364" t="s">
        <v>15165</v>
      </c>
      <c r="I364" t="s">
        <v>14832</v>
      </c>
      <c r="K364" s="47" t="s">
        <v>16095</v>
      </c>
      <c r="L364" t="s">
        <v>16093</v>
      </c>
      <c r="M364" t="s">
        <v>16124</v>
      </c>
    </row>
    <row r="365" spans="1:13">
      <c r="A365" t="s">
        <v>15176</v>
      </c>
      <c r="B365" t="s">
        <v>15176</v>
      </c>
      <c r="C365" t="s">
        <v>15177</v>
      </c>
      <c r="D365" t="s">
        <v>4310</v>
      </c>
      <c r="F365" t="str">
        <f>Config!$B$7</f>
        <v>SCH/Connector.SchLib</v>
      </c>
      <c r="G365" t="s">
        <v>14827</v>
      </c>
      <c r="H365" t="s">
        <v>15165</v>
      </c>
      <c r="I365" t="s">
        <v>14833</v>
      </c>
      <c r="K365" s="47" t="s">
        <v>16095</v>
      </c>
      <c r="L365" t="s">
        <v>16094</v>
      </c>
      <c r="M365" t="s">
        <v>16124</v>
      </c>
    </row>
    <row r="366" spans="1:13">
      <c r="A366" t="s">
        <v>15178</v>
      </c>
      <c r="B366" t="s">
        <v>15178</v>
      </c>
      <c r="C366" t="s">
        <v>15179</v>
      </c>
      <c r="D366" t="s">
        <v>4310</v>
      </c>
      <c r="F366" t="str">
        <f>Config!$B$7</f>
        <v>SCH/Connector.SchLib</v>
      </c>
      <c r="G366" t="s">
        <v>14827</v>
      </c>
      <c r="H366" t="s">
        <v>15165</v>
      </c>
      <c r="I366" t="s">
        <v>14834</v>
      </c>
      <c r="K366" s="47" t="s">
        <v>16095</v>
      </c>
      <c r="L366" t="s">
        <v>16095</v>
      </c>
      <c r="M366" t="s">
        <v>16124</v>
      </c>
    </row>
    <row r="367" spans="1:13">
      <c r="A367" t="s">
        <v>15180</v>
      </c>
      <c r="B367" t="s">
        <v>15180</v>
      </c>
      <c r="C367" t="s">
        <v>15181</v>
      </c>
      <c r="D367" t="s">
        <v>4310</v>
      </c>
      <c r="F367" t="str">
        <f>Config!$B$7</f>
        <v>SCH/Connector.SchLib</v>
      </c>
      <c r="G367" t="s">
        <v>14827</v>
      </c>
      <c r="H367" t="s">
        <v>15165</v>
      </c>
      <c r="I367" t="s">
        <v>14835</v>
      </c>
      <c r="K367" s="47" t="s">
        <v>16095</v>
      </c>
      <c r="L367" t="s">
        <v>16097</v>
      </c>
      <c r="M367" t="s">
        <v>16124</v>
      </c>
    </row>
    <row r="368" spans="1:13">
      <c r="A368" t="s">
        <v>15182</v>
      </c>
      <c r="B368" t="s">
        <v>15182</v>
      </c>
      <c r="C368" t="s">
        <v>15183</v>
      </c>
      <c r="D368" t="s">
        <v>4310</v>
      </c>
      <c r="F368" t="str">
        <f>Config!$B$7</f>
        <v>SCH/Connector.SchLib</v>
      </c>
      <c r="G368" t="s">
        <v>14827</v>
      </c>
      <c r="H368" t="s">
        <v>15165</v>
      </c>
      <c r="I368" t="s">
        <v>14836</v>
      </c>
      <c r="K368" s="47" t="s">
        <v>16096</v>
      </c>
      <c r="L368" t="s">
        <v>16104</v>
      </c>
      <c r="M368" t="s">
        <v>16124</v>
      </c>
    </row>
    <row r="369" spans="1:13">
      <c r="A369" t="s">
        <v>15184</v>
      </c>
      <c r="B369" t="s">
        <v>15184</v>
      </c>
      <c r="C369" t="s">
        <v>15185</v>
      </c>
      <c r="D369" t="s">
        <v>4310</v>
      </c>
      <c r="F369" t="str">
        <f>Config!$B$7</f>
        <v>SCH/Connector.SchLib</v>
      </c>
      <c r="G369" t="s">
        <v>14827</v>
      </c>
      <c r="H369" t="s">
        <v>15165</v>
      </c>
      <c r="I369" t="s">
        <v>14837</v>
      </c>
      <c r="K369" s="47" t="s">
        <v>16096</v>
      </c>
      <c r="L369" t="s">
        <v>16096</v>
      </c>
      <c r="M369" t="s">
        <v>16124</v>
      </c>
    </row>
    <row r="370" spans="1:13">
      <c r="A370" t="s">
        <v>15186</v>
      </c>
      <c r="B370" t="s">
        <v>15186</v>
      </c>
      <c r="C370" t="s">
        <v>15187</v>
      </c>
      <c r="D370" t="s">
        <v>4310</v>
      </c>
      <c r="F370" t="str">
        <f>Config!$B$7</f>
        <v>SCH/Connector.SchLib</v>
      </c>
      <c r="G370" t="s">
        <v>14827</v>
      </c>
      <c r="H370" t="s">
        <v>15165</v>
      </c>
      <c r="I370" t="s">
        <v>14838</v>
      </c>
      <c r="K370" s="47" t="s">
        <v>16096</v>
      </c>
      <c r="L370" t="s">
        <v>16098</v>
      </c>
      <c r="M370" t="s">
        <v>16124</v>
      </c>
    </row>
    <row r="371" spans="1:13">
      <c r="A371" t="s">
        <v>15188</v>
      </c>
      <c r="B371" t="s">
        <v>15188</v>
      </c>
      <c r="C371" t="s">
        <v>15189</v>
      </c>
      <c r="D371" t="s">
        <v>4310</v>
      </c>
      <c r="F371" t="str">
        <f>Config!$B$7</f>
        <v>SCH/Connector.SchLib</v>
      </c>
      <c r="G371" t="s">
        <v>14827</v>
      </c>
      <c r="H371" t="s">
        <v>15165</v>
      </c>
      <c r="I371" t="s">
        <v>14839</v>
      </c>
      <c r="K371" s="47" t="s">
        <v>16097</v>
      </c>
      <c r="L371" t="s">
        <v>16094</v>
      </c>
      <c r="M371" t="s">
        <v>16124</v>
      </c>
    </row>
    <row r="372" spans="1:13">
      <c r="A372" t="s">
        <v>15190</v>
      </c>
      <c r="B372" t="s">
        <v>15190</v>
      </c>
      <c r="C372" t="s">
        <v>15191</v>
      </c>
      <c r="D372" t="s">
        <v>4310</v>
      </c>
      <c r="F372" t="str">
        <f>Config!$B$7</f>
        <v>SCH/Connector.SchLib</v>
      </c>
      <c r="G372" t="s">
        <v>14827</v>
      </c>
      <c r="H372" t="s">
        <v>15165</v>
      </c>
      <c r="I372" t="s">
        <v>14840</v>
      </c>
      <c r="K372" s="47" t="s">
        <v>16097</v>
      </c>
      <c r="L372" t="s">
        <v>16095</v>
      </c>
      <c r="M372" t="s">
        <v>16124</v>
      </c>
    </row>
    <row r="373" spans="1:13">
      <c r="A373" t="s">
        <v>15192</v>
      </c>
      <c r="B373" t="s">
        <v>15192</v>
      </c>
      <c r="C373" t="s">
        <v>15193</v>
      </c>
      <c r="D373" t="s">
        <v>4310</v>
      </c>
      <c r="F373" t="str">
        <f>Config!$B$7</f>
        <v>SCH/Connector.SchLib</v>
      </c>
      <c r="G373" t="s">
        <v>14827</v>
      </c>
      <c r="H373" t="s">
        <v>15165</v>
      </c>
      <c r="I373" t="s">
        <v>14841</v>
      </c>
      <c r="K373" s="47" t="s">
        <v>16097</v>
      </c>
      <c r="L373" t="s">
        <v>16097</v>
      </c>
      <c r="M373" t="s">
        <v>16124</v>
      </c>
    </row>
    <row r="374" spans="1:13">
      <c r="A374" t="s">
        <v>15194</v>
      </c>
      <c r="B374" t="s">
        <v>15194</v>
      </c>
      <c r="C374" t="s">
        <v>15195</v>
      </c>
      <c r="D374" t="s">
        <v>4310</v>
      </c>
      <c r="F374" t="str">
        <f>Config!$B$7</f>
        <v>SCH/Connector.SchLib</v>
      </c>
      <c r="G374" t="s">
        <v>14827</v>
      </c>
      <c r="H374" t="s">
        <v>15165</v>
      </c>
      <c r="I374" t="s">
        <v>14842</v>
      </c>
      <c r="K374" s="47" t="s">
        <v>16097</v>
      </c>
      <c r="L374" t="s">
        <v>16099</v>
      </c>
      <c r="M374" t="s">
        <v>16124</v>
      </c>
    </row>
    <row r="375" spans="1:13">
      <c r="A375" t="s">
        <v>15196</v>
      </c>
      <c r="B375" t="s">
        <v>15196</v>
      </c>
      <c r="C375" t="s">
        <v>15197</v>
      </c>
      <c r="D375" t="s">
        <v>4310</v>
      </c>
      <c r="F375" t="str">
        <f>Config!$B$7</f>
        <v>SCH/Connector.SchLib</v>
      </c>
      <c r="G375" t="s">
        <v>14827</v>
      </c>
      <c r="H375" t="s">
        <v>15165</v>
      </c>
      <c r="I375" t="s">
        <v>14843</v>
      </c>
      <c r="K375" s="47" t="s">
        <v>16098</v>
      </c>
      <c r="L375" t="s">
        <v>16104</v>
      </c>
      <c r="M375" t="s">
        <v>16124</v>
      </c>
    </row>
    <row r="376" spans="1:13">
      <c r="A376" t="s">
        <v>15198</v>
      </c>
      <c r="B376" t="s">
        <v>15198</v>
      </c>
      <c r="C376" t="s">
        <v>15199</v>
      </c>
      <c r="D376" t="s">
        <v>4310</v>
      </c>
      <c r="F376" t="str">
        <f>Config!$B$7</f>
        <v>SCH/Connector.SchLib</v>
      </c>
      <c r="G376" t="s">
        <v>14827</v>
      </c>
      <c r="H376" t="s">
        <v>15165</v>
      </c>
      <c r="I376" t="s">
        <v>14844</v>
      </c>
      <c r="K376" s="47" t="s">
        <v>16098</v>
      </c>
      <c r="L376" t="s">
        <v>16096</v>
      </c>
      <c r="M376" t="s">
        <v>16124</v>
      </c>
    </row>
    <row r="377" spans="1:13">
      <c r="A377" t="s">
        <v>15200</v>
      </c>
      <c r="B377" t="s">
        <v>15200</v>
      </c>
      <c r="C377" t="s">
        <v>15201</v>
      </c>
      <c r="D377" t="s">
        <v>4310</v>
      </c>
      <c r="F377" t="str">
        <f>Config!$B$7</f>
        <v>SCH/Connector.SchLib</v>
      </c>
      <c r="G377" t="s">
        <v>14827</v>
      </c>
      <c r="H377" t="s">
        <v>15165</v>
      </c>
      <c r="I377" t="s">
        <v>14845</v>
      </c>
      <c r="K377" s="47" t="s">
        <v>16098</v>
      </c>
      <c r="L377" t="s">
        <v>16098</v>
      </c>
      <c r="M377" t="s">
        <v>16124</v>
      </c>
    </row>
    <row r="378" spans="1:13">
      <c r="A378" t="s">
        <v>15202</v>
      </c>
      <c r="B378" t="s">
        <v>15202</v>
      </c>
      <c r="C378" t="s">
        <v>15203</v>
      </c>
      <c r="D378" t="s">
        <v>4310</v>
      </c>
      <c r="F378" t="str">
        <f>Config!$B$7</f>
        <v>SCH/Connector.SchLib</v>
      </c>
      <c r="G378" t="s">
        <v>14827</v>
      </c>
      <c r="H378" t="s">
        <v>15165</v>
      </c>
      <c r="I378" t="s">
        <v>14846</v>
      </c>
      <c r="K378" s="47" t="s">
        <v>16098</v>
      </c>
      <c r="L378" t="s">
        <v>16101</v>
      </c>
      <c r="M378" t="s">
        <v>16124</v>
      </c>
    </row>
    <row r="379" spans="1:13">
      <c r="A379" t="s">
        <v>15204</v>
      </c>
      <c r="B379" t="s">
        <v>15204</v>
      </c>
      <c r="C379" t="s">
        <v>15205</v>
      </c>
      <c r="D379" t="s">
        <v>4310</v>
      </c>
      <c r="F379" t="str">
        <f>Config!$B$7</f>
        <v>SCH/Connector.SchLib</v>
      </c>
      <c r="G379" t="s">
        <v>14827</v>
      </c>
      <c r="H379" t="s">
        <v>15165</v>
      </c>
      <c r="I379" t="s">
        <v>14847</v>
      </c>
      <c r="K379" s="47" t="s">
        <v>16099</v>
      </c>
      <c r="L379" t="s">
        <v>16105</v>
      </c>
      <c r="M379" t="s">
        <v>16124</v>
      </c>
    </row>
    <row r="380" spans="1:13">
      <c r="A380" t="s">
        <v>15206</v>
      </c>
      <c r="B380" t="s">
        <v>15206</v>
      </c>
      <c r="C380" t="s">
        <v>15207</v>
      </c>
      <c r="D380" t="s">
        <v>4310</v>
      </c>
      <c r="F380" t="str">
        <f>Config!$B$7</f>
        <v>SCH/Connector.SchLib</v>
      </c>
      <c r="G380" t="s">
        <v>14827</v>
      </c>
      <c r="H380" t="s">
        <v>15165</v>
      </c>
      <c r="I380" t="s">
        <v>14848</v>
      </c>
      <c r="K380" s="47" t="s">
        <v>16099</v>
      </c>
      <c r="L380" t="s">
        <v>16095</v>
      </c>
      <c r="M380" t="s">
        <v>16124</v>
      </c>
    </row>
    <row r="381" spans="1:13">
      <c r="A381" t="s">
        <v>15208</v>
      </c>
      <c r="B381" t="s">
        <v>15208</v>
      </c>
      <c r="C381" t="s">
        <v>15209</v>
      </c>
      <c r="D381" t="s">
        <v>4310</v>
      </c>
      <c r="F381" t="str">
        <f>Config!$B$7</f>
        <v>SCH/Connector.SchLib</v>
      </c>
      <c r="G381" t="s">
        <v>14827</v>
      </c>
      <c r="H381" t="s">
        <v>15165</v>
      </c>
      <c r="I381" t="s">
        <v>14849</v>
      </c>
      <c r="K381" s="47" t="s">
        <v>16099</v>
      </c>
      <c r="L381" t="s">
        <v>16097</v>
      </c>
      <c r="M381" t="s">
        <v>16124</v>
      </c>
    </row>
    <row r="382" spans="1:13">
      <c r="A382" t="s">
        <v>15210</v>
      </c>
      <c r="B382" t="s">
        <v>15210</v>
      </c>
      <c r="C382" t="s">
        <v>15211</v>
      </c>
      <c r="D382" t="s">
        <v>4310</v>
      </c>
      <c r="F382" t="str">
        <f>Config!$B$7</f>
        <v>SCH/Connector.SchLib</v>
      </c>
      <c r="G382" t="s">
        <v>14827</v>
      </c>
      <c r="H382" t="s">
        <v>15165</v>
      </c>
      <c r="I382" t="s">
        <v>14850</v>
      </c>
      <c r="K382" s="47" t="s">
        <v>16099</v>
      </c>
      <c r="L382" t="s">
        <v>16099</v>
      </c>
      <c r="M382" t="s">
        <v>16124</v>
      </c>
    </row>
    <row r="383" spans="1:13">
      <c r="A383" t="s">
        <v>15212</v>
      </c>
      <c r="B383" t="s">
        <v>15212</v>
      </c>
      <c r="C383" t="s">
        <v>15213</v>
      </c>
      <c r="D383" t="s">
        <v>4310</v>
      </c>
      <c r="F383" t="str">
        <f>Config!$B$7</f>
        <v>SCH/Connector.SchLib</v>
      </c>
      <c r="G383" t="s">
        <v>14827</v>
      </c>
      <c r="H383" t="s">
        <v>15165</v>
      </c>
      <c r="I383" t="s">
        <v>14851</v>
      </c>
      <c r="K383" s="47" t="s">
        <v>16099</v>
      </c>
      <c r="L383" t="s">
        <v>16102</v>
      </c>
      <c r="M383" t="s">
        <v>16124</v>
      </c>
    </row>
    <row r="384" spans="1:13">
      <c r="A384" t="s">
        <v>15214</v>
      </c>
      <c r="B384" t="s">
        <v>15214</v>
      </c>
      <c r="C384" t="s">
        <v>15215</v>
      </c>
      <c r="D384" t="s">
        <v>4310</v>
      </c>
      <c r="F384" t="str">
        <f>Config!$B$7</f>
        <v>SCH/Connector.SchLib</v>
      </c>
      <c r="G384" t="s">
        <v>14827</v>
      </c>
      <c r="H384" t="s">
        <v>15165</v>
      </c>
      <c r="I384" t="s">
        <v>14852</v>
      </c>
      <c r="K384" s="47" t="s">
        <v>16100</v>
      </c>
      <c r="L384" t="s">
        <v>16094</v>
      </c>
      <c r="M384" t="s">
        <v>16124</v>
      </c>
    </row>
    <row r="385" spans="1:13">
      <c r="A385" t="s">
        <v>15810</v>
      </c>
      <c r="B385" t="s">
        <v>15810</v>
      </c>
      <c r="C385" t="s">
        <v>15811</v>
      </c>
      <c r="D385" t="s">
        <v>4310</v>
      </c>
      <c r="F385" t="str">
        <f>Config!$B$7</f>
        <v>SCH/Connector.SchLib</v>
      </c>
      <c r="G385" t="s">
        <v>14827</v>
      </c>
      <c r="H385" t="s">
        <v>15165</v>
      </c>
      <c r="I385" t="s">
        <v>15590</v>
      </c>
      <c r="K385" s="47" t="s">
        <v>16100</v>
      </c>
      <c r="L385" t="s">
        <v>16095</v>
      </c>
      <c r="M385" t="s">
        <v>16124</v>
      </c>
    </row>
    <row r="386" spans="1:13">
      <c r="A386" t="s">
        <v>15216</v>
      </c>
      <c r="B386" t="s">
        <v>15216</v>
      </c>
      <c r="C386" t="s">
        <v>15217</v>
      </c>
      <c r="D386" t="s">
        <v>4310</v>
      </c>
      <c r="F386" t="str">
        <f>Config!$B$7</f>
        <v>SCH/Connector.SchLib</v>
      </c>
      <c r="G386" t="s">
        <v>14827</v>
      </c>
      <c r="H386" t="s">
        <v>15165</v>
      </c>
      <c r="I386" t="s">
        <v>14853</v>
      </c>
      <c r="K386" s="47" t="s">
        <v>16100</v>
      </c>
      <c r="L386" t="s">
        <v>16106</v>
      </c>
      <c r="M386" t="s">
        <v>16124</v>
      </c>
    </row>
    <row r="387" spans="1:13">
      <c r="A387" t="s">
        <v>15218</v>
      </c>
      <c r="B387" t="s">
        <v>15218</v>
      </c>
      <c r="C387" t="s">
        <v>15219</v>
      </c>
      <c r="D387" t="s">
        <v>4310</v>
      </c>
      <c r="F387" t="str">
        <f>Config!$B$7</f>
        <v>SCH/Connector.SchLib</v>
      </c>
      <c r="G387" t="s">
        <v>14827</v>
      </c>
      <c r="H387" t="s">
        <v>15165</v>
      </c>
      <c r="I387" t="s">
        <v>14854</v>
      </c>
      <c r="K387" s="47" t="s">
        <v>16100</v>
      </c>
      <c r="L387" t="s">
        <v>16107</v>
      </c>
      <c r="M387" t="s">
        <v>16124</v>
      </c>
    </row>
    <row r="388" spans="1:13">
      <c r="A388" t="s">
        <v>15220</v>
      </c>
      <c r="B388" t="s">
        <v>15220</v>
      </c>
      <c r="C388" t="s">
        <v>15221</v>
      </c>
      <c r="D388" t="s">
        <v>4310</v>
      </c>
      <c r="F388" t="str">
        <f>Config!$B$7</f>
        <v>SCH/Connector.SchLib</v>
      </c>
      <c r="G388" t="s">
        <v>14827</v>
      </c>
      <c r="H388" t="s">
        <v>15165</v>
      </c>
      <c r="I388" t="s">
        <v>14855</v>
      </c>
      <c r="K388" s="47" t="s">
        <v>16100</v>
      </c>
      <c r="L388" t="s">
        <v>16100</v>
      </c>
      <c r="M388" t="s">
        <v>16124</v>
      </c>
    </row>
    <row r="389" spans="1:13">
      <c r="A389" t="s">
        <v>15222</v>
      </c>
      <c r="B389" t="s">
        <v>15222</v>
      </c>
      <c r="C389" t="s">
        <v>15223</v>
      </c>
      <c r="D389" t="s">
        <v>4310</v>
      </c>
      <c r="F389" t="str">
        <f>Config!$B$7</f>
        <v>SCH/Connector.SchLib</v>
      </c>
      <c r="G389" t="s">
        <v>14827</v>
      </c>
      <c r="H389" t="s">
        <v>15165</v>
      </c>
      <c r="I389" t="s">
        <v>14856</v>
      </c>
      <c r="K389" s="47" t="s">
        <v>16100</v>
      </c>
      <c r="L389" t="s">
        <v>16108</v>
      </c>
      <c r="M389" t="s">
        <v>16124</v>
      </c>
    </row>
    <row r="390" spans="1:13">
      <c r="A390" t="s">
        <v>15812</v>
      </c>
      <c r="B390" t="s">
        <v>15812</v>
      </c>
      <c r="C390" t="s">
        <v>15813</v>
      </c>
      <c r="D390" t="s">
        <v>4310</v>
      </c>
      <c r="F390" t="str">
        <f>Config!$B$7</f>
        <v>SCH/Connector.SchLib</v>
      </c>
      <c r="G390" t="s">
        <v>14827</v>
      </c>
      <c r="H390" t="s">
        <v>15165</v>
      </c>
      <c r="I390" t="s">
        <v>15593</v>
      </c>
      <c r="K390" s="47" t="s">
        <v>16101</v>
      </c>
      <c r="L390" t="s">
        <v>16109</v>
      </c>
      <c r="M390" t="s">
        <v>16124</v>
      </c>
    </row>
    <row r="391" spans="1:13">
      <c r="A391" t="s">
        <v>15814</v>
      </c>
      <c r="B391" t="s">
        <v>15814</v>
      </c>
      <c r="C391" t="s">
        <v>15815</v>
      </c>
      <c r="D391" t="s">
        <v>4310</v>
      </c>
      <c r="F391" t="str">
        <f>Config!$B$7</f>
        <v>SCH/Connector.SchLib</v>
      </c>
      <c r="G391" t="s">
        <v>14827</v>
      </c>
      <c r="H391" t="s">
        <v>15165</v>
      </c>
      <c r="I391" t="s">
        <v>15594</v>
      </c>
      <c r="K391" s="47" t="s">
        <v>16101</v>
      </c>
      <c r="L391" t="s">
        <v>16095</v>
      </c>
      <c r="M391" t="s">
        <v>16124</v>
      </c>
    </row>
    <row r="392" spans="1:13">
      <c r="A392" t="s">
        <v>15816</v>
      </c>
      <c r="B392" t="s">
        <v>15816</v>
      </c>
      <c r="C392" t="s">
        <v>15817</v>
      </c>
      <c r="D392" t="s">
        <v>4310</v>
      </c>
      <c r="F392" t="str">
        <f>Config!$B$7</f>
        <v>SCH/Connector.SchLib</v>
      </c>
      <c r="G392" t="s">
        <v>14827</v>
      </c>
      <c r="H392" t="s">
        <v>15165</v>
      </c>
      <c r="I392" t="s">
        <v>15595</v>
      </c>
      <c r="K392" s="47" t="s">
        <v>16101</v>
      </c>
      <c r="L392" t="s">
        <v>16096</v>
      </c>
      <c r="M392" t="s">
        <v>16124</v>
      </c>
    </row>
    <row r="393" spans="1:13">
      <c r="A393" t="s">
        <v>15818</v>
      </c>
      <c r="B393" t="s">
        <v>15818</v>
      </c>
      <c r="C393" t="s">
        <v>15819</v>
      </c>
      <c r="D393" t="s">
        <v>4310</v>
      </c>
      <c r="F393" t="str">
        <f>Config!$B$7</f>
        <v>SCH/Connector.SchLib</v>
      </c>
      <c r="G393" t="s">
        <v>14827</v>
      </c>
      <c r="H393" t="s">
        <v>15165</v>
      </c>
      <c r="I393" t="s">
        <v>15596</v>
      </c>
      <c r="K393" s="47" t="s">
        <v>16101</v>
      </c>
      <c r="L393" t="s">
        <v>16098</v>
      </c>
      <c r="M393" t="s">
        <v>16124</v>
      </c>
    </row>
    <row r="394" spans="1:13">
      <c r="A394" t="s">
        <v>15820</v>
      </c>
      <c r="B394" t="s">
        <v>15820</v>
      </c>
      <c r="C394" t="s">
        <v>15821</v>
      </c>
      <c r="D394" t="s">
        <v>4310</v>
      </c>
      <c r="F394" t="str">
        <f>Config!$B$7</f>
        <v>SCH/Connector.SchLib</v>
      </c>
      <c r="G394" t="s">
        <v>14827</v>
      </c>
      <c r="H394" t="s">
        <v>15165</v>
      </c>
      <c r="I394" t="s">
        <v>15597</v>
      </c>
      <c r="K394" s="47" t="s">
        <v>16101</v>
      </c>
      <c r="L394" t="s">
        <v>16101</v>
      </c>
      <c r="M394" t="s">
        <v>16124</v>
      </c>
    </row>
    <row r="395" spans="1:13">
      <c r="A395" t="s">
        <v>15822</v>
      </c>
      <c r="B395" t="s">
        <v>15822</v>
      </c>
      <c r="C395" t="s">
        <v>15823</v>
      </c>
      <c r="D395" t="s">
        <v>4310</v>
      </c>
      <c r="F395" t="str">
        <f>Config!$B$7</f>
        <v>SCH/Connector.SchLib</v>
      </c>
      <c r="G395" t="s">
        <v>14827</v>
      </c>
      <c r="H395" t="s">
        <v>15165</v>
      </c>
      <c r="I395" t="s">
        <v>15598</v>
      </c>
      <c r="K395" s="47" t="s">
        <v>16101</v>
      </c>
      <c r="L395" t="s">
        <v>16110</v>
      </c>
      <c r="M395" t="s">
        <v>16124</v>
      </c>
    </row>
    <row r="396" spans="1:13">
      <c r="A396" t="s">
        <v>15824</v>
      </c>
      <c r="B396" t="s">
        <v>15824</v>
      </c>
      <c r="C396" t="s">
        <v>15825</v>
      </c>
      <c r="D396" t="s">
        <v>4310</v>
      </c>
      <c r="F396" t="str">
        <f>Config!$B$7</f>
        <v>SCH/Connector.SchLib</v>
      </c>
      <c r="G396" t="s">
        <v>14827</v>
      </c>
      <c r="H396" t="s">
        <v>15165</v>
      </c>
      <c r="I396" t="s">
        <v>15599</v>
      </c>
      <c r="K396" s="47" t="s">
        <v>16102</v>
      </c>
      <c r="L396" t="s">
        <v>16094</v>
      </c>
      <c r="M396" t="s">
        <v>16124</v>
      </c>
    </row>
    <row r="397" spans="1:13">
      <c r="A397" t="s">
        <v>15826</v>
      </c>
      <c r="B397" t="s">
        <v>15826</v>
      </c>
      <c r="C397" t="s">
        <v>15827</v>
      </c>
      <c r="D397" t="s">
        <v>4310</v>
      </c>
      <c r="F397" t="str">
        <f>Config!$B$7</f>
        <v>SCH/Connector.SchLib</v>
      </c>
      <c r="G397" t="s">
        <v>14827</v>
      </c>
      <c r="H397" t="s">
        <v>15165</v>
      </c>
      <c r="I397" t="s">
        <v>15600</v>
      </c>
      <c r="K397" s="47" t="s">
        <v>16102</v>
      </c>
      <c r="L397" t="s">
        <v>16111</v>
      </c>
      <c r="M397" t="s">
        <v>16124</v>
      </c>
    </row>
    <row r="398" spans="1:13">
      <c r="A398" t="s">
        <v>15828</v>
      </c>
      <c r="B398" t="s">
        <v>15828</v>
      </c>
      <c r="C398" t="s">
        <v>15829</v>
      </c>
      <c r="D398" t="s">
        <v>4310</v>
      </c>
      <c r="F398" t="str">
        <f>Config!$B$7</f>
        <v>SCH/Connector.SchLib</v>
      </c>
      <c r="G398" t="s">
        <v>14827</v>
      </c>
      <c r="H398" t="s">
        <v>15165</v>
      </c>
      <c r="I398" t="s">
        <v>15601</v>
      </c>
      <c r="K398" s="47" t="s">
        <v>16102</v>
      </c>
      <c r="L398" t="s">
        <v>16095</v>
      </c>
      <c r="M398" t="s">
        <v>16124</v>
      </c>
    </row>
    <row r="399" spans="1:13">
      <c r="A399" t="s">
        <v>15830</v>
      </c>
      <c r="B399" t="s">
        <v>15830</v>
      </c>
      <c r="C399" t="s">
        <v>15831</v>
      </c>
      <c r="D399" t="s">
        <v>4310</v>
      </c>
      <c r="F399" t="str">
        <f>Config!$B$7</f>
        <v>SCH/Connector.SchLib</v>
      </c>
      <c r="G399" t="s">
        <v>14827</v>
      </c>
      <c r="H399" t="s">
        <v>15165</v>
      </c>
      <c r="I399" t="s">
        <v>15602</v>
      </c>
      <c r="K399" s="47" t="s">
        <v>16102</v>
      </c>
      <c r="L399" t="s">
        <v>16097</v>
      </c>
      <c r="M399" t="s">
        <v>16124</v>
      </c>
    </row>
    <row r="400" spans="1:13">
      <c r="A400" t="s">
        <v>15832</v>
      </c>
      <c r="B400" t="s">
        <v>15832</v>
      </c>
      <c r="C400" t="s">
        <v>15833</v>
      </c>
      <c r="D400" t="s">
        <v>4310</v>
      </c>
      <c r="F400" t="str">
        <f>Config!$B$7</f>
        <v>SCH/Connector.SchLib</v>
      </c>
      <c r="G400" t="s">
        <v>14827</v>
      </c>
      <c r="H400" t="s">
        <v>15165</v>
      </c>
      <c r="I400" t="s">
        <v>15603</v>
      </c>
      <c r="K400" s="47" t="s">
        <v>16102</v>
      </c>
      <c r="L400" t="s">
        <v>16099</v>
      </c>
      <c r="M400" t="s">
        <v>16124</v>
      </c>
    </row>
    <row r="401" spans="1:13">
      <c r="A401" t="s">
        <v>15834</v>
      </c>
      <c r="B401" t="s">
        <v>15834</v>
      </c>
      <c r="C401" t="s">
        <v>15835</v>
      </c>
      <c r="D401" t="s">
        <v>4310</v>
      </c>
      <c r="F401" t="str">
        <f>Config!$B$7</f>
        <v>SCH/Connector.SchLib</v>
      </c>
      <c r="G401" t="s">
        <v>14827</v>
      </c>
      <c r="H401" t="s">
        <v>15165</v>
      </c>
      <c r="I401" t="s">
        <v>15604</v>
      </c>
      <c r="K401" s="47" t="s">
        <v>16102</v>
      </c>
      <c r="L401" t="s">
        <v>16102</v>
      </c>
      <c r="M401" t="s">
        <v>16124</v>
      </c>
    </row>
    <row r="402" spans="1:13">
      <c r="A402" t="s">
        <v>15836</v>
      </c>
      <c r="B402" t="s">
        <v>15836</v>
      </c>
      <c r="C402" t="s">
        <v>15837</v>
      </c>
      <c r="D402" t="s">
        <v>4310</v>
      </c>
      <c r="F402" t="str">
        <f>Config!$B$7</f>
        <v>SCH/Connector.SchLib</v>
      </c>
      <c r="G402" t="s">
        <v>14827</v>
      </c>
      <c r="H402" t="s">
        <v>15165</v>
      </c>
      <c r="I402" t="s">
        <v>15605</v>
      </c>
      <c r="K402" s="47" t="s">
        <v>16102</v>
      </c>
      <c r="L402" t="s">
        <v>16112</v>
      </c>
      <c r="M402" t="s">
        <v>16124</v>
      </c>
    </row>
    <row r="403" spans="1:13">
      <c r="A403" t="s">
        <v>15838</v>
      </c>
      <c r="B403" t="s">
        <v>15838</v>
      </c>
      <c r="C403" t="s">
        <v>15839</v>
      </c>
      <c r="D403" t="s">
        <v>4310</v>
      </c>
      <c r="F403" t="str">
        <f>Config!$B$7</f>
        <v>SCH/Connector.SchLib</v>
      </c>
      <c r="G403" t="s">
        <v>14827</v>
      </c>
      <c r="H403" t="s">
        <v>15165</v>
      </c>
      <c r="I403" t="s">
        <v>15606</v>
      </c>
      <c r="K403" s="47" t="s">
        <v>16103</v>
      </c>
      <c r="L403" t="s">
        <v>16094</v>
      </c>
      <c r="M403" t="s">
        <v>16124</v>
      </c>
    </row>
    <row r="404" spans="1:13">
      <c r="A404" t="s">
        <v>15840</v>
      </c>
      <c r="B404" t="s">
        <v>15840</v>
      </c>
      <c r="C404" t="s">
        <v>15841</v>
      </c>
      <c r="D404" t="s">
        <v>4310</v>
      </c>
      <c r="F404" t="str">
        <f>Config!$B$7</f>
        <v>SCH/Connector.SchLib</v>
      </c>
      <c r="G404" t="s">
        <v>14827</v>
      </c>
      <c r="H404" t="s">
        <v>15165</v>
      </c>
      <c r="I404" t="s">
        <v>15607</v>
      </c>
      <c r="K404" s="47" t="s">
        <v>16103</v>
      </c>
      <c r="L404" t="s">
        <v>16095</v>
      </c>
      <c r="M404" t="s">
        <v>16124</v>
      </c>
    </row>
    <row r="405" spans="1:13">
      <c r="A405" t="s">
        <v>15842</v>
      </c>
      <c r="B405" t="s">
        <v>15842</v>
      </c>
      <c r="C405" t="s">
        <v>15843</v>
      </c>
      <c r="D405" t="s">
        <v>4310</v>
      </c>
      <c r="F405" t="str">
        <f>Config!$B$7</f>
        <v>SCH/Connector.SchLib</v>
      </c>
      <c r="G405" t="s">
        <v>14827</v>
      </c>
      <c r="H405" t="s">
        <v>15165</v>
      </c>
      <c r="I405" t="s">
        <v>15608</v>
      </c>
      <c r="K405" s="47" t="s">
        <v>16103</v>
      </c>
      <c r="L405" t="s">
        <v>16107</v>
      </c>
      <c r="M405" t="s">
        <v>16124</v>
      </c>
    </row>
    <row r="406" spans="1:13">
      <c r="A406" t="s">
        <v>15844</v>
      </c>
      <c r="B406" t="s">
        <v>15844</v>
      </c>
      <c r="C406" t="s">
        <v>15845</v>
      </c>
      <c r="D406" t="s">
        <v>4310</v>
      </c>
      <c r="F406" t="str">
        <f>Config!$B$7</f>
        <v>SCH/Connector.SchLib</v>
      </c>
      <c r="G406" t="s">
        <v>14827</v>
      </c>
      <c r="H406" t="s">
        <v>15165</v>
      </c>
      <c r="I406" t="s">
        <v>15609</v>
      </c>
      <c r="K406" s="47" t="s">
        <v>16103</v>
      </c>
      <c r="L406" t="s">
        <v>16100</v>
      </c>
      <c r="M406" t="s">
        <v>16124</v>
      </c>
    </row>
    <row r="407" spans="1:13">
      <c r="A407" t="s">
        <v>15846</v>
      </c>
      <c r="B407" t="s">
        <v>15846</v>
      </c>
      <c r="C407" t="s">
        <v>15847</v>
      </c>
      <c r="D407" t="s">
        <v>4310</v>
      </c>
      <c r="F407" t="str">
        <f>Config!$B$7</f>
        <v>SCH/Connector.SchLib</v>
      </c>
      <c r="G407" t="s">
        <v>14827</v>
      </c>
      <c r="H407" t="s">
        <v>15165</v>
      </c>
      <c r="I407" t="s">
        <v>15610</v>
      </c>
      <c r="K407" s="47" t="s">
        <v>16103</v>
      </c>
      <c r="L407" t="s">
        <v>16108</v>
      </c>
      <c r="M407" t="s">
        <v>16124</v>
      </c>
    </row>
    <row r="408" spans="1:13">
      <c r="A408" t="s">
        <v>15848</v>
      </c>
      <c r="B408" t="s">
        <v>15848</v>
      </c>
      <c r="C408" t="s">
        <v>15849</v>
      </c>
      <c r="D408" t="s">
        <v>4310</v>
      </c>
      <c r="F408" t="str">
        <f>Config!$B$7</f>
        <v>SCH/Connector.SchLib</v>
      </c>
      <c r="G408" t="s">
        <v>14827</v>
      </c>
      <c r="H408" t="s">
        <v>15165</v>
      </c>
      <c r="I408" t="s">
        <v>15611</v>
      </c>
      <c r="K408" s="47" t="s">
        <v>16103</v>
      </c>
      <c r="L408" t="s">
        <v>16113</v>
      </c>
      <c r="M408" t="s">
        <v>16124</v>
      </c>
    </row>
    <row r="410" spans="1:13">
      <c r="A410" t="s">
        <v>15102</v>
      </c>
      <c r="B410" t="s">
        <v>15102</v>
      </c>
      <c r="C410" t="s">
        <v>15103</v>
      </c>
      <c r="D410" t="s">
        <v>4310</v>
      </c>
      <c r="F410" t="str">
        <f>Config!$B$7</f>
        <v>SCH/Connector.SchLib</v>
      </c>
      <c r="G410" t="s">
        <v>14827</v>
      </c>
      <c r="H410" t="s">
        <v>15104</v>
      </c>
      <c r="I410" t="s">
        <v>14857</v>
      </c>
      <c r="K410" s="47" t="s">
        <v>16093</v>
      </c>
      <c r="L410" t="s">
        <v>16093</v>
      </c>
      <c r="M410" t="s">
        <v>16125</v>
      </c>
    </row>
    <row r="411" spans="1:13">
      <c r="A411" t="s">
        <v>15105</v>
      </c>
      <c r="B411" t="s">
        <v>15105</v>
      </c>
      <c r="C411" t="s">
        <v>15106</v>
      </c>
      <c r="D411" t="s">
        <v>4310</v>
      </c>
      <c r="F411" t="str">
        <f>Config!$B$7</f>
        <v>SCH/Connector.SchLib</v>
      </c>
      <c r="G411" t="s">
        <v>14827</v>
      </c>
      <c r="H411" t="s">
        <v>15104</v>
      </c>
      <c r="I411" t="s">
        <v>14858</v>
      </c>
      <c r="K411" s="47" t="s">
        <v>16093</v>
      </c>
      <c r="L411" t="s">
        <v>16094</v>
      </c>
      <c r="M411" t="s">
        <v>16125</v>
      </c>
    </row>
    <row r="412" spans="1:13">
      <c r="A412" t="s">
        <v>15107</v>
      </c>
      <c r="B412" t="s">
        <v>15107</v>
      </c>
      <c r="C412" t="s">
        <v>15108</v>
      </c>
      <c r="D412" t="s">
        <v>4310</v>
      </c>
      <c r="F412" t="str">
        <f>Config!$B$7</f>
        <v>SCH/Connector.SchLib</v>
      </c>
      <c r="G412" t="s">
        <v>14827</v>
      </c>
      <c r="H412" t="s">
        <v>15104</v>
      </c>
      <c r="I412" t="s">
        <v>14829</v>
      </c>
      <c r="K412" s="47" t="s">
        <v>16094</v>
      </c>
      <c r="L412" t="s">
        <v>16093</v>
      </c>
      <c r="M412" t="s">
        <v>16125</v>
      </c>
    </row>
    <row r="413" spans="1:13">
      <c r="A413" t="s">
        <v>15109</v>
      </c>
      <c r="B413" t="s">
        <v>15109</v>
      </c>
      <c r="C413" t="s">
        <v>15110</v>
      </c>
      <c r="D413" t="s">
        <v>4310</v>
      </c>
      <c r="F413" t="str">
        <f>Config!$B$7</f>
        <v>SCH/Connector.SchLib</v>
      </c>
      <c r="G413" t="s">
        <v>14827</v>
      </c>
      <c r="H413" t="s">
        <v>15104</v>
      </c>
      <c r="I413" t="s">
        <v>14830</v>
      </c>
      <c r="K413" s="47" t="s">
        <v>16094</v>
      </c>
      <c r="L413" t="s">
        <v>16094</v>
      </c>
      <c r="M413" t="s">
        <v>16125</v>
      </c>
    </row>
    <row r="414" spans="1:13">
      <c r="A414" t="s">
        <v>15111</v>
      </c>
      <c r="B414" t="s">
        <v>15111</v>
      </c>
      <c r="C414" t="s">
        <v>15112</v>
      </c>
      <c r="D414" t="s">
        <v>4310</v>
      </c>
      <c r="F414" t="str">
        <f>Config!$B$7</f>
        <v>SCH/Connector.SchLib</v>
      </c>
      <c r="G414" t="s">
        <v>14827</v>
      </c>
      <c r="H414" t="s">
        <v>15104</v>
      </c>
      <c r="I414" t="s">
        <v>14831</v>
      </c>
      <c r="K414" s="47" t="s">
        <v>16094</v>
      </c>
      <c r="L414" t="s">
        <v>16095</v>
      </c>
      <c r="M414" t="s">
        <v>16125</v>
      </c>
    </row>
    <row r="415" spans="1:13">
      <c r="A415" t="s">
        <v>15113</v>
      </c>
      <c r="B415" t="s">
        <v>15113</v>
      </c>
      <c r="C415" t="s">
        <v>15114</v>
      </c>
      <c r="D415" t="s">
        <v>4310</v>
      </c>
      <c r="F415" t="str">
        <f>Config!$B$7</f>
        <v>SCH/Connector.SchLib</v>
      </c>
      <c r="G415" t="s">
        <v>14827</v>
      </c>
      <c r="H415" t="s">
        <v>15104</v>
      </c>
      <c r="I415" t="s">
        <v>14832</v>
      </c>
      <c r="K415" s="47" t="s">
        <v>16095</v>
      </c>
      <c r="L415" t="s">
        <v>16093</v>
      </c>
      <c r="M415" t="s">
        <v>16125</v>
      </c>
    </row>
    <row r="416" spans="1:13">
      <c r="A416" t="s">
        <v>15115</v>
      </c>
      <c r="B416" t="s">
        <v>15115</v>
      </c>
      <c r="C416" t="s">
        <v>15116</v>
      </c>
      <c r="D416" t="s">
        <v>4310</v>
      </c>
      <c r="F416" t="str">
        <f>Config!$B$7</f>
        <v>SCH/Connector.SchLib</v>
      </c>
      <c r="G416" t="s">
        <v>14827</v>
      </c>
      <c r="H416" t="s">
        <v>15104</v>
      </c>
      <c r="I416" t="s">
        <v>14833</v>
      </c>
      <c r="K416" s="47" t="s">
        <v>16095</v>
      </c>
      <c r="L416" t="s">
        <v>16094</v>
      </c>
      <c r="M416" t="s">
        <v>16125</v>
      </c>
    </row>
    <row r="417" spans="1:13">
      <c r="A417" t="s">
        <v>15117</v>
      </c>
      <c r="B417" t="s">
        <v>15117</v>
      </c>
      <c r="C417" t="s">
        <v>15118</v>
      </c>
      <c r="D417" t="s">
        <v>4310</v>
      </c>
      <c r="F417" t="str">
        <f>Config!$B$7</f>
        <v>SCH/Connector.SchLib</v>
      </c>
      <c r="G417" t="s">
        <v>14827</v>
      </c>
      <c r="H417" t="s">
        <v>15104</v>
      </c>
      <c r="I417" t="s">
        <v>14834</v>
      </c>
      <c r="K417" s="47" t="s">
        <v>16095</v>
      </c>
      <c r="L417" t="s">
        <v>16095</v>
      </c>
      <c r="M417" t="s">
        <v>16125</v>
      </c>
    </row>
    <row r="418" spans="1:13">
      <c r="A418" t="s">
        <v>15119</v>
      </c>
      <c r="B418" t="s">
        <v>15119</v>
      </c>
      <c r="C418" t="s">
        <v>15120</v>
      </c>
      <c r="D418" t="s">
        <v>4310</v>
      </c>
      <c r="F418" t="str">
        <f>Config!$B$7</f>
        <v>SCH/Connector.SchLib</v>
      </c>
      <c r="G418" t="s">
        <v>14827</v>
      </c>
      <c r="H418" t="s">
        <v>15104</v>
      </c>
      <c r="I418" t="s">
        <v>14835</v>
      </c>
      <c r="K418" s="47" t="s">
        <v>16095</v>
      </c>
      <c r="L418" t="s">
        <v>16097</v>
      </c>
      <c r="M418" t="s">
        <v>16125</v>
      </c>
    </row>
    <row r="419" spans="1:13">
      <c r="A419" t="s">
        <v>15121</v>
      </c>
      <c r="B419" t="s">
        <v>15121</v>
      </c>
      <c r="C419" t="s">
        <v>15122</v>
      </c>
      <c r="D419" t="s">
        <v>4310</v>
      </c>
      <c r="F419" t="str">
        <f>Config!$B$7</f>
        <v>SCH/Connector.SchLib</v>
      </c>
      <c r="G419" t="s">
        <v>14827</v>
      </c>
      <c r="H419" t="s">
        <v>15104</v>
      </c>
      <c r="I419" t="s">
        <v>14836</v>
      </c>
      <c r="K419" s="47" t="s">
        <v>16096</v>
      </c>
      <c r="L419" t="s">
        <v>16104</v>
      </c>
      <c r="M419" t="s">
        <v>16125</v>
      </c>
    </row>
    <row r="420" spans="1:13">
      <c r="A420" t="s">
        <v>15123</v>
      </c>
      <c r="B420" t="s">
        <v>15123</v>
      </c>
      <c r="C420" t="s">
        <v>15124</v>
      </c>
      <c r="D420" t="s">
        <v>4310</v>
      </c>
      <c r="F420" t="str">
        <f>Config!$B$7</f>
        <v>SCH/Connector.SchLib</v>
      </c>
      <c r="G420" t="s">
        <v>14827</v>
      </c>
      <c r="H420" t="s">
        <v>15104</v>
      </c>
      <c r="I420" t="s">
        <v>14837</v>
      </c>
      <c r="K420" s="47" t="s">
        <v>16096</v>
      </c>
      <c r="L420" t="s">
        <v>16096</v>
      </c>
      <c r="M420" t="s">
        <v>16125</v>
      </c>
    </row>
    <row r="421" spans="1:13">
      <c r="A421" t="s">
        <v>15125</v>
      </c>
      <c r="B421" t="s">
        <v>15125</v>
      </c>
      <c r="C421" t="s">
        <v>15126</v>
      </c>
      <c r="D421" t="s">
        <v>4310</v>
      </c>
      <c r="F421" t="str">
        <f>Config!$B$7</f>
        <v>SCH/Connector.SchLib</v>
      </c>
      <c r="G421" t="s">
        <v>14827</v>
      </c>
      <c r="H421" t="s">
        <v>15104</v>
      </c>
      <c r="I421" t="s">
        <v>14838</v>
      </c>
      <c r="K421" s="47" t="s">
        <v>16096</v>
      </c>
      <c r="L421" t="s">
        <v>16098</v>
      </c>
      <c r="M421" t="s">
        <v>16125</v>
      </c>
    </row>
    <row r="422" spans="1:13">
      <c r="A422" t="s">
        <v>15127</v>
      </c>
      <c r="B422" t="s">
        <v>15127</v>
      </c>
      <c r="C422" t="s">
        <v>15128</v>
      </c>
      <c r="D422" t="s">
        <v>4310</v>
      </c>
      <c r="F422" t="str">
        <f>Config!$B$7</f>
        <v>SCH/Connector.SchLib</v>
      </c>
      <c r="G422" t="s">
        <v>14827</v>
      </c>
      <c r="H422" t="s">
        <v>15104</v>
      </c>
      <c r="I422" t="s">
        <v>14839</v>
      </c>
      <c r="K422" s="47" t="s">
        <v>16097</v>
      </c>
      <c r="L422" t="s">
        <v>16094</v>
      </c>
      <c r="M422" t="s">
        <v>16125</v>
      </c>
    </row>
    <row r="423" spans="1:13">
      <c r="A423" t="s">
        <v>15129</v>
      </c>
      <c r="B423" t="s">
        <v>15129</v>
      </c>
      <c r="C423" t="s">
        <v>15130</v>
      </c>
      <c r="D423" t="s">
        <v>4310</v>
      </c>
      <c r="F423" t="str">
        <f>Config!$B$7</f>
        <v>SCH/Connector.SchLib</v>
      </c>
      <c r="G423" t="s">
        <v>14827</v>
      </c>
      <c r="H423" t="s">
        <v>15104</v>
      </c>
      <c r="I423" t="s">
        <v>14840</v>
      </c>
      <c r="K423" s="47" t="s">
        <v>16097</v>
      </c>
      <c r="L423" t="s">
        <v>16095</v>
      </c>
      <c r="M423" t="s">
        <v>16125</v>
      </c>
    </row>
    <row r="424" spans="1:13">
      <c r="A424" t="s">
        <v>15131</v>
      </c>
      <c r="B424" t="s">
        <v>15131</v>
      </c>
      <c r="C424" t="s">
        <v>15132</v>
      </c>
      <c r="D424" t="s">
        <v>4310</v>
      </c>
      <c r="F424" t="str">
        <f>Config!$B$7</f>
        <v>SCH/Connector.SchLib</v>
      </c>
      <c r="G424" t="s">
        <v>14827</v>
      </c>
      <c r="H424" t="s">
        <v>15104</v>
      </c>
      <c r="I424" t="s">
        <v>14841</v>
      </c>
      <c r="K424" s="47" t="s">
        <v>16097</v>
      </c>
      <c r="L424" t="s">
        <v>16097</v>
      </c>
      <c r="M424" t="s">
        <v>16125</v>
      </c>
    </row>
    <row r="425" spans="1:13">
      <c r="A425" t="s">
        <v>15133</v>
      </c>
      <c r="B425" t="s">
        <v>15133</v>
      </c>
      <c r="C425" t="s">
        <v>15134</v>
      </c>
      <c r="D425" t="s">
        <v>4310</v>
      </c>
      <c r="F425" t="str">
        <f>Config!$B$7</f>
        <v>SCH/Connector.SchLib</v>
      </c>
      <c r="G425" t="s">
        <v>14827</v>
      </c>
      <c r="H425" t="s">
        <v>15104</v>
      </c>
      <c r="I425" t="s">
        <v>14842</v>
      </c>
      <c r="K425" s="47" t="s">
        <v>16097</v>
      </c>
      <c r="L425" t="s">
        <v>16099</v>
      </c>
      <c r="M425" t="s">
        <v>16125</v>
      </c>
    </row>
    <row r="426" spans="1:13">
      <c r="A426" t="s">
        <v>15135</v>
      </c>
      <c r="B426" t="s">
        <v>15135</v>
      </c>
      <c r="C426" t="s">
        <v>15136</v>
      </c>
      <c r="D426" t="s">
        <v>4310</v>
      </c>
      <c r="F426" t="str">
        <f>Config!$B$7</f>
        <v>SCH/Connector.SchLib</v>
      </c>
      <c r="G426" t="s">
        <v>14827</v>
      </c>
      <c r="H426" t="s">
        <v>15104</v>
      </c>
      <c r="I426" t="s">
        <v>14843</v>
      </c>
      <c r="K426" s="47" t="s">
        <v>16098</v>
      </c>
      <c r="L426" t="s">
        <v>16104</v>
      </c>
      <c r="M426" t="s">
        <v>16125</v>
      </c>
    </row>
    <row r="427" spans="1:13">
      <c r="A427" t="s">
        <v>15137</v>
      </c>
      <c r="B427" t="s">
        <v>15137</v>
      </c>
      <c r="C427" t="s">
        <v>15138</v>
      </c>
      <c r="D427" t="s">
        <v>4310</v>
      </c>
      <c r="F427" t="str">
        <f>Config!$B$7</f>
        <v>SCH/Connector.SchLib</v>
      </c>
      <c r="G427" t="s">
        <v>14827</v>
      </c>
      <c r="H427" t="s">
        <v>15104</v>
      </c>
      <c r="I427" t="s">
        <v>14844</v>
      </c>
      <c r="K427" s="47" t="s">
        <v>16098</v>
      </c>
      <c r="L427" t="s">
        <v>16096</v>
      </c>
      <c r="M427" t="s">
        <v>16125</v>
      </c>
    </row>
    <row r="428" spans="1:13">
      <c r="A428" t="s">
        <v>15139</v>
      </c>
      <c r="B428" t="s">
        <v>15139</v>
      </c>
      <c r="C428" t="s">
        <v>15140</v>
      </c>
      <c r="D428" t="s">
        <v>4310</v>
      </c>
      <c r="F428" t="str">
        <f>Config!$B$7</f>
        <v>SCH/Connector.SchLib</v>
      </c>
      <c r="G428" t="s">
        <v>14827</v>
      </c>
      <c r="H428" t="s">
        <v>15104</v>
      </c>
      <c r="I428" t="s">
        <v>14845</v>
      </c>
      <c r="K428" s="47" t="s">
        <v>16098</v>
      </c>
      <c r="L428" t="s">
        <v>16098</v>
      </c>
      <c r="M428" t="s">
        <v>16125</v>
      </c>
    </row>
    <row r="429" spans="1:13">
      <c r="A429" t="s">
        <v>15141</v>
      </c>
      <c r="B429" t="s">
        <v>15141</v>
      </c>
      <c r="C429" t="s">
        <v>15142</v>
      </c>
      <c r="D429" t="s">
        <v>4310</v>
      </c>
      <c r="F429" t="str">
        <f>Config!$B$7</f>
        <v>SCH/Connector.SchLib</v>
      </c>
      <c r="G429" t="s">
        <v>14827</v>
      </c>
      <c r="H429" t="s">
        <v>15104</v>
      </c>
      <c r="I429" t="s">
        <v>14846</v>
      </c>
      <c r="K429" s="47" t="s">
        <v>16098</v>
      </c>
      <c r="L429" t="s">
        <v>16101</v>
      </c>
      <c r="M429" t="s">
        <v>16125</v>
      </c>
    </row>
    <row r="430" spans="1:13">
      <c r="A430" t="s">
        <v>15143</v>
      </c>
      <c r="B430" t="s">
        <v>15143</v>
      </c>
      <c r="C430" t="s">
        <v>15144</v>
      </c>
      <c r="D430" t="s">
        <v>4310</v>
      </c>
      <c r="F430" t="str">
        <f>Config!$B$7</f>
        <v>SCH/Connector.SchLib</v>
      </c>
      <c r="G430" t="s">
        <v>14827</v>
      </c>
      <c r="H430" t="s">
        <v>15104</v>
      </c>
      <c r="I430" t="s">
        <v>14847</v>
      </c>
      <c r="K430" s="47" t="s">
        <v>16099</v>
      </c>
      <c r="L430" t="s">
        <v>16105</v>
      </c>
      <c r="M430" t="s">
        <v>16125</v>
      </c>
    </row>
    <row r="431" spans="1:13">
      <c r="A431" t="s">
        <v>15145</v>
      </c>
      <c r="B431" t="s">
        <v>15145</v>
      </c>
      <c r="C431" t="s">
        <v>15146</v>
      </c>
      <c r="D431" t="s">
        <v>4310</v>
      </c>
      <c r="F431" t="str">
        <f>Config!$B$7</f>
        <v>SCH/Connector.SchLib</v>
      </c>
      <c r="G431" t="s">
        <v>14827</v>
      </c>
      <c r="H431" t="s">
        <v>15104</v>
      </c>
      <c r="I431" t="s">
        <v>14848</v>
      </c>
      <c r="K431" s="47" t="s">
        <v>16099</v>
      </c>
      <c r="L431" t="s">
        <v>16095</v>
      </c>
      <c r="M431" t="s">
        <v>16125</v>
      </c>
    </row>
    <row r="432" spans="1:13">
      <c r="A432" t="s">
        <v>15147</v>
      </c>
      <c r="B432" t="s">
        <v>15147</v>
      </c>
      <c r="C432" t="s">
        <v>15148</v>
      </c>
      <c r="D432" t="s">
        <v>4310</v>
      </c>
      <c r="F432" t="str">
        <f>Config!$B$7</f>
        <v>SCH/Connector.SchLib</v>
      </c>
      <c r="G432" t="s">
        <v>14827</v>
      </c>
      <c r="H432" t="s">
        <v>15104</v>
      </c>
      <c r="I432" t="s">
        <v>14849</v>
      </c>
      <c r="K432" s="47" t="s">
        <v>16099</v>
      </c>
      <c r="L432" t="s">
        <v>16097</v>
      </c>
      <c r="M432" t="s">
        <v>16125</v>
      </c>
    </row>
    <row r="433" spans="1:13">
      <c r="A433" t="s">
        <v>15149</v>
      </c>
      <c r="B433" t="s">
        <v>15149</v>
      </c>
      <c r="C433" t="s">
        <v>15150</v>
      </c>
      <c r="D433" t="s">
        <v>4310</v>
      </c>
      <c r="F433" t="str">
        <f>Config!$B$7</f>
        <v>SCH/Connector.SchLib</v>
      </c>
      <c r="G433" t="s">
        <v>14827</v>
      </c>
      <c r="H433" t="s">
        <v>15104</v>
      </c>
      <c r="I433" t="s">
        <v>14850</v>
      </c>
      <c r="K433" s="47" t="s">
        <v>16099</v>
      </c>
      <c r="L433" t="s">
        <v>16099</v>
      </c>
      <c r="M433" t="s">
        <v>16125</v>
      </c>
    </row>
    <row r="434" spans="1:13">
      <c r="A434" t="s">
        <v>15151</v>
      </c>
      <c r="B434" t="s">
        <v>15151</v>
      </c>
      <c r="C434" t="s">
        <v>15152</v>
      </c>
      <c r="D434" t="s">
        <v>4310</v>
      </c>
      <c r="F434" t="str">
        <f>Config!$B$7</f>
        <v>SCH/Connector.SchLib</v>
      </c>
      <c r="G434" t="s">
        <v>14827</v>
      </c>
      <c r="H434" t="s">
        <v>15104</v>
      </c>
      <c r="I434" t="s">
        <v>14851</v>
      </c>
      <c r="K434" s="47" t="s">
        <v>16099</v>
      </c>
      <c r="L434" t="s">
        <v>16102</v>
      </c>
      <c r="M434" t="s">
        <v>16125</v>
      </c>
    </row>
    <row r="435" spans="1:13">
      <c r="A435" t="s">
        <v>15153</v>
      </c>
      <c r="B435" t="s">
        <v>15153</v>
      </c>
      <c r="C435" t="s">
        <v>15154</v>
      </c>
      <c r="D435" t="s">
        <v>4310</v>
      </c>
      <c r="F435" t="str">
        <f>Config!$B$7</f>
        <v>SCH/Connector.SchLib</v>
      </c>
      <c r="G435" t="s">
        <v>14827</v>
      </c>
      <c r="H435" t="s">
        <v>15104</v>
      </c>
      <c r="I435" t="s">
        <v>14852</v>
      </c>
      <c r="K435" s="47" t="s">
        <v>16100</v>
      </c>
      <c r="L435" t="s">
        <v>16094</v>
      </c>
      <c r="M435" t="s">
        <v>16125</v>
      </c>
    </row>
    <row r="436" spans="1:13">
      <c r="A436" t="s">
        <v>15770</v>
      </c>
      <c r="B436" t="s">
        <v>15770</v>
      </c>
      <c r="C436" t="s">
        <v>15771</v>
      </c>
      <c r="D436" t="s">
        <v>4310</v>
      </c>
      <c r="F436" t="str">
        <f>Config!$B$7</f>
        <v>SCH/Connector.SchLib</v>
      </c>
      <c r="G436" t="s">
        <v>14827</v>
      </c>
      <c r="H436" t="s">
        <v>15104</v>
      </c>
      <c r="I436" t="s">
        <v>15590</v>
      </c>
      <c r="K436" s="47" t="s">
        <v>16100</v>
      </c>
      <c r="L436" t="s">
        <v>16095</v>
      </c>
      <c r="M436" t="s">
        <v>16125</v>
      </c>
    </row>
    <row r="437" spans="1:13">
      <c r="A437" t="s">
        <v>15155</v>
      </c>
      <c r="B437" t="s">
        <v>15155</v>
      </c>
      <c r="C437" t="s">
        <v>15156</v>
      </c>
      <c r="D437" t="s">
        <v>4310</v>
      </c>
      <c r="F437" t="str">
        <f>Config!$B$7</f>
        <v>SCH/Connector.SchLib</v>
      </c>
      <c r="G437" t="s">
        <v>14827</v>
      </c>
      <c r="H437" t="s">
        <v>15104</v>
      </c>
      <c r="I437" t="s">
        <v>14853</v>
      </c>
      <c r="K437" s="47" t="s">
        <v>16100</v>
      </c>
      <c r="L437" t="s">
        <v>16106</v>
      </c>
      <c r="M437" t="s">
        <v>16125</v>
      </c>
    </row>
    <row r="438" spans="1:13">
      <c r="A438" t="s">
        <v>15157</v>
      </c>
      <c r="B438" t="s">
        <v>15157</v>
      </c>
      <c r="C438" t="s">
        <v>15158</v>
      </c>
      <c r="D438" t="s">
        <v>4310</v>
      </c>
      <c r="F438" t="str">
        <f>Config!$B$7</f>
        <v>SCH/Connector.SchLib</v>
      </c>
      <c r="G438" t="s">
        <v>14827</v>
      </c>
      <c r="H438" t="s">
        <v>15104</v>
      </c>
      <c r="I438" t="s">
        <v>14854</v>
      </c>
      <c r="K438" s="47" t="s">
        <v>16100</v>
      </c>
      <c r="L438" t="s">
        <v>16107</v>
      </c>
      <c r="M438" t="s">
        <v>16125</v>
      </c>
    </row>
    <row r="439" spans="1:13">
      <c r="A439" t="s">
        <v>15159</v>
      </c>
      <c r="B439" t="s">
        <v>15159</v>
      </c>
      <c r="C439" t="s">
        <v>15160</v>
      </c>
      <c r="D439" t="s">
        <v>4310</v>
      </c>
      <c r="F439" t="str">
        <f>Config!$B$7</f>
        <v>SCH/Connector.SchLib</v>
      </c>
      <c r="G439" t="s">
        <v>14827</v>
      </c>
      <c r="H439" t="s">
        <v>15104</v>
      </c>
      <c r="I439" t="s">
        <v>14855</v>
      </c>
      <c r="K439" s="47" t="s">
        <v>16100</v>
      </c>
      <c r="L439" t="s">
        <v>16100</v>
      </c>
      <c r="M439" t="s">
        <v>16125</v>
      </c>
    </row>
    <row r="440" spans="1:13">
      <c r="A440" t="s">
        <v>15161</v>
      </c>
      <c r="B440" t="s">
        <v>15161</v>
      </c>
      <c r="C440" t="s">
        <v>15162</v>
      </c>
      <c r="D440" t="s">
        <v>4310</v>
      </c>
      <c r="F440" t="str">
        <f>Config!$B$7</f>
        <v>SCH/Connector.SchLib</v>
      </c>
      <c r="G440" t="s">
        <v>14827</v>
      </c>
      <c r="H440" t="s">
        <v>15104</v>
      </c>
      <c r="I440" t="s">
        <v>14856</v>
      </c>
      <c r="K440" s="47" t="s">
        <v>16100</v>
      </c>
      <c r="L440" t="s">
        <v>16108</v>
      </c>
      <c r="M440" t="s">
        <v>16125</v>
      </c>
    </row>
    <row r="441" spans="1:13">
      <c r="A441" t="s">
        <v>15772</v>
      </c>
      <c r="B441" t="s">
        <v>15772</v>
      </c>
      <c r="C441" t="s">
        <v>15773</v>
      </c>
      <c r="D441" t="s">
        <v>4310</v>
      </c>
      <c r="F441" t="str">
        <f>Config!$B$7</f>
        <v>SCH/Connector.SchLib</v>
      </c>
      <c r="G441" t="s">
        <v>14827</v>
      </c>
      <c r="H441" t="s">
        <v>15104</v>
      </c>
      <c r="I441" t="s">
        <v>15593</v>
      </c>
      <c r="K441" s="47" t="s">
        <v>16101</v>
      </c>
      <c r="L441" t="s">
        <v>16109</v>
      </c>
      <c r="M441" t="s">
        <v>16125</v>
      </c>
    </row>
    <row r="442" spans="1:13">
      <c r="A442" t="s">
        <v>15774</v>
      </c>
      <c r="B442" t="s">
        <v>15774</v>
      </c>
      <c r="C442" t="s">
        <v>15775</v>
      </c>
      <c r="D442" t="s">
        <v>4310</v>
      </c>
      <c r="F442" t="str">
        <f>Config!$B$7</f>
        <v>SCH/Connector.SchLib</v>
      </c>
      <c r="G442" t="s">
        <v>14827</v>
      </c>
      <c r="H442" t="s">
        <v>15104</v>
      </c>
      <c r="I442" t="s">
        <v>15594</v>
      </c>
      <c r="K442" s="47" t="s">
        <v>16101</v>
      </c>
      <c r="L442" t="s">
        <v>16095</v>
      </c>
      <c r="M442" t="s">
        <v>16125</v>
      </c>
    </row>
    <row r="443" spans="1:13">
      <c r="A443" t="s">
        <v>15776</v>
      </c>
      <c r="B443" t="s">
        <v>15776</v>
      </c>
      <c r="C443" t="s">
        <v>15777</v>
      </c>
      <c r="D443" t="s">
        <v>4310</v>
      </c>
      <c r="F443" t="str">
        <f>Config!$B$7</f>
        <v>SCH/Connector.SchLib</v>
      </c>
      <c r="G443" t="s">
        <v>14827</v>
      </c>
      <c r="H443" t="s">
        <v>15104</v>
      </c>
      <c r="I443" t="s">
        <v>15595</v>
      </c>
      <c r="K443" s="47" t="s">
        <v>16101</v>
      </c>
      <c r="L443" t="s">
        <v>16096</v>
      </c>
      <c r="M443" t="s">
        <v>16125</v>
      </c>
    </row>
    <row r="444" spans="1:13">
      <c r="A444" t="s">
        <v>15778</v>
      </c>
      <c r="B444" t="s">
        <v>15778</v>
      </c>
      <c r="C444" t="s">
        <v>15779</v>
      </c>
      <c r="D444" t="s">
        <v>4310</v>
      </c>
      <c r="F444" t="str">
        <f>Config!$B$7</f>
        <v>SCH/Connector.SchLib</v>
      </c>
      <c r="G444" t="s">
        <v>14827</v>
      </c>
      <c r="H444" t="s">
        <v>15104</v>
      </c>
      <c r="I444" t="s">
        <v>15596</v>
      </c>
      <c r="K444" s="47" t="s">
        <v>16101</v>
      </c>
      <c r="L444" t="s">
        <v>16098</v>
      </c>
      <c r="M444" t="s">
        <v>16125</v>
      </c>
    </row>
    <row r="445" spans="1:13">
      <c r="A445" t="s">
        <v>15780</v>
      </c>
      <c r="B445" t="s">
        <v>15780</v>
      </c>
      <c r="C445" t="s">
        <v>15781</v>
      </c>
      <c r="D445" t="s">
        <v>4310</v>
      </c>
      <c r="F445" t="str">
        <f>Config!$B$7</f>
        <v>SCH/Connector.SchLib</v>
      </c>
      <c r="G445" t="s">
        <v>14827</v>
      </c>
      <c r="H445" t="s">
        <v>15104</v>
      </c>
      <c r="I445" t="s">
        <v>15597</v>
      </c>
      <c r="K445" s="47" t="s">
        <v>16101</v>
      </c>
      <c r="L445" t="s">
        <v>16101</v>
      </c>
      <c r="M445" t="s">
        <v>16125</v>
      </c>
    </row>
    <row r="446" spans="1:13">
      <c r="A446" t="s">
        <v>15782</v>
      </c>
      <c r="B446" t="s">
        <v>15782</v>
      </c>
      <c r="C446" t="s">
        <v>15783</v>
      </c>
      <c r="D446" t="s">
        <v>4310</v>
      </c>
      <c r="F446" t="str">
        <f>Config!$B$7</f>
        <v>SCH/Connector.SchLib</v>
      </c>
      <c r="G446" t="s">
        <v>14827</v>
      </c>
      <c r="H446" t="s">
        <v>15104</v>
      </c>
      <c r="I446" t="s">
        <v>15598</v>
      </c>
      <c r="K446" s="47" t="s">
        <v>16101</v>
      </c>
      <c r="L446" t="s">
        <v>16110</v>
      </c>
      <c r="M446" t="s">
        <v>16125</v>
      </c>
    </row>
    <row r="447" spans="1:13">
      <c r="A447" t="s">
        <v>15784</v>
      </c>
      <c r="B447" t="s">
        <v>15784</v>
      </c>
      <c r="C447" t="s">
        <v>15785</v>
      </c>
      <c r="D447" t="s">
        <v>4310</v>
      </c>
      <c r="F447" t="str">
        <f>Config!$B$7</f>
        <v>SCH/Connector.SchLib</v>
      </c>
      <c r="G447" t="s">
        <v>14827</v>
      </c>
      <c r="H447" t="s">
        <v>15104</v>
      </c>
      <c r="I447" t="s">
        <v>15599</v>
      </c>
      <c r="K447" s="47" t="s">
        <v>16102</v>
      </c>
      <c r="L447" t="s">
        <v>16094</v>
      </c>
      <c r="M447" t="s">
        <v>16125</v>
      </c>
    </row>
    <row r="448" spans="1:13">
      <c r="A448" t="s">
        <v>15786</v>
      </c>
      <c r="B448" t="s">
        <v>15786</v>
      </c>
      <c r="C448" t="s">
        <v>15787</v>
      </c>
      <c r="D448" t="s">
        <v>4310</v>
      </c>
      <c r="F448" t="str">
        <f>Config!$B$7</f>
        <v>SCH/Connector.SchLib</v>
      </c>
      <c r="G448" t="s">
        <v>14827</v>
      </c>
      <c r="H448" t="s">
        <v>15104</v>
      </c>
      <c r="I448" t="s">
        <v>15600</v>
      </c>
      <c r="K448" s="47" t="s">
        <v>16102</v>
      </c>
      <c r="L448" t="s">
        <v>16111</v>
      </c>
      <c r="M448" t="s">
        <v>16125</v>
      </c>
    </row>
    <row r="449" spans="1:13">
      <c r="A449" t="s">
        <v>15788</v>
      </c>
      <c r="B449" t="s">
        <v>15788</v>
      </c>
      <c r="C449" t="s">
        <v>15789</v>
      </c>
      <c r="D449" t="s">
        <v>4310</v>
      </c>
      <c r="F449" t="str">
        <f>Config!$B$7</f>
        <v>SCH/Connector.SchLib</v>
      </c>
      <c r="G449" t="s">
        <v>14827</v>
      </c>
      <c r="H449" t="s">
        <v>15104</v>
      </c>
      <c r="I449" t="s">
        <v>15601</v>
      </c>
      <c r="K449" s="47" t="s">
        <v>16102</v>
      </c>
      <c r="L449" t="s">
        <v>16095</v>
      </c>
      <c r="M449" t="s">
        <v>16125</v>
      </c>
    </row>
    <row r="450" spans="1:13">
      <c r="A450" t="s">
        <v>15790</v>
      </c>
      <c r="B450" t="s">
        <v>15790</v>
      </c>
      <c r="C450" t="s">
        <v>15791</v>
      </c>
      <c r="D450" t="s">
        <v>4310</v>
      </c>
      <c r="F450" t="str">
        <f>Config!$B$7</f>
        <v>SCH/Connector.SchLib</v>
      </c>
      <c r="G450" t="s">
        <v>14827</v>
      </c>
      <c r="H450" t="s">
        <v>15104</v>
      </c>
      <c r="I450" t="s">
        <v>15602</v>
      </c>
      <c r="K450" s="47" t="s">
        <v>16102</v>
      </c>
      <c r="L450" t="s">
        <v>16097</v>
      </c>
      <c r="M450" t="s">
        <v>16125</v>
      </c>
    </row>
    <row r="451" spans="1:13">
      <c r="A451" t="s">
        <v>15792</v>
      </c>
      <c r="B451" t="s">
        <v>15792</v>
      </c>
      <c r="C451" t="s">
        <v>15793</v>
      </c>
      <c r="D451" t="s">
        <v>4310</v>
      </c>
      <c r="F451" t="str">
        <f>Config!$B$7</f>
        <v>SCH/Connector.SchLib</v>
      </c>
      <c r="G451" t="s">
        <v>14827</v>
      </c>
      <c r="H451" t="s">
        <v>15104</v>
      </c>
      <c r="I451" t="s">
        <v>15603</v>
      </c>
      <c r="K451" s="47" t="s">
        <v>16102</v>
      </c>
      <c r="L451" t="s">
        <v>16099</v>
      </c>
      <c r="M451" t="s">
        <v>16125</v>
      </c>
    </row>
    <row r="452" spans="1:13">
      <c r="A452" t="s">
        <v>15794</v>
      </c>
      <c r="B452" t="s">
        <v>15794</v>
      </c>
      <c r="C452" t="s">
        <v>15795</v>
      </c>
      <c r="D452" t="s">
        <v>4310</v>
      </c>
      <c r="F452" t="str">
        <f>Config!$B$7</f>
        <v>SCH/Connector.SchLib</v>
      </c>
      <c r="G452" t="s">
        <v>14827</v>
      </c>
      <c r="H452" t="s">
        <v>15104</v>
      </c>
      <c r="I452" t="s">
        <v>15604</v>
      </c>
      <c r="K452" s="47" t="s">
        <v>16102</v>
      </c>
      <c r="L452" t="s">
        <v>16102</v>
      </c>
      <c r="M452" t="s">
        <v>16125</v>
      </c>
    </row>
    <row r="453" spans="1:13">
      <c r="A453" t="s">
        <v>15796</v>
      </c>
      <c r="B453" t="s">
        <v>15796</v>
      </c>
      <c r="C453" t="s">
        <v>15797</v>
      </c>
      <c r="D453" t="s">
        <v>4310</v>
      </c>
      <c r="F453" t="str">
        <f>Config!$B$7</f>
        <v>SCH/Connector.SchLib</v>
      </c>
      <c r="G453" t="s">
        <v>14827</v>
      </c>
      <c r="H453" t="s">
        <v>15104</v>
      </c>
      <c r="I453" t="s">
        <v>15605</v>
      </c>
      <c r="K453" s="47" t="s">
        <v>16102</v>
      </c>
      <c r="L453" t="s">
        <v>16112</v>
      </c>
      <c r="M453" t="s">
        <v>16125</v>
      </c>
    </row>
    <row r="454" spans="1:13">
      <c r="A454" t="s">
        <v>15798</v>
      </c>
      <c r="B454" t="s">
        <v>15798</v>
      </c>
      <c r="C454" t="s">
        <v>15799</v>
      </c>
      <c r="D454" t="s">
        <v>4310</v>
      </c>
      <c r="F454" t="str">
        <f>Config!$B$7</f>
        <v>SCH/Connector.SchLib</v>
      </c>
      <c r="G454" t="s">
        <v>14827</v>
      </c>
      <c r="H454" t="s">
        <v>15104</v>
      </c>
      <c r="I454" t="s">
        <v>15606</v>
      </c>
      <c r="K454" s="47" t="s">
        <v>16103</v>
      </c>
      <c r="L454" t="s">
        <v>16094</v>
      </c>
      <c r="M454" t="s">
        <v>16125</v>
      </c>
    </row>
    <row r="455" spans="1:13">
      <c r="A455" t="s">
        <v>15800</v>
      </c>
      <c r="B455" t="s">
        <v>15800</v>
      </c>
      <c r="C455" t="s">
        <v>15801</v>
      </c>
      <c r="D455" t="s">
        <v>4310</v>
      </c>
      <c r="F455" t="str">
        <f>Config!$B$7</f>
        <v>SCH/Connector.SchLib</v>
      </c>
      <c r="G455" t="s">
        <v>14827</v>
      </c>
      <c r="H455" t="s">
        <v>15104</v>
      </c>
      <c r="I455" t="s">
        <v>15607</v>
      </c>
      <c r="K455" s="47" t="s">
        <v>16103</v>
      </c>
      <c r="L455" t="s">
        <v>16095</v>
      </c>
      <c r="M455" t="s">
        <v>16125</v>
      </c>
    </row>
    <row r="456" spans="1:13">
      <c r="A456" t="s">
        <v>15802</v>
      </c>
      <c r="B456" t="s">
        <v>15802</v>
      </c>
      <c r="C456" t="s">
        <v>15803</v>
      </c>
      <c r="D456" t="s">
        <v>4310</v>
      </c>
      <c r="F456" t="str">
        <f>Config!$B$7</f>
        <v>SCH/Connector.SchLib</v>
      </c>
      <c r="G456" t="s">
        <v>14827</v>
      </c>
      <c r="H456" t="s">
        <v>15104</v>
      </c>
      <c r="I456" t="s">
        <v>15608</v>
      </c>
      <c r="K456" s="47" t="s">
        <v>16103</v>
      </c>
      <c r="L456" t="s">
        <v>16107</v>
      </c>
      <c r="M456" t="s">
        <v>16125</v>
      </c>
    </row>
    <row r="457" spans="1:13">
      <c r="A457" t="s">
        <v>15804</v>
      </c>
      <c r="B457" t="s">
        <v>15804</v>
      </c>
      <c r="C457" t="s">
        <v>15805</v>
      </c>
      <c r="D457" t="s">
        <v>4310</v>
      </c>
      <c r="F457" t="str">
        <f>Config!$B$7</f>
        <v>SCH/Connector.SchLib</v>
      </c>
      <c r="G457" t="s">
        <v>14827</v>
      </c>
      <c r="H457" t="s">
        <v>15104</v>
      </c>
      <c r="I457" t="s">
        <v>15609</v>
      </c>
      <c r="K457" s="47" t="s">
        <v>16103</v>
      </c>
      <c r="L457" t="s">
        <v>16100</v>
      </c>
      <c r="M457" t="s">
        <v>16125</v>
      </c>
    </row>
    <row r="458" spans="1:13">
      <c r="A458" t="s">
        <v>15806</v>
      </c>
      <c r="B458" t="s">
        <v>15806</v>
      </c>
      <c r="C458" t="s">
        <v>15807</v>
      </c>
      <c r="D458" t="s">
        <v>4310</v>
      </c>
      <c r="F458" t="str">
        <f>Config!$B$7</f>
        <v>SCH/Connector.SchLib</v>
      </c>
      <c r="G458" t="s">
        <v>14827</v>
      </c>
      <c r="H458" t="s">
        <v>15104</v>
      </c>
      <c r="I458" t="s">
        <v>15610</v>
      </c>
      <c r="K458" s="47" t="s">
        <v>16103</v>
      </c>
      <c r="L458" t="s">
        <v>16108</v>
      </c>
      <c r="M458" t="s">
        <v>16125</v>
      </c>
    </row>
    <row r="459" spans="1:13">
      <c r="A459" t="s">
        <v>15808</v>
      </c>
      <c r="B459" t="s">
        <v>15808</v>
      </c>
      <c r="C459" t="s">
        <v>15809</v>
      </c>
      <c r="D459" t="s">
        <v>4310</v>
      </c>
      <c r="F459" t="str">
        <f>Config!$B$7</f>
        <v>SCH/Connector.SchLib</v>
      </c>
      <c r="G459" t="s">
        <v>14827</v>
      </c>
      <c r="H459" t="s">
        <v>15104</v>
      </c>
      <c r="I459" t="s">
        <v>15611</v>
      </c>
      <c r="K459" s="47" t="s">
        <v>16103</v>
      </c>
      <c r="L459" t="s">
        <v>16113</v>
      </c>
      <c r="M459" t="s">
        <v>16125</v>
      </c>
    </row>
    <row r="461" spans="1:13">
      <c r="A461" t="s">
        <v>14889</v>
      </c>
      <c r="B461" t="s">
        <v>14889</v>
      </c>
      <c r="C461" t="s">
        <v>14949</v>
      </c>
      <c r="D461" t="s">
        <v>4310</v>
      </c>
      <c r="F461" t="str">
        <f>Config!$B$7</f>
        <v>SCH/Connector.SchLib</v>
      </c>
      <c r="G461" t="s">
        <v>14827</v>
      </c>
      <c r="H461" t="s">
        <v>14979</v>
      </c>
      <c r="I461" t="s">
        <v>14857</v>
      </c>
      <c r="K461" s="47" t="s">
        <v>16093</v>
      </c>
      <c r="L461" t="s">
        <v>16093</v>
      </c>
      <c r="M461" t="s">
        <v>16117</v>
      </c>
    </row>
    <row r="462" spans="1:13">
      <c r="A462" t="s">
        <v>14890</v>
      </c>
      <c r="B462" t="s">
        <v>14890</v>
      </c>
      <c r="C462" t="s">
        <v>14950</v>
      </c>
      <c r="D462" t="s">
        <v>4310</v>
      </c>
      <c r="F462" t="str">
        <f>Config!$B$7</f>
        <v>SCH/Connector.SchLib</v>
      </c>
      <c r="G462" t="s">
        <v>14827</v>
      </c>
      <c r="H462" t="s">
        <v>14979</v>
      </c>
      <c r="I462" t="s">
        <v>14858</v>
      </c>
      <c r="K462" s="47" t="s">
        <v>16093</v>
      </c>
      <c r="L462" t="s">
        <v>16094</v>
      </c>
      <c r="M462" t="s">
        <v>16117</v>
      </c>
    </row>
    <row r="463" spans="1:13">
      <c r="A463" t="s">
        <v>14891</v>
      </c>
      <c r="B463" t="s">
        <v>14891</v>
      </c>
      <c r="C463" t="s">
        <v>14951</v>
      </c>
      <c r="D463" t="s">
        <v>4310</v>
      </c>
      <c r="F463" t="str">
        <f>Config!$B$7</f>
        <v>SCH/Connector.SchLib</v>
      </c>
      <c r="G463" t="s">
        <v>14827</v>
      </c>
      <c r="H463" t="s">
        <v>14979</v>
      </c>
      <c r="I463" t="s">
        <v>14829</v>
      </c>
      <c r="K463" s="47" t="s">
        <v>16094</v>
      </c>
      <c r="L463" t="s">
        <v>16093</v>
      </c>
      <c r="M463" t="s">
        <v>16117</v>
      </c>
    </row>
    <row r="464" spans="1:13">
      <c r="A464" t="s">
        <v>14892</v>
      </c>
      <c r="B464" t="s">
        <v>14892</v>
      </c>
      <c r="C464" t="s">
        <v>14952</v>
      </c>
      <c r="D464" t="s">
        <v>4310</v>
      </c>
      <c r="F464" t="str">
        <f>Config!$B$7</f>
        <v>SCH/Connector.SchLib</v>
      </c>
      <c r="G464" t="s">
        <v>14827</v>
      </c>
      <c r="H464" t="s">
        <v>14979</v>
      </c>
      <c r="I464" t="s">
        <v>14830</v>
      </c>
      <c r="K464" s="47" t="s">
        <v>16094</v>
      </c>
      <c r="L464" t="s">
        <v>16094</v>
      </c>
      <c r="M464" t="s">
        <v>16117</v>
      </c>
    </row>
    <row r="465" spans="1:13">
      <c r="A465" t="s">
        <v>14893</v>
      </c>
      <c r="B465" t="s">
        <v>14893</v>
      </c>
      <c r="C465" t="s">
        <v>14953</v>
      </c>
      <c r="D465" t="s">
        <v>4310</v>
      </c>
      <c r="F465" t="str">
        <f>Config!$B$7</f>
        <v>SCH/Connector.SchLib</v>
      </c>
      <c r="G465" t="s">
        <v>14827</v>
      </c>
      <c r="H465" t="s">
        <v>14979</v>
      </c>
      <c r="I465" t="s">
        <v>14831</v>
      </c>
      <c r="K465" s="47" t="s">
        <v>16094</v>
      </c>
      <c r="L465" t="s">
        <v>16095</v>
      </c>
      <c r="M465" t="s">
        <v>16117</v>
      </c>
    </row>
    <row r="466" spans="1:13">
      <c r="A466" t="s">
        <v>14894</v>
      </c>
      <c r="B466" t="s">
        <v>14894</v>
      </c>
      <c r="C466" t="s">
        <v>14954</v>
      </c>
      <c r="D466" t="s">
        <v>4310</v>
      </c>
      <c r="F466" t="str">
        <f>Config!$B$7</f>
        <v>SCH/Connector.SchLib</v>
      </c>
      <c r="G466" t="s">
        <v>14827</v>
      </c>
      <c r="H466" t="s">
        <v>14979</v>
      </c>
      <c r="I466" t="s">
        <v>14832</v>
      </c>
      <c r="K466" s="47" t="s">
        <v>16095</v>
      </c>
      <c r="L466" t="s">
        <v>16093</v>
      </c>
      <c r="M466" t="s">
        <v>16117</v>
      </c>
    </row>
    <row r="467" spans="1:13">
      <c r="A467" t="s">
        <v>14895</v>
      </c>
      <c r="B467" t="s">
        <v>14895</v>
      </c>
      <c r="C467" t="s">
        <v>14955</v>
      </c>
      <c r="D467" t="s">
        <v>4310</v>
      </c>
      <c r="F467" t="str">
        <f>Config!$B$7</f>
        <v>SCH/Connector.SchLib</v>
      </c>
      <c r="G467" t="s">
        <v>14827</v>
      </c>
      <c r="H467" t="s">
        <v>14979</v>
      </c>
      <c r="I467" t="s">
        <v>14833</v>
      </c>
      <c r="K467" s="47" t="s">
        <v>16095</v>
      </c>
      <c r="L467" t="s">
        <v>16094</v>
      </c>
      <c r="M467" t="s">
        <v>16117</v>
      </c>
    </row>
    <row r="468" spans="1:13">
      <c r="A468" t="s">
        <v>14896</v>
      </c>
      <c r="B468" t="s">
        <v>14896</v>
      </c>
      <c r="C468" t="s">
        <v>14956</v>
      </c>
      <c r="D468" t="s">
        <v>4310</v>
      </c>
      <c r="F468" t="str">
        <f>Config!$B$7</f>
        <v>SCH/Connector.SchLib</v>
      </c>
      <c r="G468" t="s">
        <v>14827</v>
      </c>
      <c r="H468" t="s">
        <v>14979</v>
      </c>
      <c r="I468" t="s">
        <v>14834</v>
      </c>
      <c r="K468" s="47" t="s">
        <v>16095</v>
      </c>
      <c r="L468" t="s">
        <v>16095</v>
      </c>
      <c r="M468" t="s">
        <v>16117</v>
      </c>
    </row>
    <row r="469" spans="1:13">
      <c r="A469" t="s">
        <v>14897</v>
      </c>
      <c r="B469" t="s">
        <v>14897</v>
      </c>
      <c r="C469" t="s">
        <v>14957</v>
      </c>
      <c r="D469" t="s">
        <v>4310</v>
      </c>
      <c r="F469" t="str">
        <f>Config!$B$7</f>
        <v>SCH/Connector.SchLib</v>
      </c>
      <c r="G469" t="s">
        <v>14827</v>
      </c>
      <c r="H469" t="s">
        <v>14979</v>
      </c>
      <c r="I469" t="s">
        <v>14835</v>
      </c>
      <c r="K469" s="47" t="s">
        <v>16095</v>
      </c>
      <c r="L469" t="s">
        <v>16097</v>
      </c>
      <c r="M469" t="s">
        <v>16117</v>
      </c>
    </row>
    <row r="470" spans="1:13">
      <c r="A470" t="s">
        <v>14898</v>
      </c>
      <c r="B470" t="s">
        <v>14898</v>
      </c>
      <c r="C470" t="s">
        <v>14958</v>
      </c>
      <c r="D470" t="s">
        <v>4310</v>
      </c>
      <c r="F470" t="str">
        <f>Config!$B$7</f>
        <v>SCH/Connector.SchLib</v>
      </c>
      <c r="G470" t="s">
        <v>14827</v>
      </c>
      <c r="H470" t="s">
        <v>14979</v>
      </c>
      <c r="I470" t="s">
        <v>14836</v>
      </c>
      <c r="K470" s="47" t="s">
        <v>16096</v>
      </c>
      <c r="L470" t="s">
        <v>16104</v>
      </c>
      <c r="M470" t="s">
        <v>16117</v>
      </c>
    </row>
    <row r="471" spans="1:13">
      <c r="A471" t="s">
        <v>14899</v>
      </c>
      <c r="B471" t="s">
        <v>14899</v>
      </c>
      <c r="C471" t="s">
        <v>14959</v>
      </c>
      <c r="D471" t="s">
        <v>4310</v>
      </c>
      <c r="F471" t="str">
        <f>Config!$B$7</f>
        <v>SCH/Connector.SchLib</v>
      </c>
      <c r="G471" t="s">
        <v>14827</v>
      </c>
      <c r="H471" t="s">
        <v>14979</v>
      </c>
      <c r="I471" t="s">
        <v>14837</v>
      </c>
      <c r="K471" s="47" t="s">
        <v>16096</v>
      </c>
      <c r="L471" t="s">
        <v>16096</v>
      </c>
      <c r="M471" t="s">
        <v>16117</v>
      </c>
    </row>
    <row r="472" spans="1:13">
      <c r="A472" t="s">
        <v>14900</v>
      </c>
      <c r="B472" t="s">
        <v>14900</v>
      </c>
      <c r="C472" t="s">
        <v>14960</v>
      </c>
      <c r="D472" t="s">
        <v>4310</v>
      </c>
      <c r="F472" t="str">
        <f>Config!$B$7</f>
        <v>SCH/Connector.SchLib</v>
      </c>
      <c r="G472" t="s">
        <v>14827</v>
      </c>
      <c r="H472" t="s">
        <v>14979</v>
      </c>
      <c r="I472" t="s">
        <v>14838</v>
      </c>
      <c r="K472" s="47" t="s">
        <v>16096</v>
      </c>
      <c r="L472" t="s">
        <v>16098</v>
      </c>
      <c r="M472" t="s">
        <v>16117</v>
      </c>
    </row>
    <row r="473" spans="1:13">
      <c r="A473" t="s">
        <v>14901</v>
      </c>
      <c r="B473" t="s">
        <v>14901</v>
      </c>
      <c r="C473" t="s">
        <v>14961</v>
      </c>
      <c r="D473" t="s">
        <v>4310</v>
      </c>
      <c r="F473" t="str">
        <f>Config!$B$7</f>
        <v>SCH/Connector.SchLib</v>
      </c>
      <c r="G473" t="s">
        <v>14827</v>
      </c>
      <c r="H473" t="s">
        <v>14979</v>
      </c>
      <c r="I473" t="s">
        <v>14839</v>
      </c>
      <c r="K473" s="47" t="s">
        <v>16097</v>
      </c>
      <c r="L473" t="s">
        <v>16094</v>
      </c>
      <c r="M473" t="s">
        <v>16117</v>
      </c>
    </row>
    <row r="474" spans="1:13">
      <c r="A474" t="s">
        <v>14902</v>
      </c>
      <c r="B474" t="s">
        <v>14902</v>
      </c>
      <c r="C474" t="s">
        <v>14962</v>
      </c>
      <c r="D474" t="s">
        <v>4310</v>
      </c>
      <c r="F474" t="str">
        <f>Config!$B$7</f>
        <v>SCH/Connector.SchLib</v>
      </c>
      <c r="G474" t="s">
        <v>14827</v>
      </c>
      <c r="H474" t="s">
        <v>14979</v>
      </c>
      <c r="I474" t="s">
        <v>14840</v>
      </c>
      <c r="K474" s="47" t="s">
        <v>16097</v>
      </c>
      <c r="L474" t="s">
        <v>16095</v>
      </c>
      <c r="M474" t="s">
        <v>16117</v>
      </c>
    </row>
    <row r="475" spans="1:13">
      <c r="A475" t="s">
        <v>14903</v>
      </c>
      <c r="B475" t="s">
        <v>14903</v>
      </c>
      <c r="C475" t="s">
        <v>14963</v>
      </c>
      <c r="D475" t="s">
        <v>4310</v>
      </c>
      <c r="F475" t="str">
        <f>Config!$B$7</f>
        <v>SCH/Connector.SchLib</v>
      </c>
      <c r="G475" t="s">
        <v>14827</v>
      </c>
      <c r="H475" t="s">
        <v>14979</v>
      </c>
      <c r="I475" t="s">
        <v>14841</v>
      </c>
      <c r="K475" s="47" t="s">
        <v>16097</v>
      </c>
      <c r="L475" t="s">
        <v>16097</v>
      </c>
      <c r="M475" t="s">
        <v>16117</v>
      </c>
    </row>
    <row r="476" spans="1:13">
      <c r="A476" t="s">
        <v>14904</v>
      </c>
      <c r="B476" t="s">
        <v>14904</v>
      </c>
      <c r="C476" t="s">
        <v>14964</v>
      </c>
      <c r="D476" t="s">
        <v>4310</v>
      </c>
      <c r="F476" t="str">
        <f>Config!$B$7</f>
        <v>SCH/Connector.SchLib</v>
      </c>
      <c r="G476" t="s">
        <v>14827</v>
      </c>
      <c r="H476" t="s">
        <v>14979</v>
      </c>
      <c r="I476" t="s">
        <v>14842</v>
      </c>
      <c r="K476" s="47" t="s">
        <v>16097</v>
      </c>
      <c r="L476" t="s">
        <v>16099</v>
      </c>
      <c r="M476" t="s">
        <v>16117</v>
      </c>
    </row>
    <row r="477" spans="1:13">
      <c r="A477" t="s">
        <v>14905</v>
      </c>
      <c r="B477" t="s">
        <v>14905</v>
      </c>
      <c r="C477" t="s">
        <v>14965</v>
      </c>
      <c r="D477" t="s">
        <v>4310</v>
      </c>
      <c r="F477" t="str">
        <f>Config!$B$7</f>
        <v>SCH/Connector.SchLib</v>
      </c>
      <c r="G477" t="s">
        <v>14827</v>
      </c>
      <c r="H477" t="s">
        <v>14979</v>
      </c>
      <c r="I477" t="s">
        <v>14843</v>
      </c>
      <c r="K477" s="47" t="s">
        <v>16098</v>
      </c>
      <c r="L477" t="s">
        <v>16104</v>
      </c>
      <c r="M477" t="s">
        <v>16117</v>
      </c>
    </row>
    <row r="478" spans="1:13">
      <c r="A478" t="s">
        <v>14906</v>
      </c>
      <c r="B478" t="s">
        <v>14906</v>
      </c>
      <c r="C478" t="s">
        <v>14966</v>
      </c>
      <c r="D478" t="s">
        <v>4310</v>
      </c>
      <c r="F478" t="str">
        <f>Config!$B$7</f>
        <v>SCH/Connector.SchLib</v>
      </c>
      <c r="G478" t="s">
        <v>14827</v>
      </c>
      <c r="H478" t="s">
        <v>14979</v>
      </c>
      <c r="I478" t="s">
        <v>14844</v>
      </c>
      <c r="K478" s="47" t="s">
        <v>16098</v>
      </c>
      <c r="L478" t="s">
        <v>16096</v>
      </c>
      <c r="M478" t="s">
        <v>16117</v>
      </c>
    </row>
    <row r="479" spans="1:13">
      <c r="A479" t="s">
        <v>14907</v>
      </c>
      <c r="B479" t="s">
        <v>14907</v>
      </c>
      <c r="C479" t="s">
        <v>14967</v>
      </c>
      <c r="D479" t="s">
        <v>4310</v>
      </c>
      <c r="F479" t="str">
        <f>Config!$B$7</f>
        <v>SCH/Connector.SchLib</v>
      </c>
      <c r="G479" t="s">
        <v>14827</v>
      </c>
      <c r="H479" t="s">
        <v>14979</v>
      </c>
      <c r="I479" t="s">
        <v>14845</v>
      </c>
      <c r="K479" s="47" t="s">
        <v>16098</v>
      </c>
      <c r="L479" t="s">
        <v>16098</v>
      </c>
      <c r="M479" t="s">
        <v>16117</v>
      </c>
    </row>
    <row r="480" spans="1:13">
      <c r="A480" t="s">
        <v>14908</v>
      </c>
      <c r="B480" t="s">
        <v>14908</v>
      </c>
      <c r="C480" t="s">
        <v>14968</v>
      </c>
      <c r="D480" t="s">
        <v>4310</v>
      </c>
      <c r="F480" t="str">
        <f>Config!$B$7</f>
        <v>SCH/Connector.SchLib</v>
      </c>
      <c r="G480" t="s">
        <v>14827</v>
      </c>
      <c r="H480" t="s">
        <v>14979</v>
      </c>
      <c r="I480" t="s">
        <v>14846</v>
      </c>
      <c r="K480" s="47" t="s">
        <v>16098</v>
      </c>
      <c r="L480" t="s">
        <v>16101</v>
      </c>
      <c r="M480" t="s">
        <v>16117</v>
      </c>
    </row>
    <row r="481" spans="1:13">
      <c r="A481" t="s">
        <v>14909</v>
      </c>
      <c r="B481" t="s">
        <v>14909</v>
      </c>
      <c r="C481" t="s">
        <v>14969</v>
      </c>
      <c r="D481" t="s">
        <v>4310</v>
      </c>
      <c r="F481" t="str">
        <f>Config!$B$7</f>
        <v>SCH/Connector.SchLib</v>
      </c>
      <c r="G481" t="s">
        <v>14827</v>
      </c>
      <c r="H481" t="s">
        <v>14979</v>
      </c>
      <c r="I481" t="s">
        <v>14847</v>
      </c>
      <c r="K481" s="47" t="s">
        <v>16099</v>
      </c>
      <c r="L481" t="s">
        <v>16105</v>
      </c>
      <c r="M481" t="s">
        <v>16117</v>
      </c>
    </row>
    <row r="482" spans="1:13">
      <c r="A482" t="s">
        <v>14910</v>
      </c>
      <c r="B482" t="s">
        <v>14910</v>
      </c>
      <c r="C482" t="s">
        <v>14970</v>
      </c>
      <c r="D482" t="s">
        <v>4310</v>
      </c>
      <c r="F482" t="str">
        <f>Config!$B$7</f>
        <v>SCH/Connector.SchLib</v>
      </c>
      <c r="G482" t="s">
        <v>14827</v>
      </c>
      <c r="H482" t="s">
        <v>14979</v>
      </c>
      <c r="I482" t="s">
        <v>14848</v>
      </c>
      <c r="K482" s="47" t="s">
        <v>16099</v>
      </c>
      <c r="L482" t="s">
        <v>16095</v>
      </c>
      <c r="M482" t="s">
        <v>16117</v>
      </c>
    </row>
    <row r="483" spans="1:13">
      <c r="A483" t="s">
        <v>14911</v>
      </c>
      <c r="B483" t="s">
        <v>14911</v>
      </c>
      <c r="C483" t="s">
        <v>14971</v>
      </c>
      <c r="D483" t="s">
        <v>4310</v>
      </c>
      <c r="F483" t="str">
        <f>Config!$B$7</f>
        <v>SCH/Connector.SchLib</v>
      </c>
      <c r="G483" t="s">
        <v>14827</v>
      </c>
      <c r="H483" t="s">
        <v>14979</v>
      </c>
      <c r="I483" t="s">
        <v>14849</v>
      </c>
      <c r="K483" s="47" t="s">
        <v>16099</v>
      </c>
      <c r="L483" t="s">
        <v>16097</v>
      </c>
      <c r="M483" t="s">
        <v>16117</v>
      </c>
    </row>
    <row r="484" spans="1:13">
      <c r="A484" t="s">
        <v>14912</v>
      </c>
      <c r="B484" t="s">
        <v>14912</v>
      </c>
      <c r="C484" t="s">
        <v>14972</v>
      </c>
      <c r="D484" t="s">
        <v>4310</v>
      </c>
      <c r="F484" t="str">
        <f>Config!$B$7</f>
        <v>SCH/Connector.SchLib</v>
      </c>
      <c r="G484" t="s">
        <v>14827</v>
      </c>
      <c r="H484" t="s">
        <v>14979</v>
      </c>
      <c r="I484" t="s">
        <v>14850</v>
      </c>
      <c r="K484" s="47" t="s">
        <v>16099</v>
      </c>
      <c r="L484" t="s">
        <v>16099</v>
      </c>
      <c r="M484" t="s">
        <v>16117</v>
      </c>
    </row>
    <row r="485" spans="1:13">
      <c r="A485" t="s">
        <v>14913</v>
      </c>
      <c r="B485" t="s">
        <v>14913</v>
      </c>
      <c r="C485" t="s">
        <v>14973</v>
      </c>
      <c r="D485" t="s">
        <v>4310</v>
      </c>
      <c r="F485" t="str">
        <f>Config!$B$7</f>
        <v>SCH/Connector.SchLib</v>
      </c>
      <c r="G485" t="s">
        <v>14827</v>
      </c>
      <c r="H485" t="s">
        <v>14979</v>
      </c>
      <c r="I485" t="s">
        <v>14851</v>
      </c>
      <c r="K485" s="47" t="s">
        <v>16099</v>
      </c>
      <c r="L485" t="s">
        <v>16102</v>
      </c>
      <c r="M485" t="s">
        <v>16117</v>
      </c>
    </row>
    <row r="486" spans="1:13">
      <c r="A486" t="s">
        <v>14914</v>
      </c>
      <c r="B486" t="s">
        <v>14914</v>
      </c>
      <c r="C486" t="s">
        <v>14974</v>
      </c>
      <c r="D486" t="s">
        <v>4310</v>
      </c>
      <c r="F486" t="str">
        <f>Config!$B$7</f>
        <v>SCH/Connector.SchLib</v>
      </c>
      <c r="G486" t="s">
        <v>14827</v>
      </c>
      <c r="H486" t="s">
        <v>14979</v>
      </c>
      <c r="I486" t="s">
        <v>14852</v>
      </c>
      <c r="K486" s="47" t="s">
        <v>16100</v>
      </c>
      <c r="L486" t="s">
        <v>16094</v>
      </c>
      <c r="M486" t="s">
        <v>16117</v>
      </c>
    </row>
    <row r="487" spans="1:13">
      <c r="A487" t="s">
        <v>15650</v>
      </c>
      <c r="B487" t="s">
        <v>15650</v>
      </c>
      <c r="C487" t="s">
        <v>15670</v>
      </c>
      <c r="D487" t="s">
        <v>4310</v>
      </c>
      <c r="F487" t="str">
        <f>Config!$B$7</f>
        <v>SCH/Connector.SchLib</v>
      </c>
      <c r="G487" t="s">
        <v>14827</v>
      </c>
      <c r="H487" t="s">
        <v>14979</v>
      </c>
      <c r="I487" t="s">
        <v>15590</v>
      </c>
      <c r="K487" s="47" t="s">
        <v>16100</v>
      </c>
      <c r="L487" t="s">
        <v>16095</v>
      </c>
      <c r="M487" t="s">
        <v>16117</v>
      </c>
    </row>
    <row r="488" spans="1:13">
      <c r="A488" t="s">
        <v>14915</v>
      </c>
      <c r="B488" t="s">
        <v>14915</v>
      </c>
      <c r="C488" t="s">
        <v>14975</v>
      </c>
      <c r="D488" t="s">
        <v>4310</v>
      </c>
      <c r="F488" t="str">
        <f>Config!$B$7</f>
        <v>SCH/Connector.SchLib</v>
      </c>
      <c r="G488" t="s">
        <v>14827</v>
      </c>
      <c r="H488" t="s">
        <v>14979</v>
      </c>
      <c r="I488" t="s">
        <v>14853</v>
      </c>
      <c r="K488" s="47" t="s">
        <v>16100</v>
      </c>
      <c r="L488" t="s">
        <v>16106</v>
      </c>
      <c r="M488" t="s">
        <v>16117</v>
      </c>
    </row>
    <row r="489" spans="1:13">
      <c r="A489" t="s">
        <v>14916</v>
      </c>
      <c r="B489" t="s">
        <v>14916</v>
      </c>
      <c r="C489" t="s">
        <v>14976</v>
      </c>
      <c r="D489" t="s">
        <v>4310</v>
      </c>
      <c r="F489" t="str">
        <f>Config!$B$7</f>
        <v>SCH/Connector.SchLib</v>
      </c>
      <c r="G489" t="s">
        <v>14827</v>
      </c>
      <c r="H489" t="s">
        <v>14979</v>
      </c>
      <c r="I489" t="s">
        <v>14854</v>
      </c>
      <c r="K489" s="47" t="s">
        <v>16100</v>
      </c>
      <c r="L489" t="s">
        <v>16107</v>
      </c>
      <c r="M489" t="s">
        <v>16117</v>
      </c>
    </row>
    <row r="490" spans="1:13">
      <c r="A490" t="s">
        <v>14917</v>
      </c>
      <c r="B490" t="s">
        <v>14917</v>
      </c>
      <c r="C490" t="s">
        <v>14977</v>
      </c>
      <c r="D490" t="s">
        <v>4310</v>
      </c>
      <c r="F490" t="str">
        <f>Config!$B$7</f>
        <v>SCH/Connector.SchLib</v>
      </c>
      <c r="G490" t="s">
        <v>14827</v>
      </c>
      <c r="H490" t="s">
        <v>14979</v>
      </c>
      <c r="I490" t="s">
        <v>14855</v>
      </c>
      <c r="K490" s="47" t="s">
        <v>16100</v>
      </c>
      <c r="L490" t="s">
        <v>16100</v>
      </c>
      <c r="M490" t="s">
        <v>16117</v>
      </c>
    </row>
    <row r="491" spans="1:13">
      <c r="A491" t="s">
        <v>14918</v>
      </c>
      <c r="B491" t="s">
        <v>14918</v>
      </c>
      <c r="C491" t="s">
        <v>14978</v>
      </c>
      <c r="D491" t="s">
        <v>4310</v>
      </c>
      <c r="F491" t="str">
        <f>Config!$B$7</f>
        <v>SCH/Connector.SchLib</v>
      </c>
      <c r="G491" t="s">
        <v>14827</v>
      </c>
      <c r="H491" t="s">
        <v>14979</v>
      </c>
      <c r="I491" t="s">
        <v>14856</v>
      </c>
      <c r="K491" s="47" t="s">
        <v>16100</v>
      </c>
      <c r="L491" t="s">
        <v>16108</v>
      </c>
      <c r="M491" t="s">
        <v>16117</v>
      </c>
    </row>
    <row r="492" spans="1:13">
      <c r="A492" t="s">
        <v>15651</v>
      </c>
      <c r="B492" t="s">
        <v>15651</v>
      </c>
      <c r="C492" t="s">
        <v>15671</v>
      </c>
      <c r="D492" t="s">
        <v>4310</v>
      </c>
      <c r="F492" t="str">
        <f>Config!$B$7</f>
        <v>SCH/Connector.SchLib</v>
      </c>
      <c r="G492" t="s">
        <v>14827</v>
      </c>
      <c r="H492" t="s">
        <v>14979</v>
      </c>
      <c r="I492" t="s">
        <v>15593</v>
      </c>
      <c r="K492" s="47" t="s">
        <v>16101</v>
      </c>
      <c r="L492" t="s">
        <v>16109</v>
      </c>
      <c r="M492" t="s">
        <v>16117</v>
      </c>
    </row>
    <row r="493" spans="1:13">
      <c r="A493" t="s">
        <v>15652</v>
      </c>
      <c r="B493" t="s">
        <v>15652</v>
      </c>
      <c r="C493" t="s">
        <v>15672</v>
      </c>
      <c r="D493" t="s">
        <v>4310</v>
      </c>
      <c r="F493" t="str">
        <f>Config!$B$7</f>
        <v>SCH/Connector.SchLib</v>
      </c>
      <c r="G493" t="s">
        <v>14827</v>
      </c>
      <c r="H493" t="s">
        <v>14979</v>
      </c>
      <c r="I493" t="s">
        <v>15594</v>
      </c>
      <c r="K493" s="47" t="s">
        <v>16101</v>
      </c>
      <c r="L493" t="s">
        <v>16095</v>
      </c>
      <c r="M493" t="s">
        <v>16117</v>
      </c>
    </row>
    <row r="494" spans="1:13">
      <c r="A494" t="s">
        <v>15653</v>
      </c>
      <c r="B494" t="s">
        <v>15653</v>
      </c>
      <c r="C494" t="s">
        <v>15673</v>
      </c>
      <c r="D494" t="s">
        <v>4310</v>
      </c>
      <c r="F494" t="str">
        <f>Config!$B$7</f>
        <v>SCH/Connector.SchLib</v>
      </c>
      <c r="G494" t="s">
        <v>14827</v>
      </c>
      <c r="H494" t="s">
        <v>14979</v>
      </c>
      <c r="I494" t="s">
        <v>15595</v>
      </c>
      <c r="K494" s="47" t="s">
        <v>16101</v>
      </c>
      <c r="L494" t="s">
        <v>16096</v>
      </c>
      <c r="M494" t="s">
        <v>16117</v>
      </c>
    </row>
    <row r="495" spans="1:13">
      <c r="A495" t="s">
        <v>15654</v>
      </c>
      <c r="B495" t="s">
        <v>15654</v>
      </c>
      <c r="C495" t="s">
        <v>15674</v>
      </c>
      <c r="D495" t="s">
        <v>4310</v>
      </c>
      <c r="F495" t="str">
        <f>Config!$B$7</f>
        <v>SCH/Connector.SchLib</v>
      </c>
      <c r="G495" t="s">
        <v>14827</v>
      </c>
      <c r="H495" t="s">
        <v>14979</v>
      </c>
      <c r="I495" t="s">
        <v>15596</v>
      </c>
      <c r="K495" s="47" t="s">
        <v>16101</v>
      </c>
      <c r="L495" t="s">
        <v>16098</v>
      </c>
      <c r="M495" t="s">
        <v>16117</v>
      </c>
    </row>
    <row r="496" spans="1:13">
      <c r="A496" t="s">
        <v>15655</v>
      </c>
      <c r="B496" t="s">
        <v>15655</v>
      </c>
      <c r="C496" t="s">
        <v>15675</v>
      </c>
      <c r="D496" t="s">
        <v>4310</v>
      </c>
      <c r="F496" t="str">
        <f>Config!$B$7</f>
        <v>SCH/Connector.SchLib</v>
      </c>
      <c r="G496" t="s">
        <v>14827</v>
      </c>
      <c r="H496" t="s">
        <v>14979</v>
      </c>
      <c r="I496" t="s">
        <v>15597</v>
      </c>
      <c r="K496" s="47" t="s">
        <v>16101</v>
      </c>
      <c r="L496" t="s">
        <v>16101</v>
      </c>
      <c r="M496" t="s">
        <v>16117</v>
      </c>
    </row>
    <row r="497" spans="1:13">
      <c r="A497" t="s">
        <v>15656</v>
      </c>
      <c r="B497" t="s">
        <v>15656</v>
      </c>
      <c r="C497" t="s">
        <v>15676</v>
      </c>
      <c r="D497" t="s">
        <v>4310</v>
      </c>
      <c r="F497" t="str">
        <f>Config!$B$7</f>
        <v>SCH/Connector.SchLib</v>
      </c>
      <c r="G497" t="s">
        <v>14827</v>
      </c>
      <c r="H497" t="s">
        <v>14979</v>
      </c>
      <c r="I497" t="s">
        <v>15598</v>
      </c>
      <c r="K497" s="47" t="s">
        <v>16101</v>
      </c>
      <c r="L497" t="s">
        <v>16110</v>
      </c>
      <c r="M497" t="s">
        <v>16117</v>
      </c>
    </row>
    <row r="498" spans="1:13">
      <c r="A498" t="s">
        <v>15657</v>
      </c>
      <c r="B498" t="s">
        <v>15657</v>
      </c>
      <c r="C498" t="s">
        <v>15677</v>
      </c>
      <c r="D498" t="s">
        <v>4310</v>
      </c>
      <c r="F498" t="str">
        <f>Config!$B$7</f>
        <v>SCH/Connector.SchLib</v>
      </c>
      <c r="G498" t="s">
        <v>14827</v>
      </c>
      <c r="H498" t="s">
        <v>14979</v>
      </c>
      <c r="I498" t="s">
        <v>15599</v>
      </c>
      <c r="K498" s="47" t="s">
        <v>16102</v>
      </c>
      <c r="L498" t="s">
        <v>16094</v>
      </c>
      <c r="M498" t="s">
        <v>16117</v>
      </c>
    </row>
    <row r="499" spans="1:13">
      <c r="A499" t="s">
        <v>15658</v>
      </c>
      <c r="B499" t="s">
        <v>15658</v>
      </c>
      <c r="C499" t="s">
        <v>15678</v>
      </c>
      <c r="D499" t="s">
        <v>4310</v>
      </c>
      <c r="F499" t="str">
        <f>Config!$B$7</f>
        <v>SCH/Connector.SchLib</v>
      </c>
      <c r="G499" t="s">
        <v>14827</v>
      </c>
      <c r="H499" t="s">
        <v>14979</v>
      </c>
      <c r="I499" t="s">
        <v>15600</v>
      </c>
      <c r="K499" s="47" t="s">
        <v>16102</v>
      </c>
      <c r="L499" t="s">
        <v>16111</v>
      </c>
      <c r="M499" t="s">
        <v>16117</v>
      </c>
    </row>
    <row r="500" spans="1:13">
      <c r="A500" t="s">
        <v>15659</v>
      </c>
      <c r="B500" t="s">
        <v>15659</v>
      </c>
      <c r="C500" t="s">
        <v>15679</v>
      </c>
      <c r="D500" t="s">
        <v>4310</v>
      </c>
      <c r="F500" t="str">
        <f>Config!$B$7</f>
        <v>SCH/Connector.SchLib</v>
      </c>
      <c r="G500" t="s">
        <v>14827</v>
      </c>
      <c r="H500" t="s">
        <v>14979</v>
      </c>
      <c r="I500" t="s">
        <v>15601</v>
      </c>
      <c r="K500" s="47" t="s">
        <v>16102</v>
      </c>
      <c r="L500" t="s">
        <v>16095</v>
      </c>
      <c r="M500" t="s">
        <v>16117</v>
      </c>
    </row>
    <row r="501" spans="1:13">
      <c r="A501" t="s">
        <v>15660</v>
      </c>
      <c r="B501" t="s">
        <v>15660</v>
      </c>
      <c r="C501" t="s">
        <v>15680</v>
      </c>
      <c r="D501" t="s">
        <v>4310</v>
      </c>
      <c r="F501" t="str">
        <f>Config!$B$7</f>
        <v>SCH/Connector.SchLib</v>
      </c>
      <c r="G501" t="s">
        <v>14827</v>
      </c>
      <c r="H501" t="s">
        <v>14979</v>
      </c>
      <c r="I501" t="s">
        <v>15602</v>
      </c>
      <c r="K501" s="47" t="s">
        <v>16102</v>
      </c>
      <c r="L501" t="s">
        <v>16097</v>
      </c>
      <c r="M501" t="s">
        <v>16117</v>
      </c>
    </row>
    <row r="502" spans="1:13">
      <c r="A502" t="s">
        <v>15661</v>
      </c>
      <c r="B502" t="s">
        <v>15661</v>
      </c>
      <c r="C502" t="s">
        <v>15681</v>
      </c>
      <c r="D502" t="s">
        <v>4310</v>
      </c>
      <c r="F502" t="str">
        <f>Config!$B$7</f>
        <v>SCH/Connector.SchLib</v>
      </c>
      <c r="G502" t="s">
        <v>14827</v>
      </c>
      <c r="H502" t="s">
        <v>14979</v>
      </c>
      <c r="I502" t="s">
        <v>15603</v>
      </c>
      <c r="K502" s="47" t="s">
        <v>16102</v>
      </c>
      <c r="L502" t="s">
        <v>16099</v>
      </c>
      <c r="M502" t="s">
        <v>16117</v>
      </c>
    </row>
    <row r="503" spans="1:13">
      <c r="A503" t="s">
        <v>15662</v>
      </c>
      <c r="B503" t="s">
        <v>15662</v>
      </c>
      <c r="C503" t="s">
        <v>15682</v>
      </c>
      <c r="D503" t="s">
        <v>4310</v>
      </c>
      <c r="F503" t="str">
        <f>Config!$B$7</f>
        <v>SCH/Connector.SchLib</v>
      </c>
      <c r="G503" t="s">
        <v>14827</v>
      </c>
      <c r="H503" t="s">
        <v>14979</v>
      </c>
      <c r="I503" t="s">
        <v>15604</v>
      </c>
      <c r="K503" s="47" t="s">
        <v>16102</v>
      </c>
      <c r="L503" t="s">
        <v>16102</v>
      </c>
      <c r="M503" t="s">
        <v>16117</v>
      </c>
    </row>
    <row r="504" spans="1:13">
      <c r="A504" t="s">
        <v>15663</v>
      </c>
      <c r="B504" t="s">
        <v>15663</v>
      </c>
      <c r="C504" t="s">
        <v>15683</v>
      </c>
      <c r="D504" t="s">
        <v>4310</v>
      </c>
      <c r="F504" t="str">
        <f>Config!$B$7</f>
        <v>SCH/Connector.SchLib</v>
      </c>
      <c r="G504" t="s">
        <v>14827</v>
      </c>
      <c r="H504" t="s">
        <v>14979</v>
      </c>
      <c r="I504" t="s">
        <v>15605</v>
      </c>
      <c r="K504" s="47" t="s">
        <v>16102</v>
      </c>
      <c r="L504" t="s">
        <v>16112</v>
      </c>
      <c r="M504" t="s">
        <v>16117</v>
      </c>
    </row>
    <row r="505" spans="1:13">
      <c r="A505" t="s">
        <v>15664</v>
      </c>
      <c r="B505" t="s">
        <v>15664</v>
      </c>
      <c r="C505" t="s">
        <v>15684</v>
      </c>
      <c r="D505" t="s">
        <v>4310</v>
      </c>
      <c r="F505" t="str">
        <f>Config!$B$7</f>
        <v>SCH/Connector.SchLib</v>
      </c>
      <c r="G505" t="s">
        <v>14827</v>
      </c>
      <c r="H505" t="s">
        <v>14979</v>
      </c>
      <c r="I505" t="s">
        <v>15606</v>
      </c>
      <c r="K505" s="47" t="s">
        <v>16103</v>
      </c>
      <c r="L505" t="s">
        <v>16094</v>
      </c>
      <c r="M505" t="s">
        <v>16117</v>
      </c>
    </row>
    <row r="506" spans="1:13">
      <c r="A506" t="s">
        <v>15665</v>
      </c>
      <c r="B506" t="s">
        <v>15665</v>
      </c>
      <c r="C506" t="s">
        <v>15685</v>
      </c>
      <c r="D506" t="s">
        <v>4310</v>
      </c>
      <c r="F506" t="str">
        <f>Config!$B$7</f>
        <v>SCH/Connector.SchLib</v>
      </c>
      <c r="G506" t="s">
        <v>14827</v>
      </c>
      <c r="H506" t="s">
        <v>14979</v>
      </c>
      <c r="I506" t="s">
        <v>15607</v>
      </c>
      <c r="K506" s="47" t="s">
        <v>16103</v>
      </c>
      <c r="L506" t="s">
        <v>16095</v>
      </c>
      <c r="M506" t="s">
        <v>16117</v>
      </c>
    </row>
    <row r="507" spans="1:13">
      <c r="A507" t="s">
        <v>15666</v>
      </c>
      <c r="B507" t="s">
        <v>15666</v>
      </c>
      <c r="C507" t="s">
        <v>15686</v>
      </c>
      <c r="D507" t="s">
        <v>4310</v>
      </c>
      <c r="F507" t="str">
        <f>Config!$B$7</f>
        <v>SCH/Connector.SchLib</v>
      </c>
      <c r="G507" t="s">
        <v>14827</v>
      </c>
      <c r="H507" t="s">
        <v>14979</v>
      </c>
      <c r="I507" t="s">
        <v>15608</v>
      </c>
      <c r="K507" s="47" t="s">
        <v>16103</v>
      </c>
      <c r="L507" t="s">
        <v>16107</v>
      </c>
      <c r="M507" t="s">
        <v>16117</v>
      </c>
    </row>
    <row r="508" spans="1:13">
      <c r="A508" t="s">
        <v>15667</v>
      </c>
      <c r="B508" t="s">
        <v>15667</v>
      </c>
      <c r="C508" t="s">
        <v>15687</v>
      </c>
      <c r="D508" t="s">
        <v>4310</v>
      </c>
      <c r="F508" t="str">
        <f>Config!$B$7</f>
        <v>SCH/Connector.SchLib</v>
      </c>
      <c r="G508" t="s">
        <v>14827</v>
      </c>
      <c r="H508" t="s">
        <v>14979</v>
      </c>
      <c r="I508" t="s">
        <v>15609</v>
      </c>
      <c r="K508" s="47" t="s">
        <v>16103</v>
      </c>
      <c r="L508" t="s">
        <v>16100</v>
      </c>
      <c r="M508" t="s">
        <v>16117</v>
      </c>
    </row>
    <row r="509" spans="1:13">
      <c r="A509" t="s">
        <v>15668</v>
      </c>
      <c r="B509" t="s">
        <v>15668</v>
      </c>
      <c r="C509" t="s">
        <v>15688</v>
      </c>
      <c r="D509" t="s">
        <v>4310</v>
      </c>
      <c r="F509" t="str">
        <f>Config!$B$7</f>
        <v>SCH/Connector.SchLib</v>
      </c>
      <c r="G509" t="s">
        <v>14827</v>
      </c>
      <c r="H509" t="s">
        <v>14979</v>
      </c>
      <c r="I509" t="s">
        <v>15610</v>
      </c>
      <c r="K509" s="47" t="s">
        <v>16103</v>
      </c>
      <c r="L509" t="s">
        <v>16108</v>
      </c>
      <c r="M509" t="s">
        <v>16117</v>
      </c>
    </row>
    <row r="510" spans="1:13">
      <c r="A510" t="s">
        <v>15669</v>
      </c>
      <c r="B510" t="s">
        <v>15669</v>
      </c>
      <c r="C510" t="s">
        <v>15689</v>
      </c>
      <c r="D510" t="s">
        <v>4310</v>
      </c>
      <c r="F510" t="str">
        <f>Config!$B$7</f>
        <v>SCH/Connector.SchLib</v>
      </c>
      <c r="G510" t="s">
        <v>14827</v>
      </c>
      <c r="H510" t="s">
        <v>14979</v>
      </c>
      <c r="I510" t="s">
        <v>15611</v>
      </c>
      <c r="K510" s="47" t="s">
        <v>16103</v>
      </c>
      <c r="L510" t="s">
        <v>16113</v>
      </c>
      <c r="M510" t="s">
        <v>16117</v>
      </c>
    </row>
    <row r="512" spans="1:13">
      <c r="A512" t="s">
        <v>15041</v>
      </c>
      <c r="B512" t="s">
        <v>15041</v>
      </c>
      <c r="C512" t="s">
        <v>15042</v>
      </c>
      <c r="D512" t="s">
        <v>4310</v>
      </c>
      <c r="F512" t="str">
        <f>Config!$B$7</f>
        <v>SCH/Connector.SchLib</v>
      </c>
      <c r="G512" t="s">
        <v>14827</v>
      </c>
      <c r="H512" t="s">
        <v>15043</v>
      </c>
      <c r="I512" t="s">
        <v>14857</v>
      </c>
      <c r="K512" s="47" t="s">
        <v>16093</v>
      </c>
      <c r="L512" t="s">
        <v>16093</v>
      </c>
      <c r="M512" t="s">
        <v>16116</v>
      </c>
    </row>
    <row r="513" spans="1:13">
      <c r="A513" t="s">
        <v>15044</v>
      </c>
      <c r="B513" t="s">
        <v>15044</v>
      </c>
      <c r="C513" t="s">
        <v>15045</v>
      </c>
      <c r="D513" t="s">
        <v>4310</v>
      </c>
      <c r="F513" t="str">
        <f>Config!$B$7</f>
        <v>SCH/Connector.SchLib</v>
      </c>
      <c r="G513" t="s">
        <v>14827</v>
      </c>
      <c r="H513" t="s">
        <v>15043</v>
      </c>
      <c r="I513" t="s">
        <v>14858</v>
      </c>
      <c r="K513" s="47" t="s">
        <v>16093</v>
      </c>
      <c r="L513" t="s">
        <v>16094</v>
      </c>
      <c r="M513" t="s">
        <v>16116</v>
      </c>
    </row>
    <row r="514" spans="1:13">
      <c r="A514" t="s">
        <v>15046</v>
      </c>
      <c r="B514" t="s">
        <v>15046</v>
      </c>
      <c r="C514" t="s">
        <v>15047</v>
      </c>
      <c r="D514" t="s">
        <v>4310</v>
      </c>
      <c r="F514" t="str">
        <f>Config!$B$7</f>
        <v>SCH/Connector.SchLib</v>
      </c>
      <c r="G514" t="s">
        <v>14827</v>
      </c>
      <c r="H514" t="s">
        <v>15043</v>
      </c>
      <c r="I514" t="s">
        <v>14829</v>
      </c>
      <c r="K514" s="47" t="s">
        <v>16094</v>
      </c>
      <c r="L514" t="s">
        <v>16093</v>
      </c>
      <c r="M514" t="s">
        <v>16116</v>
      </c>
    </row>
    <row r="515" spans="1:13">
      <c r="A515" t="s">
        <v>15048</v>
      </c>
      <c r="B515" t="s">
        <v>15048</v>
      </c>
      <c r="C515" t="s">
        <v>15049</v>
      </c>
      <c r="D515" t="s">
        <v>4310</v>
      </c>
      <c r="F515" t="str">
        <f>Config!$B$7</f>
        <v>SCH/Connector.SchLib</v>
      </c>
      <c r="G515" t="s">
        <v>14827</v>
      </c>
      <c r="H515" t="s">
        <v>15043</v>
      </c>
      <c r="I515" t="s">
        <v>14830</v>
      </c>
      <c r="K515" s="47" t="s">
        <v>16094</v>
      </c>
      <c r="L515" t="s">
        <v>16094</v>
      </c>
      <c r="M515" t="s">
        <v>16116</v>
      </c>
    </row>
    <row r="516" spans="1:13">
      <c r="A516" t="s">
        <v>15050</v>
      </c>
      <c r="B516" t="s">
        <v>15050</v>
      </c>
      <c r="C516" t="s">
        <v>15051</v>
      </c>
      <c r="D516" t="s">
        <v>4310</v>
      </c>
      <c r="F516" t="str">
        <f>Config!$B$7</f>
        <v>SCH/Connector.SchLib</v>
      </c>
      <c r="G516" t="s">
        <v>14827</v>
      </c>
      <c r="H516" t="s">
        <v>15043</v>
      </c>
      <c r="I516" t="s">
        <v>14831</v>
      </c>
      <c r="K516" s="47" t="s">
        <v>16094</v>
      </c>
      <c r="L516" t="s">
        <v>16095</v>
      </c>
      <c r="M516" t="s">
        <v>16116</v>
      </c>
    </row>
    <row r="517" spans="1:13">
      <c r="A517" t="s">
        <v>15052</v>
      </c>
      <c r="B517" t="s">
        <v>15052</v>
      </c>
      <c r="C517" t="s">
        <v>15053</v>
      </c>
      <c r="D517" t="s">
        <v>4310</v>
      </c>
      <c r="F517" t="str">
        <f>Config!$B$7</f>
        <v>SCH/Connector.SchLib</v>
      </c>
      <c r="G517" t="s">
        <v>14827</v>
      </c>
      <c r="H517" t="s">
        <v>15043</v>
      </c>
      <c r="I517" t="s">
        <v>14832</v>
      </c>
      <c r="K517" s="47" t="s">
        <v>16095</v>
      </c>
      <c r="L517" t="s">
        <v>16093</v>
      </c>
      <c r="M517" t="s">
        <v>16116</v>
      </c>
    </row>
    <row r="518" spans="1:13">
      <c r="A518" t="s">
        <v>15054</v>
      </c>
      <c r="B518" t="s">
        <v>15054</v>
      </c>
      <c r="C518" t="s">
        <v>15055</v>
      </c>
      <c r="D518" t="s">
        <v>4310</v>
      </c>
      <c r="F518" t="str">
        <f>Config!$B$7</f>
        <v>SCH/Connector.SchLib</v>
      </c>
      <c r="G518" t="s">
        <v>14827</v>
      </c>
      <c r="H518" t="s">
        <v>15043</v>
      </c>
      <c r="I518" t="s">
        <v>14833</v>
      </c>
      <c r="K518" s="47" t="s">
        <v>16095</v>
      </c>
      <c r="L518" t="s">
        <v>16094</v>
      </c>
      <c r="M518" t="s">
        <v>16116</v>
      </c>
    </row>
    <row r="519" spans="1:13">
      <c r="A519" t="s">
        <v>15056</v>
      </c>
      <c r="B519" t="s">
        <v>15056</v>
      </c>
      <c r="C519" t="s">
        <v>15057</v>
      </c>
      <c r="D519" t="s">
        <v>4310</v>
      </c>
      <c r="F519" t="str">
        <f>Config!$B$7</f>
        <v>SCH/Connector.SchLib</v>
      </c>
      <c r="G519" t="s">
        <v>14827</v>
      </c>
      <c r="H519" t="s">
        <v>15043</v>
      </c>
      <c r="I519" t="s">
        <v>14834</v>
      </c>
      <c r="K519" s="47" t="s">
        <v>16095</v>
      </c>
      <c r="L519" t="s">
        <v>16095</v>
      </c>
      <c r="M519" t="s">
        <v>16116</v>
      </c>
    </row>
    <row r="520" spans="1:13">
      <c r="A520" t="s">
        <v>15058</v>
      </c>
      <c r="B520" t="s">
        <v>15058</v>
      </c>
      <c r="C520" t="s">
        <v>15059</v>
      </c>
      <c r="D520" t="s">
        <v>4310</v>
      </c>
      <c r="F520" t="str">
        <f>Config!$B$7</f>
        <v>SCH/Connector.SchLib</v>
      </c>
      <c r="G520" t="s">
        <v>14827</v>
      </c>
      <c r="H520" t="s">
        <v>15043</v>
      </c>
      <c r="I520" t="s">
        <v>14835</v>
      </c>
      <c r="K520" s="47" t="s">
        <v>16095</v>
      </c>
      <c r="L520" t="s">
        <v>16097</v>
      </c>
      <c r="M520" t="s">
        <v>16116</v>
      </c>
    </row>
    <row r="521" spans="1:13">
      <c r="A521" t="s">
        <v>15060</v>
      </c>
      <c r="B521" t="s">
        <v>15060</v>
      </c>
      <c r="C521" t="s">
        <v>15061</v>
      </c>
      <c r="D521" t="s">
        <v>4310</v>
      </c>
      <c r="F521" t="str">
        <f>Config!$B$7</f>
        <v>SCH/Connector.SchLib</v>
      </c>
      <c r="G521" t="s">
        <v>14827</v>
      </c>
      <c r="H521" t="s">
        <v>15043</v>
      </c>
      <c r="I521" t="s">
        <v>14836</v>
      </c>
      <c r="K521" s="47" t="s">
        <v>16096</v>
      </c>
      <c r="L521" t="s">
        <v>16104</v>
      </c>
      <c r="M521" t="s">
        <v>16116</v>
      </c>
    </row>
    <row r="522" spans="1:13">
      <c r="A522" t="s">
        <v>15062</v>
      </c>
      <c r="B522" t="s">
        <v>15062</v>
      </c>
      <c r="C522" t="s">
        <v>15063</v>
      </c>
      <c r="D522" t="s">
        <v>4310</v>
      </c>
      <c r="F522" t="str">
        <f>Config!$B$7</f>
        <v>SCH/Connector.SchLib</v>
      </c>
      <c r="G522" t="s">
        <v>14827</v>
      </c>
      <c r="H522" t="s">
        <v>15043</v>
      </c>
      <c r="I522" t="s">
        <v>14837</v>
      </c>
      <c r="K522" s="47" t="s">
        <v>16096</v>
      </c>
      <c r="L522" t="s">
        <v>16096</v>
      </c>
      <c r="M522" t="s">
        <v>16116</v>
      </c>
    </row>
    <row r="523" spans="1:13">
      <c r="A523" t="s">
        <v>15064</v>
      </c>
      <c r="B523" t="s">
        <v>15064</v>
      </c>
      <c r="C523" t="s">
        <v>15065</v>
      </c>
      <c r="D523" t="s">
        <v>4310</v>
      </c>
      <c r="F523" t="str">
        <f>Config!$B$7</f>
        <v>SCH/Connector.SchLib</v>
      </c>
      <c r="G523" t="s">
        <v>14827</v>
      </c>
      <c r="H523" t="s">
        <v>15043</v>
      </c>
      <c r="I523" t="s">
        <v>14838</v>
      </c>
      <c r="K523" s="47" t="s">
        <v>16096</v>
      </c>
      <c r="L523" t="s">
        <v>16098</v>
      </c>
      <c r="M523" t="s">
        <v>16116</v>
      </c>
    </row>
    <row r="524" spans="1:13">
      <c r="A524" t="s">
        <v>15066</v>
      </c>
      <c r="B524" t="s">
        <v>15066</v>
      </c>
      <c r="C524" t="s">
        <v>15067</v>
      </c>
      <c r="D524" t="s">
        <v>4310</v>
      </c>
      <c r="F524" t="str">
        <f>Config!$B$7</f>
        <v>SCH/Connector.SchLib</v>
      </c>
      <c r="G524" t="s">
        <v>14827</v>
      </c>
      <c r="H524" t="s">
        <v>15043</v>
      </c>
      <c r="I524" t="s">
        <v>14839</v>
      </c>
      <c r="K524" s="47" t="s">
        <v>16097</v>
      </c>
      <c r="L524" t="s">
        <v>16094</v>
      </c>
      <c r="M524" t="s">
        <v>16116</v>
      </c>
    </row>
    <row r="525" spans="1:13">
      <c r="A525" t="s">
        <v>15068</v>
      </c>
      <c r="B525" t="s">
        <v>15068</v>
      </c>
      <c r="C525" t="s">
        <v>15069</v>
      </c>
      <c r="D525" t="s">
        <v>4310</v>
      </c>
      <c r="F525" t="str">
        <f>Config!$B$7</f>
        <v>SCH/Connector.SchLib</v>
      </c>
      <c r="G525" t="s">
        <v>14827</v>
      </c>
      <c r="H525" t="s">
        <v>15043</v>
      </c>
      <c r="I525" t="s">
        <v>14840</v>
      </c>
      <c r="K525" s="47" t="s">
        <v>16097</v>
      </c>
      <c r="L525" t="s">
        <v>16095</v>
      </c>
      <c r="M525" t="s">
        <v>16116</v>
      </c>
    </row>
    <row r="526" spans="1:13">
      <c r="A526" t="s">
        <v>15070</v>
      </c>
      <c r="B526" t="s">
        <v>15070</v>
      </c>
      <c r="C526" t="s">
        <v>15071</v>
      </c>
      <c r="D526" t="s">
        <v>4310</v>
      </c>
      <c r="F526" t="str">
        <f>Config!$B$7</f>
        <v>SCH/Connector.SchLib</v>
      </c>
      <c r="G526" t="s">
        <v>14827</v>
      </c>
      <c r="H526" t="s">
        <v>15043</v>
      </c>
      <c r="I526" t="s">
        <v>14841</v>
      </c>
      <c r="K526" s="47" t="s">
        <v>16097</v>
      </c>
      <c r="L526" t="s">
        <v>16097</v>
      </c>
      <c r="M526" t="s">
        <v>16116</v>
      </c>
    </row>
    <row r="527" spans="1:13">
      <c r="A527" t="s">
        <v>15072</v>
      </c>
      <c r="B527" t="s">
        <v>15072</v>
      </c>
      <c r="C527" t="s">
        <v>15073</v>
      </c>
      <c r="D527" t="s">
        <v>4310</v>
      </c>
      <c r="F527" t="str">
        <f>Config!$B$7</f>
        <v>SCH/Connector.SchLib</v>
      </c>
      <c r="G527" t="s">
        <v>14827</v>
      </c>
      <c r="H527" t="s">
        <v>15043</v>
      </c>
      <c r="I527" t="s">
        <v>14842</v>
      </c>
      <c r="K527" s="47" t="s">
        <v>16097</v>
      </c>
      <c r="L527" t="s">
        <v>16099</v>
      </c>
      <c r="M527" t="s">
        <v>16116</v>
      </c>
    </row>
    <row r="528" spans="1:13">
      <c r="A528" t="s">
        <v>15074</v>
      </c>
      <c r="B528" t="s">
        <v>15074</v>
      </c>
      <c r="C528" t="s">
        <v>15075</v>
      </c>
      <c r="D528" t="s">
        <v>4310</v>
      </c>
      <c r="F528" t="str">
        <f>Config!$B$7</f>
        <v>SCH/Connector.SchLib</v>
      </c>
      <c r="G528" t="s">
        <v>14827</v>
      </c>
      <c r="H528" t="s">
        <v>15043</v>
      </c>
      <c r="I528" t="s">
        <v>14843</v>
      </c>
      <c r="K528" s="47" t="s">
        <v>16098</v>
      </c>
      <c r="L528" t="s">
        <v>16104</v>
      </c>
      <c r="M528" t="s">
        <v>16116</v>
      </c>
    </row>
    <row r="529" spans="1:13">
      <c r="A529" t="s">
        <v>15076</v>
      </c>
      <c r="B529" t="s">
        <v>15076</v>
      </c>
      <c r="C529" t="s">
        <v>15077</v>
      </c>
      <c r="D529" t="s">
        <v>4310</v>
      </c>
      <c r="F529" t="str">
        <f>Config!$B$7</f>
        <v>SCH/Connector.SchLib</v>
      </c>
      <c r="G529" t="s">
        <v>14827</v>
      </c>
      <c r="H529" t="s">
        <v>15043</v>
      </c>
      <c r="I529" t="s">
        <v>14844</v>
      </c>
      <c r="K529" s="47" t="s">
        <v>16098</v>
      </c>
      <c r="L529" t="s">
        <v>16096</v>
      </c>
      <c r="M529" t="s">
        <v>16116</v>
      </c>
    </row>
    <row r="530" spans="1:13">
      <c r="A530" t="s">
        <v>15078</v>
      </c>
      <c r="B530" t="s">
        <v>15078</v>
      </c>
      <c r="C530" t="s">
        <v>15079</v>
      </c>
      <c r="D530" t="s">
        <v>4310</v>
      </c>
      <c r="F530" t="str">
        <f>Config!$B$7</f>
        <v>SCH/Connector.SchLib</v>
      </c>
      <c r="G530" t="s">
        <v>14827</v>
      </c>
      <c r="H530" t="s">
        <v>15043</v>
      </c>
      <c r="I530" t="s">
        <v>14845</v>
      </c>
      <c r="K530" s="47" t="s">
        <v>16098</v>
      </c>
      <c r="L530" t="s">
        <v>16098</v>
      </c>
      <c r="M530" t="s">
        <v>16116</v>
      </c>
    </row>
    <row r="531" spans="1:13">
      <c r="A531" t="s">
        <v>15080</v>
      </c>
      <c r="B531" t="s">
        <v>15080</v>
      </c>
      <c r="C531" t="s">
        <v>15081</v>
      </c>
      <c r="D531" t="s">
        <v>4310</v>
      </c>
      <c r="F531" t="str">
        <f>Config!$B$7</f>
        <v>SCH/Connector.SchLib</v>
      </c>
      <c r="G531" t="s">
        <v>14827</v>
      </c>
      <c r="H531" t="s">
        <v>15043</v>
      </c>
      <c r="I531" t="s">
        <v>14846</v>
      </c>
      <c r="K531" s="47" t="s">
        <v>16098</v>
      </c>
      <c r="L531" t="s">
        <v>16101</v>
      </c>
      <c r="M531" t="s">
        <v>16116</v>
      </c>
    </row>
    <row r="532" spans="1:13">
      <c r="A532" t="s">
        <v>15082</v>
      </c>
      <c r="B532" t="s">
        <v>15082</v>
      </c>
      <c r="C532" t="s">
        <v>15083</v>
      </c>
      <c r="D532" t="s">
        <v>4310</v>
      </c>
      <c r="F532" t="str">
        <f>Config!$B$7</f>
        <v>SCH/Connector.SchLib</v>
      </c>
      <c r="G532" t="s">
        <v>14827</v>
      </c>
      <c r="H532" t="s">
        <v>15043</v>
      </c>
      <c r="I532" t="s">
        <v>14847</v>
      </c>
      <c r="K532" s="47" t="s">
        <v>16099</v>
      </c>
      <c r="L532" t="s">
        <v>16105</v>
      </c>
      <c r="M532" t="s">
        <v>16116</v>
      </c>
    </row>
    <row r="533" spans="1:13">
      <c r="A533" t="s">
        <v>15084</v>
      </c>
      <c r="B533" t="s">
        <v>15084</v>
      </c>
      <c r="C533" t="s">
        <v>15085</v>
      </c>
      <c r="D533" t="s">
        <v>4310</v>
      </c>
      <c r="F533" t="str">
        <f>Config!$B$7</f>
        <v>SCH/Connector.SchLib</v>
      </c>
      <c r="G533" t="s">
        <v>14827</v>
      </c>
      <c r="H533" t="s">
        <v>15043</v>
      </c>
      <c r="I533" t="s">
        <v>14848</v>
      </c>
      <c r="K533" s="47" t="s">
        <v>16099</v>
      </c>
      <c r="L533" t="s">
        <v>16095</v>
      </c>
      <c r="M533" t="s">
        <v>16116</v>
      </c>
    </row>
    <row r="534" spans="1:13">
      <c r="A534" t="s">
        <v>15086</v>
      </c>
      <c r="B534" t="s">
        <v>15086</v>
      </c>
      <c r="C534" t="s">
        <v>15087</v>
      </c>
      <c r="D534" t="s">
        <v>4310</v>
      </c>
      <c r="F534" t="str">
        <f>Config!$B$7</f>
        <v>SCH/Connector.SchLib</v>
      </c>
      <c r="G534" t="s">
        <v>14827</v>
      </c>
      <c r="H534" t="s">
        <v>15043</v>
      </c>
      <c r="I534" t="s">
        <v>14849</v>
      </c>
      <c r="K534" s="47" t="s">
        <v>16099</v>
      </c>
      <c r="L534" t="s">
        <v>16097</v>
      </c>
      <c r="M534" t="s">
        <v>16116</v>
      </c>
    </row>
    <row r="535" spans="1:13">
      <c r="A535" t="s">
        <v>15088</v>
      </c>
      <c r="B535" t="s">
        <v>15088</v>
      </c>
      <c r="C535" t="s">
        <v>15089</v>
      </c>
      <c r="D535" t="s">
        <v>4310</v>
      </c>
      <c r="F535" t="str">
        <f>Config!$B$7</f>
        <v>SCH/Connector.SchLib</v>
      </c>
      <c r="G535" t="s">
        <v>14827</v>
      </c>
      <c r="H535" t="s">
        <v>15043</v>
      </c>
      <c r="I535" t="s">
        <v>14850</v>
      </c>
      <c r="K535" s="47" t="s">
        <v>16099</v>
      </c>
      <c r="L535" t="s">
        <v>16099</v>
      </c>
      <c r="M535" t="s">
        <v>16116</v>
      </c>
    </row>
    <row r="536" spans="1:13">
      <c r="A536" t="s">
        <v>15090</v>
      </c>
      <c r="B536" t="s">
        <v>15090</v>
      </c>
      <c r="C536" t="s">
        <v>15091</v>
      </c>
      <c r="D536" t="s">
        <v>4310</v>
      </c>
      <c r="F536" t="str">
        <f>Config!$B$7</f>
        <v>SCH/Connector.SchLib</v>
      </c>
      <c r="G536" t="s">
        <v>14827</v>
      </c>
      <c r="H536" t="s">
        <v>15043</v>
      </c>
      <c r="I536" t="s">
        <v>14851</v>
      </c>
      <c r="K536" s="47" t="s">
        <v>16099</v>
      </c>
      <c r="L536" t="s">
        <v>16102</v>
      </c>
      <c r="M536" t="s">
        <v>16116</v>
      </c>
    </row>
    <row r="537" spans="1:13">
      <c r="A537" t="s">
        <v>15092</v>
      </c>
      <c r="B537" t="s">
        <v>15092</v>
      </c>
      <c r="C537" t="s">
        <v>15093</v>
      </c>
      <c r="D537" t="s">
        <v>4310</v>
      </c>
      <c r="F537" t="str">
        <f>Config!$B$7</f>
        <v>SCH/Connector.SchLib</v>
      </c>
      <c r="G537" t="s">
        <v>14827</v>
      </c>
      <c r="H537" t="s">
        <v>15043</v>
      </c>
      <c r="I537" t="s">
        <v>14852</v>
      </c>
      <c r="K537" s="47" t="s">
        <v>16100</v>
      </c>
      <c r="L537" t="s">
        <v>16094</v>
      </c>
      <c r="M537" t="s">
        <v>16116</v>
      </c>
    </row>
    <row r="538" spans="1:13">
      <c r="A538" t="s">
        <v>15730</v>
      </c>
      <c r="B538" t="s">
        <v>15730</v>
      </c>
      <c r="C538" t="s">
        <v>15731</v>
      </c>
      <c r="D538" t="s">
        <v>4310</v>
      </c>
      <c r="F538" t="str">
        <f>Config!$B$7</f>
        <v>SCH/Connector.SchLib</v>
      </c>
      <c r="G538" t="s">
        <v>14827</v>
      </c>
      <c r="H538" t="s">
        <v>15043</v>
      </c>
      <c r="I538" t="s">
        <v>15590</v>
      </c>
      <c r="K538" s="47" t="s">
        <v>16100</v>
      </c>
      <c r="L538" t="s">
        <v>16095</v>
      </c>
      <c r="M538" t="s">
        <v>16116</v>
      </c>
    </row>
    <row r="539" spans="1:13">
      <c r="A539" t="s">
        <v>15094</v>
      </c>
      <c r="B539" t="s">
        <v>15094</v>
      </c>
      <c r="C539" t="s">
        <v>15095</v>
      </c>
      <c r="D539" t="s">
        <v>4310</v>
      </c>
      <c r="F539" t="str">
        <f>Config!$B$7</f>
        <v>SCH/Connector.SchLib</v>
      </c>
      <c r="G539" t="s">
        <v>14827</v>
      </c>
      <c r="H539" t="s">
        <v>15043</v>
      </c>
      <c r="I539" t="s">
        <v>14853</v>
      </c>
      <c r="K539" s="47" t="s">
        <v>16100</v>
      </c>
      <c r="L539" t="s">
        <v>16106</v>
      </c>
      <c r="M539" t="s">
        <v>16116</v>
      </c>
    </row>
    <row r="540" spans="1:13">
      <c r="A540" t="s">
        <v>15096</v>
      </c>
      <c r="B540" t="s">
        <v>15096</v>
      </c>
      <c r="C540" t="s">
        <v>15097</v>
      </c>
      <c r="D540" t="s">
        <v>4310</v>
      </c>
      <c r="F540" t="str">
        <f>Config!$B$7</f>
        <v>SCH/Connector.SchLib</v>
      </c>
      <c r="G540" t="s">
        <v>14827</v>
      </c>
      <c r="H540" t="s">
        <v>15043</v>
      </c>
      <c r="I540" t="s">
        <v>14854</v>
      </c>
      <c r="K540" s="47" t="s">
        <v>16100</v>
      </c>
      <c r="L540" t="s">
        <v>16107</v>
      </c>
      <c r="M540" t="s">
        <v>16116</v>
      </c>
    </row>
    <row r="541" spans="1:13">
      <c r="A541" t="s">
        <v>15098</v>
      </c>
      <c r="B541" t="s">
        <v>15098</v>
      </c>
      <c r="C541" t="s">
        <v>15099</v>
      </c>
      <c r="D541" t="s">
        <v>4310</v>
      </c>
      <c r="F541" t="str">
        <f>Config!$B$7</f>
        <v>SCH/Connector.SchLib</v>
      </c>
      <c r="G541" t="s">
        <v>14827</v>
      </c>
      <c r="H541" t="s">
        <v>15043</v>
      </c>
      <c r="I541" t="s">
        <v>14855</v>
      </c>
      <c r="K541" s="47" t="s">
        <v>16100</v>
      </c>
      <c r="L541" t="s">
        <v>16100</v>
      </c>
      <c r="M541" t="s">
        <v>16116</v>
      </c>
    </row>
    <row r="542" spans="1:13">
      <c r="A542" t="s">
        <v>15100</v>
      </c>
      <c r="B542" t="s">
        <v>15100</v>
      </c>
      <c r="C542" t="s">
        <v>15101</v>
      </c>
      <c r="D542" t="s">
        <v>4310</v>
      </c>
      <c r="F542" t="str">
        <f>Config!$B$7</f>
        <v>SCH/Connector.SchLib</v>
      </c>
      <c r="G542" t="s">
        <v>14827</v>
      </c>
      <c r="H542" t="s">
        <v>15043</v>
      </c>
      <c r="I542" t="s">
        <v>14856</v>
      </c>
      <c r="K542" s="47" t="s">
        <v>16100</v>
      </c>
      <c r="L542" t="s">
        <v>16108</v>
      </c>
      <c r="M542" t="s">
        <v>16116</v>
      </c>
    </row>
    <row r="543" spans="1:13">
      <c r="A543" t="s">
        <v>15732</v>
      </c>
      <c r="B543" t="s">
        <v>15732</v>
      </c>
      <c r="C543" t="s">
        <v>15733</v>
      </c>
      <c r="D543" t="s">
        <v>4310</v>
      </c>
      <c r="F543" t="str">
        <f>Config!$B$7</f>
        <v>SCH/Connector.SchLib</v>
      </c>
      <c r="G543" t="s">
        <v>14827</v>
      </c>
      <c r="H543" t="s">
        <v>15043</v>
      </c>
      <c r="I543" t="s">
        <v>15593</v>
      </c>
      <c r="K543" s="47" t="s">
        <v>16101</v>
      </c>
      <c r="L543" t="s">
        <v>16109</v>
      </c>
      <c r="M543" t="s">
        <v>16116</v>
      </c>
    </row>
    <row r="544" spans="1:13">
      <c r="A544" t="s">
        <v>15734</v>
      </c>
      <c r="B544" t="s">
        <v>15734</v>
      </c>
      <c r="C544" t="s">
        <v>15735</v>
      </c>
      <c r="D544" t="s">
        <v>4310</v>
      </c>
      <c r="F544" t="str">
        <f>Config!$B$7</f>
        <v>SCH/Connector.SchLib</v>
      </c>
      <c r="G544" t="s">
        <v>14827</v>
      </c>
      <c r="H544" t="s">
        <v>15043</v>
      </c>
      <c r="I544" t="s">
        <v>15594</v>
      </c>
      <c r="K544" s="47" t="s">
        <v>16101</v>
      </c>
      <c r="L544" t="s">
        <v>16095</v>
      </c>
      <c r="M544" t="s">
        <v>16116</v>
      </c>
    </row>
    <row r="545" spans="1:13">
      <c r="A545" t="s">
        <v>15736</v>
      </c>
      <c r="B545" t="s">
        <v>15736</v>
      </c>
      <c r="C545" t="s">
        <v>15737</v>
      </c>
      <c r="D545" t="s">
        <v>4310</v>
      </c>
      <c r="F545" t="str">
        <f>Config!$B$7</f>
        <v>SCH/Connector.SchLib</v>
      </c>
      <c r="G545" t="s">
        <v>14827</v>
      </c>
      <c r="H545" t="s">
        <v>15043</v>
      </c>
      <c r="I545" t="s">
        <v>15595</v>
      </c>
      <c r="K545" s="47" t="s">
        <v>16101</v>
      </c>
      <c r="L545" t="s">
        <v>16096</v>
      </c>
      <c r="M545" t="s">
        <v>16116</v>
      </c>
    </row>
    <row r="546" spans="1:13">
      <c r="A546" t="s">
        <v>15738</v>
      </c>
      <c r="B546" t="s">
        <v>15738</v>
      </c>
      <c r="C546" t="s">
        <v>15739</v>
      </c>
      <c r="D546" t="s">
        <v>4310</v>
      </c>
      <c r="F546" t="str">
        <f>Config!$B$7</f>
        <v>SCH/Connector.SchLib</v>
      </c>
      <c r="G546" t="s">
        <v>14827</v>
      </c>
      <c r="H546" t="s">
        <v>15043</v>
      </c>
      <c r="I546" t="s">
        <v>15596</v>
      </c>
      <c r="K546" s="47" t="s">
        <v>16101</v>
      </c>
      <c r="L546" t="s">
        <v>16098</v>
      </c>
      <c r="M546" t="s">
        <v>16116</v>
      </c>
    </row>
    <row r="547" spans="1:13">
      <c r="A547" t="s">
        <v>15740</v>
      </c>
      <c r="B547" t="s">
        <v>15740</v>
      </c>
      <c r="C547" t="s">
        <v>15741</v>
      </c>
      <c r="D547" t="s">
        <v>4310</v>
      </c>
      <c r="F547" t="str">
        <f>Config!$B$7</f>
        <v>SCH/Connector.SchLib</v>
      </c>
      <c r="G547" t="s">
        <v>14827</v>
      </c>
      <c r="H547" t="s">
        <v>15043</v>
      </c>
      <c r="I547" t="s">
        <v>15597</v>
      </c>
      <c r="K547" s="47" t="s">
        <v>16101</v>
      </c>
      <c r="L547" t="s">
        <v>16101</v>
      </c>
      <c r="M547" t="s">
        <v>16116</v>
      </c>
    </row>
    <row r="548" spans="1:13">
      <c r="A548" t="s">
        <v>15742</v>
      </c>
      <c r="B548" t="s">
        <v>15742</v>
      </c>
      <c r="C548" t="s">
        <v>15743</v>
      </c>
      <c r="D548" t="s">
        <v>4310</v>
      </c>
      <c r="F548" t="str">
        <f>Config!$B$7</f>
        <v>SCH/Connector.SchLib</v>
      </c>
      <c r="G548" t="s">
        <v>14827</v>
      </c>
      <c r="H548" t="s">
        <v>15043</v>
      </c>
      <c r="I548" t="s">
        <v>15598</v>
      </c>
      <c r="K548" s="47" t="s">
        <v>16101</v>
      </c>
      <c r="L548" t="s">
        <v>16110</v>
      </c>
      <c r="M548" t="s">
        <v>16116</v>
      </c>
    </row>
    <row r="549" spans="1:13">
      <c r="A549" t="s">
        <v>15744</v>
      </c>
      <c r="B549" t="s">
        <v>15744</v>
      </c>
      <c r="C549" t="s">
        <v>15745</v>
      </c>
      <c r="D549" t="s">
        <v>4310</v>
      </c>
      <c r="F549" t="str">
        <f>Config!$B$7</f>
        <v>SCH/Connector.SchLib</v>
      </c>
      <c r="G549" t="s">
        <v>14827</v>
      </c>
      <c r="H549" t="s">
        <v>15043</v>
      </c>
      <c r="I549" t="s">
        <v>15599</v>
      </c>
      <c r="K549" s="47" t="s">
        <v>16102</v>
      </c>
      <c r="L549" t="s">
        <v>16094</v>
      </c>
      <c r="M549" t="s">
        <v>16116</v>
      </c>
    </row>
    <row r="550" spans="1:13">
      <c r="A550" t="s">
        <v>15746</v>
      </c>
      <c r="B550" t="s">
        <v>15746</v>
      </c>
      <c r="C550" t="s">
        <v>15747</v>
      </c>
      <c r="D550" t="s">
        <v>4310</v>
      </c>
      <c r="F550" t="str">
        <f>Config!$B$7</f>
        <v>SCH/Connector.SchLib</v>
      </c>
      <c r="G550" t="s">
        <v>14827</v>
      </c>
      <c r="H550" t="s">
        <v>15043</v>
      </c>
      <c r="I550" t="s">
        <v>15600</v>
      </c>
      <c r="K550" s="47" t="s">
        <v>16102</v>
      </c>
      <c r="L550" t="s">
        <v>16111</v>
      </c>
      <c r="M550" t="s">
        <v>16116</v>
      </c>
    </row>
    <row r="551" spans="1:13">
      <c r="A551" t="s">
        <v>15748</v>
      </c>
      <c r="B551" t="s">
        <v>15748</v>
      </c>
      <c r="C551" t="s">
        <v>15749</v>
      </c>
      <c r="D551" t="s">
        <v>4310</v>
      </c>
      <c r="F551" t="str">
        <f>Config!$B$7</f>
        <v>SCH/Connector.SchLib</v>
      </c>
      <c r="G551" t="s">
        <v>14827</v>
      </c>
      <c r="H551" t="s">
        <v>15043</v>
      </c>
      <c r="I551" t="s">
        <v>15601</v>
      </c>
      <c r="K551" s="47" t="s">
        <v>16102</v>
      </c>
      <c r="L551" t="s">
        <v>16095</v>
      </c>
      <c r="M551" t="s">
        <v>16116</v>
      </c>
    </row>
    <row r="552" spans="1:13">
      <c r="A552" t="s">
        <v>15750</v>
      </c>
      <c r="B552" t="s">
        <v>15750</v>
      </c>
      <c r="C552" t="s">
        <v>15751</v>
      </c>
      <c r="D552" t="s">
        <v>4310</v>
      </c>
      <c r="F552" t="str">
        <f>Config!$B$7</f>
        <v>SCH/Connector.SchLib</v>
      </c>
      <c r="G552" t="s">
        <v>14827</v>
      </c>
      <c r="H552" t="s">
        <v>15043</v>
      </c>
      <c r="I552" t="s">
        <v>15602</v>
      </c>
      <c r="K552" s="47" t="s">
        <v>16102</v>
      </c>
      <c r="L552" t="s">
        <v>16097</v>
      </c>
      <c r="M552" t="s">
        <v>16116</v>
      </c>
    </row>
    <row r="553" spans="1:13">
      <c r="A553" t="s">
        <v>15752</v>
      </c>
      <c r="B553" t="s">
        <v>15752</v>
      </c>
      <c r="C553" t="s">
        <v>15753</v>
      </c>
      <c r="D553" t="s">
        <v>4310</v>
      </c>
      <c r="F553" t="str">
        <f>Config!$B$7</f>
        <v>SCH/Connector.SchLib</v>
      </c>
      <c r="G553" t="s">
        <v>14827</v>
      </c>
      <c r="H553" t="s">
        <v>15043</v>
      </c>
      <c r="I553" t="s">
        <v>15603</v>
      </c>
      <c r="K553" s="47" t="s">
        <v>16102</v>
      </c>
      <c r="L553" t="s">
        <v>16099</v>
      </c>
      <c r="M553" t="s">
        <v>16116</v>
      </c>
    </row>
    <row r="554" spans="1:13">
      <c r="A554" t="s">
        <v>15754</v>
      </c>
      <c r="B554" t="s">
        <v>15754</v>
      </c>
      <c r="C554" t="s">
        <v>15755</v>
      </c>
      <c r="D554" t="s">
        <v>4310</v>
      </c>
      <c r="F554" t="str">
        <f>Config!$B$7</f>
        <v>SCH/Connector.SchLib</v>
      </c>
      <c r="G554" t="s">
        <v>14827</v>
      </c>
      <c r="H554" t="s">
        <v>15043</v>
      </c>
      <c r="I554" t="s">
        <v>15604</v>
      </c>
      <c r="K554" s="47" t="s">
        <v>16102</v>
      </c>
      <c r="L554" t="s">
        <v>16102</v>
      </c>
      <c r="M554" t="s">
        <v>16116</v>
      </c>
    </row>
    <row r="555" spans="1:13">
      <c r="A555" t="s">
        <v>15756</v>
      </c>
      <c r="B555" t="s">
        <v>15756</v>
      </c>
      <c r="C555" t="s">
        <v>15757</v>
      </c>
      <c r="D555" t="s">
        <v>4310</v>
      </c>
      <c r="F555" t="str">
        <f>Config!$B$7</f>
        <v>SCH/Connector.SchLib</v>
      </c>
      <c r="G555" t="s">
        <v>14827</v>
      </c>
      <c r="H555" t="s">
        <v>15043</v>
      </c>
      <c r="I555" t="s">
        <v>15605</v>
      </c>
      <c r="K555" s="47" t="s">
        <v>16102</v>
      </c>
      <c r="L555" t="s">
        <v>16112</v>
      </c>
      <c r="M555" t="s">
        <v>16116</v>
      </c>
    </row>
    <row r="556" spans="1:13">
      <c r="A556" t="s">
        <v>15758</v>
      </c>
      <c r="B556" t="s">
        <v>15758</v>
      </c>
      <c r="C556" t="s">
        <v>15759</v>
      </c>
      <c r="D556" t="s">
        <v>4310</v>
      </c>
      <c r="F556" t="str">
        <f>Config!$B$7</f>
        <v>SCH/Connector.SchLib</v>
      </c>
      <c r="G556" t="s">
        <v>14827</v>
      </c>
      <c r="H556" t="s">
        <v>15043</v>
      </c>
      <c r="I556" t="s">
        <v>15606</v>
      </c>
      <c r="K556" s="47" t="s">
        <v>16103</v>
      </c>
      <c r="L556" t="s">
        <v>16094</v>
      </c>
      <c r="M556" t="s">
        <v>16116</v>
      </c>
    </row>
    <row r="557" spans="1:13">
      <c r="A557" t="s">
        <v>15760</v>
      </c>
      <c r="B557" t="s">
        <v>15760</v>
      </c>
      <c r="C557" t="s">
        <v>15761</v>
      </c>
      <c r="D557" t="s">
        <v>4310</v>
      </c>
      <c r="F557" t="str">
        <f>Config!$B$7</f>
        <v>SCH/Connector.SchLib</v>
      </c>
      <c r="G557" t="s">
        <v>14827</v>
      </c>
      <c r="H557" t="s">
        <v>15043</v>
      </c>
      <c r="I557" t="s">
        <v>15607</v>
      </c>
      <c r="K557" s="47" t="s">
        <v>16103</v>
      </c>
      <c r="L557" t="s">
        <v>16095</v>
      </c>
      <c r="M557" t="s">
        <v>16116</v>
      </c>
    </row>
    <row r="558" spans="1:13">
      <c r="A558" t="s">
        <v>15762</v>
      </c>
      <c r="B558" t="s">
        <v>15762</v>
      </c>
      <c r="C558" t="s">
        <v>15763</v>
      </c>
      <c r="D558" t="s">
        <v>4310</v>
      </c>
      <c r="F558" t="str">
        <f>Config!$B$7</f>
        <v>SCH/Connector.SchLib</v>
      </c>
      <c r="G558" t="s">
        <v>14827</v>
      </c>
      <c r="H558" t="s">
        <v>15043</v>
      </c>
      <c r="I558" t="s">
        <v>15608</v>
      </c>
      <c r="K558" s="47" t="s">
        <v>16103</v>
      </c>
      <c r="L558" t="s">
        <v>16107</v>
      </c>
      <c r="M558" t="s">
        <v>16116</v>
      </c>
    </row>
    <row r="559" spans="1:13">
      <c r="A559" t="s">
        <v>15764</v>
      </c>
      <c r="B559" t="s">
        <v>15764</v>
      </c>
      <c r="C559" t="s">
        <v>15765</v>
      </c>
      <c r="D559" t="s">
        <v>4310</v>
      </c>
      <c r="F559" t="str">
        <f>Config!$B$7</f>
        <v>SCH/Connector.SchLib</v>
      </c>
      <c r="G559" t="s">
        <v>14827</v>
      </c>
      <c r="H559" t="s">
        <v>15043</v>
      </c>
      <c r="I559" t="s">
        <v>15609</v>
      </c>
      <c r="K559" s="47" t="s">
        <v>16103</v>
      </c>
      <c r="L559" t="s">
        <v>16100</v>
      </c>
      <c r="M559" t="s">
        <v>16116</v>
      </c>
    </row>
    <row r="560" spans="1:13">
      <c r="A560" t="s">
        <v>15766</v>
      </c>
      <c r="B560" t="s">
        <v>15766</v>
      </c>
      <c r="C560" t="s">
        <v>15767</v>
      </c>
      <c r="D560" t="s">
        <v>4310</v>
      </c>
      <c r="F560" t="str">
        <f>Config!$B$7</f>
        <v>SCH/Connector.SchLib</v>
      </c>
      <c r="G560" t="s">
        <v>14827</v>
      </c>
      <c r="H560" t="s">
        <v>15043</v>
      </c>
      <c r="I560" t="s">
        <v>15610</v>
      </c>
      <c r="K560" s="47" t="s">
        <v>16103</v>
      </c>
      <c r="L560" t="s">
        <v>16108</v>
      </c>
      <c r="M560" t="s">
        <v>16116</v>
      </c>
    </row>
    <row r="561" spans="1:13">
      <c r="A561" t="s">
        <v>15768</v>
      </c>
      <c r="B561" t="s">
        <v>15768</v>
      </c>
      <c r="C561" t="s">
        <v>15769</v>
      </c>
      <c r="D561" t="s">
        <v>4310</v>
      </c>
      <c r="F561" t="str">
        <f>Config!$B$7</f>
        <v>SCH/Connector.SchLib</v>
      </c>
      <c r="G561" t="s">
        <v>14827</v>
      </c>
      <c r="H561" t="s">
        <v>15043</v>
      </c>
      <c r="I561" t="s">
        <v>15611</v>
      </c>
      <c r="K561" s="47" t="s">
        <v>16103</v>
      </c>
      <c r="L561" t="s">
        <v>16113</v>
      </c>
      <c r="M561" t="s">
        <v>16116</v>
      </c>
    </row>
    <row r="563" spans="1:13">
      <c r="A563" t="s">
        <v>14980</v>
      </c>
      <c r="B563" t="s">
        <v>14980</v>
      </c>
      <c r="C563" t="s">
        <v>15010</v>
      </c>
      <c r="D563" t="s">
        <v>4310</v>
      </c>
      <c r="F563" t="str">
        <f>Config!$B$7</f>
        <v>SCH/Connector.SchLib</v>
      </c>
      <c r="G563" t="s">
        <v>14827</v>
      </c>
      <c r="H563" t="s">
        <v>15040</v>
      </c>
      <c r="I563" t="s">
        <v>14857</v>
      </c>
      <c r="K563" s="47" t="s">
        <v>16093</v>
      </c>
      <c r="L563" t="s">
        <v>16093</v>
      </c>
      <c r="M563" t="s">
        <v>16115</v>
      </c>
    </row>
    <row r="564" spans="1:13">
      <c r="A564" t="s">
        <v>14981</v>
      </c>
      <c r="B564" t="s">
        <v>14981</v>
      </c>
      <c r="C564" t="s">
        <v>15011</v>
      </c>
      <c r="D564" t="s">
        <v>4310</v>
      </c>
      <c r="F564" t="str">
        <f>Config!$B$7</f>
        <v>SCH/Connector.SchLib</v>
      </c>
      <c r="G564" t="s">
        <v>14827</v>
      </c>
      <c r="H564" t="s">
        <v>15040</v>
      </c>
      <c r="I564" t="s">
        <v>14858</v>
      </c>
      <c r="K564" s="47" t="s">
        <v>16093</v>
      </c>
      <c r="L564" t="s">
        <v>16094</v>
      </c>
      <c r="M564" t="s">
        <v>16115</v>
      </c>
    </row>
    <row r="565" spans="1:13">
      <c r="A565" t="s">
        <v>14982</v>
      </c>
      <c r="B565" t="s">
        <v>14982</v>
      </c>
      <c r="C565" t="s">
        <v>15012</v>
      </c>
      <c r="D565" t="s">
        <v>4310</v>
      </c>
      <c r="F565" t="str">
        <f>Config!$B$7</f>
        <v>SCH/Connector.SchLib</v>
      </c>
      <c r="G565" t="s">
        <v>14827</v>
      </c>
      <c r="H565" t="s">
        <v>15040</v>
      </c>
      <c r="I565" t="s">
        <v>14829</v>
      </c>
      <c r="K565" s="47" t="s">
        <v>16094</v>
      </c>
      <c r="L565" t="s">
        <v>16093</v>
      </c>
      <c r="M565" t="s">
        <v>16115</v>
      </c>
    </row>
    <row r="566" spans="1:13">
      <c r="A566" t="s">
        <v>14983</v>
      </c>
      <c r="B566" t="s">
        <v>14983</v>
      </c>
      <c r="C566" t="s">
        <v>15013</v>
      </c>
      <c r="D566" t="s">
        <v>4310</v>
      </c>
      <c r="F566" t="str">
        <f>Config!$B$7</f>
        <v>SCH/Connector.SchLib</v>
      </c>
      <c r="G566" t="s">
        <v>14827</v>
      </c>
      <c r="H566" t="s">
        <v>15040</v>
      </c>
      <c r="I566" t="s">
        <v>14830</v>
      </c>
      <c r="K566" s="47" t="s">
        <v>16094</v>
      </c>
      <c r="L566" t="s">
        <v>16094</v>
      </c>
      <c r="M566" t="s">
        <v>16115</v>
      </c>
    </row>
    <row r="567" spans="1:13">
      <c r="A567" t="s">
        <v>14984</v>
      </c>
      <c r="B567" t="s">
        <v>14984</v>
      </c>
      <c r="C567" t="s">
        <v>15014</v>
      </c>
      <c r="D567" t="s">
        <v>4310</v>
      </c>
      <c r="F567" t="str">
        <f>Config!$B$7</f>
        <v>SCH/Connector.SchLib</v>
      </c>
      <c r="G567" t="s">
        <v>14827</v>
      </c>
      <c r="H567" t="s">
        <v>15040</v>
      </c>
      <c r="I567" t="s">
        <v>14831</v>
      </c>
      <c r="K567" s="47" t="s">
        <v>16094</v>
      </c>
      <c r="L567" t="s">
        <v>16095</v>
      </c>
      <c r="M567" t="s">
        <v>16115</v>
      </c>
    </row>
    <row r="568" spans="1:13">
      <c r="A568" t="s">
        <v>14985</v>
      </c>
      <c r="B568" t="s">
        <v>14985</v>
      </c>
      <c r="C568" t="s">
        <v>15015</v>
      </c>
      <c r="D568" t="s">
        <v>4310</v>
      </c>
      <c r="F568" t="str">
        <f>Config!$B$7</f>
        <v>SCH/Connector.SchLib</v>
      </c>
      <c r="G568" t="s">
        <v>14827</v>
      </c>
      <c r="H568" t="s">
        <v>15040</v>
      </c>
      <c r="I568" t="s">
        <v>14832</v>
      </c>
      <c r="K568" s="47" t="s">
        <v>16095</v>
      </c>
      <c r="L568" t="s">
        <v>16093</v>
      </c>
      <c r="M568" t="s">
        <v>16115</v>
      </c>
    </row>
    <row r="569" spans="1:13">
      <c r="A569" t="s">
        <v>14986</v>
      </c>
      <c r="B569" t="s">
        <v>14986</v>
      </c>
      <c r="C569" t="s">
        <v>15016</v>
      </c>
      <c r="D569" t="s">
        <v>4310</v>
      </c>
      <c r="F569" t="str">
        <f>Config!$B$7</f>
        <v>SCH/Connector.SchLib</v>
      </c>
      <c r="G569" t="s">
        <v>14827</v>
      </c>
      <c r="H569" t="s">
        <v>15040</v>
      </c>
      <c r="I569" t="s">
        <v>14833</v>
      </c>
      <c r="K569" s="47" t="s">
        <v>16095</v>
      </c>
      <c r="L569" t="s">
        <v>16094</v>
      </c>
      <c r="M569" t="s">
        <v>16115</v>
      </c>
    </row>
    <row r="570" spans="1:13">
      <c r="A570" t="s">
        <v>14987</v>
      </c>
      <c r="B570" t="s">
        <v>14987</v>
      </c>
      <c r="C570" t="s">
        <v>15017</v>
      </c>
      <c r="D570" t="s">
        <v>4310</v>
      </c>
      <c r="F570" t="str">
        <f>Config!$B$7</f>
        <v>SCH/Connector.SchLib</v>
      </c>
      <c r="G570" t="s">
        <v>14827</v>
      </c>
      <c r="H570" t="s">
        <v>15040</v>
      </c>
      <c r="I570" t="s">
        <v>14834</v>
      </c>
      <c r="K570" s="47" t="s">
        <v>16095</v>
      </c>
      <c r="L570" t="s">
        <v>16095</v>
      </c>
      <c r="M570" t="s">
        <v>16115</v>
      </c>
    </row>
    <row r="571" spans="1:13">
      <c r="A571" t="s">
        <v>14988</v>
      </c>
      <c r="B571" t="s">
        <v>14988</v>
      </c>
      <c r="C571" t="s">
        <v>15018</v>
      </c>
      <c r="D571" t="s">
        <v>4310</v>
      </c>
      <c r="F571" t="str">
        <f>Config!$B$7</f>
        <v>SCH/Connector.SchLib</v>
      </c>
      <c r="G571" t="s">
        <v>14827</v>
      </c>
      <c r="H571" t="s">
        <v>15040</v>
      </c>
      <c r="I571" t="s">
        <v>14835</v>
      </c>
      <c r="K571" s="47" t="s">
        <v>16095</v>
      </c>
      <c r="L571" t="s">
        <v>16097</v>
      </c>
      <c r="M571" t="s">
        <v>16115</v>
      </c>
    </row>
    <row r="572" spans="1:13">
      <c r="A572" t="s">
        <v>14989</v>
      </c>
      <c r="B572" t="s">
        <v>14989</v>
      </c>
      <c r="C572" t="s">
        <v>15019</v>
      </c>
      <c r="D572" t="s">
        <v>4310</v>
      </c>
      <c r="F572" t="str">
        <f>Config!$B$7</f>
        <v>SCH/Connector.SchLib</v>
      </c>
      <c r="G572" t="s">
        <v>14827</v>
      </c>
      <c r="H572" t="s">
        <v>15040</v>
      </c>
      <c r="I572" t="s">
        <v>14836</v>
      </c>
      <c r="K572" s="47" t="s">
        <v>16096</v>
      </c>
      <c r="L572" t="s">
        <v>16104</v>
      </c>
      <c r="M572" t="s">
        <v>16115</v>
      </c>
    </row>
    <row r="573" spans="1:13">
      <c r="A573" t="s">
        <v>14990</v>
      </c>
      <c r="B573" t="s">
        <v>14990</v>
      </c>
      <c r="C573" t="s">
        <v>15020</v>
      </c>
      <c r="D573" t="s">
        <v>4310</v>
      </c>
      <c r="F573" t="str">
        <f>Config!$B$7</f>
        <v>SCH/Connector.SchLib</v>
      </c>
      <c r="G573" t="s">
        <v>14827</v>
      </c>
      <c r="H573" t="s">
        <v>15040</v>
      </c>
      <c r="I573" t="s">
        <v>14837</v>
      </c>
      <c r="K573" s="47" t="s">
        <v>16096</v>
      </c>
      <c r="L573" t="s">
        <v>16096</v>
      </c>
      <c r="M573" t="s">
        <v>16115</v>
      </c>
    </row>
    <row r="574" spans="1:13">
      <c r="A574" t="s">
        <v>14991</v>
      </c>
      <c r="B574" t="s">
        <v>14991</v>
      </c>
      <c r="C574" t="s">
        <v>15021</v>
      </c>
      <c r="D574" t="s">
        <v>4310</v>
      </c>
      <c r="F574" t="str">
        <f>Config!$B$7</f>
        <v>SCH/Connector.SchLib</v>
      </c>
      <c r="G574" t="s">
        <v>14827</v>
      </c>
      <c r="H574" t="s">
        <v>15040</v>
      </c>
      <c r="I574" t="s">
        <v>14838</v>
      </c>
      <c r="K574" s="47" t="s">
        <v>16096</v>
      </c>
      <c r="L574" t="s">
        <v>16098</v>
      </c>
      <c r="M574" t="s">
        <v>16115</v>
      </c>
    </row>
    <row r="575" spans="1:13">
      <c r="A575" t="s">
        <v>14992</v>
      </c>
      <c r="B575" t="s">
        <v>14992</v>
      </c>
      <c r="C575" t="s">
        <v>15022</v>
      </c>
      <c r="D575" t="s">
        <v>4310</v>
      </c>
      <c r="F575" t="str">
        <f>Config!$B$7</f>
        <v>SCH/Connector.SchLib</v>
      </c>
      <c r="G575" t="s">
        <v>14827</v>
      </c>
      <c r="H575" t="s">
        <v>15040</v>
      </c>
      <c r="I575" t="s">
        <v>14839</v>
      </c>
      <c r="K575" s="47" t="s">
        <v>16097</v>
      </c>
      <c r="L575" t="s">
        <v>16094</v>
      </c>
      <c r="M575" t="s">
        <v>16115</v>
      </c>
    </row>
    <row r="576" spans="1:13">
      <c r="A576" t="s">
        <v>14993</v>
      </c>
      <c r="B576" t="s">
        <v>14993</v>
      </c>
      <c r="C576" t="s">
        <v>15023</v>
      </c>
      <c r="D576" t="s">
        <v>4310</v>
      </c>
      <c r="F576" t="str">
        <f>Config!$B$7</f>
        <v>SCH/Connector.SchLib</v>
      </c>
      <c r="G576" t="s">
        <v>14827</v>
      </c>
      <c r="H576" t="s">
        <v>15040</v>
      </c>
      <c r="I576" t="s">
        <v>14840</v>
      </c>
      <c r="K576" s="47" t="s">
        <v>16097</v>
      </c>
      <c r="L576" t="s">
        <v>16095</v>
      </c>
      <c r="M576" t="s">
        <v>16115</v>
      </c>
    </row>
    <row r="577" spans="1:13">
      <c r="A577" t="s">
        <v>14994</v>
      </c>
      <c r="B577" t="s">
        <v>14994</v>
      </c>
      <c r="C577" t="s">
        <v>15024</v>
      </c>
      <c r="D577" t="s">
        <v>4310</v>
      </c>
      <c r="F577" t="str">
        <f>Config!$B$7</f>
        <v>SCH/Connector.SchLib</v>
      </c>
      <c r="G577" t="s">
        <v>14827</v>
      </c>
      <c r="H577" t="s">
        <v>15040</v>
      </c>
      <c r="I577" t="s">
        <v>14841</v>
      </c>
      <c r="K577" s="47" t="s">
        <v>16097</v>
      </c>
      <c r="L577" t="s">
        <v>16097</v>
      </c>
      <c r="M577" t="s">
        <v>16115</v>
      </c>
    </row>
    <row r="578" spans="1:13">
      <c r="A578" t="s">
        <v>14995</v>
      </c>
      <c r="B578" t="s">
        <v>14995</v>
      </c>
      <c r="C578" t="s">
        <v>15025</v>
      </c>
      <c r="D578" t="s">
        <v>4310</v>
      </c>
      <c r="F578" t="str">
        <f>Config!$B$7</f>
        <v>SCH/Connector.SchLib</v>
      </c>
      <c r="G578" t="s">
        <v>14827</v>
      </c>
      <c r="H578" t="s">
        <v>15040</v>
      </c>
      <c r="I578" t="s">
        <v>14842</v>
      </c>
      <c r="K578" s="47" t="s">
        <v>16097</v>
      </c>
      <c r="L578" t="s">
        <v>16099</v>
      </c>
      <c r="M578" t="s">
        <v>16115</v>
      </c>
    </row>
    <row r="579" spans="1:13">
      <c r="A579" t="s">
        <v>14996</v>
      </c>
      <c r="B579" t="s">
        <v>14996</v>
      </c>
      <c r="C579" t="s">
        <v>15026</v>
      </c>
      <c r="D579" t="s">
        <v>4310</v>
      </c>
      <c r="F579" t="str">
        <f>Config!$B$7</f>
        <v>SCH/Connector.SchLib</v>
      </c>
      <c r="G579" t="s">
        <v>14827</v>
      </c>
      <c r="H579" t="s">
        <v>15040</v>
      </c>
      <c r="I579" t="s">
        <v>14843</v>
      </c>
      <c r="K579" s="47" t="s">
        <v>16098</v>
      </c>
      <c r="L579" t="s">
        <v>16104</v>
      </c>
      <c r="M579" t="s">
        <v>16115</v>
      </c>
    </row>
    <row r="580" spans="1:13">
      <c r="A580" t="s">
        <v>14997</v>
      </c>
      <c r="B580" t="s">
        <v>14997</v>
      </c>
      <c r="C580" t="s">
        <v>15027</v>
      </c>
      <c r="D580" t="s">
        <v>4310</v>
      </c>
      <c r="F580" t="str">
        <f>Config!$B$7</f>
        <v>SCH/Connector.SchLib</v>
      </c>
      <c r="G580" t="s">
        <v>14827</v>
      </c>
      <c r="H580" t="s">
        <v>15040</v>
      </c>
      <c r="I580" t="s">
        <v>14844</v>
      </c>
      <c r="K580" s="47" t="s">
        <v>16098</v>
      </c>
      <c r="L580" t="s">
        <v>16096</v>
      </c>
      <c r="M580" t="s">
        <v>16115</v>
      </c>
    </row>
    <row r="581" spans="1:13">
      <c r="A581" t="s">
        <v>14998</v>
      </c>
      <c r="B581" t="s">
        <v>14998</v>
      </c>
      <c r="C581" t="s">
        <v>15028</v>
      </c>
      <c r="D581" t="s">
        <v>4310</v>
      </c>
      <c r="F581" t="str">
        <f>Config!$B$7</f>
        <v>SCH/Connector.SchLib</v>
      </c>
      <c r="G581" t="s">
        <v>14827</v>
      </c>
      <c r="H581" t="s">
        <v>15040</v>
      </c>
      <c r="I581" t="s">
        <v>14845</v>
      </c>
      <c r="K581" s="47" t="s">
        <v>16098</v>
      </c>
      <c r="L581" t="s">
        <v>16098</v>
      </c>
      <c r="M581" t="s">
        <v>16115</v>
      </c>
    </row>
    <row r="582" spans="1:13">
      <c r="A582" t="s">
        <v>14999</v>
      </c>
      <c r="B582" t="s">
        <v>14999</v>
      </c>
      <c r="C582" t="s">
        <v>15029</v>
      </c>
      <c r="D582" t="s">
        <v>4310</v>
      </c>
      <c r="F582" t="str">
        <f>Config!$B$7</f>
        <v>SCH/Connector.SchLib</v>
      </c>
      <c r="G582" t="s">
        <v>14827</v>
      </c>
      <c r="H582" t="s">
        <v>15040</v>
      </c>
      <c r="I582" t="s">
        <v>14846</v>
      </c>
      <c r="K582" s="47" t="s">
        <v>16098</v>
      </c>
      <c r="L582" t="s">
        <v>16101</v>
      </c>
      <c r="M582" t="s">
        <v>16115</v>
      </c>
    </row>
    <row r="583" spans="1:13">
      <c r="A583" t="s">
        <v>15000</v>
      </c>
      <c r="B583" t="s">
        <v>15000</v>
      </c>
      <c r="C583" t="s">
        <v>15030</v>
      </c>
      <c r="D583" t="s">
        <v>4310</v>
      </c>
      <c r="F583" t="str">
        <f>Config!$B$7</f>
        <v>SCH/Connector.SchLib</v>
      </c>
      <c r="G583" t="s">
        <v>14827</v>
      </c>
      <c r="H583" t="s">
        <v>15040</v>
      </c>
      <c r="I583" t="s">
        <v>14847</v>
      </c>
      <c r="K583" s="47" t="s">
        <v>16099</v>
      </c>
      <c r="L583" t="s">
        <v>16105</v>
      </c>
      <c r="M583" t="s">
        <v>16115</v>
      </c>
    </row>
    <row r="584" spans="1:13">
      <c r="A584" t="s">
        <v>15001</v>
      </c>
      <c r="B584" t="s">
        <v>15001</v>
      </c>
      <c r="C584" t="s">
        <v>15031</v>
      </c>
      <c r="D584" t="s">
        <v>4310</v>
      </c>
      <c r="F584" t="str">
        <f>Config!$B$7</f>
        <v>SCH/Connector.SchLib</v>
      </c>
      <c r="G584" t="s">
        <v>14827</v>
      </c>
      <c r="H584" t="s">
        <v>15040</v>
      </c>
      <c r="I584" t="s">
        <v>14848</v>
      </c>
      <c r="K584" s="47" t="s">
        <v>16099</v>
      </c>
      <c r="L584" t="s">
        <v>16095</v>
      </c>
      <c r="M584" t="s">
        <v>16115</v>
      </c>
    </row>
    <row r="585" spans="1:13">
      <c r="A585" t="s">
        <v>15002</v>
      </c>
      <c r="B585" t="s">
        <v>15002</v>
      </c>
      <c r="C585" t="s">
        <v>15032</v>
      </c>
      <c r="D585" t="s">
        <v>4310</v>
      </c>
      <c r="F585" t="str">
        <f>Config!$B$7</f>
        <v>SCH/Connector.SchLib</v>
      </c>
      <c r="G585" t="s">
        <v>14827</v>
      </c>
      <c r="H585" t="s">
        <v>15040</v>
      </c>
      <c r="I585" t="s">
        <v>14849</v>
      </c>
      <c r="K585" s="47" t="s">
        <v>16099</v>
      </c>
      <c r="L585" t="s">
        <v>16097</v>
      </c>
      <c r="M585" t="s">
        <v>16115</v>
      </c>
    </row>
    <row r="586" spans="1:13">
      <c r="A586" t="s">
        <v>15003</v>
      </c>
      <c r="B586" t="s">
        <v>15003</v>
      </c>
      <c r="C586" t="s">
        <v>15033</v>
      </c>
      <c r="D586" t="s">
        <v>4310</v>
      </c>
      <c r="F586" t="str">
        <f>Config!$B$7</f>
        <v>SCH/Connector.SchLib</v>
      </c>
      <c r="G586" t="s">
        <v>14827</v>
      </c>
      <c r="H586" t="s">
        <v>15040</v>
      </c>
      <c r="I586" t="s">
        <v>14850</v>
      </c>
      <c r="K586" s="47" t="s">
        <v>16099</v>
      </c>
      <c r="L586" t="s">
        <v>16099</v>
      </c>
      <c r="M586" t="s">
        <v>16115</v>
      </c>
    </row>
    <row r="587" spans="1:13">
      <c r="A587" t="s">
        <v>15004</v>
      </c>
      <c r="B587" t="s">
        <v>15004</v>
      </c>
      <c r="C587" t="s">
        <v>15034</v>
      </c>
      <c r="D587" t="s">
        <v>4310</v>
      </c>
      <c r="F587" t="str">
        <f>Config!$B$7</f>
        <v>SCH/Connector.SchLib</v>
      </c>
      <c r="G587" t="s">
        <v>14827</v>
      </c>
      <c r="H587" t="s">
        <v>15040</v>
      </c>
      <c r="I587" t="s">
        <v>14851</v>
      </c>
      <c r="K587" s="47" t="s">
        <v>16099</v>
      </c>
      <c r="L587" t="s">
        <v>16102</v>
      </c>
      <c r="M587" t="s">
        <v>16115</v>
      </c>
    </row>
    <row r="588" spans="1:13">
      <c r="A588" t="s">
        <v>15005</v>
      </c>
      <c r="B588" t="s">
        <v>15005</v>
      </c>
      <c r="C588" t="s">
        <v>15035</v>
      </c>
      <c r="D588" t="s">
        <v>4310</v>
      </c>
      <c r="F588" t="str">
        <f>Config!$B$7</f>
        <v>SCH/Connector.SchLib</v>
      </c>
      <c r="G588" t="s">
        <v>14827</v>
      </c>
      <c r="H588" t="s">
        <v>15040</v>
      </c>
      <c r="I588" t="s">
        <v>14852</v>
      </c>
      <c r="K588" s="47" t="s">
        <v>16100</v>
      </c>
      <c r="L588" t="s">
        <v>16094</v>
      </c>
      <c r="M588" t="s">
        <v>16115</v>
      </c>
    </row>
    <row r="589" spans="1:13">
      <c r="A589" t="s">
        <v>15690</v>
      </c>
      <c r="B589" t="s">
        <v>15690</v>
      </c>
      <c r="C589" t="s">
        <v>15710</v>
      </c>
      <c r="D589" t="s">
        <v>4310</v>
      </c>
      <c r="F589" t="str">
        <f>Config!$B$7</f>
        <v>SCH/Connector.SchLib</v>
      </c>
      <c r="G589" t="s">
        <v>14827</v>
      </c>
      <c r="H589" t="s">
        <v>15040</v>
      </c>
      <c r="I589" t="s">
        <v>15590</v>
      </c>
      <c r="K589" s="47" t="s">
        <v>16100</v>
      </c>
      <c r="L589" t="s">
        <v>16095</v>
      </c>
      <c r="M589" t="s">
        <v>16115</v>
      </c>
    </row>
    <row r="590" spans="1:13">
      <c r="A590" t="s">
        <v>15006</v>
      </c>
      <c r="B590" t="s">
        <v>15006</v>
      </c>
      <c r="C590" t="s">
        <v>15036</v>
      </c>
      <c r="D590" t="s">
        <v>4310</v>
      </c>
      <c r="F590" t="str">
        <f>Config!$B$7</f>
        <v>SCH/Connector.SchLib</v>
      </c>
      <c r="G590" t="s">
        <v>14827</v>
      </c>
      <c r="H590" t="s">
        <v>15040</v>
      </c>
      <c r="I590" t="s">
        <v>14853</v>
      </c>
      <c r="K590" s="47" t="s">
        <v>16100</v>
      </c>
      <c r="L590" t="s">
        <v>16106</v>
      </c>
      <c r="M590" t="s">
        <v>16115</v>
      </c>
    </row>
    <row r="591" spans="1:13">
      <c r="A591" t="s">
        <v>15007</v>
      </c>
      <c r="B591" t="s">
        <v>15007</v>
      </c>
      <c r="C591" t="s">
        <v>15037</v>
      </c>
      <c r="D591" t="s">
        <v>4310</v>
      </c>
      <c r="F591" t="str">
        <f>Config!$B$7</f>
        <v>SCH/Connector.SchLib</v>
      </c>
      <c r="G591" t="s">
        <v>14827</v>
      </c>
      <c r="H591" t="s">
        <v>15040</v>
      </c>
      <c r="I591" t="s">
        <v>14854</v>
      </c>
      <c r="K591" s="47" t="s">
        <v>16100</v>
      </c>
      <c r="L591" t="s">
        <v>16107</v>
      </c>
      <c r="M591" t="s">
        <v>16115</v>
      </c>
    </row>
    <row r="592" spans="1:13">
      <c r="A592" t="s">
        <v>15008</v>
      </c>
      <c r="B592" t="s">
        <v>15008</v>
      </c>
      <c r="C592" t="s">
        <v>15038</v>
      </c>
      <c r="D592" t="s">
        <v>4310</v>
      </c>
      <c r="F592" t="str">
        <f>Config!$B$7</f>
        <v>SCH/Connector.SchLib</v>
      </c>
      <c r="G592" t="s">
        <v>14827</v>
      </c>
      <c r="H592" t="s">
        <v>15040</v>
      </c>
      <c r="I592" t="s">
        <v>14855</v>
      </c>
      <c r="K592" s="47" t="s">
        <v>16100</v>
      </c>
      <c r="L592" t="s">
        <v>16100</v>
      </c>
      <c r="M592" t="s">
        <v>16115</v>
      </c>
    </row>
    <row r="593" spans="1:13">
      <c r="A593" t="s">
        <v>15009</v>
      </c>
      <c r="B593" t="s">
        <v>15009</v>
      </c>
      <c r="C593" t="s">
        <v>15039</v>
      </c>
      <c r="D593" t="s">
        <v>4310</v>
      </c>
      <c r="F593" t="str">
        <f>Config!$B$7</f>
        <v>SCH/Connector.SchLib</v>
      </c>
      <c r="G593" t="s">
        <v>14827</v>
      </c>
      <c r="H593" t="s">
        <v>15040</v>
      </c>
      <c r="I593" t="s">
        <v>14856</v>
      </c>
      <c r="K593" s="47" t="s">
        <v>16100</v>
      </c>
      <c r="L593" t="s">
        <v>16108</v>
      </c>
      <c r="M593" t="s">
        <v>16115</v>
      </c>
    </row>
    <row r="594" spans="1:13">
      <c r="A594" t="s">
        <v>15691</v>
      </c>
      <c r="B594" t="s">
        <v>15691</v>
      </c>
      <c r="C594" t="s">
        <v>15711</v>
      </c>
      <c r="D594" t="s">
        <v>4310</v>
      </c>
      <c r="F594" t="str">
        <f>Config!$B$7</f>
        <v>SCH/Connector.SchLib</v>
      </c>
      <c r="G594" t="s">
        <v>14827</v>
      </c>
      <c r="H594" t="s">
        <v>15040</v>
      </c>
      <c r="I594" t="s">
        <v>15593</v>
      </c>
      <c r="K594" s="47" t="s">
        <v>16101</v>
      </c>
      <c r="L594" t="s">
        <v>16109</v>
      </c>
      <c r="M594" t="s">
        <v>16115</v>
      </c>
    </row>
    <row r="595" spans="1:13">
      <c r="A595" t="s">
        <v>15692</v>
      </c>
      <c r="B595" t="s">
        <v>15692</v>
      </c>
      <c r="C595" t="s">
        <v>15712</v>
      </c>
      <c r="D595" t="s">
        <v>4310</v>
      </c>
      <c r="F595" t="str">
        <f>Config!$B$7</f>
        <v>SCH/Connector.SchLib</v>
      </c>
      <c r="G595" t="s">
        <v>14827</v>
      </c>
      <c r="H595" t="s">
        <v>15040</v>
      </c>
      <c r="I595" t="s">
        <v>15594</v>
      </c>
      <c r="K595" s="47" t="s">
        <v>16101</v>
      </c>
      <c r="L595" t="s">
        <v>16095</v>
      </c>
      <c r="M595" t="s">
        <v>16115</v>
      </c>
    </row>
    <row r="596" spans="1:13">
      <c r="A596" t="s">
        <v>15693</v>
      </c>
      <c r="B596" t="s">
        <v>15693</v>
      </c>
      <c r="C596" t="s">
        <v>15713</v>
      </c>
      <c r="D596" t="s">
        <v>4310</v>
      </c>
      <c r="F596" t="str">
        <f>Config!$B$7</f>
        <v>SCH/Connector.SchLib</v>
      </c>
      <c r="G596" t="s">
        <v>14827</v>
      </c>
      <c r="H596" t="s">
        <v>15040</v>
      </c>
      <c r="I596" t="s">
        <v>15595</v>
      </c>
      <c r="K596" s="47" t="s">
        <v>16101</v>
      </c>
      <c r="L596" t="s">
        <v>16096</v>
      </c>
      <c r="M596" t="s">
        <v>16115</v>
      </c>
    </row>
    <row r="597" spans="1:13">
      <c r="A597" t="s">
        <v>15694</v>
      </c>
      <c r="B597" t="s">
        <v>15694</v>
      </c>
      <c r="C597" t="s">
        <v>15714</v>
      </c>
      <c r="D597" t="s">
        <v>4310</v>
      </c>
      <c r="F597" t="str">
        <f>Config!$B$7</f>
        <v>SCH/Connector.SchLib</v>
      </c>
      <c r="G597" t="s">
        <v>14827</v>
      </c>
      <c r="H597" t="s">
        <v>15040</v>
      </c>
      <c r="I597" t="s">
        <v>15596</v>
      </c>
      <c r="K597" s="47" t="s">
        <v>16101</v>
      </c>
      <c r="L597" t="s">
        <v>16098</v>
      </c>
      <c r="M597" t="s">
        <v>16115</v>
      </c>
    </row>
    <row r="598" spans="1:13">
      <c r="A598" t="s">
        <v>15695</v>
      </c>
      <c r="B598" t="s">
        <v>15695</v>
      </c>
      <c r="C598" t="s">
        <v>15715</v>
      </c>
      <c r="D598" t="s">
        <v>4310</v>
      </c>
      <c r="F598" t="str">
        <f>Config!$B$7</f>
        <v>SCH/Connector.SchLib</v>
      </c>
      <c r="G598" t="s">
        <v>14827</v>
      </c>
      <c r="H598" t="s">
        <v>15040</v>
      </c>
      <c r="I598" t="s">
        <v>15597</v>
      </c>
      <c r="K598" s="47" t="s">
        <v>16101</v>
      </c>
      <c r="L598" t="s">
        <v>16101</v>
      </c>
      <c r="M598" t="s">
        <v>16115</v>
      </c>
    </row>
    <row r="599" spans="1:13">
      <c r="A599" t="s">
        <v>15696</v>
      </c>
      <c r="B599" t="s">
        <v>15696</v>
      </c>
      <c r="C599" t="s">
        <v>15716</v>
      </c>
      <c r="D599" t="s">
        <v>4310</v>
      </c>
      <c r="F599" t="str">
        <f>Config!$B$7</f>
        <v>SCH/Connector.SchLib</v>
      </c>
      <c r="G599" t="s">
        <v>14827</v>
      </c>
      <c r="H599" t="s">
        <v>15040</v>
      </c>
      <c r="I599" t="s">
        <v>15598</v>
      </c>
      <c r="K599" s="47" t="s">
        <v>16101</v>
      </c>
      <c r="L599" t="s">
        <v>16110</v>
      </c>
      <c r="M599" t="s">
        <v>16115</v>
      </c>
    </row>
    <row r="600" spans="1:13">
      <c r="A600" t="s">
        <v>15697</v>
      </c>
      <c r="B600" t="s">
        <v>15697</v>
      </c>
      <c r="C600" t="s">
        <v>15717</v>
      </c>
      <c r="D600" t="s">
        <v>4310</v>
      </c>
      <c r="F600" t="str">
        <f>Config!$B$7</f>
        <v>SCH/Connector.SchLib</v>
      </c>
      <c r="G600" t="s">
        <v>14827</v>
      </c>
      <c r="H600" t="s">
        <v>15040</v>
      </c>
      <c r="I600" t="s">
        <v>15599</v>
      </c>
      <c r="K600" s="47" t="s">
        <v>16102</v>
      </c>
      <c r="L600" t="s">
        <v>16094</v>
      </c>
      <c r="M600" t="s">
        <v>16115</v>
      </c>
    </row>
    <row r="601" spans="1:13">
      <c r="A601" t="s">
        <v>15698</v>
      </c>
      <c r="B601" t="s">
        <v>15698</v>
      </c>
      <c r="C601" t="s">
        <v>15718</v>
      </c>
      <c r="D601" t="s">
        <v>4310</v>
      </c>
      <c r="F601" t="str">
        <f>Config!$B$7</f>
        <v>SCH/Connector.SchLib</v>
      </c>
      <c r="G601" t="s">
        <v>14827</v>
      </c>
      <c r="H601" t="s">
        <v>15040</v>
      </c>
      <c r="I601" t="s">
        <v>15600</v>
      </c>
      <c r="K601" s="47" t="s">
        <v>16102</v>
      </c>
      <c r="L601" t="s">
        <v>16111</v>
      </c>
      <c r="M601" t="s">
        <v>16115</v>
      </c>
    </row>
    <row r="602" spans="1:13">
      <c r="A602" t="s">
        <v>15699</v>
      </c>
      <c r="B602" t="s">
        <v>15699</v>
      </c>
      <c r="C602" t="s">
        <v>15719</v>
      </c>
      <c r="D602" t="s">
        <v>4310</v>
      </c>
      <c r="F602" t="str">
        <f>Config!$B$7</f>
        <v>SCH/Connector.SchLib</v>
      </c>
      <c r="G602" t="s">
        <v>14827</v>
      </c>
      <c r="H602" t="s">
        <v>15040</v>
      </c>
      <c r="I602" t="s">
        <v>15601</v>
      </c>
      <c r="K602" s="47" t="s">
        <v>16102</v>
      </c>
      <c r="L602" t="s">
        <v>16095</v>
      </c>
      <c r="M602" t="s">
        <v>16115</v>
      </c>
    </row>
    <row r="603" spans="1:13">
      <c r="A603" t="s">
        <v>15700</v>
      </c>
      <c r="B603" t="s">
        <v>15700</v>
      </c>
      <c r="C603" t="s">
        <v>15720</v>
      </c>
      <c r="D603" t="s">
        <v>4310</v>
      </c>
      <c r="F603" t="str">
        <f>Config!$B$7</f>
        <v>SCH/Connector.SchLib</v>
      </c>
      <c r="G603" t="s">
        <v>14827</v>
      </c>
      <c r="H603" t="s">
        <v>15040</v>
      </c>
      <c r="I603" t="s">
        <v>15602</v>
      </c>
      <c r="K603" s="47" t="s">
        <v>16102</v>
      </c>
      <c r="L603" t="s">
        <v>16097</v>
      </c>
      <c r="M603" t="s">
        <v>16115</v>
      </c>
    </row>
    <row r="604" spans="1:13">
      <c r="A604" t="s">
        <v>15701</v>
      </c>
      <c r="B604" t="s">
        <v>15701</v>
      </c>
      <c r="C604" t="s">
        <v>15721</v>
      </c>
      <c r="D604" t="s">
        <v>4310</v>
      </c>
      <c r="F604" t="str">
        <f>Config!$B$7</f>
        <v>SCH/Connector.SchLib</v>
      </c>
      <c r="G604" t="s">
        <v>14827</v>
      </c>
      <c r="H604" t="s">
        <v>15040</v>
      </c>
      <c r="I604" t="s">
        <v>15603</v>
      </c>
      <c r="K604" s="47" t="s">
        <v>16102</v>
      </c>
      <c r="L604" t="s">
        <v>16099</v>
      </c>
      <c r="M604" t="s">
        <v>16115</v>
      </c>
    </row>
    <row r="605" spans="1:13">
      <c r="A605" t="s">
        <v>15702</v>
      </c>
      <c r="B605" t="s">
        <v>15702</v>
      </c>
      <c r="C605" t="s">
        <v>15722</v>
      </c>
      <c r="D605" t="s">
        <v>4310</v>
      </c>
      <c r="F605" t="str">
        <f>Config!$B$7</f>
        <v>SCH/Connector.SchLib</v>
      </c>
      <c r="G605" t="s">
        <v>14827</v>
      </c>
      <c r="H605" t="s">
        <v>15040</v>
      </c>
      <c r="I605" t="s">
        <v>15604</v>
      </c>
      <c r="K605" s="47" t="s">
        <v>16102</v>
      </c>
      <c r="L605" t="s">
        <v>16102</v>
      </c>
      <c r="M605" t="s">
        <v>16115</v>
      </c>
    </row>
    <row r="606" spans="1:13">
      <c r="A606" t="s">
        <v>15703</v>
      </c>
      <c r="B606" t="s">
        <v>15703</v>
      </c>
      <c r="C606" t="s">
        <v>15723</v>
      </c>
      <c r="D606" t="s">
        <v>4310</v>
      </c>
      <c r="F606" t="str">
        <f>Config!$B$7</f>
        <v>SCH/Connector.SchLib</v>
      </c>
      <c r="G606" t="s">
        <v>14827</v>
      </c>
      <c r="H606" t="s">
        <v>15040</v>
      </c>
      <c r="I606" t="s">
        <v>15605</v>
      </c>
      <c r="K606" s="47" t="s">
        <v>16102</v>
      </c>
      <c r="L606" t="s">
        <v>16112</v>
      </c>
      <c r="M606" t="s">
        <v>16115</v>
      </c>
    </row>
    <row r="607" spans="1:13">
      <c r="A607" t="s">
        <v>15704</v>
      </c>
      <c r="B607" t="s">
        <v>15704</v>
      </c>
      <c r="C607" t="s">
        <v>15724</v>
      </c>
      <c r="D607" t="s">
        <v>4310</v>
      </c>
      <c r="F607" t="str">
        <f>Config!$B$7</f>
        <v>SCH/Connector.SchLib</v>
      </c>
      <c r="G607" t="s">
        <v>14827</v>
      </c>
      <c r="H607" t="s">
        <v>15040</v>
      </c>
      <c r="I607" t="s">
        <v>15606</v>
      </c>
      <c r="K607" s="47" t="s">
        <v>16103</v>
      </c>
      <c r="L607" t="s">
        <v>16094</v>
      </c>
      <c r="M607" t="s">
        <v>16115</v>
      </c>
    </row>
    <row r="608" spans="1:13">
      <c r="A608" t="s">
        <v>15705</v>
      </c>
      <c r="B608" t="s">
        <v>15705</v>
      </c>
      <c r="C608" t="s">
        <v>15725</v>
      </c>
      <c r="D608" t="s">
        <v>4310</v>
      </c>
      <c r="F608" t="str">
        <f>Config!$B$7</f>
        <v>SCH/Connector.SchLib</v>
      </c>
      <c r="G608" t="s">
        <v>14827</v>
      </c>
      <c r="H608" t="s">
        <v>15040</v>
      </c>
      <c r="I608" t="s">
        <v>15607</v>
      </c>
      <c r="K608" s="47" t="s">
        <v>16103</v>
      </c>
      <c r="L608" t="s">
        <v>16095</v>
      </c>
      <c r="M608" t="s">
        <v>16115</v>
      </c>
    </row>
    <row r="609" spans="1:13">
      <c r="A609" t="s">
        <v>15706</v>
      </c>
      <c r="B609" t="s">
        <v>15706</v>
      </c>
      <c r="C609" t="s">
        <v>15726</v>
      </c>
      <c r="D609" t="s">
        <v>4310</v>
      </c>
      <c r="F609" t="str">
        <f>Config!$B$7</f>
        <v>SCH/Connector.SchLib</v>
      </c>
      <c r="G609" t="s">
        <v>14827</v>
      </c>
      <c r="H609" t="s">
        <v>15040</v>
      </c>
      <c r="I609" t="s">
        <v>15608</v>
      </c>
      <c r="K609" s="47" t="s">
        <v>16103</v>
      </c>
      <c r="L609" t="s">
        <v>16107</v>
      </c>
      <c r="M609" t="s">
        <v>16115</v>
      </c>
    </row>
    <row r="610" spans="1:13">
      <c r="A610" t="s">
        <v>15707</v>
      </c>
      <c r="B610" t="s">
        <v>15707</v>
      </c>
      <c r="C610" t="s">
        <v>15727</v>
      </c>
      <c r="D610" t="s">
        <v>4310</v>
      </c>
      <c r="F610" t="str">
        <f>Config!$B$7</f>
        <v>SCH/Connector.SchLib</v>
      </c>
      <c r="G610" t="s">
        <v>14827</v>
      </c>
      <c r="H610" t="s">
        <v>15040</v>
      </c>
      <c r="I610" t="s">
        <v>15609</v>
      </c>
      <c r="K610" s="47" t="s">
        <v>16103</v>
      </c>
      <c r="L610" t="s">
        <v>16100</v>
      </c>
      <c r="M610" t="s">
        <v>16115</v>
      </c>
    </row>
    <row r="611" spans="1:13">
      <c r="A611" t="s">
        <v>15708</v>
      </c>
      <c r="B611" t="s">
        <v>15708</v>
      </c>
      <c r="C611" t="s">
        <v>15728</v>
      </c>
      <c r="D611" t="s">
        <v>4310</v>
      </c>
      <c r="F611" t="str">
        <f>Config!$B$7</f>
        <v>SCH/Connector.SchLib</v>
      </c>
      <c r="G611" t="s">
        <v>14827</v>
      </c>
      <c r="H611" t="s">
        <v>15040</v>
      </c>
      <c r="I611" t="s">
        <v>15610</v>
      </c>
      <c r="K611" s="47" t="s">
        <v>16103</v>
      </c>
      <c r="L611" t="s">
        <v>16108</v>
      </c>
      <c r="M611" t="s">
        <v>16115</v>
      </c>
    </row>
    <row r="612" spans="1:13">
      <c r="A612" t="s">
        <v>15709</v>
      </c>
      <c r="B612" t="s">
        <v>15709</v>
      </c>
      <c r="C612" t="s">
        <v>15729</v>
      </c>
      <c r="D612" t="s">
        <v>4310</v>
      </c>
      <c r="F612" t="str">
        <f>Config!$B$7</f>
        <v>SCH/Connector.SchLib</v>
      </c>
      <c r="G612" t="s">
        <v>14827</v>
      </c>
      <c r="H612" t="s">
        <v>15040</v>
      </c>
      <c r="I612" t="s">
        <v>15611</v>
      </c>
      <c r="K612" s="47" t="s">
        <v>16103</v>
      </c>
      <c r="L612" t="s">
        <v>16113</v>
      </c>
      <c r="M612" t="s">
        <v>16115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Start</vt:lpstr>
      <vt:lpstr>Config</vt:lpstr>
      <vt:lpstr>R</vt:lpstr>
      <vt:lpstr>C</vt:lpstr>
      <vt:lpstr>L</vt:lpstr>
      <vt:lpstr>D</vt:lpstr>
      <vt:lpstr>T</vt:lpstr>
      <vt:lpstr>CON</vt:lpstr>
      <vt:lpstr>Logic</vt:lpstr>
      <vt:lpstr>Module</vt:lpstr>
      <vt:lpstr>Integrated</vt:lpstr>
      <vt:lpstr>GDT</vt:lpstr>
      <vt:lpstr>Misc</vt:lpstr>
      <vt:lpstr>Net-Tie</vt:lpstr>
      <vt:lpstr>ConSchematicLib</vt:lpstr>
      <vt:lpstr>CSchematicLib</vt:lpstr>
      <vt:lpstr>LSchematicLib</vt:lpstr>
      <vt:lpstr>LSchematicLib.</vt:lpstr>
      <vt:lpstr>PrivateLibraryPath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Winz Daniel</dc:creator>
  <cp:lastModifiedBy>Horat  Andreas</cp:lastModifiedBy>
  <dcterms:created xsi:type="dcterms:W3CDTF">2023-11-15T06:51:24Z</dcterms:created>
  <dcterms:modified xsi:type="dcterms:W3CDTF">2026-10-29T15:57:38Z</dcterms:modified>
</cp:coreProperties>
</file>