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595F6C00-B81A-49DF-934C-B9241B63ECB7}" xr6:coauthVersionLast="47" xr6:coauthVersionMax="47" xr10:uidLastSave="{00000000-0000-0000-0000-000000000000}"/>
  <bookViews>
    <workbookView xWindow="-120" yWindow="-120" windowWidth="29040" windowHeight="17325" activeTab="7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10" l="1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73" i="10"/>
  <c r="G7" i="12"/>
  <c r="G186" i="4"/>
  <c r="G342" i="7"/>
  <c r="G530" i="7"/>
  <c r="AB530" i="7"/>
  <c r="G701" i="7"/>
  <c r="G90" i="8"/>
  <c r="G256" i="10"/>
  <c r="G257" i="10"/>
  <c r="G258" i="10"/>
  <c r="G260" i="10"/>
  <c r="G259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2" i="10"/>
  <c r="G98" i="8"/>
  <c r="G185" i="4"/>
  <c r="G27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1" i="10"/>
  <c r="G271" i="10"/>
  <c r="I270" i="10"/>
  <c r="G270" i="10"/>
  <c r="I269" i="10"/>
  <c r="G26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4" i="10"/>
  <c r="G266" i="10"/>
  <c r="G268" i="10"/>
  <c r="G267" i="10"/>
  <c r="G265" i="10"/>
  <c r="G263" i="10"/>
  <c r="G261" i="10"/>
  <c r="G2" i="10"/>
  <c r="G1398" i="7"/>
  <c r="I1426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8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7" i="8"/>
  <c r="G186" i="8"/>
  <c r="G1392" i="7"/>
  <c r="G185" i="8"/>
  <c r="G184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3" i="8"/>
  <c r="G18" i="4"/>
  <c r="G17" i="4"/>
  <c r="G1388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<sst xmlns="http://schemas.openxmlformats.org/spreadsheetml/2006/main" count="59526" uniqueCount="16835">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</sst>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W209" sqref="W209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16762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16763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16764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C154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16754</v>
      </c>
      <c r="B173" t="s">
        <v>16754</v>
      </c>
      <c r="C173" t="s">
        <v>16755</v>
      </c>
      <c r="D173" t="s">
        <v>21</v>
      </c>
      <c r="E173" s="14" t="s">
        <v>6449</v>
      </c>
      <c r="F173" t="s">
        <v>16756</v>
      </c>
      <c r="G173" t="str">
        <f>Config!$B$4</f>
        <v>SCH/C_IEC.SchLib</v>
      </c>
      <c r="H173" t="s">
        <v>425</v>
      </c>
      <c r="I173" t="s">
        <v>461</v>
      </c>
      <c r="J173" t="s">
        <v>16757</v>
      </c>
      <c r="K173" s="3">
        <v>1.9999999999999999E-11</v>
      </c>
      <c r="L173" t="s">
        <v>16758</v>
      </c>
      <c r="M173" t="s">
        <v>1032</v>
      </c>
      <c r="N173" t="s">
        <v>16759</v>
      </c>
      <c r="O173" t="s">
        <v>25</v>
      </c>
      <c r="P173" t="s">
        <v>16760</v>
      </c>
      <c r="U173" t="s">
        <v>1032</v>
      </c>
      <c r="V173" t="s">
        <v>16759</v>
      </c>
      <c r="W173" t="s">
        <v>4559</v>
      </c>
      <c r="X173" t="s">
        <v>16761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16765</v>
      </c>
      <c r="W575" t="s">
        <v>4559</v>
      </c>
      <c r="X575" t="s">
        <v>16766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4"/>
  <sheetViews>
    <sheetView tabSelected="1" zoomScale="85" zoomScaleNormal="85" workbookViewId="0">
      <pane xSplit="2" ySplit="1" topLeftCell="C148" activePane="bottomRight" state="frozen"/>
      <selection pane="topRight" activeCell="C1" sqref="C1"/>
      <selection pane="bottomLeft" activeCell="A2" sqref="A2"/>
      <selection pane="bottomRight" activeCell="C173" sqref="C173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16775</v>
      </c>
      <c r="B78" t="s">
        <v>13413</v>
      </c>
      <c r="C78" t="s">
        <v>16776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16774</v>
      </c>
      <c r="L78" s="1" t="s">
        <v>13497</v>
      </c>
      <c r="N78" t="s">
        <v>16770</v>
      </c>
      <c r="O78" t="s">
        <v>16771</v>
      </c>
      <c r="P78" t="s">
        <v>25</v>
      </c>
      <c r="Q78" t="s">
        <v>16772</v>
      </c>
    </row>
    <row r="79" spans="1:17" ht="15.75">
      <c r="A79" t="s">
        <v>16778</v>
      </c>
      <c r="B79" t="s">
        <v>16779</v>
      </c>
      <c r="C79" t="s">
        <v>16777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16773</v>
      </c>
      <c r="L79" s="1" t="s">
        <v>13497</v>
      </c>
      <c r="N79" t="s">
        <v>16767</v>
      </c>
      <c r="O79" t="s">
        <v>16768</v>
      </c>
      <c r="P79" t="s">
        <v>25</v>
      </c>
      <c r="Q79" t="s">
        <v>16769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16791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16792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16793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16792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16794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16792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16795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16792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16796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16792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16797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16792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16798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16792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16799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16792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16800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16792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16801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16792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16780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16790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16781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16790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16782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16790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16783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16790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16784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16790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16785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16790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16786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16790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16787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16790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16788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16790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16789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16790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16802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16803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16804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16803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16805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16803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16806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16803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16807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16803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16808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16803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16809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16803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16810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16803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16811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16803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16812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16803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16813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16814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16815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16814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16816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16814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16817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16814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16818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16814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16819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16814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16820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16814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16821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16814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16822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16814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16823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16814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16824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16825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16826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16825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16827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16825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16828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16825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16829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16825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16830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16825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16831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16825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16832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16825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16833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16825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16834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16825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14038</v>
      </c>
      <c r="B256" t="s">
        <v>14038</v>
      </c>
      <c r="C256" t="s">
        <v>14039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14038</v>
      </c>
      <c r="L256" s="1" t="s">
        <v>13497</v>
      </c>
    </row>
    <row r="257" spans="1:25" ht="15.75">
      <c r="A257" t="s">
        <v>14036</v>
      </c>
      <c r="B257" t="s">
        <v>14036</v>
      </c>
      <c r="C257" t="s">
        <v>14037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14036</v>
      </c>
      <c r="L257" s="1" t="s">
        <v>13497</v>
      </c>
    </row>
    <row r="258" spans="1:25" ht="15.75">
      <c r="A258" t="s">
        <v>14034</v>
      </c>
      <c r="B258" t="s">
        <v>14034</v>
      </c>
      <c r="C258" t="s">
        <v>14035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14034</v>
      </c>
      <c r="L258" s="1" t="s">
        <v>13497</v>
      </c>
    </row>
    <row r="259" spans="1:25" ht="15.75">
      <c r="A259" t="s">
        <v>14030</v>
      </c>
      <c r="B259" t="s">
        <v>14030</v>
      </c>
      <c r="C259" t="s">
        <v>14032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14030</v>
      </c>
      <c r="L259" s="1" t="s">
        <v>13497</v>
      </c>
    </row>
    <row r="260" spans="1:25" ht="15.75">
      <c r="A260" t="s">
        <v>14031</v>
      </c>
      <c r="B260" t="s">
        <v>14031</v>
      </c>
      <c r="C260" t="s">
        <v>14033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14031</v>
      </c>
      <c r="L260" s="1" t="s">
        <v>13497</v>
      </c>
    </row>
    <row r="261" spans="1:25" ht="15.75">
      <c r="A261" t="s">
        <v>12715</v>
      </c>
      <c r="B261" t="s">
        <v>12715</v>
      </c>
      <c r="C261" t="s">
        <v>12720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12715</v>
      </c>
      <c r="L261" s="1" t="s">
        <v>13497</v>
      </c>
    </row>
    <row r="262" spans="1:25" ht="15.75">
      <c r="A262" t="s">
        <v>13384</v>
      </c>
      <c r="B262" t="s">
        <v>13384</v>
      </c>
      <c r="C262" t="s">
        <v>13385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13384</v>
      </c>
      <c r="L262" s="1" t="s">
        <v>13497</v>
      </c>
    </row>
    <row r="263" spans="1:25" ht="15.75">
      <c r="A263" t="s">
        <v>12716</v>
      </c>
      <c r="B263" t="s">
        <v>12716</v>
      </c>
      <c r="C263" t="s">
        <v>12721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12716</v>
      </c>
      <c r="L263" s="1" t="s">
        <v>13497</v>
      </c>
    </row>
    <row r="264" spans="1:25" ht="15.75">
      <c r="A264" t="s">
        <v>12727</v>
      </c>
      <c r="B264" t="s">
        <v>12727</v>
      </c>
      <c r="C264" t="s">
        <v>12728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12727</v>
      </c>
      <c r="L264" s="1" t="s">
        <v>13497</v>
      </c>
    </row>
    <row r="265" spans="1:25" ht="15.75">
      <c r="A265" t="s">
        <v>12717</v>
      </c>
      <c r="B265" t="s">
        <v>12717</v>
      </c>
      <c r="C265" t="s">
        <v>12722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12717</v>
      </c>
      <c r="L265" s="1" t="s">
        <v>13497</v>
      </c>
    </row>
    <row r="266" spans="1:25" ht="15.75">
      <c r="A266" t="s">
        <v>12725</v>
      </c>
      <c r="B266" t="s">
        <v>12725</v>
      </c>
      <c r="C266" t="s">
        <v>12726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12725</v>
      </c>
      <c r="L266" s="1" t="s">
        <v>13497</v>
      </c>
    </row>
    <row r="267" spans="1:25" ht="15.75">
      <c r="A267" t="s">
        <v>12718</v>
      </c>
      <c r="B267" t="s">
        <v>12718</v>
      </c>
      <c r="C267" t="s">
        <v>12723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12718</v>
      </c>
      <c r="L267" s="1" t="s">
        <v>13497</v>
      </c>
    </row>
    <row r="268" spans="1:25" ht="15.75">
      <c r="A268" t="s">
        <v>12719</v>
      </c>
      <c r="B268" t="s">
        <v>12719</v>
      </c>
      <c r="C268" t="s">
        <v>12724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12719</v>
      </c>
      <c r="L268" s="1" t="s">
        <v>13497</v>
      </c>
    </row>
    <row r="269" spans="1:25" ht="15.75">
      <c r="A269" t="s">
        <v>13070</v>
      </c>
      <c r="B269">
        <v>5600200320</v>
      </c>
      <c r="C269" t="s">
        <v>13071</v>
      </c>
      <c r="D269" t="s">
        <v>6637</v>
      </c>
      <c r="G269" t="str">
        <f>Config!$B$7</f>
        <v>SCH/Connector.SchLib</v>
      </c>
      <c r="H269" t="s">
        <v>7852</v>
      </c>
      <c r="I269" t="str">
        <f>_xlfn.CONCAT(PrivateLibraryPath,"PCB/Molex.PcbLib")</f>
        <v>../altium_lib_private/PCB/Molex.PcbLib</v>
      </c>
      <c r="J269">
        <v>5600200320</v>
      </c>
      <c r="L269" s="1" t="s">
        <v>13497</v>
      </c>
      <c r="M269" t="s">
        <v>13072</v>
      </c>
      <c r="N269" t="s">
        <v>6637</v>
      </c>
      <c r="O269" s="14" t="s">
        <v>13073</v>
      </c>
      <c r="P269" t="s">
        <v>25</v>
      </c>
      <c r="Q269" t="s">
        <v>13074</v>
      </c>
      <c r="V269" t="s">
        <v>6637</v>
      </c>
      <c r="W269" s="14" t="s">
        <v>13073</v>
      </c>
      <c r="X269" t="s">
        <v>4559</v>
      </c>
      <c r="Y269" t="s">
        <v>13075</v>
      </c>
    </row>
    <row r="270" spans="1:25" ht="15.75">
      <c r="A270" t="s">
        <v>13076</v>
      </c>
      <c r="B270">
        <v>5023520300</v>
      </c>
      <c r="C270" t="s">
        <v>13077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5023520300</v>
      </c>
      <c r="L270" s="1" t="s">
        <v>13497</v>
      </c>
      <c r="M270" t="s">
        <v>13078</v>
      </c>
      <c r="N270" t="s">
        <v>6637</v>
      </c>
      <c r="O270">
        <v>5023520300</v>
      </c>
      <c r="P270" t="s">
        <v>25</v>
      </c>
      <c r="Q270" t="s">
        <v>13079</v>
      </c>
      <c r="V270" t="s">
        <v>6637</v>
      </c>
      <c r="W270">
        <v>5023520300</v>
      </c>
      <c r="X270" t="s">
        <v>4559</v>
      </c>
      <c r="Y270" t="s">
        <v>13080</v>
      </c>
    </row>
    <row r="271" spans="1:25" ht="15.75">
      <c r="A271" t="s">
        <v>13081</v>
      </c>
      <c r="B271">
        <v>5023520200</v>
      </c>
      <c r="C271" t="s">
        <v>13082</v>
      </c>
      <c r="D271" t="s">
        <v>6637</v>
      </c>
      <c r="G271" t="str">
        <f>Config!$B$7</f>
        <v>SCH/Connector.SchLib</v>
      </c>
      <c r="H271" t="s">
        <v>7005</v>
      </c>
      <c r="I271" t="str">
        <f>_xlfn.CONCAT(PrivateLibraryPath,"PCB/Molex.PcbLib")</f>
        <v>../altium_lib_private/PCB/Molex.PcbLib</v>
      </c>
      <c r="J271">
        <v>5023520200</v>
      </c>
      <c r="L271" s="1" t="s">
        <v>13497</v>
      </c>
      <c r="M271" s="28" t="s">
        <v>13084</v>
      </c>
      <c r="N271" t="s">
        <v>6637</v>
      </c>
      <c r="O271">
        <v>5023520200</v>
      </c>
      <c r="P271" t="s">
        <v>25</v>
      </c>
      <c r="Q271" t="s">
        <v>13083</v>
      </c>
      <c r="V271" t="s">
        <v>6637</v>
      </c>
      <c r="W271">
        <v>5023520200</v>
      </c>
      <c r="X271" t="s">
        <v>4559</v>
      </c>
      <c r="Y271" t="s">
        <v>13085</v>
      </c>
    </row>
    <row r="272" spans="1:25" ht="15.75">
      <c r="A272" t="s">
        <v>13305</v>
      </c>
      <c r="B272" t="s">
        <v>13306</v>
      </c>
      <c r="C272" t="s">
        <v>13307</v>
      </c>
      <c r="D272" t="s">
        <v>13045</v>
      </c>
      <c r="G272" t="str">
        <f>Config!$B$7</f>
        <v>SCH/Connector.SchLib</v>
      </c>
      <c r="H272" t="s">
        <v>13308</v>
      </c>
      <c r="I272" t="s">
        <v>7983</v>
      </c>
      <c r="J272" t="s">
        <v>13329</v>
      </c>
      <c r="L272" s="1" t="s">
        <v>13497</v>
      </c>
      <c r="M272" t="s">
        <v>13309</v>
      </c>
      <c r="N272" t="s">
        <v>13045</v>
      </c>
      <c r="O272" t="s">
        <v>13311</v>
      </c>
      <c r="P272" t="s">
        <v>25</v>
      </c>
      <c r="Q272" t="s">
        <v>13310</v>
      </c>
      <c r="V272" t="s">
        <v>13314</v>
      </c>
      <c r="W272" t="s">
        <v>13312</v>
      </c>
      <c r="X272" t="s">
        <v>4559</v>
      </c>
      <c r="Y272" t="s">
        <v>13313</v>
      </c>
    </row>
    <row r="273" spans="1:26" ht="15.75">
      <c r="A273" t="s">
        <v>14343</v>
      </c>
      <c r="B273" t="s">
        <v>14343</v>
      </c>
      <c r="C273" t="s">
        <v>14344</v>
      </c>
      <c r="D273" t="s">
        <v>6648</v>
      </c>
      <c r="G273" t="str">
        <f>Config!$B$7</f>
        <v>SCH/Connector.SchLib</v>
      </c>
      <c r="H273" t="s">
        <v>14341</v>
      </c>
      <c r="I273" t="s">
        <v>12318</v>
      </c>
      <c r="J273" t="s">
        <v>14340</v>
      </c>
      <c r="L273" s="1" t="s">
        <v>13497</v>
      </c>
      <c r="M273" t="s">
        <v>14342</v>
      </c>
      <c r="N273" t="s">
        <v>14345</v>
      </c>
      <c r="O273" t="s">
        <v>14346</v>
      </c>
      <c r="P273" t="s">
        <v>25</v>
      </c>
      <c r="Q273" t="s">
        <v>14347</v>
      </c>
      <c r="V273" t="s">
        <v>14348</v>
      </c>
      <c r="W273" t="s">
        <v>14346</v>
      </c>
      <c r="X273" t="s">
        <v>4559</v>
      </c>
      <c r="Y273" t="s">
        <v>14349</v>
      </c>
      <c r="Z273" t="s">
        <v>4727</v>
      </c>
    </row>
    <row r="274" spans="1:26" ht="15.75">
      <c r="A274" t="s">
        <v>14350</v>
      </c>
      <c r="B274" t="s">
        <v>14350</v>
      </c>
      <c r="C274" t="s">
        <v>14351</v>
      </c>
      <c r="D274" t="s">
        <v>14352</v>
      </c>
      <c r="G274" t="s">
        <v>4430</v>
      </c>
      <c r="H274" t="s">
        <v>14341</v>
      </c>
      <c r="I274" s="39"/>
      <c r="J274" s="39"/>
      <c r="L274" s="1" t="s">
        <v>13497</v>
      </c>
      <c r="M274" t="s">
        <v>14353</v>
      </c>
      <c r="N274" t="s">
        <v>12253</v>
      </c>
      <c r="O274" t="s">
        <v>14354</v>
      </c>
      <c r="P274" t="s">
        <v>25</v>
      </c>
      <c r="Q274" t="s">
        <v>14355</v>
      </c>
      <c r="V274" t="s">
        <v>14356</v>
      </c>
      <c r="W274" t="s">
        <v>14354</v>
      </c>
      <c r="X274" t="s">
        <v>4559</v>
      </c>
      <c r="Y274" t="s">
        <v>14357</v>
      </c>
      <c r="Z274" t="s">
        <v>4727</v>
      </c>
    </row>
  </sheetData>
  <phoneticPr fontId="2" type="noConversion"/>
  <conditionalFormatting sqref="G2:G27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2026-02-20T08:05:41Z</dcterms:modified>
</cp:coreProperties>
</file>